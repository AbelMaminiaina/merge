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f11d001\EIDDIJON\App\IBIQ\04-Application\Nomenclature\Demandes\"/>
    </mc:Choice>
  </mc:AlternateContent>
  <bookViews>
    <workbookView xWindow="0" yWindow="0" windowWidth="20490" windowHeight="7620" activeTab="2"/>
  </bookViews>
  <sheets>
    <sheet name="A LIRE" sheetId="4" r:id="rId1"/>
    <sheet name="Tables" sheetId="1" r:id="rId2"/>
    <sheet name="Champs" sheetId="2" r:id="rId3"/>
    <sheet name="Objets de gestion" sheetId="3" r:id="rId4"/>
    <sheet name="Articles" sheetId="5" r:id="rId5"/>
    <sheet name="BIB" sheetId="6" r:id="rId6"/>
    <sheet name="Type de table" sheetId="7" r:id="rId7"/>
  </sheets>
  <externalReferences>
    <externalReference r:id="rId8"/>
    <externalReference r:id="rId9"/>
    <externalReference r:id="rId10"/>
  </externalReferences>
  <definedNames>
    <definedName name="_xlnm._FilterDatabase" localSheetId="4" hidden="1">Articles!$A$1:$B$1</definedName>
    <definedName name="_xlnm._FilterDatabase" localSheetId="3" hidden="1">'Objets de gestion'!#REF!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 i="2" l="1"/>
  <c r="L8" i="2"/>
  <c r="J8" i="2"/>
  <c r="J4" i="2" l="1"/>
  <c r="I4" i="2" s="1"/>
  <c r="K4" i="2"/>
  <c r="L4" i="2"/>
  <c r="M4" i="2"/>
  <c r="J2" i="2" l="1"/>
  <c r="I2" i="2" s="1"/>
  <c r="K2" i="2"/>
  <c r="L2" i="2"/>
  <c r="M2" i="2"/>
  <c r="J3" i="2"/>
  <c r="I3" i="2" s="1"/>
  <c r="K3" i="2"/>
  <c r="L3" i="2"/>
  <c r="M3" i="2"/>
  <c r="J5" i="2"/>
  <c r="I5" i="2" s="1"/>
  <c r="K5" i="2"/>
  <c r="L5" i="2"/>
  <c r="M5" i="2"/>
  <c r="J6" i="2"/>
  <c r="I6" i="2" s="1"/>
  <c r="K6" i="2"/>
  <c r="L6" i="2"/>
  <c r="M6" i="2"/>
  <c r="I7" i="2"/>
  <c r="K7" i="2"/>
  <c r="L7" i="2"/>
  <c r="M7" i="2"/>
  <c r="I8" i="2"/>
  <c r="K8" i="2"/>
  <c r="M8" i="2"/>
  <c r="J9" i="2"/>
  <c r="I9" i="2" s="1"/>
  <c r="K9" i="2"/>
  <c r="L9" i="2"/>
  <c r="M9" i="2"/>
  <c r="J10" i="2"/>
  <c r="I10" i="2" s="1"/>
  <c r="K10" i="2"/>
  <c r="L10" i="2"/>
  <c r="M10" i="2"/>
  <c r="I11" i="2"/>
  <c r="J11" i="2"/>
  <c r="K11" i="2"/>
  <c r="L11" i="2"/>
  <c r="M11" i="2"/>
  <c r="I12" i="2"/>
  <c r="J12" i="2"/>
  <c r="K12" i="2"/>
  <c r="L12" i="2"/>
  <c r="M12" i="2"/>
  <c r="I13" i="2"/>
  <c r="J13" i="2"/>
  <c r="K13" i="2"/>
  <c r="L13" i="2"/>
  <c r="M13" i="2"/>
  <c r="I14" i="2"/>
  <c r="J14" i="2"/>
  <c r="K14" i="2"/>
  <c r="L14" i="2"/>
  <c r="M14" i="2"/>
  <c r="I15" i="2"/>
  <c r="J15" i="2"/>
  <c r="K15" i="2"/>
  <c r="L15" i="2"/>
  <c r="M15" i="2"/>
  <c r="I16" i="2"/>
  <c r="J16" i="2"/>
  <c r="K16" i="2"/>
  <c r="L16" i="2"/>
  <c r="M16" i="2"/>
  <c r="I17" i="2"/>
  <c r="J17" i="2"/>
  <c r="K17" i="2"/>
  <c r="L17" i="2"/>
  <c r="M17" i="2"/>
  <c r="I18" i="2"/>
  <c r="J18" i="2"/>
  <c r="K18" i="2"/>
  <c r="L18" i="2"/>
  <c r="M18" i="2"/>
  <c r="I19" i="2"/>
  <c r="J19" i="2"/>
  <c r="K19" i="2"/>
  <c r="L19" i="2"/>
  <c r="M19" i="2"/>
  <c r="I20" i="2"/>
  <c r="J20" i="2"/>
  <c r="K20" i="2"/>
  <c r="L20" i="2"/>
  <c r="M20" i="2"/>
  <c r="I21" i="2"/>
  <c r="J21" i="2"/>
  <c r="K21" i="2"/>
  <c r="L21" i="2"/>
  <c r="M21" i="2"/>
  <c r="I22" i="2"/>
  <c r="J22" i="2"/>
  <c r="K22" i="2"/>
  <c r="L22" i="2"/>
  <c r="M22" i="2"/>
  <c r="I23" i="2"/>
  <c r="J23" i="2"/>
  <c r="K23" i="2"/>
  <c r="L23" i="2"/>
  <c r="M23" i="2"/>
  <c r="I24" i="2"/>
  <c r="J24" i="2"/>
  <c r="K24" i="2"/>
  <c r="L24" i="2"/>
  <c r="M24" i="2"/>
  <c r="I25" i="2"/>
  <c r="J25" i="2"/>
  <c r="K25" i="2"/>
  <c r="L25" i="2"/>
  <c r="M25" i="2"/>
  <c r="I26" i="2"/>
  <c r="J26" i="2"/>
  <c r="K26" i="2"/>
  <c r="L26" i="2"/>
  <c r="M26" i="2"/>
  <c r="I27" i="2"/>
  <c r="J27" i="2"/>
  <c r="K27" i="2"/>
  <c r="L27" i="2"/>
  <c r="M27" i="2"/>
  <c r="I28" i="2"/>
  <c r="J28" i="2"/>
  <c r="K28" i="2"/>
  <c r="L28" i="2"/>
  <c r="M28" i="2"/>
  <c r="I29" i="2"/>
  <c r="J29" i="2"/>
  <c r="K29" i="2"/>
  <c r="L29" i="2"/>
  <c r="M29" i="2"/>
  <c r="I30" i="2"/>
  <c r="J30" i="2"/>
  <c r="K30" i="2"/>
  <c r="L30" i="2"/>
  <c r="M30" i="2"/>
  <c r="I31" i="2"/>
  <c r="J31" i="2"/>
  <c r="K31" i="2"/>
  <c r="L31" i="2"/>
  <c r="M31" i="2"/>
  <c r="I32" i="2"/>
  <c r="J32" i="2"/>
  <c r="K32" i="2"/>
  <c r="L32" i="2"/>
  <c r="M32" i="2"/>
  <c r="I33" i="2"/>
  <c r="J33" i="2"/>
  <c r="K33" i="2"/>
  <c r="L33" i="2"/>
  <c r="M33" i="2"/>
  <c r="I34" i="2"/>
  <c r="J34" i="2"/>
  <c r="K34" i="2"/>
  <c r="L34" i="2"/>
  <c r="M34" i="2"/>
  <c r="I35" i="2"/>
  <c r="J35" i="2"/>
  <c r="K35" i="2"/>
  <c r="L35" i="2"/>
  <c r="M35" i="2"/>
  <c r="I36" i="2"/>
  <c r="J36" i="2"/>
  <c r="K36" i="2"/>
  <c r="L36" i="2"/>
  <c r="M36" i="2"/>
  <c r="I37" i="2"/>
  <c r="J37" i="2"/>
  <c r="K37" i="2"/>
  <c r="L37" i="2"/>
  <c r="M37" i="2"/>
  <c r="I38" i="2"/>
  <c r="J38" i="2"/>
  <c r="K38" i="2"/>
  <c r="L38" i="2"/>
  <c r="M38" i="2"/>
  <c r="I39" i="2"/>
  <c r="J39" i="2"/>
  <c r="K39" i="2"/>
  <c r="L39" i="2"/>
  <c r="M39" i="2"/>
  <c r="I40" i="2"/>
  <c r="J40" i="2"/>
  <c r="K40" i="2"/>
  <c r="L40" i="2"/>
  <c r="M40" i="2"/>
  <c r="I41" i="2"/>
  <c r="J41" i="2"/>
  <c r="K41" i="2"/>
  <c r="L41" i="2"/>
  <c r="M41" i="2"/>
  <c r="I42" i="2"/>
  <c r="J42" i="2"/>
  <c r="K42" i="2"/>
  <c r="L42" i="2"/>
  <c r="M42" i="2"/>
  <c r="I43" i="2"/>
  <c r="J43" i="2"/>
  <c r="K43" i="2"/>
  <c r="L43" i="2"/>
  <c r="M43" i="2"/>
  <c r="I44" i="2"/>
  <c r="J44" i="2"/>
  <c r="K44" i="2"/>
  <c r="L44" i="2"/>
  <c r="M44" i="2"/>
  <c r="I45" i="2"/>
  <c r="J45" i="2"/>
  <c r="K45" i="2"/>
  <c r="L45" i="2"/>
  <c r="M45" i="2"/>
  <c r="I46" i="2"/>
  <c r="J46" i="2"/>
  <c r="K46" i="2"/>
  <c r="L46" i="2"/>
  <c r="M46" i="2"/>
  <c r="I47" i="2"/>
  <c r="J47" i="2"/>
  <c r="K47" i="2"/>
  <c r="L47" i="2"/>
  <c r="M47" i="2"/>
  <c r="I48" i="2"/>
  <c r="J48" i="2"/>
  <c r="K48" i="2"/>
  <c r="L48" i="2"/>
  <c r="M48" i="2"/>
  <c r="I49" i="2"/>
  <c r="J49" i="2"/>
  <c r="K49" i="2"/>
  <c r="L49" i="2"/>
  <c r="M49" i="2"/>
  <c r="I50" i="2"/>
  <c r="J50" i="2"/>
  <c r="K50" i="2"/>
  <c r="L50" i="2"/>
  <c r="M50" i="2"/>
  <c r="I51" i="2"/>
  <c r="J51" i="2"/>
  <c r="K51" i="2"/>
  <c r="L51" i="2"/>
  <c r="M51" i="2"/>
  <c r="I52" i="2"/>
  <c r="J52" i="2"/>
  <c r="K52" i="2"/>
  <c r="L52" i="2"/>
  <c r="M52" i="2"/>
  <c r="I53" i="2"/>
  <c r="J53" i="2"/>
  <c r="K53" i="2"/>
  <c r="L53" i="2"/>
  <c r="M53" i="2"/>
  <c r="I54" i="2"/>
  <c r="J54" i="2"/>
  <c r="K54" i="2"/>
  <c r="L54" i="2"/>
  <c r="M54" i="2"/>
  <c r="I55" i="2"/>
  <c r="J55" i="2"/>
  <c r="K55" i="2"/>
  <c r="L55" i="2"/>
  <c r="M55" i="2"/>
  <c r="I56" i="2"/>
  <c r="J56" i="2"/>
  <c r="K56" i="2"/>
  <c r="L56" i="2"/>
  <c r="M56" i="2"/>
  <c r="I57" i="2"/>
  <c r="J57" i="2"/>
  <c r="K57" i="2"/>
  <c r="L57" i="2"/>
  <c r="M57" i="2"/>
  <c r="I58" i="2"/>
  <c r="J58" i="2"/>
  <c r="K58" i="2"/>
  <c r="L58" i="2"/>
  <c r="M58" i="2"/>
  <c r="I59" i="2"/>
  <c r="J59" i="2"/>
  <c r="K59" i="2"/>
  <c r="L59" i="2"/>
  <c r="M59" i="2"/>
  <c r="I60" i="2"/>
  <c r="J60" i="2"/>
  <c r="K60" i="2"/>
  <c r="L60" i="2"/>
  <c r="M60" i="2"/>
  <c r="I61" i="2"/>
  <c r="J61" i="2"/>
  <c r="K61" i="2"/>
  <c r="L61" i="2"/>
  <c r="M61" i="2"/>
  <c r="I62" i="2"/>
  <c r="J62" i="2"/>
  <c r="K62" i="2"/>
  <c r="L62" i="2"/>
  <c r="M62" i="2"/>
  <c r="I63" i="2"/>
  <c r="J63" i="2"/>
  <c r="K63" i="2"/>
  <c r="L63" i="2"/>
  <c r="M63" i="2"/>
  <c r="I64" i="2"/>
  <c r="J64" i="2"/>
  <c r="K64" i="2"/>
  <c r="L64" i="2"/>
  <c r="M64" i="2"/>
  <c r="I65" i="2"/>
  <c r="J65" i="2"/>
  <c r="K65" i="2"/>
  <c r="L65" i="2"/>
  <c r="M65" i="2"/>
  <c r="I66" i="2"/>
  <c r="J66" i="2"/>
  <c r="K66" i="2"/>
  <c r="L66" i="2"/>
  <c r="M66" i="2"/>
  <c r="I67" i="2"/>
  <c r="J67" i="2"/>
  <c r="K67" i="2"/>
  <c r="L67" i="2"/>
  <c r="M67" i="2"/>
  <c r="I68" i="2"/>
  <c r="J68" i="2"/>
  <c r="K68" i="2"/>
  <c r="L68" i="2"/>
  <c r="M68" i="2"/>
  <c r="I69" i="2"/>
  <c r="J69" i="2"/>
  <c r="K69" i="2"/>
  <c r="L69" i="2"/>
  <c r="M69" i="2"/>
  <c r="I70" i="2"/>
  <c r="J70" i="2"/>
  <c r="K70" i="2"/>
  <c r="L70" i="2"/>
  <c r="M70" i="2"/>
  <c r="I71" i="2"/>
  <c r="J71" i="2"/>
  <c r="K71" i="2"/>
  <c r="L71" i="2"/>
  <c r="M71" i="2"/>
  <c r="I72" i="2"/>
  <c r="J72" i="2"/>
  <c r="K72" i="2"/>
  <c r="L72" i="2"/>
  <c r="M72" i="2"/>
  <c r="I73" i="2"/>
  <c r="J73" i="2"/>
  <c r="K73" i="2"/>
  <c r="L73" i="2"/>
  <c r="M73" i="2"/>
  <c r="I74" i="2"/>
  <c r="J74" i="2"/>
  <c r="K74" i="2"/>
  <c r="L74" i="2"/>
  <c r="M74" i="2"/>
  <c r="I75" i="2"/>
  <c r="J75" i="2"/>
  <c r="K75" i="2"/>
  <c r="L75" i="2"/>
  <c r="M75" i="2"/>
  <c r="I76" i="2"/>
  <c r="J76" i="2"/>
  <c r="K76" i="2"/>
  <c r="L76" i="2"/>
  <c r="M76" i="2"/>
  <c r="I77" i="2"/>
  <c r="J77" i="2"/>
  <c r="K77" i="2"/>
  <c r="L77" i="2"/>
  <c r="M77" i="2"/>
  <c r="I78" i="2"/>
  <c r="J78" i="2"/>
  <c r="K78" i="2"/>
  <c r="L78" i="2"/>
  <c r="M78" i="2"/>
  <c r="I79" i="2"/>
  <c r="J79" i="2"/>
  <c r="K79" i="2"/>
  <c r="L79" i="2"/>
  <c r="M79" i="2"/>
  <c r="I80" i="2"/>
  <c r="J80" i="2"/>
  <c r="K80" i="2"/>
  <c r="L80" i="2"/>
  <c r="M80" i="2"/>
  <c r="I81" i="2"/>
  <c r="J81" i="2"/>
  <c r="K81" i="2"/>
  <c r="L81" i="2"/>
  <c r="M81" i="2"/>
  <c r="I82" i="2"/>
  <c r="J82" i="2"/>
  <c r="K82" i="2"/>
  <c r="L82" i="2"/>
  <c r="M82" i="2"/>
  <c r="I83" i="2"/>
  <c r="J83" i="2"/>
  <c r="K83" i="2"/>
  <c r="L83" i="2"/>
  <c r="M83" i="2"/>
  <c r="I84" i="2"/>
  <c r="J84" i="2"/>
  <c r="K84" i="2"/>
  <c r="L84" i="2"/>
  <c r="M84" i="2"/>
  <c r="I85" i="2"/>
  <c r="J85" i="2"/>
  <c r="K85" i="2"/>
  <c r="L85" i="2"/>
  <c r="M85" i="2"/>
  <c r="I86" i="2"/>
  <c r="J86" i="2"/>
  <c r="K86" i="2"/>
  <c r="L86" i="2"/>
  <c r="M86" i="2"/>
  <c r="I87" i="2"/>
  <c r="J87" i="2"/>
  <c r="K87" i="2"/>
  <c r="L87" i="2"/>
  <c r="M87" i="2"/>
  <c r="I88" i="2"/>
  <c r="J88" i="2"/>
  <c r="K88" i="2"/>
  <c r="L88" i="2"/>
  <c r="M88" i="2"/>
  <c r="I89" i="2"/>
  <c r="J89" i="2"/>
  <c r="K89" i="2"/>
  <c r="L89" i="2"/>
  <c r="M89" i="2"/>
  <c r="I90" i="2"/>
  <c r="J90" i="2"/>
  <c r="K90" i="2"/>
  <c r="L90" i="2"/>
  <c r="M90" i="2"/>
  <c r="I91" i="2"/>
  <c r="J91" i="2"/>
  <c r="K91" i="2"/>
  <c r="L91" i="2"/>
  <c r="M91" i="2"/>
  <c r="I92" i="2"/>
  <c r="J92" i="2"/>
  <c r="K92" i="2"/>
  <c r="L92" i="2"/>
  <c r="M92" i="2"/>
  <c r="I93" i="2"/>
  <c r="J93" i="2"/>
  <c r="K93" i="2"/>
  <c r="L93" i="2"/>
  <c r="M93" i="2"/>
  <c r="I94" i="2"/>
  <c r="J94" i="2"/>
  <c r="K94" i="2"/>
  <c r="L94" i="2"/>
  <c r="M94" i="2"/>
  <c r="I95" i="2"/>
  <c r="J95" i="2"/>
  <c r="K95" i="2"/>
  <c r="L95" i="2"/>
  <c r="M95" i="2"/>
  <c r="I96" i="2"/>
  <c r="J96" i="2"/>
  <c r="K96" i="2"/>
  <c r="L96" i="2"/>
  <c r="M96" i="2"/>
  <c r="I97" i="2"/>
  <c r="J97" i="2"/>
  <c r="K97" i="2"/>
  <c r="L97" i="2"/>
  <c r="M97" i="2"/>
  <c r="I98" i="2"/>
  <c r="J98" i="2"/>
  <c r="K98" i="2"/>
  <c r="L98" i="2"/>
  <c r="M98" i="2"/>
  <c r="I99" i="2"/>
  <c r="J99" i="2"/>
  <c r="K99" i="2"/>
  <c r="L99" i="2"/>
  <c r="M99" i="2"/>
  <c r="I100" i="2"/>
  <c r="J100" i="2"/>
  <c r="K100" i="2"/>
  <c r="L100" i="2"/>
  <c r="M100" i="2"/>
  <c r="I101" i="2"/>
  <c r="J101" i="2"/>
  <c r="K101" i="2"/>
  <c r="L101" i="2"/>
  <c r="M101" i="2"/>
  <c r="I102" i="2"/>
  <c r="J102" i="2"/>
  <c r="K102" i="2"/>
  <c r="L102" i="2"/>
  <c r="M102" i="2"/>
  <c r="I103" i="2"/>
  <c r="J103" i="2"/>
  <c r="K103" i="2"/>
  <c r="L103" i="2"/>
  <c r="M103" i="2"/>
  <c r="I104" i="2"/>
  <c r="J104" i="2"/>
  <c r="K104" i="2"/>
  <c r="L104" i="2"/>
  <c r="M104" i="2"/>
  <c r="I105" i="2"/>
  <c r="J105" i="2"/>
  <c r="K105" i="2"/>
  <c r="L105" i="2"/>
  <c r="M105" i="2"/>
  <c r="I106" i="2"/>
  <c r="J106" i="2"/>
  <c r="K106" i="2"/>
  <c r="L106" i="2"/>
  <c r="M106" i="2"/>
  <c r="I107" i="2"/>
  <c r="J107" i="2"/>
  <c r="K107" i="2"/>
  <c r="L107" i="2"/>
  <c r="M107" i="2"/>
  <c r="I108" i="2"/>
  <c r="J108" i="2"/>
  <c r="K108" i="2"/>
  <c r="L108" i="2"/>
  <c r="M108" i="2"/>
  <c r="I109" i="2"/>
  <c r="J109" i="2"/>
  <c r="K109" i="2"/>
  <c r="L109" i="2"/>
  <c r="M109" i="2"/>
  <c r="I110" i="2"/>
  <c r="J110" i="2"/>
  <c r="K110" i="2"/>
  <c r="L110" i="2"/>
  <c r="M110" i="2"/>
  <c r="I111" i="2"/>
  <c r="J111" i="2"/>
  <c r="K111" i="2"/>
  <c r="L111" i="2"/>
  <c r="M111" i="2"/>
  <c r="I112" i="2"/>
  <c r="J112" i="2"/>
  <c r="K112" i="2"/>
  <c r="L112" i="2"/>
  <c r="M112" i="2"/>
  <c r="I113" i="2"/>
  <c r="J113" i="2"/>
  <c r="K113" i="2"/>
  <c r="L113" i="2"/>
  <c r="M113" i="2"/>
  <c r="I114" i="2"/>
  <c r="J114" i="2"/>
  <c r="K114" i="2"/>
  <c r="L114" i="2"/>
  <c r="M114" i="2"/>
  <c r="I115" i="2"/>
  <c r="J115" i="2"/>
  <c r="K115" i="2"/>
  <c r="L115" i="2"/>
  <c r="M115" i="2"/>
  <c r="I116" i="2"/>
  <c r="J116" i="2"/>
  <c r="K116" i="2"/>
  <c r="L116" i="2"/>
  <c r="M116" i="2"/>
  <c r="I117" i="2"/>
  <c r="J117" i="2"/>
  <c r="K117" i="2"/>
  <c r="L117" i="2"/>
  <c r="M117" i="2"/>
  <c r="I118" i="2"/>
  <c r="J118" i="2"/>
  <c r="K118" i="2"/>
  <c r="L118" i="2"/>
  <c r="M118" i="2"/>
  <c r="I119" i="2"/>
  <c r="J119" i="2"/>
  <c r="K119" i="2"/>
  <c r="L119" i="2"/>
  <c r="M119" i="2"/>
  <c r="I120" i="2"/>
  <c r="J120" i="2"/>
  <c r="K120" i="2"/>
  <c r="L120" i="2"/>
  <c r="M120" i="2"/>
  <c r="I121" i="2"/>
  <c r="J121" i="2"/>
  <c r="K121" i="2"/>
  <c r="L121" i="2"/>
  <c r="M121" i="2"/>
  <c r="I122" i="2"/>
  <c r="J122" i="2"/>
  <c r="K122" i="2"/>
  <c r="L122" i="2"/>
  <c r="M122" i="2"/>
  <c r="I123" i="2"/>
  <c r="J123" i="2"/>
  <c r="K123" i="2"/>
  <c r="L123" i="2"/>
  <c r="M123" i="2"/>
  <c r="I124" i="2"/>
  <c r="J124" i="2"/>
  <c r="K124" i="2"/>
  <c r="L124" i="2"/>
  <c r="M124" i="2"/>
  <c r="I125" i="2"/>
  <c r="J125" i="2"/>
  <c r="K125" i="2"/>
  <c r="L125" i="2"/>
  <c r="M125" i="2"/>
  <c r="I126" i="2"/>
  <c r="J126" i="2"/>
  <c r="K126" i="2"/>
  <c r="L126" i="2"/>
  <c r="M126" i="2"/>
  <c r="I127" i="2"/>
  <c r="J127" i="2"/>
  <c r="K127" i="2"/>
  <c r="L127" i="2"/>
  <c r="M127" i="2"/>
  <c r="I128" i="2"/>
  <c r="J128" i="2"/>
  <c r="K128" i="2"/>
  <c r="L128" i="2"/>
  <c r="M128" i="2"/>
  <c r="I129" i="2"/>
  <c r="J129" i="2"/>
  <c r="K129" i="2"/>
  <c r="L129" i="2"/>
  <c r="M129" i="2"/>
  <c r="I130" i="2"/>
  <c r="J130" i="2"/>
  <c r="K130" i="2"/>
  <c r="L130" i="2"/>
  <c r="M130" i="2"/>
  <c r="I131" i="2"/>
  <c r="J131" i="2"/>
  <c r="K131" i="2"/>
  <c r="L131" i="2"/>
  <c r="M131" i="2"/>
  <c r="I132" i="2"/>
  <c r="J132" i="2"/>
  <c r="K132" i="2"/>
  <c r="L132" i="2"/>
  <c r="M132" i="2"/>
  <c r="I133" i="2"/>
  <c r="J133" i="2"/>
  <c r="K133" i="2"/>
  <c r="L133" i="2"/>
  <c r="M133" i="2"/>
  <c r="I134" i="2"/>
  <c r="J134" i="2"/>
  <c r="K134" i="2"/>
  <c r="L134" i="2"/>
  <c r="M134" i="2"/>
  <c r="I135" i="2"/>
  <c r="J135" i="2"/>
  <c r="K135" i="2"/>
  <c r="L135" i="2"/>
  <c r="M135" i="2"/>
  <c r="I136" i="2"/>
  <c r="J136" i="2"/>
  <c r="K136" i="2"/>
  <c r="L136" i="2"/>
  <c r="M136" i="2"/>
  <c r="I137" i="2"/>
  <c r="J137" i="2"/>
  <c r="K137" i="2"/>
  <c r="L137" i="2"/>
  <c r="M137" i="2"/>
  <c r="I138" i="2"/>
  <c r="J138" i="2"/>
  <c r="K138" i="2"/>
  <c r="L138" i="2"/>
  <c r="M138" i="2"/>
  <c r="I139" i="2"/>
  <c r="J139" i="2"/>
  <c r="K139" i="2"/>
  <c r="L139" i="2"/>
  <c r="M139" i="2"/>
  <c r="I140" i="2"/>
  <c r="J140" i="2"/>
  <c r="K140" i="2"/>
  <c r="L140" i="2"/>
  <c r="M140" i="2"/>
  <c r="I141" i="2"/>
  <c r="J141" i="2"/>
  <c r="K141" i="2"/>
  <c r="L141" i="2"/>
  <c r="M141" i="2"/>
  <c r="I142" i="2"/>
  <c r="J142" i="2"/>
  <c r="K142" i="2"/>
  <c r="L142" i="2"/>
  <c r="M142" i="2"/>
  <c r="I143" i="2"/>
  <c r="J143" i="2"/>
  <c r="K143" i="2"/>
  <c r="L143" i="2"/>
  <c r="M143" i="2"/>
  <c r="I144" i="2"/>
  <c r="J144" i="2"/>
  <c r="K144" i="2"/>
  <c r="L144" i="2"/>
  <c r="M144" i="2"/>
  <c r="I145" i="2"/>
  <c r="J145" i="2"/>
  <c r="K145" i="2"/>
  <c r="L145" i="2"/>
  <c r="M145" i="2"/>
  <c r="I146" i="2"/>
  <c r="J146" i="2"/>
  <c r="K146" i="2"/>
  <c r="L146" i="2"/>
  <c r="M146" i="2"/>
  <c r="I147" i="2"/>
  <c r="J147" i="2"/>
  <c r="K147" i="2"/>
  <c r="L147" i="2"/>
  <c r="M147" i="2"/>
  <c r="I148" i="2"/>
  <c r="J148" i="2"/>
  <c r="K148" i="2"/>
  <c r="L148" i="2"/>
  <c r="M148" i="2"/>
  <c r="I149" i="2"/>
  <c r="J149" i="2"/>
  <c r="K149" i="2"/>
  <c r="L149" i="2"/>
  <c r="M149" i="2"/>
  <c r="I150" i="2"/>
  <c r="J150" i="2"/>
  <c r="K150" i="2"/>
  <c r="L150" i="2"/>
  <c r="M150" i="2"/>
  <c r="I151" i="2"/>
  <c r="J151" i="2"/>
  <c r="K151" i="2"/>
  <c r="L151" i="2"/>
  <c r="M151" i="2"/>
  <c r="I152" i="2"/>
  <c r="J152" i="2"/>
  <c r="K152" i="2"/>
  <c r="L152" i="2"/>
  <c r="M152" i="2"/>
  <c r="I153" i="2"/>
  <c r="J153" i="2"/>
  <c r="K153" i="2"/>
  <c r="L153" i="2"/>
  <c r="M153" i="2"/>
  <c r="I154" i="2"/>
  <c r="J154" i="2"/>
  <c r="K154" i="2"/>
  <c r="L154" i="2"/>
  <c r="M154" i="2"/>
  <c r="I155" i="2"/>
  <c r="J155" i="2"/>
  <c r="K155" i="2"/>
  <c r="L155" i="2"/>
  <c r="M155" i="2"/>
  <c r="I156" i="2"/>
  <c r="J156" i="2"/>
  <c r="K156" i="2"/>
  <c r="L156" i="2"/>
  <c r="M156" i="2"/>
  <c r="I157" i="2"/>
  <c r="J157" i="2"/>
  <c r="K157" i="2"/>
  <c r="L157" i="2"/>
  <c r="M157" i="2"/>
  <c r="B205" i="3" l="1"/>
  <c r="G2" i="1" l="1"/>
  <c r="I2" i="1"/>
  <c r="H2" i="1" s="1"/>
  <c r="J2" i="1"/>
  <c r="K2" i="1"/>
  <c r="L2" i="1"/>
  <c r="G3" i="1"/>
  <c r="H3" i="1"/>
  <c r="I3" i="1"/>
  <c r="J3" i="1"/>
  <c r="K3" i="1"/>
  <c r="L3" i="1"/>
  <c r="G4" i="1"/>
  <c r="H4" i="1"/>
  <c r="I4" i="1"/>
  <c r="J4" i="1"/>
  <c r="K4" i="1"/>
  <c r="L4" i="1"/>
  <c r="G5" i="1"/>
  <c r="H5" i="1"/>
  <c r="I5" i="1"/>
  <c r="J5" i="1"/>
  <c r="K5" i="1"/>
  <c r="L5" i="1"/>
  <c r="G6" i="1"/>
  <c r="H6" i="1"/>
  <c r="I6" i="1"/>
  <c r="J6" i="1"/>
  <c r="K6" i="1"/>
  <c r="L6" i="1"/>
  <c r="G7" i="1"/>
  <c r="H7" i="1"/>
  <c r="I7" i="1"/>
  <c r="J7" i="1"/>
  <c r="K7" i="1"/>
  <c r="L7" i="1"/>
  <c r="G8" i="1"/>
  <c r="H8" i="1"/>
  <c r="I8" i="1"/>
  <c r="J8" i="1"/>
  <c r="K8" i="1"/>
  <c r="L8" i="1"/>
  <c r="G9" i="1"/>
  <c r="H9" i="1"/>
  <c r="I9" i="1"/>
  <c r="J9" i="1"/>
  <c r="K9" i="1"/>
  <c r="L9" i="1"/>
  <c r="G10" i="1"/>
  <c r="H10" i="1"/>
  <c r="I10" i="1"/>
  <c r="J10" i="1"/>
  <c r="K10" i="1"/>
  <c r="L10" i="1"/>
  <c r="G11" i="1"/>
  <c r="H11" i="1"/>
  <c r="I11" i="1"/>
  <c r="J11" i="1"/>
  <c r="K11" i="1"/>
  <c r="L11" i="1"/>
  <c r="G12" i="1"/>
  <c r="H12" i="1"/>
  <c r="I12" i="1"/>
  <c r="J12" i="1"/>
  <c r="K12" i="1"/>
  <c r="L12" i="1"/>
  <c r="G13" i="1"/>
  <c r="H13" i="1"/>
  <c r="I13" i="1"/>
  <c r="J13" i="1"/>
  <c r="K13" i="1"/>
  <c r="L13" i="1"/>
  <c r="G14" i="1"/>
  <c r="H14" i="1"/>
  <c r="I14" i="1"/>
  <c r="J14" i="1"/>
  <c r="K14" i="1"/>
  <c r="L14" i="1"/>
  <c r="G15" i="1"/>
  <c r="H15" i="1"/>
  <c r="I15" i="1"/>
  <c r="J15" i="1"/>
  <c r="K15" i="1"/>
  <c r="L15" i="1"/>
  <c r="G16" i="1"/>
  <c r="H16" i="1"/>
  <c r="I16" i="1"/>
  <c r="J16" i="1"/>
  <c r="K16" i="1"/>
  <c r="L16" i="1"/>
  <c r="G17" i="1"/>
  <c r="H17" i="1"/>
  <c r="I17" i="1"/>
  <c r="J17" i="1"/>
  <c r="K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G62" i="1"/>
  <c r="H62" i="1"/>
  <c r="I62" i="1"/>
  <c r="J62" i="1"/>
  <c r="K62" i="1"/>
  <c r="L62" i="1"/>
  <c r="G63" i="1"/>
  <c r="H63" i="1"/>
  <c r="I63" i="1"/>
  <c r="J63" i="1"/>
  <c r="K63" i="1"/>
  <c r="L63" i="1"/>
  <c r="G64" i="1"/>
  <c r="H64" i="1"/>
  <c r="I64" i="1"/>
  <c r="J64" i="1"/>
  <c r="K64" i="1"/>
  <c r="L64" i="1"/>
  <c r="G65" i="1"/>
  <c r="H65" i="1"/>
  <c r="I65" i="1"/>
  <c r="J65" i="1"/>
  <c r="K65" i="1"/>
  <c r="L65" i="1"/>
  <c r="G66" i="1"/>
  <c r="H66" i="1"/>
  <c r="I66" i="1"/>
  <c r="J66" i="1"/>
  <c r="K66" i="1"/>
  <c r="L66" i="1"/>
  <c r="G67" i="1"/>
  <c r="H67" i="1"/>
  <c r="I67" i="1"/>
  <c r="J67" i="1"/>
  <c r="K67" i="1"/>
  <c r="L67" i="1"/>
  <c r="G68" i="1"/>
  <c r="H68" i="1"/>
  <c r="I68" i="1"/>
  <c r="J68" i="1"/>
  <c r="K68" i="1"/>
  <c r="L68" i="1"/>
  <c r="G69" i="1"/>
  <c r="H69" i="1"/>
  <c r="I69" i="1"/>
  <c r="J69" i="1"/>
  <c r="K69" i="1"/>
  <c r="L69" i="1"/>
  <c r="G70" i="1"/>
  <c r="H70" i="1"/>
  <c r="I70" i="1"/>
  <c r="J70" i="1"/>
  <c r="K70" i="1"/>
  <c r="L70" i="1"/>
  <c r="G71" i="1"/>
  <c r="H71" i="1"/>
  <c r="I71" i="1"/>
  <c r="J71" i="1"/>
  <c r="K71" i="1"/>
  <c r="L71" i="1"/>
  <c r="G72" i="1"/>
  <c r="H72" i="1"/>
  <c r="I72" i="1"/>
  <c r="J72" i="1"/>
  <c r="K72" i="1"/>
  <c r="L72" i="1"/>
  <c r="D1656" i="3" l="1"/>
  <c r="D772" i="3"/>
  <c r="D663" i="3"/>
  <c r="D658" i="3"/>
  <c r="D216" i="3"/>
</calcChain>
</file>

<file path=xl/sharedStrings.xml><?xml version="1.0" encoding="utf-8"?>
<sst xmlns="http://schemas.openxmlformats.org/spreadsheetml/2006/main" count="14618" uniqueCount="5882">
  <si>
    <t>Nom fr</t>
  </si>
  <si>
    <t>Nom en</t>
  </si>
  <si>
    <t xml:space="preserve"> </t>
  </si>
  <si>
    <t>,</t>
  </si>
  <si>
    <t>à</t>
  </si>
  <si>
    <t>à la</t>
  </si>
  <si>
    <t>to</t>
  </si>
  <si>
    <t>à un</t>
  </si>
  <si>
    <t>à qui</t>
  </si>
  <si>
    <t>après</t>
  </si>
  <si>
    <t>after</t>
  </si>
  <si>
    <t>au</t>
  </si>
  <si>
    <t>avec</t>
  </si>
  <si>
    <t>with</t>
  </si>
  <si>
    <t>chez</t>
  </si>
  <si>
    <t>at</t>
  </si>
  <si>
    <t>d'</t>
  </si>
  <si>
    <t>dans</t>
  </si>
  <si>
    <t>in</t>
  </si>
  <si>
    <t>dans l'</t>
  </si>
  <si>
    <t>in the</t>
  </si>
  <si>
    <t>dans la</t>
  </si>
  <si>
    <t>dans le</t>
  </si>
  <si>
    <t>de</t>
  </si>
  <si>
    <t>de l'</t>
  </si>
  <si>
    <t>de la</t>
  </si>
  <si>
    <t>de type</t>
  </si>
  <si>
    <t>type of</t>
  </si>
  <si>
    <t>depuis</t>
  </si>
  <si>
    <t>since</t>
  </si>
  <si>
    <t>des</t>
  </si>
  <si>
    <t>du</t>
  </si>
  <si>
    <t>d'un</t>
  </si>
  <si>
    <t>of the</t>
  </si>
  <si>
    <t>d'une</t>
  </si>
  <si>
    <t>en</t>
  </si>
  <si>
    <t>as</t>
  </si>
  <si>
    <t>entre</t>
  </si>
  <si>
    <t>et</t>
  </si>
  <si>
    <t>l'</t>
  </si>
  <si>
    <t>the</t>
  </si>
  <si>
    <t>le</t>
  </si>
  <si>
    <t>ou</t>
  </si>
  <si>
    <t>or</t>
  </si>
  <si>
    <t>par</t>
  </si>
  <si>
    <t>par la</t>
  </si>
  <si>
    <t>by the</t>
  </si>
  <si>
    <t>par le</t>
  </si>
  <si>
    <t>par les</t>
  </si>
  <si>
    <t>pour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</si>
  <si>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</si>
  <si>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</si>
  <si>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</si>
  <si>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</si>
  <si>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</si>
  <si>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</si>
  <si>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</si>
  <si>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</si>
  <si>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</si>
  <si>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</si>
  <si>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</si>
  <si>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</si>
  <si>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</si>
  <si>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</si>
  <si>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</si>
  <si>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</si>
  <si>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</si>
  <si>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</si>
  <si>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</si>
  <si>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</si>
  <si>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</si>
  <si>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</si>
  <si>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</si>
  <si>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</si>
  <si>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</si>
  <si>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</si>
  <si>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</si>
  <si>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</si>
  <si>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</si>
  <si>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</si>
  <si>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</si>
  <si>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</si>
  <si>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</si>
  <si>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</si>
  <si>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</si>
  <si>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</si>
  <si>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</si>
  <si>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</si>
  <si>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</si>
  <si>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</si>
  <si>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</si>
  <si>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</si>
  <si>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</si>
  <si>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</si>
  <si>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</si>
  <si>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</si>
  <si>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</si>
  <si>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</si>
  <si>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</si>
  <si>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</si>
  <si>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</si>
  <si>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</si>
  <si>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</si>
  <si>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</si>
  <si>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</si>
  <si>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</si>
  <si>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</si>
  <si>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</si>
  <si>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</si>
  <si>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</si>
  <si>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</si>
  <si>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</si>
  <si>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</si>
  <si>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</si>
  <si>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</si>
  <si>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</si>
  <si>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</si>
  <si>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</si>
  <si>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</si>
  <si>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</si>
  <si>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</si>
  <si>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</si>
  <si>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</si>
  <si>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</si>
  <si>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</si>
  <si>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</si>
  <si>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</si>
  <si>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</si>
  <si>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</si>
  <si>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</si>
  <si>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</si>
  <si>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</si>
  <si>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</si>
  <si>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</si>
  <si>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</si>
  <si>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</si>
  <si>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</si>
  <si>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</si>
  <si>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</si>
  <si>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</si>
  <si>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</si>
  <si>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</si>
  <si>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</si>
  <si>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</si>
  <si>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</si>
  <si>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</si>
  <si>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</si>
  <si>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</si>
  <si>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</si>
  <si>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</si>
  <si>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</si>
  <si>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</si>
  <si>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</si>
  <si>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</si>
  <si>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</si>
  <si>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</si>
  <si>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</si>
  <si>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</si>
  <si>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</si>
  <si>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</si>
  <si>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</si>
  <si>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</si>
  <si>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</si>
  <si>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</si>
  <si>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</si>
  <si>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</si>
  <si>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</si>
  <si>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</si>
  <si>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</si>
  <si>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</si>
  <si>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</si>
  <si>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</si>
  <si>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</si>
  <si>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</si>
  <si>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</si>
  <si>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</si>
  <si>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</si>
  <si>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</si>
  <si>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</si>
  <si>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</si>
  <si>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</si>
  <si>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membership</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</si>
  <si>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</si>
  <si>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</si>
  <si>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</si>
  <si>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</si>
  <si>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</si>
  <si>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</si>
  <si>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</si>
  <si>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</si>
  <si>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</si>
  <si>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</si>
  <si>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</si>
  <si>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</si>
  <si>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</si>
  <si>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</si>
  <si>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</si>
  <si>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</si>
  <si>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</si>
  <si>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</si>
  <si>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</si>
  <si>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</si>
  <si>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</si>
  <si>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</si>
  <si>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</si>
  <si>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</si>
  <si>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</si>
  <si>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</si>
  <si>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</si>
  <si>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</si>
  <si>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</si>
  <si>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</si>
  <si>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</si>
  <si>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</si>
  <si>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</si>
  <si>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</si>
  <si>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</si>
  <si>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</si>
  <si>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</si>
  <si>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</si>
  <si>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</si>
  <si>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</si>
  <si>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</si>
  <si>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</si>
  <si>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</si>
  <si>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</si>
  <si>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</si>
  <si>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</si>
  <si>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</si>
  <si>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</si>
  <si>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</si>
  <si>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</si>
  <si>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</si>
  <si>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</si>
  <si>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</si>
  <si>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</si>
  <si>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</si>
  <si>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</si>
  <si>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</si>
  <si>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</si>
  <si>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</si>
  <si>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</si>
  <si>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</si>
  <si>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</si>
  <si>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</si>
  <si>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</si>
  <si>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</si>
  <si>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</si>
  <si>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</si>
  <si>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</si>
  <si>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</si>
  <si>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</si>
  <si>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</si>
  <si>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</si>
  <si>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</si>
  <si>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</si>
  <si>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</si>
  <si>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</si>
  <si>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</si>
  <si>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</si>
  <si>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</si>
  <si>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</si>
  <si>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</si>
  <si>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</si>
  <si>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</si>
  <si>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</si>
  <si>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</si>
  <si>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</si>
  <si>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</si>
  <si>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</si>
  <si>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</si>
  <si>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</si>
  <si>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</si>
  <si>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</si>
  <si>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</si>
  <si>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</si>
  <si>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</si>
  <si>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</si>
  <si>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</si>
  <si>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</si>
  <si>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</si>
  <si>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</si>
  <si>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</si>
  <si>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</si>
  <si>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</si>
  <si>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</si>
  <si>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</si>
  <si>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</si>
  <si>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</si>
  <si>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</si>
  <si>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</si>
  <si>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</si>
  <si>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</si>
  <si>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</si>
  <si>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</si>
  <si>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</si>
  <si>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</si>
  <si>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</si>
  <si>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</si>
  <si>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</si>
  <si>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</si>
  <si>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</si>
  <si>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</si>
  <si>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</si>
  <si>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</si>
  <si>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</si>
  <si>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</si>
  <si>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</si>
  <si>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</si>
  <si>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</si>
  <si>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</si>
  <si>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</si>
  <si>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</si>
  <si>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</si>
  <si>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</si>
  <si>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</si>
  <si>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</si>
  <si>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</si>
  <si>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</si>
  <si>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</si>
  <si>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</si>
  <si>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</si>
  <si>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</si>
  <si>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</si>
  <si>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</si>
  <si>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</si>
  <si>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</si>
  <si>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</si>
  <si>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</si>
  <si>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</si>
  <si>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</si>
  <si>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</si>
  <si>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</si>
  <si>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</si>
  <si>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</si>
  <si>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</si>
  <si>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</si>
  <si>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</si>
  <si>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</si>
  <si>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</si>
  <si>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</si>
  <si>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</si>
  <si>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</si>
  <si>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</si>
  <si>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</si>
  <si>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</si>
  <si>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</si>
  <si>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</si>
  <si>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</si>
  <si>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</si>
  <si>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</si>
  <si>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</si>
  <si>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</si>
  <si>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</si>
  <si>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</si>
  <si>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</si>
  <si>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</si>
  <si>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</si>
  <si>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</si>
  <si>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</si>
  <si>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</si>
  <si>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</si>
  <si>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</si>
  <si>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</si>
  <si>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</si>
  <si>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</si>
  <si>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</si>
  <si>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</si>
  <si>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</si>
  <si>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</si>
  <si>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</si>
  <si>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</si>
  <si>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</si>
  <si>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</si>
  <si>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</si>
  <si>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</si>
  <si>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</si>
  <si>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</si>
  <si>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</si>
  <si>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</si>
  <si>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</si>
  <si>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</si>
  <si>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</si>
  <si>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</si>
  <si>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</si>
  <si>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</si>
  <si>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</si>
  <si>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</si>
  <si>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</si>
  <si>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</si>
  <si>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</si>
  <si>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</si>
  <si>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</si>
  <si>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</si>
  <si>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</si>
  <si>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</si>
  <si>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</si>
  <si>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</si>
  <si>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</si>
  <si>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</si>
  <si>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</si>
  <si>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</si>
  <si>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</si>
  <si>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</si>
  <si>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</si>
  <si>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</si>
  <si>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</si>
  <si>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</si>
  <si>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</si>
  <si>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</si>
  <si>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</si>
  <si>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</si>
  <si>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</si>
  <si>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</si>
  <si>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 xml:space="preserve">entry </t>
  </si>
  <si>
    <t>ETR</t>
  </si>
  <si>
    <t>BAL interne</t>
  </si>
  <si>
    <t>Boite Aux Lettres</t>
  </si>
  <si>
    <t>intern BAL</t>
  </si>
  <si>
    <t>INTBAL</t>
  </si>
  <si>
    <t>balance</t>
  </si>
  <si>
    <t>BAL</t>
  </si>
  <si>
    <t>balance tout axe</t>
  </si>
  <si>
    <t>all axis balance</t>
  </si>
  <si>
    <t>ALLAXSBAL</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</si>
  <si>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</si>
  <si>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</si>
  <si>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</si>
  <si>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</si>
  <si>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</si>
  <si>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</si>
  <si>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</si>
  <si>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</si>
  <si>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</si>
  <si>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</si>
  <si>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</si>
  <si>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</si>
  <si>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</si>
  <si>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</si>
  <si>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</si>
  <si>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</si>
  <si>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</si>
  <si>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</si>
  <si>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</si>
  <si>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</si>
  <si>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</si>
  <si>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</si>
  <si>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</si>
  <si>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</si>
  <si>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</si>
  <si>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</si>
  <si>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</si>
  <si>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</si>
  <si>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</si>
  <si>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</si>
  <si>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</si>
  <si>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</si>
  <si>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</si>
  <si>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</si>
  <si>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</si>
  <si>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</si>
  <si>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</si>
  <si>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</si>
  <si>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</si>
  <si>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</si>
  <si>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</si>
  <si>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</si>
  <si>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</si>
  <si>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</si>
  <si>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</si>
  <si>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</si>
  <si>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</si>
  <si>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</si>
  <si>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</si>
  <si>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</si>
  <si>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</si>
  <si>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</si>
  <si>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</si>
  <si>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</si>
  <si>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</si>
  <si>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</si>
  <si>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</si>
  <si>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</si>
  <si>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</si>
  <si>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</si>
  <si>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</si>
  <si>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</si>
  <si>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</si>
  <si>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</si>
  <si>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</si>
  <si>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</si>
  <si>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</si>
  <si>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</si>
  <si>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</si>
  <si>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</si>
  <si>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</si>
  <si>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</si>
  <si>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</si>
  <si>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</si>
  <si>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</si>
  <si>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</si>
  <si>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</si>
  <si>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</si>
  <si>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</si>
  <si>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</si>
  <si>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</si>
  <si>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</si>
  <si>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</si>
  <si>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</si>
  <si>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</si>
  <si>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</si>
  <si>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</si>
  <si>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</si>
  <si>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</si>
  <si>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</si>
  <si>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</si>
  <si>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</si>
  <si>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</si>
  <si>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</si>
  <si>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</si>
  <si>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</si>
  <si>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</si>
  <si>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</si>
  <si>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</si>
  <si>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</si>
  <si>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</si>
  <si>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</si>
  <si>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</si>
  <si>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</si>
  <si>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</si>
  <si>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</si>
  <si>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</si>
  <si>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</si>
  <si>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</si>
  <si>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</si>
  <si>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</si>
  <si>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</si>
  <si>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</si>
  <si>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</si>
  <si>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</si>
  <si>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</si>
  <si>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</si>
  <si>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</si>
  <si>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</si>
  <si>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</si>
  <si>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</si>
  <si>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</si>
  <si>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</si>
  <si>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</si>
  <si>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</si>
  <si>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</si>
  <si>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</si>
  <si>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</si>
  <si>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</si>
  <si>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</si>
  <si>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</si>
  <si>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</si>
  <si>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</si>
  <si>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</si>
  <si>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</si>
  <si>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</si>
  <si>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</si>
  <si>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</si>
  <si>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</si>
  <si>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</si>
  <si>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</si>
  <si>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</si>
  <si>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</si>
  <si>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</si>
  <si>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</si>
  <si>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</si>
  <si>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</si>
  <si>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</si>
  <si>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</si>
  <si>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</si>
  <si>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</si>
  <si>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</si>
  <si>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</si>
  <si>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</si>
  <si>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</si>
  <si>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</si>
  <si>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</si>
  <si>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</si>
  <si>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</si>
  <si>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</si>
  <si>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</si>
  <si>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</si>
  <si>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</si>
  <si>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</si>
  <si>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</si>
  <si>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</si>
  <si>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</si>
  <si>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</si>
  <si>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</si>
  <si>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</si>
  <si>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</si>
  <si>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</si>
  <si>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</si>
  <si>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</si>
  <si>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</si>
  <si>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</si>
  <si>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</si>
  <si>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</si>
  <si>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</si>
  <si>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</si>
  <si>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</si>
  <si>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</si>
  <si>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</si>
  <si>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</si>
  <si>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</si>
  <si>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</si>
  <si>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</si>
  <si>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</si>
  <si>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</si>
  <si>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</si>
  <si>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</si>
  <si>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</si>
  <si>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</si>
  <si>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</si>
  <si>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</si>
  <si>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</si>
  <si>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</si>
  <si>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</si>
  <si>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</si>
  <si>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</si>
  <si>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</si>
  <si>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</si>
  <si>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</si>
  <si>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</si>
  <si>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</si>
  <si>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</si>
  <si>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</si>
  <si>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</si>
  <si>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</si>
  <si>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</si>
  <si>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</si>
  <si>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</si>
  <si>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</si>
  <si>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</si>
  <si>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</si>
  <si>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</si>
  <si>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</si>
  <si>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</si>
  <si>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</si>
  <si>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</si>
  <si>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</si>
  <si>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</si>
  <si>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</si>
  <si>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</si>
  <si>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</si>
  <si>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</si>
  <si>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</si>
  <si>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</si>
  <si>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</si>
  <si>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</si>
  <si>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</si>
  <si>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</si>
  <si>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</si>
  <si>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</si>
  <si>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</si>
  <si>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</si>
  <si>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</si>
  <si>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</si>
  <si>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</si>
  <si>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</si>
  <si>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</si>
  <si>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</si>
  <si>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</si>
  <si>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</si>
  <si>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</si>
  <si>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</si>
  <si>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</si>
  <si>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</si>
  <si>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</si>
  <si>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</si>
  <si>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</si>
  <si>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</si>
  <si>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</si>
  <si>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</si>
  <si>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</si>
  <si>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</si>
  <si>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</si>
  <si>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</si>
  <si>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</si>
  <si>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</si>
  <si>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</si>
  <si>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</si>
  <si>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</si>
  <si>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</si>
  <si>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</si>
  <si>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</si>
  <si>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</si>
  <si>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</si>
  <si>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</si>
  <si>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</si>
  <si>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</si>
  <si>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</si>
  <si>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</si>
  <si>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</si>
  <si>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</si>
  <si>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</si>
  <si>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</si>
  <si>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</si>
  <si>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</si>
  <si>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</si>
  <si>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</si>
  <si>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</si>
  <si>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</si>
  <si>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</si>
  <si>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</si>
  <si>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</si>
  <si>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</si>
  <si>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</si>
  <si>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</si>
  <si>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</si>
  <si>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</si>
  <si>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</si>
  <si>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</si>
  <si>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</si>
  <si>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</si>
  <si>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</si>
  <si>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</si>
  <si>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</si>
  <si>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</si>
  <si>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</si>
  <si>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</si>
  <si>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</si>
  <si>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</si>
  <si>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</si>
  <si>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</si>
  <si>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</si>
  <si>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</si>
  <si>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</si>
  <si>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</si>
  <si>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</si>
  <si>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</si>
  <si>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</si>
  <si>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</si>
  <si>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</si>
  <si>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</si>
  <si>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</si>
  <si>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</si>
  <si>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</si>
  <si>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</si>
  <si>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</si>
  <si>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</si>
  <si>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</si>
  <si>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</si>
  <si>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</si>
  <si>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</si>
  <si>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</si>
  <si>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</si>
  <si>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</si>
  <si>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</si>
  <si>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</si>
  <si>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</si>
  <si>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</si>
  <si>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</si>
  <si>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</si>
  <si>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</si>
  <si>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</si>
  <si>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</si>
  <si>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</si>
  <si>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</si>
  <si>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</si>
  <si>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</si>
  <si>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</si>
  <si>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</si>
  <si>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</si>
  <si>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</si>
  <si>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</si>
  <si>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</si>
  <si>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</si>
  <si>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</si>
  <si>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</si>
  <si>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</si>
  <si>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</si>
  <si>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</si>
  <si>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</si>
  <si>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</si>
  <si>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</si>
  <si>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</si>
  <si>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</si>
  <si>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</si>
  <si>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</si>
  <si>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</si>
  <si>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</si>
  <si>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</si>
  <si>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</si>
  <si>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</si>
  <si>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</si>
  <si>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</si>
  <si>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</si>
  <si>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</si>
  <si>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</si>
  <si>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</si>
  <si>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</si>
  <si>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</si>
  <si>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</si>
  <si>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</si>
  <si>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</si>
  <si>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</si>
  <si>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</si>
  <si>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</si>
  <si>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</si>
  <si>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</si>
  <si>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</si>
  <si>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</si>
  <si>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</si>
  <si>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</si>
  <si>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</si>
  <si>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</si>
  <si>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</si>
  <si>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</si>
  <si>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</si>
  <si>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</si>
  <si>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</si>
  <si>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</si>
  <si>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</si>
  <si>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</si>
  <si>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</si>
  <si>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</si>
  <si>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</si>
  <si>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</si>
  <si>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</si>
  <si>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</si>
  <si>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</si>
  <si>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</si>
  <si>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</si>
  <si>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</si>
  <si>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</si>
  <si>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</si>
  <si>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</si>
  <si>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</si>
  <si>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</si>
  <si>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</si>
  <si>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</si>
  <si>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</si>
  <si>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</si>
  <si>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</si>
  <si>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</si>
  <si>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</si>
  <si>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</si>
  <si>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</si>
  <si>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</si>
  <si>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</si>
  <si>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</si>
  <si>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</si>
  <si>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</si>
  <si>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</si>
  <si>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</si>
  <si>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</si>
  <si>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</si>
  <si>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</si>
  <si>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</si>
  <si>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</si>
  <si>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</si>
  <si>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</si>
  <si>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</si>
  <si>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</si>
  <si>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</si>
  <si>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</si>
  <si>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</si>
  <si>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</si>
  <si>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</si>
  <si>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</si>
  <si>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</si>
  <si>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</si>
  <si>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</si>
  <si>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</si>
  <si>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</si>
  <si>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</si>
  <si>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</si>
  <si>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</si>
  <si>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</si>
  <si>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</si>
  <si>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</si>
  <si>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</si>
  <si>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</si>
  <si>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</si>
  <si>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</si>
  <si>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</si>
  <si>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</si>
  <si>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</si>
  <si>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</si>
  <si>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</si>
  <si>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</si>
  <si>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</si>
  <si>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</si>
  <si>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</si>
  <si>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</si>
  <si>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</si>
  <si>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</si>
  <si>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</si>
  <si>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</si>
  <si>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</si>
  <si>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</si>
  <si>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</si>
  <si>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</si>
  <si>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</si>
  <si>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</si>
  <si>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</si>
  <si>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</si>
  <si>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</si>
  <si>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</si>
  <si>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</si>
  <si>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</si>
  <si>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</si>
  <si>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</si>
  <si>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</si>
  <si>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</si>
  <si>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</si>
  <si>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</si>
  <si>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</si>
  <si>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</si>
  <si>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</si>
  <si>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</si>
  <si>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</si>
  <si>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</si>
  <si>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</si>
  <si>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</si>
  <si>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</si>
  <si>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</si>
  <si>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</si>
  <si>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</si>
  <si>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</si>
  <si>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</si>
  <si>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</si>
  <si>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</si>
  <si>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</si>
  <si>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</si>
  <si>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</si>
  <si>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</si>
  <si>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</si>
  <si>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</si>
  <si>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</si>
  <si>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</si>
  <si>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</si>
  <si>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</si>
  <si>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</si>
  <si>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</si>
  <si>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</si>
  <si>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</si>
  <si>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</si>
  <si>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</si>
  <si>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</si>
  <si>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</si>
  <si>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</si>
  <si>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</si>
  <si>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</si>
  <si>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</si>
  <si>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</si>
  <si>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</si>
  <si>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</si>
  <si>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</si>
  <si>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</si>
  <si>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</si>
  <si>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</si>
  <si>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</si>
  <si>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</si>
  <si>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</si>
  <si>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</si>
  <si>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</si>
  <si>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</si>
  <si>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</si>
  <si>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</si>
  <si>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</si>
  <si>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</si>
  <si>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</si>
  <si>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</si>
  <si>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</si>
  <si>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</si>
  <si>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</si>
  <si>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</si>
  <si>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</si>
  <si>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</si>
  <si>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</si>
  <si>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</si>
  <si>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</si>
  <si>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</si>
  <si>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</si>
  <si>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</si>
  <si>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</si>
  <si>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</si>
  <si>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</si>
  <si>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</si>
  <si>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</si>
  <si>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</si>
  <si>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</si>
  <si>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</si>
  <si>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</si>
  <si>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</si>
  <si>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</si>
  <si>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</si>
  <si>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</si>
  <si>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</si>
  <si>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</si>
  <si>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</si>
  <si>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</si>
  <si>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</si>
  <si>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</si>
  <si>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 xml:space="preserve">litigation </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</si>
  <si>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</si>
  <si>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</si>
  <si>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</si>
  <si>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</si>
  <si>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</si>
  <si>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</si>
  <si>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</si>
  <si>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</si>
  <si>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</si>
  <si>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</si>
  <si>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</si>
  <si>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</si>
  <si>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</si>
  <si>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</si>
  <si>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</si>
  <si>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</si>
  <si>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</si>
  <si>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</si>
  <si>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</si>
  <si>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</si>
  <si>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</si>
  <si>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</si>
  <si>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</si>
  <si>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</si>
  <si>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</si>
  <si>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</si>
  <si>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</si>
  <si>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</si>
  <si>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</si>
  <si>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</si>
  <si>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</si>
  <si>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</si>
  <si>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</si>
  <si>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</si>
  <si>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</si>
  <si>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</si>
  <si>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</si>
  <si>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</si>
  <si>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</si>
  <si>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</si>
  <si>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</si>
  <si>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</si>
  <si>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</si>
  <si>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</si>
  <si>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</si>
  <si>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</si>
  <si>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</si>
  <si>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</si>
  <si>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</si>
  <si>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</si>
  <si>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</si>
  <si>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</si>
  <si>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</si>
  <si>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</si>
  <si>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</si>
  <si>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</si>
  <si>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</si>
  <si>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</si>
  <si>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</si>
  <si>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</si>
  <si>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</si>
  <si>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</si>
  <si>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</si>
  <si>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</si>
  <si>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</si>
  <si>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</si>
  <si>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</si>
  <si>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</si>
  <si>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</si>
  <si>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</si>
  <si>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</si>
  <si>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</si>
  <si>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</si>
  <si>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</si>
  <si>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</si>
  <si>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</si>
  <si>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</si>
  <si>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</si>
  <si>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</si>
  <si>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</si>
  <si>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</si>
  <si>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</si>
  <si>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</si>
  <si>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</si>
  <si>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</si>
  <si>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</si>
  <si>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</si>
  <si>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</si>
  <si>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</si>
  <si>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</si>
  <si>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</si>
  <si>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</si>
  <si>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</si>
  <si>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</si>
  <si>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</si>
  <si>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</si>
  <si>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</si>
  <si>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</si>
  <si>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</si>
  <si>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</si>
  <si>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</si>
  <si>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</si>
  <si>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</si>
  <si>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</si>
  <si>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</si>
  <si>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</si>
  <si>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</si>
  <si>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</si>
  <si>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</si>
  <si>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</si>
  <si>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</si>
  <si>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</si>
  <si>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</si>
  <si>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</si>
  <si>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</si>
  <si>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</si>
  <si>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</si>
  <si>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</si>
  <si>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</si>
  <si>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</si>
  <si>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</si>
  <si>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</si>
  <si>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</si>
  <si>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</si>
  <si>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</si>
  <si>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</si>
  <si>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</si>
  <si>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</si>
  <si>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</si>
  <si>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</si>
  <si>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</si>
  <si>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</si>
  <si>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</si>
  <si>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</si>
  <si>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</si>
  <si>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</si>
  <si>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</si>
  <si>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</si>
  <si>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</si>
  <si>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</si>
  <si>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</si>
  <si>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</si>
  <si>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</si>
  <si>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</si>
  <si>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</si>
  <si>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</si>
  <si>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</si>
  <si>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</si>
  <si>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</si>
  <si>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</si>
  <si>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</si>
  <si>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</si>
  <si>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</si>
  <si>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</si>
  <si>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</si>
  <si>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</si>
  <si>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</si>
  <si>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</si>
  <si>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</si>
  <si>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</si>
  <si>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</si>
  <si>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</si>
  <si>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</si>
  <si>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</si>
  <si>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</si>
  <si>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</si>
  <si>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</si>
  <si>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</si>
  <si>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</si>
  <si>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</si>
  <si>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</si>
  <si>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</si>
  <si>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</si>
  <si>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</si>
  <si>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</si>
  <si>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</si>
  <si>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</si>
  <si>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</si>
  <si>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</si>
  <si>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</si>
  <si>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</si>
  <si>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</si>
  <si>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</si>
  <si>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</si>
  <si>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</si>
  <si>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</si>
  <si>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</si>
  <si>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</si>
  <si>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</si>
  <si>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</si>
  <si>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</si>
  <si>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</si>
  <si>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</si>
  <si>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</si>
  <si>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</si>
  <si>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</si>
  <si>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</si>
  <si>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</si>
  <si>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</si>
  <si>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</si>
  <si>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</si>
  <si>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</si>
  <si>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</si>
  <si>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</si>
  <si>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</si>
  <si>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</si>
  <si>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</si>
  <si>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</si>
  <si>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</si>
  <si>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</si>
  <si>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</si>
  <si>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</si>
  <si>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</si>
  <si>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</si>
  <si>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</si>
  <si>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 xml:space="preserve">Date </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</si>
  <si>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</si>
  <si>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</si>
  <si>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</si>
  <si>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</si>
  <si>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</si>
  <si>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</si>
  <si>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</si>
  <si>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</si>
  <si>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</si>
  <si>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</si>
  <si>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</si>
  <si>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</si>
  <si>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</si>
  <si>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</si>
  <si>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</si>
  <si>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</si>
  <si>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</si>
  <si>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</si>
  <si>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</si>
  <si>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</si>
  <si>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</si>
  <si>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</si>
  <si>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</si>
  <si>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</si>
  <si>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</si>
  <si>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</si>
  <si>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</si>
  <si>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</si>
  <si>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</si>
  <si>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</si>
  <si>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</si>
  <si>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</si>
  <si>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</si>
  <si>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</si>
  <si>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</si>
  <si>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</si>
  <si>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</si>
  <si>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</si>
  <si>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</si>
  <si>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</si>
  <si>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</si>
  <si>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</si>
  <si>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</si>
  <si>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</si>
  <si>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</si>
  <si>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</si>
  <si>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</si>
  <si>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</si>
  <si>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</si>
  <si>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</si>
  <si>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</si>
  <si>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</si>
  <si>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</si>
  <si>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</si>
  <si>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</si>
  <si>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</si>
  <si>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</si>
  <si>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</si>
  <si>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</si>
  <si>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</si>
  <si>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</si>
  <si>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</si>
  <si>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</si>
  <si>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</si>
  <si>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</si>
  <si>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</si>
  <si>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</si>
  <si>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</si>
  <si>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</si>
  <si>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</si>
  <si>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</si>
  <si>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</si>
  <si>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</si>
  <si>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</si>
  <si>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</si>
  <si>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</si>
  <si>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</si>
  <si>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</si>
  <si>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</si>
  <si>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</si>
  <si>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</si>
  <si>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</si>
  <si>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</si>
  <si>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</si>
  <si>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</si>
  <si>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</si>
  <si>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</si>
  <si>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</si>
  <si>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</si>
  <si>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</si>
  <si>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</si>
  <si>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</si>
  <si>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</si>
  <si>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</si>
  <si>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</si>
  <si>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</si>
  <si>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</si>
  <si>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</si>
  <si>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</si>
  <si>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</si>
  <si>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</si>
  <si>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</si>
  <si>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</si>
  <si>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</si>
  <si>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</si>
  <si>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</si>
  <si>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</si>
  <si>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</si>
  <si>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</si>
  <si>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</si>
  <si>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</si>
  <si>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</si>
  <si>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</si>
  <si>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</si>
  <si>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</si>
  <si>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</si>
  <si>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</si>
  <si>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</si>
  <si>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</si>
  <si>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</si>
  <si>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</si>
  <si>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</si>
  <si>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</si>
  <si>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</si>
  <si>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</si>
  <si>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</si>
  <si>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</si>
  <si>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</si>
  <si>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</si>
  <si>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</si>
  <si>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</si>
  <si>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</si>
  <si>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</si>
  <si>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</si>
  <si>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</si>
  <si>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</si>
  <si>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</si>
  <si>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</si>
  <si>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</si>
  <si>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</si>
  <si>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</si>
  <si>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</si>
  <si>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</si>
  <si>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</si>
  <si>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</si>
  <si>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</si>
  <si>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</si>
  <si>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</si>
  <si>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</si>
  <si>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</si>
  <si>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</si>
  <si>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</si>
  <si>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</si>
  <si>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</si>
  <si>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</si>
  <si>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</si>
  <si>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</si>
  <si>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</si>
  <si>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</si>
  <si>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</si>
  <si>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</si>
  <si>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</si>
  <si>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</si>
  <si>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</si>
  <si>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</si>
  <si>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</si>
  <si>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</si>
  <si>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</si>
  <si>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</si>
  <si>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</si>
  <si>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</si>
  <si>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</si>
  <si>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</si>
  <si>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</si>
  <si>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</si>
  <si>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</si>
  <si>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</si>
  <si>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</si>
  <si>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</si>
  <si>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</si>
  <si>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</si>
  <si>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</si>
  <si>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</si>
  <si>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</si>
  <si>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</si>
  <si>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</si>
  <si>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</si>
  <si>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</si>
  <si>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</si>
  <si>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</si>
  <si>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</si>
  <si>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</si>
  <si>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</si>
  <si>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</si>
  <si>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</si>
  <si>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</si>
  <si>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</si>
  <si>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</si>
  <si>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</si>
  <si>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</si>
  <si>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</si>
  <si>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</si>
  <si>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</si>
  <si>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</si>
  <si>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</si>
  <si>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</si>
  <si>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</si>
  <si>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</si>
  <si>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</si>
  <si>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</si>
  <si>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</si>
  <si>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</si>
  <si>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</si>
  <si>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</si>
  <si>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</si>
  <si>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</si>
  <si>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</si>
  <si>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</si>
  <si>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</si>
  <si>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</si>
  <si>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</si>
  <si>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</si>
  <si>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</si>
  <si>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</si>
  <si>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</si>
  <si>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</si>
  <si>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</si>
  <si>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</si>
  <si>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</si>
  <si>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</si>
  <si>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</si>
  <si>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</si>
  <si>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</si>
  <si>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</si>
  <si>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</si>
  <si>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</si>
  <si>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</si>
  <si>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</si>
  <si>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</si>
  <si>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</si>
  <si>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</si>
  <si>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</si>
  <si>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</si>
  <si>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</si>
  <si>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</si>
  <si>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</si>
  <si>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</si>
  <si>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</si>
  <si>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</si>
  <si>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</si>
  <si>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</si>
  <si>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</si>
  <si>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</si>
  <si>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</si>
  <si>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</si>
  <si>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</si>
  <si>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</si>
  <si>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</si>
  <si>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</si>
  <si>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</si>
  <si>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</si>
  <si>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</si>
  <si>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</si>
  <si>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</si>
  <si>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</si>
  <si>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</si>
  <si>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</si>
  <si>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</si>
  <si>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</si>
  <si>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</si>
  <si>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</si>
  <si>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</si>
  <si>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</si>
  <si>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</si>
  <si>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</si>
  <si>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</si>
  <si>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</si>
  <si>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</si>
  <si>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</si>
  <si>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</si>
  <si>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</si>
  <si>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</si>
  <si>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</si>
  <si>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</si>
  <si>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</si>
  <si>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</si>
  <si>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</si>
  <si>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</si>
  <si>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</si>
  <si>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</si>
  <si>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</si>
  <si>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</si>
  <si>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</si>
  <si>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</si>
  <si>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</si>
  <si>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</si>
  <si>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</si>
  <si>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</si>
  <si>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</si>
  <si>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</si>
  <si>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</si>
  <si>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</si>
  <si>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</si>
  <si>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</si>
  <si>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</si>
  <si>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</si>
  <si>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</si>
  <si>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</si>
  <si>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</si>
  <si>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</si>
  <si>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</si>
  <si>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</si>
  <si>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</si>
  <si>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</si>
  <si>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</si>
  <si>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</si>
  <si>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</si>
  <si>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</si>
  <si>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</si>
  <si>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</si>
  <si>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</si>
  <si>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</si>
  <si>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</si>
  <si>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</si>
  <si>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</si>
  <si>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</si>
  <si>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</si>
  <si>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</si>
  <si>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</si>
  <si>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</si>
  <si>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</si>
  <si>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</si>
  <si>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</si>
  <si>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</si>
  <si>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</si>
  <si>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</si>
  <si>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</si>
  <si>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</si>
  <si>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</si>
  <si>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</si>
  <si>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</si>
  <si>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</si>
  <si>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</si>
  <si>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</si>
  <si>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</si>
  <si>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</si>
  <si>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</si>
  <si>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</si>
  <si>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</si>
  <si>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</si>
  <si>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</si>
  <si>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</si>
  <si>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</si>
  <si>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</si>
  <si>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</si>
  <si>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</si>
  <si>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</si>
  <si>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</si>
  <si>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</si>
  <si>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</si>
  <si>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</si>
  <si>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</si>
  <si>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</si>
  <si>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</si>
  <si>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</si>
  <si>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</si>
  <si>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</si>
  <si>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</si>
  <si>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</si>
  <si>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</si>
  <si>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</si>
  <si>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</si>
  <si>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</si>
  <si>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</si>
  <si>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</si>
  <si>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</si>
  <si>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</si>
  <si>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</si>
  <si>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</si>
  <si>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</si>
  <si>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</si>
  <si>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</si>
  <si>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</si>
  <si>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</si>
  <si>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</si>
  <si>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</si>
  <si>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</si>
  <si>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</si>
  <si>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</si>
  <si>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</si>
  <si>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</si>
  <si>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</si>
  <si>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</si>
  <si>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</si>
  <si>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</si>
  <si>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</si>
  <si>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</si>
  <si>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</si>
  <si>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</si>
  <si>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</si>
  <si>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</si>
  <si>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</si>
  <si>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</si>
  <si>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</si>
  <si>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</si>
  <si>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</si>
  <si>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</si>
  <si>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</si>
  <si>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</si>
  <si>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</si>
  <si>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</si>
  <si>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</si>
  <si>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</si>
  <si>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</si>
  <si>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</si>
  <si>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</si>
  <si>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</si>
  <si>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</si>
  <si>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</si>
  <si>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</si>
  <si>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</si>
  <si>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</si>
  <si>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</si>
  <si>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</si>
  <si>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</si>
  <si>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</si>
  <si>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</si>
  <si>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</si>
  <si>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</si>
  <si>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</si>
  <si>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</si>
  <si>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</si>
  <si>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</si>
  <si>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</si>
  <si>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</si>
  <si>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</si>
  <si>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</si>
  <si>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</si>
  <si>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</si>
  <si>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</si>
  <si>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</si>
  <si>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</si>
  <si>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</si>
  <si>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</si>
  <si>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</si>
  <si>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</si>
  <si>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</si>
  <si>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</si>
  <si>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</si>
  <si>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</si>
  <si>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</si>
  <si>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</si>
  <si>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</si>
  <si>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</si>
  <si>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</si>
  <si>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</si>
  <si>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</si>
  <si>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</si>
  <si>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</si>
  <si>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</si>
  <si>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</si>
  <si>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</si>
  <si>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</si>
  <si>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</si>
  <si>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 xml:space="preserve">événement rattaché de la dette </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</si>
  <si>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</si>
  <si>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</si>
  <si>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</si>
  <si>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</si>
  <si>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</si>
  <si>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</si>
  <si>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</si>
  <si>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</si>
  <si>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</si>
  <si>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</si>
  <si>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</si>
  <si>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</si>
  <si>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</si>
  <si>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</si>
  <si>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</si>
  <si>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</si>
  <si>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</si>
  <si>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</si>
  <si>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</si>
  <si>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</si>
  <si>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</si>
  <si>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</si>
  <si>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</si>
  <si>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</si>
  <si>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</si>
  <si>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</si>
  <si>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</si>
  <si>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</si>
  <si>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</si>
  <si>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</si>
  <si>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</si>
  <si>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</si>
  <si>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</si>
  <si>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</si>
  <si>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</si>
  <si>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</si>
  <si>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</si>
  <si>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</si>
  <si>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</si>
  <si>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</si>
  <si>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</si>
  <si>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</si>
  <si>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</si>
  <si>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</si>
  <si>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</si>
  <si>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</si>
  <si>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</si>
  <si>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</si>
  <si>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</si>
  <si>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</si>
  <si>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</si>
  <si>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</si>
  <si>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</si>
  <si>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</si>
  <si>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</si>
  <si>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</si>
  <si>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</si>
  <si>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</si>
  <si>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</si>
  <si>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</si>
  <si>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</si>
  <si>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</si>
  <si>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</si>
  <si>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</si>
  <si>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</si>
  <si>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</si>
  <si>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</si>
  <si>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</si>
  <si>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</si>
  <si>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</si>
  <si>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</si>
  <si>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</si>
  <si>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</si>
  <si>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</si>
  <si>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</si>
  <si>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</si>
  <si>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</si>
  <si>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</si>
  <si>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</si>
  <si>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</si>
  <si>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</si>
  <si>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</si>
  <si>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</si>
  <si>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</si>
  <si>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</si>
  <si>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</si>
  <si>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</si>
  <si>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</si>
  <si>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</si>
  <si>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</si>
  <si>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</si>
  <si>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</si>
  <si>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</si>
  <si>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</si>
  <si>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</si>
  <si>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</si>
  <si>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</si>
  <si>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</si>
  <si>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</si>
  <si>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</si>
  <si>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</si>
  <si>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</si>
  <si>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</si>
  <si>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</si>
  <si>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</si>
  <si>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</si>
  <si>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</si>
  <si>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</si>
  <si>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</si>
  <si>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</si>
  <si>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</si>
  <si>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</si>
  <si>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</si>
  <si>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</si>
  <si>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</si>
  <si>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</si>
  <si>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</si>
  <si>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</si>
  <si>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</si>
  <si>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</si>
  <si>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</si>
  <si>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</si>
  <si>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</si>
  <si>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</si>
  <si>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</si>
  <si>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</si>
  <si>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</si>
  <si>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</si>
  <si>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</si>
  <si>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</si>
  <si>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</si>
  <si>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</si>
  <si>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</si>
  <si>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</si>
  <si>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</si>
  <si>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</si>
  <si>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</si>
  <si>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</si>
  <si>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</si>
  <si>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</si>
  <si>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</si>
  <si>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</si>
  <si>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</si>
  <si>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</si>
  <si>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</si>
  <si>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</si>
  <si>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</si>
  <si>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</si>
  <si>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</si>
  <si>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</si>
  <si>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</si>
  <si>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</si>
  <si>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</si>
  <si>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</si>
  <si>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</si>
  <si>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</si>
  <si>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</si>
  <si>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</si>
  <si>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</si>
  <si>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</si>
  <si>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</si>
  <si>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</si>
  <si>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</si>
  <si>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</si>
  <si>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</si>
  <si>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</si>
  <si>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</si>
  <si>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</si>
  <si>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</si>
  <si>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</si>
  <si>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</si>
  <si>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</si>
  <si>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</si>
  <si>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</si>
  <si>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</si>
  <si>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</si>
  <si>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</si>
  <si>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</si>
  <si>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</si>
  <si>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</si>
  <si>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</si>
  <si>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</si>
  <si>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</si>
  <si>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</si>
  <si>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</si>
  <si>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</si>
  <si>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</si>
  <si>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</si>
  <si>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</si>
  <si>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</si>
  <si>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</si>
  <si>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</si>
  <si>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</si>
  <si>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</si>
  <si>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</si>
  <si>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</si>
  <si>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</si>
  <si>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</si>
  <si>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</si>
  <si>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</si>
  <si>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</si>
  <si>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</si>
  <si>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</si>
  <si>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</si>
  <si>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</si>
  <si>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</si>
  <si>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</si>
  <si>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</si>
  <si>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</si>
  <si>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</si>
  <si>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</si>
  <si>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</si>
  <si>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</si>
  <si>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</si>
  <si>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</si>
  <si>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</si>
  <si>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</si>
  <si>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</si>
  <si>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</si>
  <si>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</si>
  <si>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</si>
  <si>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</si>
  <si>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</si>
  <si>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</si>
  <si>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</si>
  <si>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</si>
  <si>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</si>
  <si>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</si>
  <si>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</si>
  <si>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</si>
  <si>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</si>
  <si>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</si>
  <si>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</si>
  <si>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</si>
  <si>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</si>
  <si>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</si>
  <si>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</si>
  <si>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</si>
  <si>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</si>
  <si>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</si>
  <si>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</si>
  <si>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</si>
  <si>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</si>
  <si>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</si>
  <si>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</si>
  <si>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</si>
  <si>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</si>
  <si>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</si>
  <si>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</si>
  <si>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</si>
  <si>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</si>
  <si>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</si>
  <si>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</si>
  <si>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</si>
  <si>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</si>
  <si>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</si>
  <si>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</si>
  <si>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</si>
  <si>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</si>
  <si>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</si>
  <si>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</si>
  <si>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</si>
  <si>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</si>
  <si>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</si>
  <si>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</si>
  <si>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</si>
  <si>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</si>
  <si>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</si>
  <si>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</si>
  <si>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</si>
  <si>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</si>
  <si>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</si>
  <si>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</si>
  <si>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</si>
  <si>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</si>
  <si>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</si>
  <si>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</si>
  <si>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</si>
  <si>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</si>
  <si>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</si>
  <si>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</si>
  <si>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</si>
  <si>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</si>
  <si>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</si>
  <si>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</si>
  <si>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</si>
  <si>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</si>
  <si>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</si>
  <si>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</si>
  <si>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</si>
  <si>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</si>
  <si>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</si>
  <si>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</si>
  <si>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</si>
  <si>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</si>
  <si>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</si>
  <si>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</si>
  <si>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</si>
  <si>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</si>
  <si>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</si>
  <si>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</si>
  <si>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</si>
  <si>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</si>
  <si>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</si>
  <si>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</si>
  <si>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</si>
  <si>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</si>
  <si>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</si>
  <si>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</si>
  <si>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</si>
  <si>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</si>
  <si>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</si>
  <si>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</si>
  <si>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</si>
  <si>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</si>
  <si>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Branches</t>
  </si>
  <si>
    <t>BRC</t>
  </si>
  <si>
    <t>guichet de rattachement</t>
  </si>
  <si>
    <t>attachment branch</t>
  </si>
  <si>
    <t>ABR</t>
  </si>
  <si>
    <t>guichet tiers centralisateur</t>
  </si>
  <si>
    <t xml:space="preserve">Third Centralizer Branch </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</si>
  <si>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</si>
  <si>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</si>
  <si>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</si>
  <si>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</si>
  <si>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</si>
  <si>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</si>
  <si>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</si>
  <si>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</si>
  <si>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</si>
  <si>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</si>
  <si>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</si>
  <si>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</si>
  <si>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</si>
  <si>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</si>
  <si>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</si>
  <si>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</si>
  <si>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</si>
  <si>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</si>
  <si>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</si>
  <si>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</si>
  <si>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</si>
  <si>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</si>
  <si>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</si>
  <si>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</si>
  <si>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</si>
  <si>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</si>
  <si>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</si>
  <si>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</si>
  <si>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</si>
  <si>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</si>
  <si>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</si>
  <si>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</si>
  <si>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</si>
  <si>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</si>
  <si>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</si>
  <si>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</si>
  <si>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</si>
  <si>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</si>
  <si>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</si>
  <si>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</si>
  <si>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</si>
  <si>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</si>
  <si>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</si>
  <si>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</si>
  <si>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</si>
  <si>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</si>
  <si>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</si>
  <si>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</si>
  <si>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</si>
  <si>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</si>
  <si>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</si>
  <si>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</si>
  <si>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</si>
  <si>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</si>
  <si>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</si>
  <si>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</si>
  <si>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</si>
  <si>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</si>
  <si>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</si>
  <si>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</si>
  <si>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</si>
  <si>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</si>
  <si>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</si>
  <si>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</si>
  <si>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</si>
  <si>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</si>
  <si>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</si>
  <si>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</si>
  <si>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</si>
  <si>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</si>
  <si>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</si>
  <si>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</si>
  <si>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</si>
  <si>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</si>
  <si>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</si>
  <si>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</si>
  <si>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</si>
  <si>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</si>
  <si>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</si>
  <si>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</si>
  <si>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</si>
  <si>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</si>
  <si>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</si>
  <si>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</si>
  <si>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</si>
  <si>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</si>
  <si>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</si>
  <si>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</si>
  <si>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</si>
  <si>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</si>
  <si>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</si>
  <si>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</si>
  <si>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</si>
  <si>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</si>
  <si>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</si>
  <si>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</si>
  <si>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</si>
  <si>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</si>
  <si>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</si>
  <si>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</si>
  <si>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</si>
  <si>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</si>
  <si>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</si>
  <si>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</si>
  <si>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</si>
  <si>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</si>
  <si>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</si>
  <si>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</si>
  <si>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</si>
  <si>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</si>
  <si>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</si>
  <si>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</si>
  <si>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</si>
  <si>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</si>
  <si>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</si>
  <si>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</si>
  <si>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</si>
  <si>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</si>
  <si>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</si>
  <si>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</si>
  <si>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</si>
  <si>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</si>
  <si>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</si>
  <si>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</si>
  <si>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</si>
  <si>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</si>
  <si>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</si>
  <si>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</si>
  <si>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</si>
  <si>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</si>
  <si>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</si>
  <si>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</si>
  <si>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</si>
  <si>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</si>
  <si>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</si>
  <si>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</si>
  <si>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</si>
  <si>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</si>
  <si>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</si>
  <si>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</si>
  <si>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</si>
  <si>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</si>
  <si>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</si>
  <si>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</si>
  <si>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</si>
  <si>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</si>
  <si>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</si>
  <si>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</si>
  <si>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</si>
  <si>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</si>
  <si>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</si>
  <si>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</si>
  <si>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</si>
  <si>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</si>
  <si>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</si>
  <si>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</si>
  <si>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</si>
  <si>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</si>
  <si>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</si>
  <si>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</si>
  <si>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</si>
  <si>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</si>
  <si>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</si>
  <si>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</si>
  <si>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</si>
  <si>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</si>
  <si>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</si>
  <si>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</si>
  <si>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</si>
  <si>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</si>
  <si>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</si>
  <si>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</si>
  <si>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</si>
  <si>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</si>
  <si>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</si>
  <si>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</si>
  <si>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</si>
  <si>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</si>
  <si>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</si>
  <si>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</si>
  <si>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</si>
  <si>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</si>
  <si>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</si>
  <si>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</si>
  <si>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</si>
  <si>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</si>
  <si>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</si>
  <si>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</si>
  <si>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</si>
  <si>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</si>
  <si>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</si>
  <si>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</si>
  <si>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</si>
  <si>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</si>
  <si>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</si>
  <si>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</si>
  <si>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</si>
  <si>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</si>
  <si>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</si>
  <si>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</si>
  <si>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</si>
  <si>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</si>
  <si>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</si>
  <si>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</si>
  <si>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</si>
  <si>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</si>
  <si>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</si>
  <si>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</si>
  <si>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</si>
  <si>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</si>
  <si>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</si>
  <si>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</si>
  <si>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</si>
  <si>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</si>
  <si>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</si>
  <si>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</si>
  <si>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</si>
  <si>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</si>
  <si>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</si>
  <si>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</si>
  <si>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</si>
  <si>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</si>
  <si>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</si>
  <si>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</si>
  <si>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</si>
  <si>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</si>
  <si>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</si>
  <si>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</si>
  <si>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</si>
  <si>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</si>
  <si>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</si>
  <si>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</si>
  <si>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</si>
  <si>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</si>
  <si>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</si>
  <si>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</si>
  <si>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 xml:space="preserve">detail line   </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</si>
  <si>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</si>
  <si>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</si>
  <si>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</si>
  <si>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</si>
  <si>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</si>
  <si>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</si>
  <si>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</si>
  <si>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</si>
  <si>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</si>
  <si>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</si>
  <si>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</si>
  <si>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</si>
  <si>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</si>
  <si>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</si>
  <si>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</si>
  <si>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</si>
  <si>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</si>
  <si>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</si>
  <si>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</si>
  <si>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</si>
  <si>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</si>
  <si>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</si>
  <si>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</si>
  <si>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</si>
  <si>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</si>
  <si>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</si>
  <si>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</si>
  <si>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</si>
  <si>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</si>
  <si>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</si>
  <si>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</si>
  <si>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</si>
  <si>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</si>
  <si>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</si>
  <si>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</si>
  <si>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</si>
  <si>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</si>
  <si>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</si>
  <si>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</si>
  <si>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</si>
  <si>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email</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</si>
  <si>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</si>
  <si>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</si>
  <si>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</si>
  <si>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</si>
  <si>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</si>
  <si>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</si>
  <si>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</si>
  <si>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</si>
  <si>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</si>
  <si>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</si>
  <si>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</si>
  <si>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</si>
  <si>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</si>
  <si>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</si>
  <si>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</si>
  <si>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</si>
  <si>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</si>
  <si>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</si>
  <si>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</si>
  <si>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</si>
  <si>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</si>
  <si>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</si>
  <si>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</si>
  <si>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</si>
  <si>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</si>
  <si>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</si>
  <si>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</si>
  <si>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</si>
  <si>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</si>
  <si>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</si>
  <si>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</si>
  <si>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</si>
  <si>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</si>
  <si>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</si>
  <si>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</si>
  <si>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</si>
  <si>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</si>
  <si>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</si>
  <si>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</si>
  <si>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</si>
  <si>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</si>
  <si>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</si>
  <si>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</si>
  <si>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</si>
  <si>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</si>
  <si>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</si>
  <si>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</si>
  <si>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</si>
  <si>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</si>
  <si>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</si>
  <si>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</si>
  <si>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</si>
  <si>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</si>
  <si>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</si>
  <si>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</si>
  <si>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</si>
  <si>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</si>
  <si>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</si>
  <si>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</si>
  <si>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</si>
  <si>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</si>
  <si>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</si>
  <si>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</si>
  <si>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</si>
  <si>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</si>
  <si>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</si>
  <si>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</si>
  <si>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</si>
  <si>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</si>
  <si>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</si>
  <si>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</si>
  <si>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</si>
  <si>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</si>
  <si>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</si>
  <si>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</si>
  <si>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</si>
  <si>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</si>
  <si>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</si>
  <si>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</si>
  <si>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</si>
  <si>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</si>
  <si>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</si>
  <si>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</si>
  <si>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</si>
  <si>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</si>
  <si>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</si>
  <si>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</si>
  <si>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</si>
  <si>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</si>
  <si>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</si>
  <si>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</si>
  <si>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</si>
  <si>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</si>
  <si>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</si>
  <si>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</si>
  <si>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</si>
  <si>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</si>
  <si>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</si>
  <si>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</si>
  <si>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</si>
  <si>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</si>
  <si>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</si>
  <si>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</si>
  <si>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</si>
  <si>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</si>
  <si>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</si>
  <si>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</si>
  <si>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</si>
  <si>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</si>
  <si>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</si>
  <si>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</si>
  <si>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</si>
  <si>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</si>
  <si>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</si>
  <si>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</si>
  <si>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</si>
  <si>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</si>
  <si>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</si>
  <si>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</si>
  <si>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</si>
  <si>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</si>
  <si>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</si>
  <si>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</si>
  <si>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</si>
  <si>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</si>
  <si>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</si>
  <si>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</si>
  <si>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</si>
  <si>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</si>
  <si>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</si>
  <si>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</si>
  <si>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</si>
  <si>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</si>
  <si>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</si>
  <si>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</si>
  <si>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</si>
  <si>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</si>
  <si>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</si>
  <si>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</si>
  <si>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</si>
  <si>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</si>
  <si>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</si>
  <si>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</si>
  <si>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</si>
  <si>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</si>
  <si>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</si>
  <si>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</si>
  <si>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</si>
  <si>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</si>
  <si>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</si>
  <si>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</si>
  <si>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</si>
  <si>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</si>
  <si>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</si>
  <si>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</si>
  <si>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</si>
  <si>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</si>
  <si>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</si>
  <si>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</si>
  <si>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</si>
  <si>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</si>
  <si>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</si>
  <si>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</si>
  <si>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</si>
  <si>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</si>
  <si>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</si>
  <si>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</si>
  <si>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</si>
  <si>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</si>
  <si>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</si>
  <si>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</si>
  <si>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</si>
  <si>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</si>
  <si>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</si>
  <si>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</si>
  <si>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</si>
  <si>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</si>
  <si>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</si>
  <si>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</si>
  <si>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</si>
  <si>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</si>
  <si>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</si>
  <si>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</si>
  <si>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</si>
  <si>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</si>
  <si>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</si>
  <si>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</si>
  <si>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</si>
  <si>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</si>
  <si>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</si>
  <si>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</si>
  <si>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</si>
  <si>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</si>
  <si>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</si>
  <si>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</si>
  <si>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</si>
  <si>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</si>
  <si>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</si>
  <si>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</si>
  <si>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</si>
  <si>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</si>
  <si>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</si>
  <si>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</si>
  <si>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</si>
  <si>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</si>
  <si>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</si>
  <si>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</si>
  <si>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</si>
  <si>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</si>
  <si>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</si>
  <si>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</si>
  <si>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</si>
  <si>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</si>
  <si>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</si>
  <si>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</si>
  <si>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</si>
  <si>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</si>
  <si>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</si>
  <si>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</si>
  <si>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</si>
  <si>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</si>
  <si>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</si>
  <si>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</si>
  <si>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</si>
  <si>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</si>
  <si>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</si>
  <si>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</si>
  <si>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</si>
  <si>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</si>
  <si>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</si>
  <si>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</si>
  <si>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</si>
  <si>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</si>
  <si>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</si>
  <si>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</si>
  <si>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</si>
  <si>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</si>
  <si>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</si>
  <si>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</si>
  <si>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</si>
  <si>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</si>
  <si>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</si>
  <si>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</si>
  <si>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</si>
  <si>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</si>
  <si>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</si>
  <si>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</si>
  <si>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</si>
  <si>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</si>
  <si>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</si>
  <si>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</si>
  <si>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</si>
  <si>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</si>
  <si>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</si>
  <si>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</si>
  <si>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</si>
  <si>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</si>
  <si>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</si>
  <si>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</si>
  <si>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</si>
  <si>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</si>
  <si>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</si>
  <si>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</si>
  <si>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</si>
  <si>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</si>
  <si>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</si>
  <si>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</si>
  <si>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</si>
  <si>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</si>
  <si>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</si>
  <si>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</si>
  <si>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</si>
  <si>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</si>
  <si>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</si>
  <si>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</si>
  <si>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</si>
  <si>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</si>
  <si>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</si>
  <si>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</si>
  <si>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</si>
  <si>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</si>
  <si>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</si>
  <si>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</si>
  <si>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</si>
  <si>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</si>
  <si>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</si>
  <si>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</si>
  <si>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</si>
  <si>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</si>
  <si>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</si>
  <si>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</si>
  <si>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</si>
  <si>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</si>
  <si>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</si>
  <si>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</si>
  <si>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</si>
  <si>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</si>
  <si>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</si>
  <si>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</si>
  <si>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</si>
  <si>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</si>
  <si>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</si>
  <si>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</si>
  <si>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</si>
  <si>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</si>
  <si>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</si>
  <si>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</si>
  <si>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</si>
  <si>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</si>
  <si>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</si>
  <si>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</si>
  <si>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</si>
  <si>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</si>
  <si>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</si>
  <si>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</si>
  <si>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</si>
  <si>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</si>
  <si>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</si>
  <si>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</si>
  <si>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</si>
  <si>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</si>
  <si>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</si>
  <si>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</si>
  <si>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</si>
  <si>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</si>
  <si>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</si>
  <si>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</si>
  <si>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</si>
  <si>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</si>
  <si>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</si>
  <si>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</si>
  <si>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</si>
  <si>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</si>
  <si>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</si>
  <si>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</si>
  <si>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</si>
  <si>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</si>
  <si>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</si>
  <si>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</si>
  <si>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</si>
  <si>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</si>
  <si>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</si>
  <si>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</si>
  <si>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</si>
  <si>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</si>
  <si>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</si>
  <si>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</si>
  <si>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</si>
  <si>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</si>
  <si>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</si>
  <si>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</si>
  <si>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</si>
  <si>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</si>
  <si>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</si>
  <si>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</si>
  <si>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</si>
  <si>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</si>
  <si>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</si>
  <si>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</si>
  <si>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</si>
  <si>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</si>
  <si>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</si>
  <si>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</si>
  <si>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</si>
  <si>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</si>
  <si>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</si>
  <si>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</si>
  <si>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</si>
  <si>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</si>
  <si>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</si>
  <si>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</si>
  <si>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</si>
  <si>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</si>
  <si>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</si>
  <si>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</si>
  <si>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</si>
  <si>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</si>
  <si>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</si>
  <si>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</si>
  <si>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</si>
  <si>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</si>
  <si>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</si>
  <si>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</si>
  <si>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</si>
  <si>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</si>
  <si>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</si>
  <si>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</si>
  <si>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</si>
  <si>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</si>
  <si>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</si>
  <si>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</si>
  <si>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</si>
  <si>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</si>
  <si>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</si>
  <si>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</si>
  <si>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</si>
  <si>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</si>
  <si>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</si>
  <si>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</si>
  <si>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</si>
  <si>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</si>
  <si>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</si>
  <si>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</si>
  <si>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</si>
  <si>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</si>
  <si>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</si>
  <si>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</si>
  <si>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</si>
  <si>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</si>
  <si>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</si>
  <si>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</si>
  <si>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</si>
  <si>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</si>
  <si>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Basket</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</si>
  <si>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</si>
  <si>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</si>
  <si>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</si>
  <si>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</si>
  <si>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</si>
  <si>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</si>
  <si>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</si>
  <si>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</si>
  <si>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</si>
  <si>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</si>
  <si>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</si>
  <si>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</si>
  <si>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</si>
  <si>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</si>
  <si>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</si>
  <si>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</si>
  <si>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</si>
  <si>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</si>
  <si>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</si>
  <si>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</si>
  <si>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</si>
  <si>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</si>
  <si>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</si>
  <si>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</si>
  <si>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</si>
  <si>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</si>
  <si>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</si>
  <si>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</si>
  <si>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</si>
  <si>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</si>
  <si>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</si>
  <si>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</si>
  <si>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</si>
  <si>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</si>
  <si>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</si>
  <si>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</si>
  <si>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</si>
  <si>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</si>
  <si>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</si>
  <si>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</si>
  <si>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</si>
  <si>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</si>
  <si>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</si>
  <si>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</si>
  <si>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</si>
  <si>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</si>
  <si>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</si>
  <si>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</si>
  <si>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</si>
  <si>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</si>
  <si>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</si>
  <si>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</si>
  <si>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</si>
  <si>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</si>
  <si>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</si>
  <si>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</si>
  <si>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</si>
  <si>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</si>
  <si>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</si>
  <si>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</si>
  <si>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</si>
  <si>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</si>
  <si>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</si>
  <si>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</si>
  <si>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</si>
  <si>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</si>
  <si>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</si>
  <si>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</si>
  <si>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</si>
  <si>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</si>
  <si>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</si>
  <si>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</si>
  <si>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</si>
  <si>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</si>
  <si>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</si>
  <si>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</si>
  <si>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</si>
  <si>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</si>
  <si>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</si>
  <si>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</si>
  <si>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</si>
  <si>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</si>
  <si>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</si>
  <si>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</si>
  <si>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</si>
  <si>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</si>
  <si>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</si>
  <si>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</si>
  <si>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</si>
  <si>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</si>
  <si>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</si>
  <si>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</si>
  <si>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</si>
  <si>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</si>
  <si>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</si>
  <si>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</si>
  <si>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</si>
  <si>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</si>
  <si>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</si>
  <si>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</si>
  <si>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</si>
  <si>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</si>
  <si>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</si>
  <si>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</si>
  <si>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</si>
  <si>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</si>
  <si>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</si>
  <si>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</si>
  <si>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</si>
  <si>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</si>
  <si>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</si>
  <si>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</si>
  <si>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</si>
  <si>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</si>
  <si>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</si>
  <si>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</si>
  <si>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</si>
  <si>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</si>
  <si>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</si>
  <si>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</si>
  <si>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</si>
  <si>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</si>
  <si>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</si>
  <si>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</si>
  <si>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</si>
  <si>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</si>
  <si>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</si>
  <si>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</si>
  <si>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</si>
  <si>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</si>
  <si>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</si>
  <si>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</si>
  <si>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</si>
  <si>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</si>
  <si>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</si>
  <si>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</si>
  <si>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</si>
  <si>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</si>
  <si>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</si>
  <si>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</si>
  <si>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</si>
  <si>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</si>
  <si>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</si>
  <si>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</si>
  <si>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</si>
  <si>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</si>
  <si>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</si>
  <si>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</si>
  <si>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</si>
  <si>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</si>
  <si>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</si>
  <si>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</si>
  <si>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</si>
  <si>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</si>
  <si>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</si>
  <si>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</si>
  <si>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</si>
  <si>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</si>
  <si>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</si>
  <si>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</si>
  <si>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</si>
  <si>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</si>
  <si>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</si>
  <si>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</si>
  <si>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</si>
  <si>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</si>
  <si>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</si>
  <si>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</si>
  <si>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</si>
  <si>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</si>
  <si>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</si>
  <si>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</si>
  <si>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</si>
  <si>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</si>
  <si>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</si>
  <si>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 xml:space="preserve">poste </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</si>
  <si>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</si>
  <si>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</si>
  <si>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</si>
  <si>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</si>
  <si>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</si>
  <si>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</si>
  <si>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</si>
  <si>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</si>
  <si>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</si>
  <si>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</si>
  <si>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</si>
  <si>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</si>
  <si>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</si>
  <si>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</si>
  <si>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</si>
  <si>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</si>
  <si>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</si>
  <si>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</si>
  <si>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</si>
  <si>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</si>
  <si>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</si>
  <si>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</si>
  <si>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</si>
  <si>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</si>
  <si>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</si>
  <si>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</si>
  <si>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</si>
  <si>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</si>
  <si>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</si>
  <si>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</si>
  <si>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</si>
  <si>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</si>
  <si>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</si>
  <si>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</si>
  <si>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</si>
  <si>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</si>
  <si>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</si>
  <si>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</si>
  <si>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</si>
  <si>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</si>
  <si>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</si>
  <si>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</si>
  <si>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</si>
  <si>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</si>
  <si>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</si>
  <si>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</si>
  <si>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</si>
  <si>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</si>
  <si>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</si>
  <si>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</si>
  <si>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</si>
  <si>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</si>
  <si>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</si>
  <si>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</si>
  <si>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</si>
  <si>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</si>
  <si>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</si>
  <si>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</si>
  <si>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</si>
  <si>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</si>
  <si>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</si>
  <si>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</si>
  <si>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</si>
  <si>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</si>
  <si>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</si>
  <si>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</si>
  <si>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</si>
  <si>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</si>
  <si>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</si>
  <si>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</si>
  <si>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</si>
  <si>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</si>
  <si>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</si>
  <si>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</si>
  <si>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</si>
  <si>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</si>
  <si>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</si>
  <si>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</si>
  <si>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</si>
  <si>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</si>
  <si>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</si>
  <si>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</si>
  <si>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</si>
  <si>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</si>
  <si>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</si>
  <si>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</si>
  <si>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</si>
  <si>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</si>
  <si>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</si>
  <si>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</si>
  <si>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</si>
  <si>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</si>
  <si>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</si>
  <si>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</si>
  <si>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</si>
  <si>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</si>
  <si>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</si>
  <si>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</si>
  <si>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</si>
  <si>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</si>
  <si>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</si>
  <si>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</si>
  <si>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</si>
  <si>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</si>
  <si>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</si>
  <si>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</si>
  <si>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</si>
  <si>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</si>
  <si>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</si>
  <si>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</si>
  <si>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</si>
  <si>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</si>
  <si>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</si>
  <si>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</si>
  <si>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</si>
  <si>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</si>
  <si>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</si>
  <si>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</si>
  <si>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</si>
  <si>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</si>
  <si>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</si>
  <si>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</si>
  <si>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</si>
  <si>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</si>
  <si>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</si>
  <si>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</si>
  <si>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</si>
  <si>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</si>
  <si>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</si>
  <si>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</si>
  <si>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</si>
  <si>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</si>
  <si>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</si>
  <si>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</si>
  <si>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</si>
  <si>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</si>
  <si>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</si>
  <si>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</si>
  <si>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</si>
  <si>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</si>
  <si>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</si>
  <si>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</si>
  <si>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</si>
  <si>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</si>
  <si>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</si>
  <si>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</si>
  <si>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</si>
  <si>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</si>
  <si>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</si>
  <si>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</si>
  <si>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</si>
  <si>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</si>
  <si>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</si>
  <si>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</si>
  <si>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</si>
  <si>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</si>
  <si>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</si>
  <si>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</si>
  <si>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</si>
  <si>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</si>
  <si>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</si>
  <si>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</si>
  <si>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</si>
  <si>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</si>
  <si>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</si>
  <si>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</si>
  <si>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</si>
  <si>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</si>
  <si>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</si>
  <si>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</si>
  <si>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</si>
  <si>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</si>
  <si>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</si>
  <si>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</si>
  <si>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</si>
  <si>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</si>
  <si>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</si>
  <si>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</si>
  <si>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</si>
  <si>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</si>
  <si>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</si>
  <si>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</si>
  <si>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</si>
  <si>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</si>
  <si>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</si>
  <si>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</si>
  <si>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</si>
  <si>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</si>
  <si>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</si>
  <si>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</si>
  <si>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</si>
  <si>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</si>
  <si>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</si>
  <si>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</si>
  <si>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</si>
  <si>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</si>
  <si>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</si>
  <si>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</si>
  <si>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</si>
  <si>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</si>
  <si>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</si>
  <si>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</si>
  <si>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</si>
  <si>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</si>
  <si>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</si>
  <si>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</si>
  <si>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</si>
  <si>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</si>
  <si>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</si>
  <si>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</si>
  <si>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</si>
  <si>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</si>
  <si>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</si>
  <si>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</si>
  <si>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</si>
  <si>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</si>
  <si>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</si>
  <si>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</si>
  <si>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</si>
  <si>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</si>
  <si>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</si>
  <si>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</si>
  <si>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</si>
  <si>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</si>
  <si>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</si>
  <si>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</si>
  <si>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</si>
  <si>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</si>
  <si>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</si>
  <si>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</si>
  <si>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</si>
  <si>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</si>
  <si>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</si>
  <si>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</si>
  <si>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</si>
  <si>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</si>
  <si>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</si>
  <si>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</si>
  <si>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</si>
  <si>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</si>
  <si>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</si>
  <si>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</si>
  <si>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</si>
  <si>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</si>
  <si>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</si>
  <si>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</si>
  <si>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</si>
  <si>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</si>
  <si>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</si>
  <si>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</si>
  <si>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</si>
  <si>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</si>
  <si>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</si>
  <si>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</si>
  <si>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</si>
  <si>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</si>
  <si>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</si>
  <si>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</si>
  <si>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</si>
  <si>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</si>
  <si>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</si>
  <si>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</si>
  <si>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</si>
  <si>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</si>
  <si>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</si>
  <si>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</si>
  <si>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</si>
  <si>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</si>
  <si>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</si>
  <si>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</si>
  <si>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</si>
  <si>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</si>
  <si>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</si>
  <si>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</si>
  <si>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</si>
  <si>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 xml:space="preserve">recouvrement </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</si>
  <si>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</si>
  <si>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</si>
  <si>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</si>
  <si>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</si>
  <si>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</si>
  <si>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</si>
  <si>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</si>
  <si>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</si>
  <si>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</si>
  <si>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</si>
  <si>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</si>
  <si>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</si>
  <si>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</si>
  <si>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</si>
  <si>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</si>
  <si>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</si>
  <si>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</si>
  <si>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</si>
  <si>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</si>
  <si>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</si>
  <si>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</si>
  <si>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</si>
  <si>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</si>
  <si>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</si>
  <si>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</si>
  <si>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</si>
  <si>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</si>
  <si>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</si>
  <si>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</si>
  <si>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</si>
  <si>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</si>
  <si>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</si>
  <si>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</si>
  <si>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</si>
  <si>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</si>
  <si>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</si>
  <si>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</si>
  <si>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</si>
  <si>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</si>
  <si>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</si>
  <si>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</si>
  <si>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</si>
  <si>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</si>
  <si>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</si>
  <si>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</si>
  <si>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</si>
  <si>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</si>
  <si>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</si>
  <si>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</si>
  <si>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</si>
  <si>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</si>
  <si>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</si>
  <si>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</si>
  <si>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</si>
  <si>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</si>
  <si>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</si>
  <si>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</si>
  <si>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</si>
  <si>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</si>
  <si>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</si>
  <si>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</si>
  <si>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 xml:space="preserve">fiscal base regime </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</si>
  <si>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</si>
  <si>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</si>
  <si>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</si>
  <si>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</si>
  <si>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</si>
  <si>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</si>
  <si>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</si>
  <si>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</si>
  <si>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</si>
  <si>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</si>
  <si>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</si>
  <si>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</si>
  <si>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</si>
  <si>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</si>
  <si>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</si>
  <si>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</si>
  <si>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</si>
  <si>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</si>
  <si>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</si>
  <si>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</si>
  <si>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</si>
  <si>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</si>
  <si>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</si>
  <si>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</si>
  <si>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</si>
  <si>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</si>
  <si>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</si>
  <si>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</si>
  <si>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</si>
  <si>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</si>
  <si>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</si>
  <si>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</si>
  <si>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</si>
  <si>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</si>
  <si>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</si>
  <si>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</si>
  <si>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</si>
  <si>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</si>
  <si>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</si>
  <si>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</si>
  <si>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</si>
  <si>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</si>
  <si>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</si>
  <si>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</si>
  <si>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</si>
  <si>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</si>
  <si>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</si>
  <si>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</si>
  <si>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</si>
  <si>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</si>
  <si>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</si>
  <si>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</si>
  <si>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</si>
  <si>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</si>
  <si>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</si>
  <si>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</si>
  <si>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</si>
  <si>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</si>
  <si>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</si>
  <si>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</si>
  <si>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</si>
  <si>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</si>
  <si>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</si>
  <si>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</si>
  <si>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</si>
  <si>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</si>
  <si>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</si>
  <si>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</si>
  <si>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</si>
  <si>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</si>
  <si>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</si>
  <si>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</si>
  <si>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</si>
  <si>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</si>
  <si>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</si>
  <si>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</si>
  <si>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</si>
  <si>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</si>
  <si>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</si>
  <si>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</si>
  <si>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</si>
  <si>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</si>
  <si>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</si>
  <si>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</si>
  <si>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</si>
  <si>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</si>
  <si>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</si>
  <si>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</si>
  <si>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</si>
  <si>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</si>
  <si>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</si>
  <si>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</si>
  <si>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</si>
  <si>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</si>
  <si>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</si>
  <si>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</si>
  <si>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</si>
  <si>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</si>
  <si>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</si>
  <si>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</si>
  <si>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</si>
  <si>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</si>
  <si>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</si>
  <si>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</si>
  <si>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</si>
  <si>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</si>
  <si>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</si>
  <si>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</si>
  <si>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</si>
  <si>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</si>
  <si>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</si>
  <si>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</si>
  <si>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</si>
  <si>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</si>
  <si>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</si>
  <si>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</si>
  <si>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</si>
  <si>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</si>
  <si>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</si>
  <si>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</si>
  <si>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</si>
  <si>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</si>
  <si>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</si>
  <si>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</si>
  <si>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</si>
  <si>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</si>
  <si>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</si>
  <si>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</si>
  <si>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</si>
  <si>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</si>
  <si>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</si>
  <si>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</si>
  <si>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</si>
  <si>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</si>
  <si>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</si>
  <si>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</si>
  <si>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</si>
  <si>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</si>
  <si>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</si>
  <si>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</si>
  <si>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</si>
  <si>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</si>
  <si>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</si>
  <si>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</si>
  <si>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</si>
  <si>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</si>
  <si>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</si>
  <si>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</si>
  <si>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</si>
  <si>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</si>
  <si>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</si>
  <si>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</si>
  <si>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</si>
  <si>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</si>
  <si>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</si>
  <si>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</si>
  <si>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</si>
  <si>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</si>
  <si>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</si>
  <si>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</si>
  <si>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</si>
  <si>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</si>
  <si>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</si>
  <si>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</si>
  <si>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</si>
  <si>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</si>
  <si>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</si>
  <si>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</si>
  <si>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</si>
  <si>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</si>
  <si>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</si>
  <si>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</si>
  <si>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</si>
  <si>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</si>
  <si>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</si>
  <si>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</si>
  <si>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</si>
  <si>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</si>
  <si>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</si>
  <si>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</si>
  <si>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</si>
  <si>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</si>
  <si>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</si>
  <si>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</si>
  <si>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</si>
  <si>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</si>
  <si>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</si>
  <si>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</si>
  <si>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</si>
  <si>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</si>
  <si>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</si>
  <si>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</si>
  <si>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</si>
  <si>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</si>
  <si>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</si>
  <si>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</si>
  <si>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</si>
  <si>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</si>
  <si>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</si>
  <si>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</si>
  <si>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</si>
  <si>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</si>
  <si>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</si>
  <si>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</si>
  <si>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</si>
  <si>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</si>
  <si>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</si>
  <si>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</si>
  <si>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</si>
  <si>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</si>
  <si>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</si>
  <si>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</si>
  <si>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</si>
  <si>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</si>
  <si>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</si>
  <si>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</si>
  <si>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</si>
  <si>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</si>
  <si>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</si>
  <si>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</si>
  <si>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</si>
  <si>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</si>
  <si>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</si>
  <si>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</si>
  <si>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</si>
  <si>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</si>
  <si>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</si>
  <si>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</si>
  <si>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 xml:space="preserve">risk   </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</si>
  <si>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</si>
  <si>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</si>
  <si>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</si>
  <si>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</si>
  <si>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</si>
  <si>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</si>
  <si>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</si>
  <si>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</si>
  <si>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</si>
  <si>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</si>
  <si>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</si>
  <si>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</si>
  <si>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</si>
  <si>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</si>
  <si>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</si>
  <si>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</si>
  <si>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</si>
  <si>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</si>
  <si>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</si>
  <si>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</si>
  <si>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</si>
  <si>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</si>
  <si>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</si>
  <si>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</si>
  <si>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</si>
  <si>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</si>
  <si>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</si>
  <si>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</si>
  <si>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</si>
  <si>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</si>
  <si>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</si>
  <si>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</si>
  <si>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</si>
  <si>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</si>
  <si>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</si>
  <si>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</si>
  <si>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</si>
  <si>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</si>
  <si>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</si>
  <si>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</si>
  <si>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rubrique</t>
  </si>
  <si>
    <t>rubric</t>
  </si>
  <si>
    <t>RBC</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</si>
  <si>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</si>
  <si>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</si>
  <si>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</si>
  <si>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</si>
  <si>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</si>
  <si>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</si>
  <si>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</si>
  <si>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</si>
  <si>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</si>
  <si>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</si>
  <si>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</si>
  <si>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</si>
  <si>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</si>
  <si>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</si>
  <si>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</si>
  <si>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</si>
  <si>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</si>
  <si>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</si>
  <si>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</si>
  <si>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</si>
  <si>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</si>
  <si>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</si>
  <si>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</si>
  <si>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</si>
  <si>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</si>
  <si>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</si>
  <si>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</si>
  <si>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</si>
  <si>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</si>
  <si>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</si>
  <si>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</si>
  <si>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</si>
  <si>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</si>
  <si>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</si>
  <si>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</si>
  <si>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</si>
  <si>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</si>
  <si>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</si>
  <si>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</si>
  <si>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</si>
  <si>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</si>
  <si>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</si>
  <si>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</si>
  <si>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</si>
  <si>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</si>
  <si>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</si>
  <si>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</si>
  <si>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</si>
  <si>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</si>
  <si>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</si>
  <si>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</si>
  <si>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</si>
  <si>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</si>
  <si>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</si>
  <si>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</si>
  <si>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</si>
  <si>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</si>
  <si>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</si>
  <si>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</si>
  <si>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</si>
  <si>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</si>
  <si>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</si>
  <si>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</si>
  <si>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</si>
  <si>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</si>
  <si>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</si>
  <si>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</si>
  <si>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</si>
  <si>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</si>
  <si>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</si>
  <si>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</si>
  <si>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</si>
  <si>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</si>
  <si>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</si>
  <si>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</si>
  <si>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</si>
  <si>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</si>
  <si>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</si>
  <si>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</si>
  <si>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</si>
  <si>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</si>
  <si>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</si>
  <si>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</si>
  <si>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</si>
  <si>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</si>
  <si>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</si>
  <si>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</si>
  <si>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</si>
  <si>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</si>
  <si>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</si>
  <si>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</si>
  <si>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</si>
  <si>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</si>
  <si>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</si>
  <si>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</si>
  <si>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</si>
  <si>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</si>
  <si>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</si>
  <si>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</si>
  <si>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</si>
  <si>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</si>
  <si>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</si>
  <si>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</si>
  <si>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</si>
  <si>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</si>
  <si>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</si>
  <si>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</si>
  <si>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</si>
  <si>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</si>
  <si>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</si>
  <si>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</si>
  <si>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</si>
  <si>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</si>
  <si>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</si>
  <si>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</si>
  <si>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</si>
  <si>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</si>
  <si>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</si>
  <si>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</si>
  <si>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</si>
  <si>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</si>
  <si>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</si>
  <si>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</si>
  <si>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</si>
  <si>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</si>
  <si>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</si>
  <si>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</si>
  <si>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</si>
  <si>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</si>
  <si>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</si>
  <si>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</si>
  <si>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</si>
  <si>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</si>
  <si>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</si>
  <si>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</si>
  <si>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</si>
  <si>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</si>
  <si>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</si>
  <si>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</si>
  <si>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</si>
  <si>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</si>
  <si>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</si>
  <si>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</si>
  <si>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</si>
  <si>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</si>
  <si>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</si>
  <si>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</si>
  <si>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</si>
  <si>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</si>
  <si>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</si>
  <si>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</si>
  <si>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</si>
  <si>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</si>
  <si>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</si>
  <si>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</si>
  <si>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</si>
  <si>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</si>
  <si>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</si>
  <si>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</si>
  <si>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</si>
  <si>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</si>
  <si>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</si>
  <si>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</si>
  <si>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</si>
  <si>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</si>
  <si>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</si>
  <si>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</si>
  <si>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</si>
  <si>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</si>
  <si>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</si>
  <si>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</si>
  <si>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</si>
  <si>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</si>
  <si>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</si>
  <si>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</si>
  <si>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</si>
  <si>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</si>
  <si>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</si>
  <si>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</si>
  <si>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</si>
  <si>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</si>
  <si>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</si>
  <si>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</si>
  <si>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</si>
  <si>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</si>
  <si>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</si>
  <si>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</si>
  <si>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</si>
  <si>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</si>
  <si>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</si>
  <si>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</si>
  <si>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</si>
  <si>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</si>
  <si>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</si>
  <si>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</si>
  <si>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</si>
  <si>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</si>
  <si>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</si>
  <si>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</si>
  <si>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</si>
  <si>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</si>
  <si>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</si>
  <si>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</si>
  <si>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</si>
  <si>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</si>
  <si>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</si>
  <si>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</si>
  <si>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</si>
  <si>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</si>
  <si>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</si>
  <si>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</si>
  <si>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</si>
  <si>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</si>
  <si>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</si>
  <si>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</si>
  <si>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</si>
  <si>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</si>
  <si>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</si>
  <si>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</si>
  <si>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</si>
  <si>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</si>
  <si>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</si>
  <si>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</si>
  <si>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</si>
  <si>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</si>
  <si>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</si>
  <si>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</si>
  <si>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</si>
  <si>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</si>
  <si>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</si>
  <si>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</si>
  <si>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</si>
  <si>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</si>
  <si>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</si>
  <si>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</si>
  <si>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</si>
  <si>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</si>
  <si>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</si>
  <si>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</si>
  <si>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</si>
  <si>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</si>
  <si>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</si>
  <si>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</si>
  <si>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</si>
  <si>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</si>
  <si>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</si>
  <si>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</si>
  <si>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</si>
  <si>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</si>
  <si>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</si>
  <si>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</si>
  <si>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</si>
  <si>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</si>
  <si>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</si>
  <si>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</si>
  <si>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</si>
  <si>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</si>
  <si>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</si>
  <si>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</si>
  <si>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</si>
  <si>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</si>
  <si>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</si>
  <si>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</si>
  <si>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</si>
  <si>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</si>
  <si>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</si>
  <si>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</si>
  <si>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</si>
  <si>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</si>
  <si>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</si>
  <si>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</si>
  <si>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</si>
  <si>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</si>
  <si>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</si>
  <si>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</si>
  <si>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</si>
  <si>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</si>
  <si>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</si>
  <si>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</si>
  <si>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</si>
  <si>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</si>
  <si>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</si>
  <si>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</si>
  <si>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</si>
  <si>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</si>
  <si>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</si>
  <si>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</si>
  <si>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</si>
  <si>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</si>
  <si>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</si>
  <si>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</si>
  <si>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</si>
  <si>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</si>
  <si>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</si>
  <si>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</si>
  <si>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</si>
  <si>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</si>
  <si>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</si>
  <si>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</si>
  <si>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</si>
  <si>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</si>
  <si>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</si>
  <si>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</si>
  <si>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</si>
  <si>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</si>
  <si>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</si>
  <si>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</si>
  <si>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</si>
  <si>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</si>
  <si>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</si>
  <si>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</si>
  <si>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</si>
  <si>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</si>
  <si>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</si>
  <si>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</si>
  <si>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</si>
  <si>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</si>
  <si>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</si>
  <si>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</si>
  <si>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</si>
  <si>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</si>
  <si>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</si>
  <si>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</si>
  <si>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</si>
  <si>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</si>
  <si>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</si>
  <si>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</si>
  <si>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</si>
  <si>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</si>
  <si>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</si>
  <si>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</si>
  <si>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</si>
  <si>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</si>
  <si>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</si>
  <si>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</si>
  <si>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</si>
  <si>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</si>
  <si>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</si>
  <si>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</si>
  <si>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</si>
  <si>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</si>
  <si>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</si>
  <si>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</si>
  <si>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</si>
  <si>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</si>
  <si>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</si>
  <si>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</si>
  <si>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</si>
  <si>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</si>
  <si>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</si>
  <si>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</si>
  <si>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</si>
  <si>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</si>
  <si>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</si>
  <si>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</si>
  <si>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</si>
  <si>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</si>
  <si>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</si>
  <si>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</si>
  <si>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</si>
  <si>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</si>
  <si>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</si>
  <si>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</si>
  <si>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</si>
  <si>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</si>
  <si>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</si>
  <si>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</si>
  <si>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</si>
  <si>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</si>
  <si>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</si>
  <si>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</si>
  <si>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</si>
  <si>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</si>
  <si>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</si>
  <si>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</si>
  <si>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</si>
  <si>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</si>
  <si>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</si>
  <si>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</si>
  <si>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 xml:space="preserve">tête de pont </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</si>
  <si>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</si>
  <si>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</si>
  <si>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</si>
  <si>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</si>
  <si>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</si>
  <si>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</si>
  <si>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</si>
  <si>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</si>
  <si>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</si>
  <si>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</si>
  <si>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</si>
  <si>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</si>
  <si>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</si>
  <si>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</si>
  <si>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</si>
  <si>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</si>
  <si>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</si>
  <si>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</si>
  <si>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</si>
  <si>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</si>
  <si>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</si>
  <si>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</si>
  <si>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</si>
  <si>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</si>
  <si>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</si>
  <si>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</si>
  <si>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</si>
  <si>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</si>
  <si>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</si>
  <si>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</si>
  <si>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</si>
  <si>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</si>
  <si>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</si>
  <si>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</si>
  <si>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</si>
  <si>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</si>
  <si>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</si>
  <si>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</si>
  <si>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</si>
  <si>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</si>
  <si>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</si>
  <si>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</si>
  <si>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</si>
  <si>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</si>
  <si>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</si>
  <si>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</si>
  <si>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</si>
  <si>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</si>
  <si>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</si>
  <si>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</si>
  <si>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</si>
  <si>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</si>
  <si>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</si>
  <si>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</si>
  <si>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</si>
  <si>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</si>
  <si>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</si>
  <si>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</si>
  <si>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</si>
  <si>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</si>
  <si>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</si>
  <si>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</si>
  <si>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</si>
  <si>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</si>
  <si>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</si>
  <si>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</si>
  <si>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</si>
  <si>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</si>
  <si>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</si>
  <si>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</si>
  <si>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</si>
  <si>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</si>
  <si>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</si>
  <si>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</si>
  <si>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</si>
  <si>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</si>
  <si>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</si>
  <si>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</si>
  <si>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</si>
  <si>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</si>
  <si>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</si>
  <si>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</si>
  <si>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</si>
  <si>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</si>
  <si>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</si>
  <si>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</si>
  <si>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</si>
  <si>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</si>
  <si>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</si>
  <si>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</si>
  <si>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</si>
  <si>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</si>
  <si>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</si>
  <si>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</si>
  <si>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</si>
  <si>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</si>
  <si>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</si>
  <si>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</si>
  <si>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</si>
  <si>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</si>
  <si>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</si>
  <si>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</si>
  <si>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</si>
  <si>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</si>
  <si>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</si>
  <si>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</si>
  <si>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</si>
  <si>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</si>
  <si>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</si>
  <si>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</si>
  <si>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</si>
  <si>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</si>
  <si>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</si>
  <si>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</si>
  <si>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</si>
  <si>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</si>
  <si>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</si>
  <si>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</si>
  <si>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</si>
  <si>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</si>
  <si>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</si>
  <si>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</si>
  <si>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</si>
  <si>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</si>
  <si>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</si>
  <si>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</si>
  <si>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</si>
  <si>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</si>
  <si>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</si>
  <si>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</si>
  <si>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</si>
  <si>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</si>
  <si>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</si>
  <si>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</si>
  <si>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</si>
  <si>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</si>
  <si>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</si>
  <si>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</si>
  <si>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</si>
  <si>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</si>
  <si>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</si>
  <si>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</si>
  <si>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</si>
  <si>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</si>
  <si>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</si>
  <si>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</si>
  <si>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</si>
  <si>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</si>
  <si>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</si>
  <si>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</si>
  <si>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</si>
  <si>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</si>
  <si>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</si>
  <si>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</si>
  <si>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</si>
  <si>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</si>
  <si>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</si>
  <si>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</si>
  <si>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</si>
  <si>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</si>
  <si>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</si>
  <si>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</si>
  <si>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</si>
  <si>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</si>
  <si>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</si>
  <si>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</si>
  <si>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</si>
  <si>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</si>
  <si>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</si>
  <si>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</si>
  <si>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</si>
  <si>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</si>
  <si>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</si>
  <si>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</si>
  <si>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</si>
  <si>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</si>
  <si>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</si>
  <si>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</si>
  <si>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</si>
  <si>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</si>
  <si>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</si>
  <si>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</si>
  <si>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</si>
  <si>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</si>
  <si>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</si>
  <si>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</si>
  <si>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</si>
  <si>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</si>
  <si>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</si>
  <si>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</si>
  <si>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</si>
  <si>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</si>
  <si>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</si>
  <si>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</si>
  <si>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</si>
  <si>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</si>
  <si>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</si>
  <si>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</si>
  <si>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</si>
  <si>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</si>
  <si>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</si>
  <si>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</si>
  <si>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</si>
  <si>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</si>
  <si>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</si>
  <si>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</si>
  <si>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</si>
  <si>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</si>
  <si>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</si>
  <si>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</si>
  <si>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</si>
  <si>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</si>
  <si>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</si>
  <si>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</si>
  <si>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</si>
  <si>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</si>
  <si>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</si>
  <si>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</si>
  <si>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</si>
  <si>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</si>
  <si>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</si>
  <si>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</si>
  <si>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</si>
  <si>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</si>
  <si>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</si>
  <si>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</si>
  <si>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</si>
  <si>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</si>
  <si>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</si>
  <si>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</si>
  <si>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</si>
  <si>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</si>
  <si>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</si>
  <si>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</si>
  <si>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</si>
  <si>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</si>
  <si>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</si>
  <si>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</si>
  <si>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</si>
  <si>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</si>
  <si>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</si>
  <si>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</si>
  <si>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</si>
  <si>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</si>
  <si>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</si>
  <si>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</si>
  <si>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</si>
  <si>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</si>
  <si>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</si>
  <si>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</si>
  <si>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</si>
  <si>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 xml:space="preserve">control variable </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</si>
  <si>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</si>
  <si>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</si>
  <si>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</si>
  <si>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</si>
  <si>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</si>
  <si>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</si>
  <si>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</si>
  <si>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</si>
  <si>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</si>
  <si>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</si>
  <si>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</si>
  <si>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</si>
  <si>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</si>
  <si>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</si>
  <si>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</si>
  <si>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</si>
  <si>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</si>
  <si>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</si>
  <si>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</si>
  <si>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</si>
  <si>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</si>
  <si>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</si>
  <si>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</si>
  <si>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</si>
  <si>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</si>
  <si>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</si>
  <si>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</si>
  <si>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</si>
  <si>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</si>
  <si>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</si>
  <si>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</si>
  <si>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</si>
  <si>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</si>
  <si>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</si>
  <si>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</si>
  <si>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</si>
  <si>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</si>
  <si>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</si>
  <si>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</si>
  <si>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</si>
  <si>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</si>
  <si>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</si>
  <si>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</si>
  <si>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</si>
  <si>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</si>
  <si>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</si>
  <si>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</si>
  <si>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</si>
  <si>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</si>
  <si>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</si>
  <si>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</si>
  <si>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</si>
  <si>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</si>
  <si>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</si>
  <si>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</si>
  <si>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</si>
  <si>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</si>
  <si>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</si>
  <si>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</si>
  <si>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</si>
  <si>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</si>
  <si>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</si>
  <si>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</si>
  <si>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</si>
  <si>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</si>
  <si>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</si>
  <si>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</si>
  <si>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</si>
  <si>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</si>
  <si>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</si>
  <si>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</si>
  <si>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</si>
  <si>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</si>
  <si>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</si>
  <si>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</si>
  <si>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</si>
  <si>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</si>
  <si>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</si>
  <si>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</si>
  <si>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</si>
  <si>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</si>
  <si>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</si>
  <si>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</si>
  <si>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</si>
  <si>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</si>
  <si>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</si>
  <si>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</si>
  <si>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</si>
  <si>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</si>
  <si>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</si>
  <si>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</si>
  <si>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</si>
  <si>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</si>
  <si>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</si>
  <si>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</si>
  <si>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</si>
  <si>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</si>
  <si>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</si>
  <si>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</si>
  <si>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</si>
  <si>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</si>
  <si>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</si>
  <si>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</si>
  <si>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</si>
  <si>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</si>
  <si>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</si>
  <si>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</si>
  <si>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</si>
  <si>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</si>
  <si>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</si>
  <si>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</si>
  <si>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</si>
  <si>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</si>
  <si>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</si>
  <si>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</si>
  <si>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</si>
  <si>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</si>
  <si>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</si>
  <si>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</si>
  <si>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</si>
  <si>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</si>
  <si>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</si>
  <si>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</si>
  <si>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</si>
  <si>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</si>
  <si>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</si>
  <si>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</si>
  <si>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</si>
  <si>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</si>
  <si>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</si>
  <si>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</si>
  <si>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</si>
  <si>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</si>
  <si>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</si>
  <si>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</si>
  <si>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</si>
  <si>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</si>
  <si>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</si>
  <si>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</si>
  <si>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</si>
  <si>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</si>
  <si>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</si>
  <si>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</si>
  <si>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</si>
  <si>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</si>
  <si>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</si>
  <si>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</si>
  <si>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</si>
  <si>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</si>
  <si>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</si>
  <si>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</si>
  <si>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</si>
  <si>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</si>
  <si>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</si>
  <si>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</si>
  <si>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</si>
  <si>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</si>
  <si>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</si>
  <si>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</si>
  <si>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</si>
  <si>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ACO</t>
  </si>
  <si>
    <t>corresponding</t>
  </si>
  <si>
    <t>INSCOR</t>
  </si>
  <si>
    <t>Courtier</t>
  </si>
  <si>
    <t>ECO</t>
  </si>
  <si>
    <t>IBIE</t>
  </si>
  <si>
    <t>INSBRK</t>
  </si>
  <si>
    <t>Datamart Contrat</t>
  </si>
  <si>
    <t>DCT</t>
  </si>
  <si>
    <t>IBID</t>
  </si>
  <si>
    <t>contract datamart</t>
  </si>
  <si>
    <t>Déclaratif réglementaire Belgique</t>
  </si>
  <si>
    <t>OBR</t>
  </si>
  <si>
    <t xml:space="preserve">Belgian regulatory report </t>
  </si>
  <si>
    <t>BELRGLRPT</t>
  </si>
  <si>
    <t>Dettes</t>
  </si>
  <si>
    <t>SDE</t>
  </si>
  <si>
    <t>Debts</t>
  </si>
  <si>
    <t>INSDET</t>
  </si>
  <si>
    <t>Données assurances pour la Banque</t>
  </si>
  <si>
    <t>BDA</t>
  </si>
  <si>
    <t>IBIB</t>
  </si>
  <si>
    <t>Bank insurance data</t>
  </si>
  <si>
    <t>BNKINSDTA</t>
  </si>
  <si>
    <t>FDS</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</si>
  <si>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</si>
  <si>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</si>
  <si>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</si>
  <si>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</si>
  <si>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</si>
  <si>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</si>
  <si>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</si>
  <si>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</si>
  <si>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</si>
  <si>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</si>
  <si>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</si>
  <si>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</si>
  <si>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</si>
  <si>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</si>
  <si>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</si>
  <si>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</si>
  <si>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</si>
  <si>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</si>
  <si>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</si>
  <si>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</si>
  <si>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</si>
  <si>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</si>
  <si>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</si>
  <si>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</si>
  <si>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</si>
  <si>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</si>
  <si>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</si>
  <si>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</si>
  <si>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</si>
  <si>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</si>
  <si>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</si>
  <si>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</si>
  <si>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</si>
  <si>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</si>
  <si>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</si>
  <si>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</si>
  <si>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</si>
  <si>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</si>
  <si>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</si>
  <si>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</si>
  <si>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</si>
  <si>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</si>
  <si>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</si>
  <si>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</si>
  <si>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</si>
  <si>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</si>
  <si>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</si>
  <si>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</si>
  <si>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</si>
  <si>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</si>
  <si>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</si>
  <si>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</si>
  <si>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</si>
  <si>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</si>
  <si>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</si>
  <si>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FPR</t>
  </si>
  <si>
    <t>premiums</t>
  </si>
  <si>
    <t>PUMWRN</t>
  </si>
  <si>
    <t>RPR</t>
  </si>
  <si>
    <t>product</t>
  </si>
  <si>
    <t>Provisions sinistres</t>
  </si>
  <si>
    <t>SPV</t>
  </si>
  <si>
    <t>Claim provisions</t>
  </si>
  <si>
    <t>CIMPVN</t>
  </si>
  <si>
    <t>Purges</t>
  </si>
  <si>
    <t>TPU</t>
  </si>
  <si>
    <t>purges</t>
  </si>
  <si>
    <t>DTAPUG</t>
  </si>
  <si>
    <t>Qualification des contacts assurance</t>
  </si>
  <si>
    <t>MCQ</t>
  </si>
  <si>
    <t xml:space="preserve">Insurance contact qualification </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</si>
  <si>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</si>
  <si>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</si>
  <si>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</si>
  <si>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</si>
  <si>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</si>
  <si>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</si>
  <si>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</si>
  <si>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</si>
  <si>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</si>
  <si>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</si>
  <si>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</si>
  <si>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</si>
  <si>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</si>
  <si>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</si>
  <si>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</si>
  <si>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</si>
  <si>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</si>
  <si>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</si>
  <si>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</si>
  <si>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</si>
  <si>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</si>
  <si>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</si>
  <si>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</si>
  <si>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</si>
  <si>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</si>
  <si>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</si>
  <si>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</si>
  <si>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</si>
  <si>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</si>
  <si>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</si>
  <si>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</si>
  <si>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</si>
  <si>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</si>
  <si>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</si>
  <si>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</si>
  <si>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</si>
  <si>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</si>
  <si>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</si>
  <si>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</si>
  <si>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</si>
  <si>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</si>
  <si>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</si>
  <si>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</si>
  <si>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</si>
  <si>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</si>
  <si>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</si>
  <si>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</si>
  <si>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</si>
  <si>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</si>
  <si>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</si>
  <si>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</si>
  <si>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 xml:space="preserve">Theorical rate of insurance Banking and Finance Commission </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</si>
  <si>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</si>
  <si>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</si>
  <si>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</si>
  <si>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</si>
  <si>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</si>
  <si>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</si>
  <si>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</si>
  <si>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</si>
  <si>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</si>
  <si>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</si>
  <si>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</si>
  <si>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</si>
  <si>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</si>
  <si>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</si>
  <si>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</si>
  <si>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</si>
  <si>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</si>
  <si>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</si>
  <si>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</si>
  <si>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</si>
  <si>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</si>
  <si>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</si>
  <si>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</si>
  <si>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</si>
  <si>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</si>
  <si>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</si>
  <si>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</si>
  <si>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</si>
  <si>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</si>
  <si>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</si>
  <si>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</si>
  <si>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</si>
  <si>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</si>
  <si>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</si>
  <si>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</si>
  <si>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</si>
  <si>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</si>
  <si>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</si>
  <si>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</si>
  <si>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</si>
  <si>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</si>
  <si>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</si>
  <si>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</si>
  <si>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</si>
  <si>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</si>
  <si>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</si>
  <si>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</si>
  <si>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</si>
  <si>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</si>
  <si>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</si>
  <si>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</si>
  <si>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</si>
  <si>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</si>
  <si>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</si>
  <si>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</si>
  <si>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</si>
  <si>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</si>
  <si>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</si>
  <si>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</si>
  <si>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</si>
  <si>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</si>
  <si>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</si>
  <si>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</si>
  <si>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</si>
  <si>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</si>
  <si>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</si>
  <si>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</si>
  <si>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</si>
  <si>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</si>
  <si>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</si>
  <si>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</si>
  <si>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</si>
  <si>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</si>
  <si>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</si>
  <si>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</si>
  <si>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</si>
  <si>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</si>
  <si>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</si>
  <si>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</si>
  <si>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</si>
  <si>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</si>
  <si>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</si>
  <si>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</si>
  <si>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</si>
  <si>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</si>
  <si>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</si>
  <si>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</si>
  <si>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</si>
  <si>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</si>
  <si>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</si>
  <si>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</si>
  <si>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</si>
  <si>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Périmètre</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</si>
  <si>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</si>
  <si>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</si>
  <si>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</si>
  <si>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</si>
  <si>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</si>
  <si>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</si>
  <si>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</si>
  <si>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</si>
  <si>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</si>
  <si>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</si>
  <si>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</si>
  <si>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</si>
  <si>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</si>
  <si>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</si>
  <si>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</si>
  <si>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</si>
  <si>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</si>
  <si>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</si>
  <si>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</si>
  <si>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</si>
  <si>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</si>
  <si>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</si>
  <si>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</si>
  <si>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</si>
  <si>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</si>
  <si>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</si>
  <si>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</si>
  <si>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</si>
  <si>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</si>
  <si>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</si>
  <si>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</si>
  <si>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</si>
  <si>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</si>
  <si>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</si>
  <si>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</si>
  <si>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</si>
  <si>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</si>
  <si>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</si>
  <si>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</si>
  <si>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</si>
  <si>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</si>
  <si>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</si>
  <si>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</si>
  <si>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</si>
  <si>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</si>
  <si>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</si>
  <si>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</si>
  <si>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</si>
  <si>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</si>
  <si>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</si>
  <si>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</si>
  <si>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</si>
  <si>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</si>
  <si>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</si>
  <si>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</si>
  <si>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</si>
  <si>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</si>
  <si>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</si>
  <si>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</si>
  <si>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</si>
  <si>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</si>
  <si>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</si>
  <si>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</si>
  <si>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</si>
  <si>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</si>
  <si>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</si>
  <si>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</si>
  <si>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</si>
  <si>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</si>
  <si>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</si>
  <si>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</si>
  <si>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</si>
  <si>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</si>
  <si>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</si>
  <si>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</si>
  <si>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</si>
  <si>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</si>
  <si>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</si>
  <si>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</si>
  <si>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</si>
  <si>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</si>
  <si>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</si>
  <si>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</si>
  <si>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</si>
  <si>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</si>
  <si>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</si>
  <si>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</si>
  <si>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</si>
  <si>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</si>
  <si>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</si>
  <si>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</si>
  <si>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</si>
  <si>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</si>
  <si>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</si>
  <si>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</si>
  <si>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</si>
  <si>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</si>
  <si>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</si>
  <si>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</si>
  <si>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</si>
  <si>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</si>
  <si>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</si>
  <si>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</si>
  <si>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</si>
  <si>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</si>
  <si>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</si>
  <si>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</si>
  <si>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</si>
  <si>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</si>
  <si>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</si>
  <si>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</si>
  <si>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</si>
  <si>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</si>
  <si>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</si>
  <si>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</si>
  <si>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</si>
  <si>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</si>
  <si>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</si>
  <si>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</si>
  <si>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</si>
  <si>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</si>
  <si>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</si>
  <si>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</si>
  <si>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</si>
  <si>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</si>
  <si>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</si>
  <si>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</si>
  <si>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</si>
  <si>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</si>
  <si>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</si>
  <si>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</si>
  <si>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</si>
  <si>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</si>
  <si>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</si>
  <si>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</si>
  <si>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</si>
  <si>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</si>
  <si>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</si>
  <si>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</si>
  <si>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</si>
  <si>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</si>
  <si>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</si>
  <si>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</si>
  <si>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</si>
  <si>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</si>
  <si>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</si>
  <si>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</si>
  <si>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</si>
  <si>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</si>
  <si>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</si>
  <si>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</si>
  <si>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</si>
  <si>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</si>
  <si>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</si>
  <si>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</si>
  <si>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</si>
  <si>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</si>
  <si>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</si>
  <si>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</si>
  <si>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</si>
  <si>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</si>
  <si>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</si>
  <si>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</si>
  <si>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</si>
  <si>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</si>
  <si>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</si>
  <si>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</si>
  <si>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</si>
  <si>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</si>
  <si>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</si>
  <si>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</si>
  <si>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</si>
  <si>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</si>
  <si>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</si>
  <si>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</si>
  <si>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</si>
  <si>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</si>
  <si>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</si>
  <si>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</si>
  <si>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</si>
  <si>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</si>
  <si>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</si>
  <si>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</si>
  <si>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</si>
  <si>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</si>
  <si>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</si>
  <si>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</si>
  <si>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</si>
  <si>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</si>
  <si>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</si>
  <si>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</si>
  <si>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</si>
  <si>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</si>
  <si>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</si>
  <si>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</si>
  <si>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</si>
  <si>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</si>
  <si>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</si>
  <si>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</si>
  <si>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</si>
  <si>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</si>
  <si>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</si>
  <si>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</si>
  <si>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</si>
  <si>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</si>
  <si>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</si>
  <si>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</si>
  <si>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</si>
  <si>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</si>
  <si>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</si>
  <si>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</si>
  <si>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</si>
  <si>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</si>
  <si>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</si>
  <si>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</si>
  <si>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</si>
  <si>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</si>
  <si>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</si>
  <si>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</si>
  <si>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</si>
  <si>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</si>
  <si>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</si>
  <si>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</si>
  <si>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</si>
  <si>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</si>
  <si>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</si>
  <si>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</si>
  <si>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</si>
  <si>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</si>
  <si>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</si>
  <si>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</si>
  <si>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</si>
  <si>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</si>
  <si>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</si>
  <si>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</si>
  <si>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</si>
  <si>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</si>
  <si>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</si>
  <si>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</si>
  <si>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</si>
  <si>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</si>
  <si>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</si>
  <si>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</si>
  <si>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</si>
  <si>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</si>
  <si>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</si>
  <si>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</si>
  <si>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</si>
  <si>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</si>
  <si>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</si>
  <si>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</si>
  <si>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</si>
  <si>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</si>
  <si>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</si>
  <si>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</si>
  <si>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</si>
  <si>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</si>
  <si>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</si>
  <si>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</si>
  <si>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</si>
  <si>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</si>
  <si>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</si>
  <si>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</si>
  <si>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</si>
  <si>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</si>
  <si>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</si>
  <si>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</si>
  <si>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</si>
  <si>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</si>
  <si>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</si>
  <si>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</si>
  <si>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</si>
  <si>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</si>
  <si>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</si>
  <si>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</si>
  <si>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</si>
  <si>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</si>
  <si>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</si>
  <si>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</si>
  <si>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</si>
  <si>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</si>
  <si>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</si>
  <si>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</si>
  <si>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</si>
  <si>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</si>
  <si>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</si>
  <si>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</si>
  <si>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</si>
  <si>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</si>
  <si>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</si>
  <si>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</si>
  <si>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</si>
  <si>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</si>
  <si>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</si>
  <si>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</si>
  <si>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</si>
  <si>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</si>
  <si>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</si>
  <si>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</si>
  <si>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</si>
  <si>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</si>
  <si>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</si>
  <si>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</si>
  <si>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</si>
  <si>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</si>
  <si>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</si>
  <si>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</si>
  <si>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</si>
  <si>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</si>
  <si>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</si>
  <si>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</si>
  <si>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</si>
  <si>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</si>
  <si>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</si>
  <si>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</si>
  <si>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</si>
  <si>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</si>
  <si>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</si>
  <si>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</si>
  <si>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</si>
  <si>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</si>
  <si>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</si>
  <si>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</si>
  <si>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</si>
  <si>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</si>
  <si>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</si>
  <si>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</si>
  <si>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</si>
  <si>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</si>
  <si>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</si>
  <si>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</si>
  <si>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</si>
  <si>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</si>
  <si>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</si>
  <si>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</si>
  <si>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</si>
  <si>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</si>
  <si>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</si>
  <si>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</si>
  <si>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</si>
  <si>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</si>
  <si>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</si>
  <si>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</si>
  <si>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</si>
  <si>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</si>
  <si>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</si>
  <si>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</si>
  <si>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</si>
  <si>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</si>
  <si>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</si>
  <si>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</si>
  <si>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</si>
  <si>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</si>
  <si>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</si>
  <si>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</si>
  <si>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</si>
  <si>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</si>
  <si>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</si>
  <si>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</si>
  <si>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</si>
  <si>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</si>
  <si>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</si>
  <si>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</si>
  <si>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</si>
  <si>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</si>
  <si>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</si>
  <si>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</si>
  <si>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</si>
  <si>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</si>
  <si>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</si>
  <si>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</si>
  <si>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</si>
  <si>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</si>
  <si>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</si>
  <si>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</si>
  <si>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</si>
  <si>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</si>
  <si>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</si>
  <si>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</si>
  <si>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</si>
  <si>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</si>
  <si>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</si>
  <si>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</si>
  <si>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</si>
  <si>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</si>
  <si>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</si>
  <si>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</si>
  <si>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</si>
  <si>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</si>
  <si>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</si>
  <si>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</si>
  <si>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</si>
  <si>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 xml:space="preserve">head </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</si>
  <si>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</si>
  <si>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</si>
  <si>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</si>
  <si>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</si>
  <si>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</si>
  <si>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</si>
  <si>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</si>
  <si>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</si>
  <si>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</si>
  <si>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</si>
  <si>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</si>
  <si>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</si>
  <si>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</si>
  <si>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</si>
  <si>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</si>
  <si>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</si>
  <si>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</si>
  <si>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</si>
  <si>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</si>
  <si>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</si>
  <si>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</si>
  <si>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</si>
  <si>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</si>
  <si>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</si>
  <si>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</si>
  <si>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</si>
  <si>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</si>
  <si>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</si>
  <si>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</si>
  <si>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</si>
  <si>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</si>
  <si>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</si>
  <si>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</si>
  <si>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</si>
  <si>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</si>
  <si>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</si>
  <si>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</si>
  <si>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</si>
  <si>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</si>
  <si>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</si>
  <si>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</si>
  <si>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</si>
  <si>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</si>
  <si>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</si>
  <si>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</si>
  <si>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</si>
  <si>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</si>
  <si>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</si>
  <si>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</si>
  <si>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</si>
  <si>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</si>
  <si>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</si>
  <si>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</si>
  <si>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 xml:space="preserve">Date de déclaration </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</si>
  <si>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</si>
  <si>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</si>
  <si>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</si>
  <si>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</si>
  <si>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</si>
  <si>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</si>
  <si>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</si>
  <si>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</si>
  <si>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</si>
  <si>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</si>
  <si>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</si>
  <si>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</si>
  <si>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</si>
  <si>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</si>
  <si>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</si>
  <si>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</si>
  <si>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</si>
  <si>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</si>
  <si>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</si>
  <si>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</si>
  <si>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</si>
  <si>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</si>
  <si>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</si>
  <si>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</si>
  <si>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</si>
  <si>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</si>
  <si>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</si>
  <si>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</si>
  <si>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</si>
  <si>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</si>
  <si>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</si>
  <si>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</si>
  <si>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</si>
  <si>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</si>
  <si>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</si>
  <si>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</si>
  <si>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</si>
  <si>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</si>
  <si>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</si>
  <si>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</si>
  <si>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</si>
  <si>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</si>
  <si>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</si>
  <si>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</si>
  <si>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</si>
  <si>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</si>
  <si>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</si>
  <si>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</si>
  <si>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</si>
  <si>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</si>
  <si>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</si>
  <si>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</si>
  <si>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</si>
  <si>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</si>
  <si>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</si>
  <si>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</si>
  <si>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</si>
  <si>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</si>
  <si>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</si>
  <si>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</si>
  <si>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</si>
  <si>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</si>
  <si>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</si>
  <si>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</si>
  <si>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</si>
  <si>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 xml:space="preserve">Horodatage de déclaration </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</si>
  <si>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</si>
  <si>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</si>
  <si>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</si>
  <si>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</si>
  <si>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</si>
  <si>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</si>
  <si>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</si>
  <si>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</si>
  <si>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</si>
  <si>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</si>
  <si>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</si>
  <si>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</si>
  <si>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</si>
  <si>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</si>
  <si>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</si>
  <si>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</si>
  <si>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</si>
  <si>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</si>
  <si>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</si>
  <si>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</si>
  <si>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</si>
  <si>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</si>
  <si>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</si>
  <si>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</si>
  <si>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</si>
  <si>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</si>
  <si>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</si>
  <si>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</si>
  <si>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</si>
  <si>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</si>
  <si>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</si>
  <si>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</si>
  <si>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</si>
  <si>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</si>
  <si>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</si>
  <si>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</si>
  <si>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</si>
  <si>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</si>
  <si>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</si>
  <si>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</si>
  <si>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</si>
  <si>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</si>
  <si>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</si>
  <si>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</si>
  <si>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</si>
  <si>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</si>
  <si>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</si>
  <si>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</si>
  <si>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</si>
  <si>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</si>
  <si>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</si>
  <si>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</si>
  <si>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</si>
  <si>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</si>
  <si>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</si>
  <si>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</si>
  <si>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</si>
  <si>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</si>
  <si>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</si>
  <si>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</si>
  <si>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</si>
  <si>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</si>
  <si>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</si>
  <si>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</si>
  <si>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</si>
  <si>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</si>
  <si>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</si>
  <si>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</si>
  <si>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</si>
  <si>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</si>
  <si>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</si>
  <si>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</si>
  <si>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</si>
  <si>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</si>
  <si>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</si>
  <si>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</si>
  <si>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</si>
  <si>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</si>
  <si>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</si>
  <si>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</si>
  <si>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</si>
  <si>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</si>
  <si>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</si>
  <si>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Additional localization</t>
  </si>
  <si>
    <t>Coordinates X</t>
  </si>
  <si>
    <t>Coordinates Y</t>
  </si>
  <si>
    <t>reference rate</t>
  </si>
  <si>
    <t>Cost</t>
  </si>
  <si>
    <t>Purchase date</t>
  </si>
  <si>
    <t>Cancelllation date</t>
  </si>
  <si>
    <t>Archiving date</t>
  </si>
  <si>
    <t>Closing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</si>
  <si>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</si>
  <si>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</si>
  <si>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</si>
  <si>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</si>
  <si>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</si>
  <si>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</si>
  <si>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</si>
  <si>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</si>
  <si>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</si>
  <si>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</si>
  <si>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</si>
  <si>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</si>
  <si>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</si>
  <si>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</si>
  <si>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</si>
  <si>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</si>
  <si>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</si>
  <si>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</si>
  <si>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</si>
  <si>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</si>
  <si>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</si>
  <si>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</si>
  <si>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</si>
  <si>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</si>
  <si>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</si>
  <si>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</si>
  <si>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</si>
  <si>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</si>
  <si>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</si>
  <si>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</si>
  <si>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</si>
  <si>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</si>
  <si>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</si>
  <si>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</si>
  <si>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</si>
  <si>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</si>
  <si>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</si>
  <si>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</si>
  <si>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</si>
  <si>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</si>
  <si>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</si>
  <si>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</si>
  <si>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</si>
  <si>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</si>
  <si>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</si>
  <si>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</si>
  <si>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</si>
  <si>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</si>
  <si>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</si>
  <si>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</si>
  <si>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</si>
  <si>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</si>
  <si>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</si>
  <si>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</si>
  <si>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</si>
  <si>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</si>
  <si>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</si>
  <si>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Data</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</si>
  <si>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</si>
  <si>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</si>
  <si>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</si>
  <si>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</si>
  <si>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</si>
  <si>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</si>
  <si>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</si>
  <si>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</si>
  <si>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</si>
  <si>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</si>
  <si>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</si>
  <si>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</si>
  <si>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</si>
  <si>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</si>
  <si>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</si>
  <si>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</si>
  <si>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</si>
  <si>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</si>
  <si>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</si>
  <si>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</si>
  <si>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</si>
  <si>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</si>
  <si>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</si>
  <si>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</si>
  <si>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</si>
  <si>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</si>
  <si>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</si>
  <si>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</si>
  <si>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</si>
  <si>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</si>
  <si>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</si>
  <si>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</si>
  <si>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</si>
  <si>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</si>
  <si>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</si>
  <si>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</si>
  <si>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</si>
  <si>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</si>
  <si>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</si>
  <si>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</si>
  <si>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</si>
  <si>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</si>
  <si>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</si>
  <si>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</si>
  <si>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</si>
  <si>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</si>
  <si>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</si>
  <si>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</si>
  <si>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</si>
  <si>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</si>
  <si>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</si>
  <si>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</si>
  <si>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</si>
  <si>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</si>
  <si>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</si>
  <si>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</si>
  <si>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</si>
  <si>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</si>
  <si>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</si>
  <si>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</si>
  <si>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</si>
  <si>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</si>
  <si>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</si>
  <si>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</si>
  <si>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</si>
  <si>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</si>
  <si>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</si>
  <si>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</si>
  <si>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</si>
  <si>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</si>
  <si>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</si>
  <si>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</si>
  <si>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</si>
  <si>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</si>
  <si>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</si>
  <si>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Hourly rate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</si>
  <si>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</si>
  <si>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</si>
  <si>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</si>
  <si>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</si>
  <si>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</si>
  <si>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</si>
  <si>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</si>
  <si>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</si>
  <si>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</si>
  <si>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</si>
  <si>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</si>
  <si>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</si>
  <si>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</si>
  <si>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</si>
  <si>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</si>
  <si>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</si>
  <si>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</si>
  <si>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</si>
  <si>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</si>
  <si>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</si>
  <si>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</si>
  <si>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</si>
  <si>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</si>
  <si>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LCZADR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</si>
  <si>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</si>
  <si>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</si>
  <si>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</si>
  <si>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</si>
  <si>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</si>
  <si>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</si>
  <si>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</si>
  <si>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</si>
  <si>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</si>
  <si>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</si>
  <si>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</si>
  <si>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</si>
  <si>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</si>
  <si>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</si>
  <si>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</si>
  <si>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</si>
  <si>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</si>
  <si>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</si>
  <si>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</si>
  <si>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</si>
  <si>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</si>
  <si>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</si>
  <si>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</si>
  <si>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</si>
  <si>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</si>
  <si>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</si>
  <si>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</si>
  <si>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</si>
  <si>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</si>
  <si>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</si>
  <si>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</si>
  <si>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</si>
  <si>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</si>
  <si>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</si>
  <si>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</si>
  <si>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</si>
  <si>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</si>
  <si>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</si>
  <si>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</si>
  <si>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</si>
  <si>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</si>
  <si>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</si>
  <si>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</si>
  <si>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</si>
  <si>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</si>
  <si>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</si>
  <si>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</si>
  <si>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</si>
  <si>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</si>
  <si>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</si>
  <si>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</si>
  <si>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</si>
  <si>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</si>
  <si>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</si>
  <si>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</si>
  <si>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</si>
  <si>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</si>
  <si>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</si>
  <si>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</si>
  <si>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</si>
  <si>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</si>
  <si>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</si>
  <si>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</si>
  <si>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</si>
  <si>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</si>
  <si>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</si>
  <si>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</si>
  <si>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</si>
  <si>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</si>
  <si>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</si>
  <si>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</si>
  <si>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</si>
  <si>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</si>
  <si>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</si>
  <si>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</si>
  <si>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</si>
  <si>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</si>
  <si>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</si>
  <si>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</si>
  <si>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</si>
  <si>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</si>
  <si>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</si>
  <si>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</si>
  <si>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</si>
  <si>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</si>
  <si>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</si>
  <si>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</si>
  <si>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</si>
  <si>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</si>
  <si>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</si>
  <si>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</si>
  <si>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</si>
  <si>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</si>
  <si>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</si>
  <si>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</si>
  <si>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</si>
  <si>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</si>
  <si>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</si>
  <si>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</si>
  <si>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</si>
  <si>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</si>
  <si>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</si>
  <si>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</si>
  <si>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</si>
  <si>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</si>
  <si>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</si>
  <si>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</si>
  <si>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</si>
  <si>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</si>
  <si>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</si>
  <si>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</si>
  <si>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</si>
  <si>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</si>
  <si>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</si>
  <si>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</si>
  <si>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</si>
  <si>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</si>
  <si>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</si>
  <si>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</si>
  <si>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</si>
  <si>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</si>
  <si>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</si>
  <si>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</si>
  <si>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</si>
  <si>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</si>
  <si>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</si>
  <si>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</si>
  <si>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</si>
  <si>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</si>
  <si>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</si>
  <si>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</si>
  <si>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</si>
  <si>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</si>
  <si>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</si>
  <si>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</si>
  <si>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</si>
  <si>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</si>
  <si>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</si>
  <si>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</si>
  <si>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</si>
  <si>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</si>
  <si>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</si>
  <si>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</si>
  <si>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</si>
  <si>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</si>
  <si>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</si>
  <si>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</si>
  <si>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</si>
  <si>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</si>
  <si>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</si>
  <si>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</si>
  <si>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</si>
  <si>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Carole ANDREOTTI</t>
  </si>
  <si>
    <t>Ce document permet de générer les codes des tables et champs d'une nomenclature ainsi que des libellés anglais. Il est là pour aider à compléter la demande de nomenclature.</t>
  </si>
  <si>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</si>
  <si>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</si>
  <si>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</si>
  <si>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</si>
  <si>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</si>
  <si>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</si>
  <si>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</si>
  <si>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</si>
  <si>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</si>
  <si>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</si>
  <si>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</si>
  <si>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</si>
  <si>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</si>
  <si>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</si>
  <si>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</si>
  <si>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</si>
  <si>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</si>
  <si>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</si>
  <si>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</si>
  <si>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</si>
  <si>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</si>
  <si>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</si>
  <si>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</si>
  <si>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</si>
  <si>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</si>
  <si>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</si>
  <si>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</si>
  <si>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</si>
  <si>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</si>
  <si>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</si>
  <si>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</si>
  <si>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</si>
  <si>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</si>
  <si>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</si>
  <si>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</si>
  <si>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</si>
  <si>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</si>
  <si>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</si>
  <si>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</si>
  <si>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</si>
  <si>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</si>
  <si>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</si>
  <si>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</si>
  <si>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</si>
  <si>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</si>
  <si>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</si>
  <si>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</si>
  <si>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</si>
  <si>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</si>
  <si>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</si>
  <si>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</si>
  <si>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</si>
  <si>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</si>
  <si>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</si>
  <si>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</si>
  <si>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</si>
  <si>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</si>
  <si>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</si>
  <si>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</si>
  <si>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</si>
  <si>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</si>
  <si>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</si>
  <si>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</si>
  <si>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</si>
  <si>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</si>
  <si>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</si>
  <si>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</si>
  <si>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</si>
  <si>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</si>
  <si>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</si>
  <si>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</si>
  <si>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</si>
  <si>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</si>
  <si>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</si>
  <si>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</si>
  <si>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</si>
  <si>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</si>
  <si>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</si>
  <si>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</si>
  <si>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</si>
  <si>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</si>
  <si>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</si>
  <si>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</si>
  <si>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</si>
  <si>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</si>
  <si>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</si>
  <si>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</si>
  <si>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</si>
  <si>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</si>
  <si>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</si>
  <si>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</si>
  <si>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</si>
  <si>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</si>
  <si>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</si>
  <si>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</si>
  <si>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</si>
  <si>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</si>
  <si>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</si>
  <si>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</si>
  <si>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</si>
  <si>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</si>
  <si>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</si>
  <si>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</si>
  <si>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</si>
  <si>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</si>
  <si>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</si>
  <si>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</si>
  <si>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</si>
  <si>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</si>
  <si>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</si>
  <si>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</si>
  <si>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</si>
  <si>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</si>
  <si>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</si>
  <si>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</si>
  <si>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</si>
  <si>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</si>
  <si>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</si>
  <si>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</si>
  <si>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</si>
  <si>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</si>
  <si>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rightful</t>
  </si>
  <si>
    <t>RIGFUL</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</si>
  <si>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</si>
  <si>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</si>
  <si>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</si>
  <si>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</si>
  <si>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</si>
  <si>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</si>
  <si>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</si>
  <si>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</si>
  <si>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</si>
  <si>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</si>
  <si>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</si>
  <si>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</si>
  <si>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</si>
  <si>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</si>
  <si>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</si>
  <si>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</si>
  <si>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</si>
  <si>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</si>
  <si>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</si>
  <si>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</si>
  <si>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</si>
  <si>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</si>
  <si>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</si>
  <si>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</si>
  <si>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</si>
  <si>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</si>
  <si>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</si>
  <si>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</si>
  <si>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</si>
  <si>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</si>
  <si>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</si>
  <si>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</si>
  <si>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</si>
  <si>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</si>
  <si>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</si>
  <si>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</si>
  <si>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</si>
  <si>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</si>
  <si>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</si>
  <si>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</si>
  <si>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</si>
  <si>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</si>
  <si>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</si>
  <si>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</si>
  <si>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</si>
  <si>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</si>
  <si>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</si>
  <si>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</si>
  <si>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</si>
  <si>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</si>
  <si>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</si>
  <si>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</si>
  <si>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</si>
  <si>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</si>
  <si>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</si>
  <si>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</si>
  <si>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</si>
  <si>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</si>
  <si>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</si>
  <si>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</si>
  <si>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</si>
  <si>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</si>
  <si>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</si>
  <si>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</si>
  <si>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</si>
  <si>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</si>
  <si>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</si>
  <si>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</si>
  <si>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</si>
  <si>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</si>
  <si>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</si>
  <si>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</si>
  <si>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</si>
  <si>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</si>
  <si>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</si>
  <si>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</si>
  <si>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</si>
  <si>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</si>
  <si>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</si>
  <si>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</si>
  <si>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 xml:space="preserve">Mutualised real contract </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</si>
  <si>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</si>
  <si>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</si>
  <si>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</si>
  <si>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</si>
  <si>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</si>
  <si>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</si>
  <si>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</si>
  <si>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</si>
  <si>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</si>
  <si>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</si>
  <si>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</si>
  <si>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</si>
  <si>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</si>
  <si>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</si>
  <si>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</si>
  <si>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</si>
  <si>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</si>
  <si>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</si>
  <si>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</si>
  <si>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</si>
  <si>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</si>
  <si>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</si>
  <si>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</si>
  <si>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</si>
  <si>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</si>
  <si>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</si>
  <si>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</si>
  <si>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</si>
  <si>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</si>
  <si>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</si>
  <si>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</si>
  <si>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</si>
  <si>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</si>
  <si>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</si>
  <si>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</si>
  <si>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 xml:space="preserve">slice type </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</si>
  <si>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</si>
  <si>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</si>
  <si>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</si>
  <si>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</si>
  <si>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</si>
  <si>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</si>
  <si>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</si>
  <si>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</si>
  <si>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</si>
  <si>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</si>
  <si>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</si>
  <si>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</si>
  <si>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</si>
  <si>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</si>
  <si>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</si>
  <si>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</si>
  <si>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</si>
  <si>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</si>
  <si>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</si>
  <si>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</si>
  <si>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</si>
  <si>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</si>
  <si>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</si>
  <si>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</si>
  <si>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</si>
  <si>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</si>
  <si>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</si>
  <si>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</si>
  <si>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balise associée</t>
  </si>
  <si>
    <t>associated tag</t>
  </si>
  <si>
    <t>ASSTAG</t>
  </si>
  <si>
    <t>BNB</t>
  </si>
  <si>
    <t>Banque Nationale de Belgique</t>
  </si>
  <si>
    <t>Belgian national bank</t>
  </si>
  <si>
    <t>déclarant</t>
  </si>
  <si>
    <t>declarant</t>
  </si>
  <si>
    <t>déclaration BNB</t>
  </si>
  <si>
    <t>Belgian National Bank declaration</t>
  </si>
  <si>
    <t>BNBDCA</t>
  </si>
  <si>
    <t>encodage</t>
  </si>
  <si>
    <t>encoding</t>
  </si>
  <si>
    <t>ECD</t>
  </si>
  <si>
    <t>entité déclarante</t>
  </si>
  <si>
    <t>entity declarant</t>
  </si>
  <si>
    <t>NTTDCA</t>
  </si>
  <si>
    <t>étendue</t>
  </si>
  <si>
    <t>extend</t>
  </si>
  <si>
    <t>XTD</t>
  </si>
  <si>
    <t>fermeture</t>
  </si>
  <si>
    <t>closing</t>
  </si>
  <si>
    <t>fichier XML</t>
  </si>
  <si>
    <t>XML file</t>
  </si>
  <si>
    <t>XMLFIL</t>
  </si>
  <si>
    <t>fixe</t>
  </si>
  <si>
    <t>fixed</t>
  </si>
  <si>
    <t>FIX</t>
  </si>
  <si>
    <t xml:space="preserve">forme </t>
  </si>
  <si>
    <t>form</t>
  </si>
  <si>
    <t>globalisation</t>
  </si>
  <si>
    <t>globalization</t>
  </si>
  <si>
    <t>GLO</t>
  </si>
  <si>
    <t>lien tiers-contrat</t>
  </si>
  <si>
    <t>role du tiers dans le contrat</t>
  </si>
  <si>
    <t>third party contract link</t>
  </si>
  <si>
    <t>TDPCTRLNK</t>
  </si>
  <si>
    <t>mandataire</t>
  </si>
  <si>
    <t>agent</t>
  </si>
  <si>
    <t>AGT</t>
  </si>
  <si>
    <t>nouveau</t>
  </si>
  <si>
    <t>new</t>
  </si>
  <si>
    <t>NEW</t>
  </si>
  <si>
    <t>Numéro Identifiant National KBO</t>
  </si>
  <si>
    <t>National Identification Number KBO</t>
  </si>
  <si>
    <t>NINKBO</t>
  </si>
  <si>
    <t>Numéro Identifiant National NRN</t>
  </si>
  <si>
    <t>National Identification Number NRN</t>
  </si>
  <si>
    <t>NINNRN</t>
  </si>
  <si>
    <t>ouverture</t>
  </si>
  <si>
    <t>open</t>
  </si>
  <si>
    <t>OPN</t>
  </si>
  <si>
    <t>procuration</t>
  </si>
  <si>
    <t>proxy</t>
  </si>
  <si>
    <t>PXY</t>
  </si>
  <si>
    <t>recherche</t>
  </si>
  <si>
    <t>research</t>
  </si>
  <si>
    <t>RCH</t>
  </si>
  <si>
    <t>réglementaire</t>
  </si>
  <si>
    <t>regulatory</t>
  </si>
  <si>
    <t>RGL</t>
  </si>
  <si>
    <t>risque retenu</t>
  </si>
  <si>
    <t>selected risk</t>
  </si>
  <si>
    <t>SELRSK</t>
  </si>
  <si>
    <t>signe</t>
  </si>
  <si>
    <t>sign</t>
  </si>
  <si>
    <t>SIG</t>
  </si>
  <si>
    <t>Taille maximale</t>
  </si>
  <si>
    <t>Max size</t>
  </si>
  <si>
    <t>MAXSIZ</t>
  </si>
  <si>
    <t>tri</t>
  </si>
  <si>
    <t>sorting</t>
  </si>
  <si>
    <t>SOR</t>
  </si>
  <si>
    <t>utiliser</t>
  </si>
  <si>
    <t>Branche ACPR</t>
  </si>
  <si>
    <t>ACPR branche</t>
  </si>
  <si>
    <t>ARPBCH</t>
  </si>
  <si>
    <t>ACPR</t>
  </si>
  <si>
    <t>ARP</t>
  </si>
  <si>
    <t>Date de migration</t>
  </si>
  <si>
    <t>MIGDAT</t>
  </si>
  <si>
    <t>Migration Date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</si>
  <si>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
    </r>
  </si>
  <si>
    <r>
      <t>Complèter les colonne</t>
    </r>
    <r>
      <rPr>
        <sz val="11"/>
        <rFont val="Calibri"/>
        <family val="2"/>
        <scheme val="minor"/>
      </rPr>
      <t>s (par sélection dans la liste déroulante) : Nom du BIB, Objet de gestion (+ article, objet de gestion, etc…) =&gt; jusquà 4 objets de gestion possible par champ</t>
    </r>
  </si>
  <si>
    <t>Les feuilles "BIB" et "Type de table" sont des référentiels qui ne doivent pas être modifiés.</t>
  </si>
  <si>
    <t>MAD</t>
  </si>
  <si>
    <t>ABN</t>
  </si>
  <si>
    <t>between</t>
  </si>
  <si>
    <t>and</t>
  </si>
  <si>
    <t>by</t>
  </si>
  <si>
    <t>Tiers</t>
  </si>
  <si>
    <t>TRIBU</t>
  </si>
  <si>
    <t>Produit</t>
  </si>
  <si>
    <t>Primes</t>
  </si>
  <si>
    <t>GENESYS</t>
  </si>
  <si>
    <t>EOLE</t>
  </si>
  <si>
    <t>Contrat</t>
  </si>
  <si>
    <t>Bénéficiaires en assurance</t>
  </si>
  <si>
    <t>Table de travail</t>
  </si>
  <si>
    <t>effet futur</t>
  </si>
  <si>
    <t>future effect</t>
  </si>
  <si>
    <t>FUTEFT</t>
  </si>
  <si>
    <t>motif de résiliation</t>
  </si>
  <si>
    <t>termination cause</t>
  </si>
  <si>
    <t>TERCAU</t>
  </si>
  <si>
    <t>clause de l'avenant</t>
  </si>
  <si>
    <t>amendment clause</t>
  </si>
  <si>
    <t>AMDCLS</t>
  </si>
  <si>
    <t>propriétaire</t>
  </si>
  <si>
    <t>owner</t>
  </si>
  <si>
    <t>OWN</t>
  </si>
  <si>
    <t>clause sur l'objet assuré</t>
  </si>
  <si>
    <t>insured object clause</t>
  </si>
  <si>
    <t>ISOBJCLS</t>
  </si>
  <si>
    <t>dénomination</t>
  </si>
  <si>
    <t>denomination</t>
  </si>
  <si>
    <t>DNM</t>
  </si>
  <si>
    <t>bâtiment annexe</t>
  </si>
  <si>
    <t>annex building</t>
  </si>
  <si>
    <t>ANX</t>
  </si>
  <si>
    <t>surface</t>
  </si>
  <si>
    <t>SFC</t>
  </si>
  <si>
    <t>proposition tarifaire</t>
  </si>
  <si>
    <t>tariff proposal</t>
  </si>
  <si>
    <t>TARPRP</t>
  </si>
  <si>
    <t>client fidèle bancaire</t>
  </si>
  <si>
    <t>loyal bank customer</t>
  </si>
  <si>
    <t>LYLBNKCUS</t>
  </si>
  <si>
    <t>contrat multirisque Pro</t>
  </si>
  <si>
    <t xml:space="preserve">multi-risk pro contract </t>
  </si>
  <si>
    <t>MRSPROCTR</t>
  </si>
  <si>
    <t>Contrat prévoyance</t>
  </si>
  <si>
    <t>CVE</t>
  </si>
  <si>
    <t>Marié</t>
  </si>
  <si>
    <t>married</t>
  </si>
  <si>
    <t>MAR</t>
  </si>
  <si>
    <t>Célibataire</t>
  </si>
  <si>
    <t>single</t>
  </si>
  <si>
    <t>SGL</t>
  </si>
  <si>
    <t>Avec</t>
  </si>
  <si>
    <t xml:space="preserve">
with</t>
  </si>
  <si>
    <t>WIT</t>
  </si>
  <si>
    <t>assurance pour compte</t>
  </si>
  <si>
    <t>Account insurance</t>
  </si>
  <si>
    <t>ACCINS</t>
  </si>
  <si>
    <t>assureur précédent</t>
  </si>
  <si>
    <t>previous insurer</t>
  </si>
  <si>
    <t>PRVINR</t>
  </si>
  <si>
    <t>concurrent</t>
  </si>
  <si>
    <t>ONC</t>
  </si>
  <si>
    <t>contrat forcé</t>
  </si>
  <si>
    <t>forced contract</t>
  </si>
  <si>
    <t>FRDCTR</t>
  </si>
  <si>
    <t>créance soldée</t>
  </si>
  <si>
    <t>settled debt</t>
  </si>
  <si>
    <t>SLDDET</t>
  </si>
  <si>
    <t>devis IARD</t>
  </si>
  <si>
    <t>property and casualty insurance quote</t>
  </si>
  <si>
    <t>PCAQOT</t>
  </si>
  <si>
    <t>élevage</t>
  </si>
  <si>
    <t>husbandry</t>
  </si>
  <si>
    <t>HBD</t>
  </si>
  <si>
    <t>équidé</t>
  </si>
  <si>
    <t>Horsing</t>
  </si>
  <si>
    <t>HOR</t>
  </si>
  <si>
    <t>niveau d'accord maximum</t>
  </si>
  <si>
    <t>agreement 's maximum level</t>
  </si>
  <si>
    <t>AGMMAXLVL</t>
  </si>
  <si>
    <t>opportunité</t>
  </si>
  <si>
    <t>opportunity</t>
  </si>
  <si>
    <t>OPO</t>
  </si>
  <si>
    <t>Rapport expertise auto</t>
  </si>
  <si>
    <t>SXR</t>
  </si>
  <si>
    <t>CARXPSRPT</t>
  </si>
  <si>
    <t>Car report expertise</t>
  </si>
  <si>
    <t>ordre</t>
  </si>
  <si>
    <t>produit</t>
  </si>
  <si>
    <t>PRD</t>
  </si>
  <si>
    <t>saisonnalité des tiers moraux</t>
  </si>
  <si>
    <t>seasonality of moral third parties</t>
  </si>
  <si>
    <t>SEASTM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</si>
</sst>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 _€_-;\-* #,##0\ _€_-;_-* &quot;-&quot;??\ _€_-;_-@_-"/>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2"/>
      <color rgb="FFC00000"/>
      <name val="Calibri"/>
      <family val="2"/>
      <scheme val="minor"/>
    </font>
    <font>
      <i/>
      <sz val="10"/>
      <color theme="1"/>
      <name val="Calibri"/>
      <family val="2"/>
      <scheme val="minor"/>
    </font>
    <font>
      <sz val="10"/>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color rgb="FFFF0000"/>
      <name val="Calibri"/>
      <family val="2"/>
      <scheme val="minor"/>
    </font>
    <font>
      <sz val="11"/>
      <name val="Calibri"/>
      <family val="2"/>
    </font>
    <font>
      <sz val="12"/>
      <color rgb="FFFF0000"/>
      <name val="Calibri"/>
      <family val="2"/>
      <scheme val="minor"/>
    </font>
    <font>
      <sz val="12"/>
      <name val="Calibri"/>
      <family val="2"/>
      <scheme val="minor"/>
    </font>
  </fonts>
  <fills count="9">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s>
  <borders count="8">
    <border>
      <left/>
      <right/>
      <top/>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medium">
        <color indexed="64"/>
      </left>
      <right/>
      <top style="medium">
        <color theme="1"/>
      </top>
      <bottom style="medium">
        <color theme="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0" fontId="4" fillId="2" borderId="0" applyNumberFormat="0" applyBorder="0" applyAlignment="0" applyProtection="0"/>
    <xf numFmtId="0" fontId="25" fillId="0" borderId="0"/>
  </cellStyleXfs>
  <cellXfs count="88">
    <xf numFmtId="0" fontId="0" fillId="0" borderId="0" xfId="0"/>
    <xf numFmtId="0" fontId="0" fillId="0" borderId="0" xfId="0" applyAlignment="1">
      <alignment horizontal="center" vertical="center"/>
    </xf>
    <xf numFmtId="0" fontId="0" fillId="0" borderId="0" xfId="0" applyAlignment="1">
      <alignment vertical="center"/>
    </xf>
    <xf numFmtId="0" fontId="5" fillId="0" borderId="0" xfId="0" applyFont="1"/>
    <xf numFmtId="0" fontId="0" fillId="0" borderId="0" xfId="0" applyAlignment="1">
      <alignment wrapText="1"/>
    </xf>
    <xf numFmtId="0" fontId="10" fillId="0" borderId="0" xfId="0" applyFont="1" applyAlignment="1">
      <alignment horizontal="left" vertical="center" wrapText="1"/>
    </xf>
    <xf numFmtId="0" fontId="3" fillId="0" borderId="0" xfId="0" applyFont="1" applyAlignment="1">
      <alignment horizontal="center" vertical="center" wrapText="1"/>
    </xf>
    <xf numFmtId="164" fontId="3" fillId="0" borderId="0" xfId="1" applyNumberFormat="1" applyFont="1" applyAlignment="1">
      <alignment horizontal="center" vertical="center" wrapText="1"/>
    </xf>
    <xf numFmtId="49" fontId="9" fillId="0" borderId="0" xfId="1" applyNumberFormat="1" applyFont="1" applyAlignment="1">
      <alignment horizontal="left" vertical="center" wrapText="1"/>
    </xf>
    <xf numFmtId="164" fontId="8" fillId="0" borderId="0" xfId="1" applyNumberFormat="1" applyFont="1" applyAlignment="1">
      <alignment horizontal="left" vertical="center" wrapText="1"/>
    </xf>
    <xf numFmtId="49" fontId="9" fillId="0" borderId="0" xfId="0" applyNumberFormat="1"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wrapText="1"/>
    </xf>
    <xf numFmtId="0" fontId="7" fillId="5" borderId="0" xfId="0" applyFont="1" applyFill="1" applyAlignment="1">
      <alignment horizontal="center" vertical="center"/>
    </xf>
    <xf numFmtId="0" fontId="6" fillId="0" borderId="0" xfId="0"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2" fillId="6" borderId="2" xfId="2" applyFont="1" applyFill="1" applyBorder="1" applyAlignment="1">
      <alignment horizontal="center" vertical="center" wrapText="1"/>
    </xf>
    <xf numFmtId="0" fontId="2" fillId="6" borderId="3" xfId="2" applyFont="1" applyFill="1" applyBorder="1" applyAlignment="1">
      <alignment horizontal="center" vertical="center" wrapText="1"/>
    </xf>
    <xf numFmtId="0" fontId="2" fillId="6" borderId="1" xfId="2" applyFont="1" applyFill="1" applyBorder="1" applyAlignment="1">
      <alignment horizontal="center" vertical="center" wrapText="1"/>
    </xf>
    <xf numFmtId="0" fontId="2" fillId="6" borderId="2" xfId="0" applyFont="1" applyFill="1" applyBorder="1" applyAlignment="1">
      <alignment horizontal="center" vertical="top"/>
    </xf>
    <xf numFmtId="0" fontId="0" fillId="0" borderId="4"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2" fillId="6" borderId="1" xfId="0" applyFont="1" applyFill="1" applyBorder="1" applyAlignment="1">
      <alignment horizontal="center" vertical="center"/>
    </xf>
    <xf numFmtId="0" fontId="2" fillId="6" borderId="5" xfId="0" applyFont="1" applyFill="1" applyBorder="1" applyAlignment="1">
      <alignment horizontal="center" vertical="center" wrapText="1"/>
    </xf>
    <xf numFmtId="0" fontId="0" fillId="0" borderId="4" xfId="0" applyBorder="1" applyAlignment="1">
      <alignment horizontal="center" vertical="center"/>
    </xf>
    <xf numFmtId="0" fontId="0" fillId="0" borderId="0" xfId="0" applyFill="1"/>
    <xf numFmtId="0" fontId="15" fillId="0" borderId="0" xfId="0" applyFont="1"/>
    <xf numFmtId="0" fontId="14" fillId="0" borderId="0" xfId="0" applyFont="1"/>
    <xf numFmtId="0" fontId="20" fillId="0" borderId="0" xfId="0" applyFont="1"/>
    <xf numFmtId="0" fontId="20" fillId="0" borderId="0" xfId="0" applyFont="1" applyAlignment="1">
      <alignment vertical="center"/>
    </xf>
    <xf numFmtId="0" fontId="20" fillId="0" borderId="0" xfId="0" applyFont="1" applyAlignment="1">
      <alignment vertical="top"/>
    </xf>
    <xf numFmtId="0" fontId="0" fillId="0" borderId="0" xfId="0"/>
    <xf numFmtId="0" fontId="24" fillId="0" borderId="0" xfId="0" applyFont="1"/>
    <xf numFmtId="0" fontId="0" fillId="0" borderId="0" xfId="0"/>
    <xf numFmtId="0" fontId="0" fillId="0" borderId="0" xfId="0"/>
    <xf numFmtId="0" fontId="0" fillId="0" borderId="0" xfId="0"/>
    <xf numFmtId="14" fontId="14" fillId="0" borderId="0" xfId="0" applyNumberFormat="1" applyFont="1" applyAlignment="1">
      <alignment horizontal="center" vertical="center"/>
    </xf>
    <xf numFmtId="14" fontId="0" fillId="0" borderId="0" xfId="0" applyNumberFormat="1"/>
    <xf numFmtId="14" fontId="0" fillId="0" borderId="0" xfId="0" applyNumberFormat="1" applyFill="1"/>
    <xf numFmtId="14" fontId="24" fillId="0" borderId="0" xfId="0" applyNumberFormat="1" applyFont="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xf numFmtId="0" fontId="0" fillId="0" borderId="0" xfId="0"/>
    <xf numFmtId="0" fontId="0" fillId="0" borderId="0" xfId="0"/>
    <xf numFmtId="14" fontId="0" fillId="0" borderId="0" xfId="0" applyNumberFormat="1" applyAlignment="1">
      <alignment vertical="center"/>
    </xf>
    <xf numFmtId="164" fontId="0" fillId="0" borderId="0" xfId="1" applyNumberFormat="1" applyFont="1" applyAlignment="1">
      <alignment vertical="center"/>
    </xf>
    <xf numFmtId="0" fontId="0" fillId="0" borderId="0" xfId="0" applyAlignment="1">
      <alignment vertical="top"/>
    </xf>
    <xf numFmtId="0" fontId="0" fillId="0" borderId="0" xfId="0" applyFill="1" applyAlignment="1">
      <alignment wrapText="1"/>
    </xf>
    <xf numFmtId="0" fontId="0" fillId="0" borderId="0" xfId="0"/>
    <xf numFmtId="0" fontId="0" fillId="0" borderId="0" xfId="0"/>
    <xf numFmtId="0" fontId="6" fillId="0" borderId="0" xfId="0" applyFont="1"/>
    <xf numFmtId="0" fontId="6" fillId="0" borderId="4" xfId="0" applyFont="1" applyBorder="1" applyAlignment="1">
      <alignment horizontal="center" vertical="center"/>
    </xf>
    <xf numFmtId="0" fontId="6" fillId="0" borderId="0" xfId="0" applyFont="1" applyAlignment="1">
      <alignment wrapText="1"/>
    </xf>
    <xf numFmtId="0" fontId="26" fillId="0" borderId="0" xfId="0" applyFont="1"/>
    <xf numFmtId="0" fontId="27" fillId="0" borderId="0" xfId="0" applyFont="1"/>
    <xf numFmtId="0" fontId="27" fillId="0" borderId="6" xfId="0" applyFont="1" applyBorder="1"/>
    <xf numFmtId="0" fontId="26" fillId="0" borderId="6" xfId="0" applyFont="1" applyBorder="1"/>
    <xf numFmtId="0" fontId="27" fillId="0" borderId="0" xfId="0" applyFont="1" applyBorder="1"/>
    <xf numFmtId="0" fontId="7" fillId="5" borderId="7" xfId="0" applyFont="1" applyFill="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3" fillId="8"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xf numFmtId="0" fontId="16" fillId="0" borderId="0" xfId="0" applyFont="1"/>
    <xf numFmtId="0" fontId="16" fillId="0" borderId="0" xfId="0" applyFont="1" applyAlignment="1">
      <alignment horizontal="center"/>
    </xf>
    <xf numFmtId="0" fontId="0" fillId="0" borderId="0" xfId="0" applyAlignment="1">
      <alignment horizontal="left" vertical="center" wrapText="1"/>
    </xf>
    <xf numFmtId="0" fontId="3" fillId="4" borderId="0" xfId="0" applyFont="1" applyFill="1" applyAlignment="1">
      <alignment horizontal="center" vertical="center"/>
    </xf>
    <xf numFmtId="0" fontId="0" fillId="0" borderId="0" xfId="0" applyAlignment="1">
      <alignment horizontal="left" vertical="center"/>
    </xf>
    <xf numFmtId="0" fontId="3" fillId="0" borderId="0" xfId="0" applyFont="1" applyAlignment="1">
      <alignment horizontal="left" vertical="center"/>
    </xf>
    <xf numFmtId="0" fontId="0" fillId="0" borderId="0" xfId="0" applyAlignment="1">
      <alignment horizontal="left"/>
    </xf>
    <xf numFmtId="0" fontId="3" fillId="3" borderId="0" xfId="0" applyFont="1" applyFill="1" applyAlignment="1">
      <alignment horizontal="center" vertical="center"/>
    </xf>
    <xf numFmtId="0" fontId="0" fillId="0" borderId="0" xfId="0"/>
    <xf numFmtId="0" fontId="6" fillId="0" borderId="0" xfId="0" applyFont="1" applyAlignment="1">
      <alignment horizontal="left" vertical="center" wrapText="1"/>
    </xf>
    <xf numFmtId="0" fontId="6" fillId="0" borderId="0" xfId="0" applyFont="1" applyAlignment="1">
      <alignment horizontal="left"/>
    </xf>
    <xf numFmtId="0" fontId="3" fillId="7" borderId="0" xfId="0" applyFont="1" applyFill="1" applyAlignment="1">
      <alignment horizontal="center" vertical="center"/>
    </xf>
  </cellXfs>
  <cellStyles count="4">
    <cellStyle name="Accent1" xfId="2" builtinId="29"/>
    <cellStyle name="Milliers" xfId="1" builtinId="3"/>
    <cellStyle name="Normal" xfId="0" builtinId="0"/>
    <cellStyle name="Normal 2" xfId="3"/>
  </cellStyles>
  <dxfs count="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0"/>
        <color rgb="FFC00000"/>
        <name val="Calibri"/>
        <scheme val="minor"/>
      </font>
      <alignment horizontal="left" vertical="center" textRotation="0" wrapText="1" indent="0" justifyLastLine="0" shrinkToFit="0" readingOrder="0"/>
    </dxf>
    <dxf>
      <font>
        <b/>
        <sz val="12"/>
        <color rgb="FFC00000"/>
      </font>
      <numFmt numFmtId="30" formatCode="@"/>
      <alignment horizontal="left" vertical="center" textRotation="0" wrapText="1" indent="0" justifyLastLine="0" shrinkToFit="0" readingOrder="0"/>
    </dxf>
    <dxf>
      <font>
        <b/>
        <i/>
      </font>
      <numFmt numFmtId="164" formatCode="_-* #,##0\ _€_-;\-* #,##0\ _€_-;_-* &quot;-&quot;??\ _€_-;_-@_-"/>
      <alignment horizontal="center" vertical="center" textRotation="0" wrapText="1" indent="0" justifyLastLine="0" shrinkToFit="0" readingOrder="0"/>
    </dxf>
    <dxf>
      <font>
        <b/>
        <i/>
        <strike val="0"/>
        <condense val="0"/>
        <extend val="0"/>
        <outline val="0"/>
        <shadow val="0"/>
        <u val="none"/>
        <vertAlign val="baseline"/>
        <sz val="11"/>
        <color theme="1"/>
        <name val="Calibri"/>
        <scheme val="minor"/>
      </font>
      <numFmt numFmtId="164" formatCode="_-* #,##0\ _€_-;\-* #,##0\ _€_-;_-* &quot;-&quot;??\ _€_-;_-@_-"/>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Calibri"/>
        <scheme val="minor"/>
      </font>
      <fill>
        <patternFill patternType="solid">
          <fgColor indexed="64"/>
          <bgColor theme="4"/>
        </patternFill>
      </fill>
      <alignment horizontal="center" vertical="center" textRotation="0" wrapText="1" indent="0" justifyLastLine="0" shrinkToFit="0" readingOrder="0"/>
    </dxf>
    <dxf>
      <numFmt numFmtId="19" formatCode="dd/mm/yyyy"/>
    </dxf>
    <dxf>
      <font>
        <b/>
        <strike val="0"/>
        <outline val="0"/>
        <shadow val="0"/>
        <u val="none"/>
        <vertAlign val="baseline"/>
        <sz val="12"/>
        <color theme="1"/>
        <name val="Calibri"/>
        <scheme val="minor"/>
      </font>
      <alignment horizontal="center" vertical="center"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BIA_TDPRPY_Outil(%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IBIQ/04-Application/Nomenclature/Dictionnaire_Nomenclature_SIA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p/IBIQ/04-Application/Nomenclature/nomenclature%20SIAD%20-%20Cop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jets de gestion"/>
      <sheetName val="BIB"/>
      <sheetName val="Articles"/>
      <sheetName val="A LIRE"/>
      <sheetName val="Tables"/>
      <sheetName val="Champs"/>
      <sheetName val="Type de table"/>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D2" t="str">
            <v>du</v>
          </cell>
          <cell r="E2" t="str">
            <v>rôle</v>
          </cell>
          <cell r="F2" t="str">
            <v>de l'</v>
          </cell>
          <cell r="G2" t="str">
            <v>acteur en assurance</v>
          </cell>
        </row>
        <row r="3">
          <cell r="D3" t="str">
            <v>du</v>
          </cell>
          <cell r="E3" t="str">
            <v>sous-rôle</v>
          </cell>
          <cell r="F3" t="str">
            <v>de l'</v>
          </cell>
          <cell r="G3" t="str">
            <v>acteur en assurance</v>
          </cell>
        </row>
        <row r="4">
          <cell r="D4" t="str">
            <v>de l'</v>
          </cell>
          <cell r="E4" t="str">
            <v>acteur en assurance</v>
          </cell>
          <cell r="F4" t="str">
            <v xml:space="preserve"> </v>
          </cell>
          <cell r="G4" t="str">
            <v>SIO</v>
          </cell>
        </row>
        <row r="5">
          <cell r="C5" t="str">
            <v>interne</v>
          </cell>
          <cell r="D5" t="str">
            <v>du</v>
          </cell>
          <cell r="E5" t="str">
            <v>contrat</v>
          </cell>
        </row>
        <row r="6">
          <cell r="C6" t="str">
            <v>externe</v>
          </cell>
          <cell r="D6" t="str">
            <v>du</v>
          </cell>
          <cell r="E6" t="str">
            <v>contrat</v>
          </cell>
        </row>
        <row r="7">
          <cell r="D7" t="str">
            <v>de l'</v>
          </cell>
          <cell r="E7" t="str">
            <v>acteur en assurance</v>
          </cell>
        </row>
        <row r="8">
          <cell r="D8" t="str">
            <v>de l'</v>
          </cell>
          <cell r="E8" t="str">
            <v>acteur en assurance</v>
          </cell>
        </row>
        <row r="9">
          <cell r="D9" t="str">
            <v>de l'</v>
          </cell>
          <cell r="E9" t="str">
            <v>acteur en assurance</v>
          </cell>
        </row>
        <row r="10">
          <cell r="D10" t="str">
            <v>de l'</v>
          </cell>
          <cell r="E10" t="str">
            <v>acteur en assurance</v>
          </cell>
        </row>
        <row r="11">
          <cell r="D11" t="str">
            <v>de l'</v>
          </cell>
          <cell r="E11" t="str">
            <v>acteur en assurance</v>
          </cell>
        </row>
        <row r="12">
          <cell r="D12" t="str">
            <v>de l'</v>
          </cell>
          <cell r="E12" t="str">
            <v>acteur en assurance</v>
          </cell>
        </row>
        <row r="13">
          <cell r="C13" t="str">
            <v>sexe</v>
          </cell>
          <cell r="D13" t="str">
            <v>de l'</v>
          </cell>
          <cell r="E13" t="str">
            <v>acteur en assurance</v>
          </cell>
        </row>
        <row r="14">
          <cell r="D14" t="str">
            <v>de l'</v>
          </cell>
          <cell r="E14" t="str">
            <v>acteur en assurance</v>
          </cell>
        </row>
        <row r="15">
          <cell r="D15" t="str">
            <v>de l'</v>
          </cell>
          <cell r="E15" t="str">
            <v>acteur en assurance</v>
          </cell>
        </row>
        <row r="16">
          <cell r="D16" t="str">
            <v>de l'</v>
          </cell>
          <cell r="E16" t="str">
            <v>acteur en assurance</v>
          </cell>
        </row>
        <row r="17">
          <cell r="D17" t="str">
            <v>de l'</v>
          </cell>
          <cell r="E17" t="str">
            <v>acteur en assurance</v>
          </cell>
        </row>
        <row r="18">
          <cell r="D18" t="str">
            <v>de la</v>
          </cell>
          <cell r="E18" t="str">
            <v>source</v>
          </cell>
        </row>
        <row r="19">
          <cell r="D19" t="str">
            <v>de l'</v>
          </cell>
          <cell r="E19" t="str">
            <v>acteur en assurance</v>
          </cell>
        </row>
        <row r="20">
          <cell r="C20" t="str">
            <v>Dernière image</v>
          </cell>
          <cell r="D20" t="str">
            <v>de l'</v>
          </cell>
          <cell r="E20" t="str">
            <v>acteur en assurance</v>
          </cell>
        </row>
        <row r="21">
          <cell r="D21" t="str">
            <v>de la</v>
          </cell>
          <cell r="E21" t="str">
            <v>période</v>
          </cell>
          <cell r="F21" t="str">
            <v>d'une</v>
          </cell>
          <cell r="G21" t="str">
            <v>ACEM</v>
          </cell>
          <cell r="H21" t="str">
            <v>de la</v>
          </cell>
          <cell r="I21" t="str">
            <v>campagne d'avantage</v>
          </cell>
        </row>
        <row r="22">
          <cell r="D22" t="str">
            <v>de la</v>
          </cell>
          <cell r="E22" t="str">
            <v>période de lancement</v>
          </cell>
          <cell r="F22" t="str">
            <v>d'une</v>
          </cell>
          <cell r="G22" t="str">
            <v>ACEM</v>
          </cell>
          <cell r="H22" t="str">
            <v>de la</v>
          </cell>
          <cell r="I22" t="str">
            <v>campagne d'avantage</v>
          </cell>
        </row>
        <row r="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row>
        <row r="25">
          <cell r="D25" t="str">
            <v>du</v>
          </cell>
          <cell r="E25" t="str">
            <v>motif</v>
          </cell>
          <cell r="F25" t="str">
            <v>de l'</v>
          </cell>
          <cell r="G25" t="str">
            <v>avantage</v>
          </cell>
        </row>
        <row r="26">
          <cell r="D26" t="str">
            <v>de l'</v>
          </cell>
          <cell r="E26" t="str">
            <v>etat</v>
          </cell>
          <cell r="F26" t="str">
            <v>de l'</v>
          </cell>
          <cell r="G26" t="str">
            <v>avantage</v>
          </cell>
        </row>
        <row r="27">
          <cell r="D27" t="str">
            <v>du</v>
          </cell>
          <cell r="E27" t="str">
            <v>type</v>
          </cell>
          <cell r="F27" t="str">
            <v>d'</v>
          </cell>
          <cell r="G27" t="str">
            <v>avantage</v>
          </cell>
        </row>
        <row r="28">
          <cell r="D28" t="str">
            <v>de l'</v>
          </cell>
          <cell r="E28" t="str">
            <v>etat</v>
          </cell>
          <cell r="F28" t="str">
            <v>de l'</v>
          </cell>
          <cell r="G28" t="str">
            <v>avantage</v>
          </cell>
        </row>
        <row r="29">
          <cell r="D29" t="str">
            <v>du</v>
          </cell>
          <cell r="E29" t="str">
            <v>motif</v>
          </cell>
          <cell r="F29" t="str">
            <v>de l'</v>
          </cell>
          <cell r="G29" t="str">
            <v>avantage</v>
          </cell>
        </row>
        <row r="30">
          <cell r="D30" t="str">
            <v>du</v>
          </cell>
          <cell r="E30" t="str">
            <v>motif</v>
          </cell>
          <cell r="F30" t="str">
            <v>de l'</v>
          </cell>
          <cell r="G30" t="str">
            <v>avantage</v>
          </cell>
        </row>
        <row r="31">
          <cell r="D31" t="str">
            <v>du</v>
          </cell>
          <cell r="E31" t="str">
            <v>motif</v>
          </cell>
          <cell r="F31" t="str">
            <v>de l'</v>
          </cell>
          <cell r="G31" t="str">
            <v>avantage</v>
          </cell>
        </row>
        <row r="32">
          <cell r="D32" t="str">
            <v>de l'</v>
          </cell>
          <cell r="E32" t="str">
            <v>etat</v>
          </cell>
          <cell r="F32" t="str">
            <v>de l'</v>
          </cell>
          <cell r="G32" t="str">
            <v>avantage</v>
          </cell>
        </row>
        <row r="33">
          <cell r="D33" t="str">
            <v>de l'</v>
          </cell>
          <cell r="E33" t="str">
            <v>etat</v>
          </cell>
          <cell r="F33" t="str">
            <v>de l'</v>
          </cell>
          <cell r="G33" t="str">
            <v>avantage</v>
          </cell>
        </row>
        <row r="34">
          <cell r="D34" t="str">
            <v>du</v>
          </cell>
          <cell r="E34" t="str">
            <v>type</v>
          </cell>
          <cell r="F34" t="str">
            <v>d'</v>
          </cell>
          <cell r="G34" t="str">
            <v>avantage</v>
          </cell>
        </row>
        <row r="35">
          <cell r="D35" t="str">
            <v>du</v>
          </cell>
          <cell r="E35" t="str">
            <v>type</v>
          </cell>
          <cell r="F35" t="str">
            <v>d'</v>
          </cell>
          <cell r="G35" t="str">
            <v>avantage</v>
          </cell>
        </row>
        <row r="36">
          <cell r="D36" t="str">
            <v>sur la</v>
          </cell>
          <cell r="E36" t="str">
            <v>spécificité</v>
          </cell>
          <cell r="F36" t="str">
            <v>de l'</v>
          </cell>
          <cell r="G36" t="str">
            <v>avantage contrat</v>
          </cell>
        </row>
        <row r="37">
          <cell r="D37" t="str">
            <v>du</v>
          </cell>
          <cell r="E37" t="str">
            <v>Type d'utilisateur autorisé</v>
          </cell>
          <cell r="F37" t="str">
            <v>de l'</v>
          </cell>
          <cell r="G37" t="str">
            <v>avantage sans campagne commerciale</v>
          </cell>
        </row>
        <row r="38">
          <cell r="D38" t="str">
            <v>du</v>
          </cell>
          <cell r="E38" t="str">
            <v>canal de distribution</v>
          </cell>
          <cell r="F38" t="str">
            <v>de l'</v>
          </cell>
          <cell r="G38" t="str">
            <v>avantage sans campagne commerciale</v>
          </cell>
        </row>
        <row r="39">
          <cell r="D39" t="str">
            <v>de l'</v>
          </cell>
          <cell r="E39" t="str">
            <v>état de l'enveloppe</v>
          </cell>
          <cell r="F39" t="str">
            <v>de l'</v>
          </cell>
          <cell r="G39" t="str">
            <v>avantage sans campagne commerciale</v>
          </cell>
        </row>
        <row r="40">
          <cell r="D40" t="str">
            <v>du</v>
          </cell>
          <cell r="E40" t="str">
            <v>type d'enveloppe</v>
          </cell>
          <cell r="F40" t="str">
            <v>de l'</v>
          </cell>
          <cell r="G40" t="str">
            <v>avantage sans campagne commerciale</v>
          </cell>
        </row>
        <row r="41">
          <cell r="D41" t="str">
            <v>du</v>
          </cell>
          <cell r="E41" t="str">
            <v>domaine assurance</v>
          </cell>
          <cell r="F41" t="str">
            <v>de l'</v>
          </cell>
          <cell r="G41" t="str">
            <v>avantage sans campagne commerciale</v>
          </cell>
        </row>
        <row r="42">
          <cell r="D42" t="str">
            <v>du</v>
          </cell>
          <cell r="E42" t="str">
            <v>Type d'utilisateur autorisé</v>
          </cell>
          <cell r="F42" t="str">
            <v>de l'</v>
          </cell>
          <cell r="G42" t="str">
            <v>avantage sans campagne commerciale</v>
          </cell>
        </row>
        <row r="43">
          <cell r="D43" t="str">
            <v>de l'</v>
          </cell>
          <cell r="E43" t="str">
            <v>utilisateur autorisé</v>
          </cell>
          <cell r="F43" t="str">
            <v>de l'</v>
          </cell>
          <cell r="G43" t="str">
            <v>avantage sans campagne commerciale</v>
          </cell>
        </row>
        <row r="44">
          <cell r="D44" t="str">
            <v>du</v>
          </cell>
          <cell r="E44" t="str">
            <v>Type d'utilisateur autorisé</v>
          </cell>
          <cell r="F44" t="str">
            <v>de l'</v>
          </cell>
          <cell r="G44" t="str">
            <v>avantage sans campagne commerciale</v>
          </cell>
        </row>
        <row r="45">
          <cell r="D45" t="str">
            <v>du</v>
          </cell>
          <cell r="E45" t="str">
            <v>canal de distribution</v>
          </cell>
          <cell r="F45" t="str">
            <v>de l'</v>
          </cell>
          <cell r="G45" t="str">
            <v>avantage sans campagne commerciale</v>
          </cell>
        </row>
        <row r="46">
          <cell r="D46" t="str">
            <v>du</v>
          </cell>
          <cell r="E46" t="str">
            <v>canal de distribution</v>
          </cell>
          <cell r="F46" t="str">
            <v>de l'</v>
          </cell>
          <cell r="G46" t="str">
            <v>avantage sans campagne commerciale</v>
          </cell>
        </row>
        <row r="47">
          <cell r="D47" t="str">
            <v>de l'</v>
          </cell>
          <cell r="E47" t="str">
            <v>état de l'enveloppe</v>
          </cell>
          <cell r="F47" t="str">
            <v>de l'</v>
          </cell>
          <cell r="G47" t="str">
            <v>avantage sans campagne commerciale</v>
          </cell>
        </row>
        <row r="48">
          <cell r="D48" t="str">
            <v>de l'</v>
          </cell>
          <cell r="E48" t="str">
            <v>état de l'enveloppe</v>
          </cell>
          <cell r="F48" t="str">
            <v>de l'</v>
          </cell>
          <cell r="G48" t="str">
            <v>avantage sans campagne commerciale</v>
          </cell>
        </row>
        <row r="49">
          <cell r="D49" t="str">
            <v>du</v>
          </cell>
          <cell r="E49" t="str">
            <v>type d'enveloppe</v>
          </cell>
          <cell r="F49" t="str">
            <v>de l'</v>
          </cell>
          <cell r="G49" t="str">
            <v>avantage sans campagne commerciale</v>
          </cell>
        </row>
        <row r="50">
          <cell r="D50" t="str">
            <v>du</v>
          </cell>
          <cell r="E50" t="str">
            <v>type d'enveloppe</v>
          </cell>
          <cell r="F50" t="str">
            <v>de l'</v>
          </cell>
          <cell r="G50" t="str">
            <v>avantage sans campagne commerciale</v>
          </cell>
        </row>
        <row r="51">
          <cell r="D51" t="str">
            <v>du</v>
          </cell>
          <cell r="E51" t="str">
            <v>domaine assurance</v>
          </cell>
          <cell r="F51" t="str">
            <v>de l'</v>
          </cell>
          <cell r="G51" t="str">
            <v>avantage sans campagne commerciale</v>
          </cell>
        </row>
        <row r="52">
          <cell r="D52" t="str">
            <v>du</v>
          </cell>
          <cell r="E52" t="str">
            <v>domaine assurance</v>
          </cell>
          <cell r="F52" t="str">
            <v>de l'</v>
          </cell>
          <cell r="G52" t="str">
            <v>avantage sans campagne commerciale</v>
          </cell>
        </row>
        <row r="53">
          <cell r="D53" t="str">
            <v>de la</v>
          </cell>
          <cell r="E53" t="str">
            <v>commission</v>
          </cell>
          <cell r="F53" t="str">
            <v>de l'</v>
          </cell>
          <cell r="G53" t="str">
            <v>avantage Temps Fort</v>
          </cell>
        </row>
        <row r="54">
          <cell r="D54" t="str">
            <v>de la</v>
          </cell>
          <cell r="E54" t="str">
            <v>cotisation</v>
          </cell>
          <cell r="F54" t="str">
            <v>de l'</v>
          </cell>
          <cell r="G54" t="str">
            <v>avantage Temps Fort</v>
          </cell>
        </row>
        <row r="55">
          <cell r="D55" t="str">
            <v>de la</v>
          </cell>
          <cell r="E55" t="str">
            <v>commission</v>
          </cell>
          <cell r="F55" t="str">
            <v>de l'</v>
          </cell>
          <cell r="G55" t="str">
            <v>avantage Temps Fort</v>
          </cell>
        </row>
        <row r="56">
          <cell r="D56" t="str">
            <v>d'</v>
          </cell>
          <cell r="E56" t="str">
            <v>ajustement tarifaire</v>
          </cell>
          <cell r="F56" t="str">
            <v>des</v>
          </cell>
          <cell r="G56" t="str">
            <v>avantages FONDO/ACORES</v>
          </cell>
        </row>
        <row r="57">
          <cell r="D57" t="str">
            <v>de la</v>
          </cell>
          <cell r="E57" t="str">
            <v>réduction</v>
          </cell>
          <cell r="F57" t="str">
            <v>des</v>
          </cell>
          <cell r="G57" t="str">
            <v>avantages FONDO/ACORES</v>
          </cell>
        </row>
        <row r="58">
          <cell r="D58" t="str">
            <v>entre</v>
          </cell>
          <cell r="E58" t="str">
            <v>géographique</v>
          </cell>
          <cell r="F58" t="str">
            <v>et</v>
          </cell>
          <cell r="G58" t="str">
            <v>campagne d'avantage</v>
          </cell>
        </row>
        <row r="59">
          <cell r="D59" t="str">
            <v>entre</v>
          </cell>
          <cell r="E59" t="str">
            <v>produit d'assurance</v>
          </cell>
          <cell r="F59" t="str">
            <v>et</v>
          </cell>
          <cell r="G59" t="str">
            <v>campagne d'avantage</v>
          </cell>
        </row>
        <row r="60">
          <cell r="D60" t="str">
            <v>entre</v>
          </cell>
          <cell r="E60" t="str">
            <v>ACEM</v>
          </cell>
          <cell r="F60" t="str">
            <v>et</v>
          </cell>
          <cell r="G60" t="str">
            <v>campagne d'avantage</v>
          </cell>
        </row>
        <row r="61">
          <cell r="D61" t="str">
            <v>du</v>
          </cell>
          <cell r="E61" t="str">
            <v>Type d'utilisateur autorisé</v>
          </cell>
          <cell r="F61" t="str">
            <v>de la</v>
          </cell>
          <cell r="G61" t="str">
            <v>campagne d'avantage</v>
          </cell>
        </row>
        <row r="62">
          <cell r="D62" t="str">
            <v>du</v>
          </cell>
          <cell r="E62" t="str">
            <v>type de bénéficiaire</v>
          </cell>
          <cell r="F62" t="str">
            <v>de la</v>
          </cell>
          <cell r="G62" t="str">
            <v>campagne d'avantage</v>
          </cell>
        </row>
        <row r="63">
          <cell r="D63" t="str">
            <v>du</v>
          </cell>
          <cell r="E63" t="str">
            <v>canal de distribution</v>
          </cell>
          <cell r="F63" t="str">
            <v>de la</v>
          </cell>
          <cell r="G63" t="str">
            <v>campagne d'avantage</v>
          </cell>
        </row>
        <row r="64">
          <cell r="D64" t="str">
            <v>du</v>
          </cell>
          <cell r="E64" t="str">
            <v>type de mois gratuit</v>
          </cell>
          <cell r="F64" t="str">
            <v>de la</v>
          </cell>
          <cell r="G64" t="str">
            <v>campagne d'avantage</v>
          </cell>
        </row>
        <row r="65">
          <cell r="D65" t="str">
            <v>du</v>
          </cell>
          <cell r="E65" t="str">
            <v>format</v>
          </cell>
          <cell r="F65" t="str">
            <v>de la</v>
          </cell>
          <cell r="G65" t="str">
            <v>campagne d'avantage</v>
          </cell>
        </row>
        <row r="66">
          <cell r="D66" t="str">
            <v>entre</v>
          </cell>
          <cell r="E66" t="str">
            <v>géographique</v>
          </cell>
          <cell r="F66" t="str">
            <v>et</v>
          </cell>
          <cell r="G66" t="str">
            <v>campagne d'avantage</v>
          </cell>
        </row>
        <row r="67">
          <cell r="D67" t="str">
            <v>entre</v>
          </cell>
          <cell r="E67" t="str">
            <v>produit d'assurance</v>
          </cell>
          <cell r="F67" t="str">
            <v>et</v>
          </cell>
          <cell r="G67" t="str">
            <v>campagne d'avantage</v>
          </cell>
        </row>
        <row r="68">
          <cell r="D68" t="str">
            <v>de la</v>
          </cell>
          <cell r="E68" t="str">
            <v>nature de l'offre</v>
          </cell>
          <cell r="F68" t="str">
            <v>de la</v>
          </cell>
          <cell r="G68" t="str">
            <v>campagne d'avantage</v>
          </cell>
        </row>
        <row r="69">
          <cell r="D69" t="str">
            <v>de l'</v>
          </cell>
          <cell r="E69" t="str">
            <v>état</v>
          </cell>
          <cell r="F69" t="str">
            <v>de la</v>
          </cell>
          <cell r="G69" t="str">
            <v>campagne d'avantage</v>
          </cell>
        </row>
        <row r="70">
          <cell r="D70" t="str">
            <v>entre</v>
          </cell>
          <cell r="E70" t="str">
            <v>ACEM</v>
          </cell>
          <cell r="F70" t="str">
            <v>et</v>
          </cell>
          <cell r="G70" t="str">
            <v>campagne d'avantage</v>
          </cell>
        </row>
        <row r="71">
          <cell r="D71" t="str">
            <v>entre</v>
          </cell>
          <cell r="E71" t="str">
            <v>géographique</v>
          </cell>
          <cell r="F71" t="str">
            <v>et</v>
          </cell>
          <cell r="G71" t="str">
            <v>campagne d'avantage</v>
          </cell>
        </row>
        <row r="72">
          <cell r="D72" t="str">
            <v>entre</v>
          </cell>
          <cell r="E72" t="str">
            <v>géographique</v>
          </cell>
          <cell r="F72" t="str">
            <v>et</v>
          </cell>
          <cell r="G72" t="str">
            <v>campagne d'avantage</v>
          </cell>
        </row>
        <row r="73">
          <cell r="D73" t="str">
            <v>entre</v>
          </cell>
          <cell r="E73" t="str">
            <v>produit d'assurance</v>
          </cell>
          <cell r="F73" t="str">
            <v>et</v>
          </cell>
          <cell r="G73" t="str">
            <v>campagne d'avantage</v>
          </cell>
        </row>
        <row r="74">
          <cell r="D74" t="str">
            <v>entre</v>
          </cell>
          <cell r="E74" t="str">
            <v>produit d'assurance</v>
          </cell>
          <cell r="F74" t="str">
            <v>et</v>
          </cell>
          <cell r="G74" t="str">
            <v>campagne d'avantage</v>
          </cell>
        </row>
        <row r="75">
          <cell r="D75" t="str">
            <v>entre</v>
          </cell>
          <cell r="E75" t="str">
            <v>ACEM</v>
          </cell>
          <cell r="F75" t="str">
            <v>et</v>
          </cell>
          <cell r="G75" t="str">
            <v>campagne d'avantage</v>
          </cell>
        </row>
        <row r="76">
          <cell r="D76" t="str">
            <v>entre</v>
          </cell>
          <cell r="E76" t="str">
            <v>ACEM</v>
          </cell>
          <cell r="F76" t="str">
            <v>et</v>
          </cell>
          <cell r="G76" t="str">
            <v>campagne d'avantage</v>
          </cell>
        </row>
        <row r="77">
          <cell r="D77" t="str">
            <v>de l'</v>
          </cell>
          <cell r="E77" t="str">
            <v>ACEM réalisée</v>
          </cell>
          <cell r="F77" t="str">
            <v>de la</v>
          </cell>
          <cell r="G77" t="str">
            <v>campagne d'avantage</v>
          </cell>
        </row>
        <row r="78">
          <cell r="D78" t="str">
            <v>de l'</v>
          </cell>
          <cell r="E78" t="str">
            <v>ACEM réalisée</v>
          </cell>
          <cell r="F78" t="str">
            <v>de la</v>
          </cell>
          <cell r="G78" t="str">
            <v>campagne d'avantage</v>
          </cell>
        </row>
        <row r="79">
          <cell r="D79" t="str">
            <v>du</v>
          </cell>
          <cell r="E79" t="str">
            <v>Type d'utilisateur autorisé</v>
          </cell>
          <cell r="F79" t="str">
            <v>de la</v>
          </cell>
          <cell r="G79" t="str">
            <v>campagne d'avantage</v>
          </cell>
        </row>
        <row r="80">
          <cell r="D80" t="str">
            <v>du</v>
          </cell>
          <cell r="E80" t="str">
            <v>Type d'utilisateur autorisé</v>
          </cell>
          <cell r="F80" t="str">
            <v>de la</v>
          </cell>
          <cell r="G80" t="str">
            <v>campagne d'avantage</v>
          </cell>
        </row>
        <row r="81">
          <cell r="D81" t="str">
            <v>du</v>
          </cell>
          <cell r="E81" t="str">
            <v>type de bénéficiaire</v>
          </cell>
          <cell r="F81" t="str">
            <v>de la</v>
          </cell>
          <cell r="G81" t="str">
            <v>campagne d'avantage</v>
          </cell>
        </row>
        <row r="82">
          <cell r="D82" t="str">
            <v>du</v>
          </cell>
          <cell r="E82" t="str">
            <v>type de bénéficiaire</v>
          </cell>
          <cell r="F82" t="str">
            <v>de la</v>
          </cell>
          <cell r="G82" t="str">
            <v>campagne d'avantage</v>
          </cell>
        </row>
        <row r="83">
          <cell r="D83" t="str">
            <v>du</v>
          </cell>
          <cell r="E83" t="str">
            <v>correspondant</v>
          </cell>
          <cell r="F83" t="str">
            <v>de la</v>
          </cell>
          <cell r="G83" t="str">
            <v>campagne d'avantage</v>
          </cell>
        </row>
        <row r="84">
          <cell r="D84" t="str">
            <v>du</v>
          </cell>
          <cell r="E84" t="str">
            <v>canal de distribution</v>
          </cell>
          <cell r="F84" t="str">
            <v>de la</v>
          </cell>
          <cell r="G84" t="str">
            <v>campagne d'avantage</v>
          </cell>
        </row>
        <row r="85">
          <cell r="D85" t="str">
            <v>du</v>
          </cell>
          <cell r="E85" t="str">
            <v>canal de distribution</v>
          </cell>
          <cell r="F85" t="str">
            <v>de la</v>
          </cell>
          <cell r="G85" t="str">
            <v>campagne d'avantage</v>
          </cell>
        </row>
        <row r="86">
          <cell r="D86" t="str">
            <v>du</v>
          </cell>
          <cell r="E86" t="str">
            <v>type de mois gratuit</v>
          </cell>
          <cell r="F86" t="str">
            <v>de la</v>
          </cell>
          <cell r="G86" t="str">
            <v>campagne d'avantage</v>
          </cell>
        </row>
        <row r="87">
          <cell r="D87" t="str">
            <v>du</v>
          </cell>
          <cell r="E87" t="str">
            <v>type de mois gratuit</v>
          </cell>
          <cell r="F87" t="str">
            <v>de la</v>
          </cell>
          <cell r="G87" t="str">
            <v>campagne d'avantage</v>
          </cell>
        </row>
        <row r="88">
          <cell r="D88" t="str">
            <v>du</v>
          </cell>
          <cell r="E88" t="str">
            <v>format</v>
          </cell>
          <cell r="F88" t="str">
            <v>de la</v>
          </cell>
          <cell r="G88" t="str">
            <v>campagne d'avantage</v>
          </cell>
        </row>
        <row r="89">
          <cell r="D89" t="str">
            <v>du</v>
          </cell>
          <cell r="E89" t="str">
            <v>format</v>
          </cell>
          <cell r="F89" t="str">
            <v>de la</v>
          </cell>
          <cell r="G89" t="str">
            <v>campagne d'avantage</v>
          </cell>
        </row>
        <row r="90">
          <cell r="D90" t="str">
            <v>sur l'</v>
          </cell>
          <cell r="E90" t="str">
            <v>observation</v>
          </cell>
          <cell r="F90" t="str">
            <v>de la</v>
          </cell>
          <cell r="G90" t="str">
            <v>campagne d'avantage</v>
          </cell>
        </row>
        <row r="91">
          <cell r="D91" t="str">
            <v>de la</v>
          </cell>
          <cell r="E91" t="str">
            <v>nature de l'offre</v>
          </cell>
          <cell r="F91" t="str">
            <v>de la</v>
          </cell>
          <cell r="G91" t="str">
            <v>campagne d'avantage</v>
          </cell>
        </row>
        <row r="92">
          <cell r="D92" t="str">
            <v>de la</v>
          </cell>
          <cell r="E92" t="str">
            <v>nature de l'offre</v>
          </cell>
          <cell r="F92" t="str">
            <v>de la</v>
          </cell>
          <cell r="G92" t="str">
            <v>campagne d'avantage</v>
          </cell>
        </row>
        <row r="93">
          <cell r="D93" t="str">
            <v>de l'</v>
          </cell>
          <cell r="E93" t="str">
            <v>opération</v>
          </cell>
          <cell r="F93" t="str">
            <v>de la</v>
          </cell>
          <cell r="G93" t="str">
            <v>campagne d'avantage</v>
          </cell>
        </row>
        <row r="94">
          <cell r="D94" t="str">
            <v>de l'</v>
          </cell>
          <cell r="E94" t="str">
            <v>état</v>
          </cell>
          <cell r="F94" t="str">
            <v>de la</v>
          </cell>
          <cell r="G94" t="str">
            <v>campagne d'avantage</v>
          </cell>
        </row>
        <row r="95">
          <cell r="D95" t="str">
            <v>de l'</v>
          </cell>
          <cell r="E95" t="str">
            <v>état</v>
          </cell>
          <cell r="F95" t="str">
            <v>de la</v>
          </cell>
          <cell r="G95" t="str">
            <v>campagne d'avantage</v>
          </cell>
        </row>
        <row r="96">
          <cell r="C96" t="str">
            <v>maximum</v>
          </cell>
          <cell r="D96" t="str">
            <v>de</v>
          </cell>
          <cell r="E96" t="str">
            <v>commande</v>
          </cell>
          <cell r="F96" t="str">
            <v>sur la</v>
          </cell>
          <cell r="G96" t="str">
            <v>période de lancement</v>
          </cell>
          <cell r="H96" t="str">
            <v>de la</v>
          </cell>
          <cell r="I96" t="str">
            <v>campagne d'avantage</v>
          </cell>
        </row>
        <row r="97">
          <cell r="D97" t="str">
            <v>de la</v>
          </cell>
          <cell r="E97" t="str">
            <v>devise du montant</v>
          </cell>
          <cell r="F97" t="str">
            <v>de la</v>
          </cell>
          <cell r="G97" t="str">
            <v>commission</v>
          </cell>
          <cell r="H97" t="str">
            <v>de l'</v>
          </cell>
          <cell r="I97" t="str">
            <v>avantage Temps Fort</v>
          </cell>
        </row>
        <row r="98">
          <cell r="D98" t="str">
            <v>du</v>
          </cell>
          <cell r="E98" t="str">
            <v>type de motif</v>
          </cell>
          <cell r="F98" t="str">
            <v>de la</v>
          </cell>
          <cell r="G98" t="str">
            <v>consommation d'avantage</v>
          </cell>
        </row>
        <row r="99">
          <cell r="D99" t="str">
            <v>du</v>
          </cell>
          <cell r="E99" t="str">
            <v>type de motif</v>
          </cell>
          <cell r="F99" t="str">
            <v>de la</v>
          </cell>
          <cell r="G99" t="str">
            <v>consommation d'avantage</v>
          </cell>
        </row>
        <row r="100">
          <cell r="D100" t="str">
            <v>du</v>
          </cell>
          <cell r="E100" t="str">
            <v>type de motif</v>
          </cell>
          <cell r="F100" t="str">
            <v>de la</v>
          </cell>
          <cell r="G100" t="str">
            <v>consommation d'avantage</v>
          </cell>
        </row>
        <row r="101">
          <cell r="D101" t="str">
            <v>du</v>
          </cell>
          <cell r="E101" t="str">
            <v>type de motif</v>
          </cell>
          <cell r="F101" t="str">
            <v>de la</v>
          </cell>
          <cell r="G101" t="str">
            <v>consommation d'avantage</v>
          </cell>
        </row>
        <row r="102">
          <cell r="D102" t="str">
            <v>de la</v>
          </cell>
          <cell r="E102" t="str">
            <v>devise du montant</v>
          </cell>
          <cell r="F102" t="str">
            <v>de la</v>
          </cell>
          <cell r="G102" t="str">
            <v>cotisation</v>
          </cell>
          <cell r="H102" t="str">
            <v>de l'</v>
          </cell>
          <cell r="I102" t="str">
            <v>avantage Temps Fort</v>
          </cell>
        </row>
        <row r="103">
          <cell r="D103" t="str">
            <v>du</v>
          </cell>
          <cell r="E103" t="str">
            <v>Regroupement de guichet</v>
          </cell>
          <cell r="F103" t="str">
            <v>de la</v>
          </cell>
          <cell r="G103" t="str">
            <v>direction régionale</v>
          </cell>
        </row>
        <row r="104">
          <cell r="D104" t="str">
            <v>de la</v>
          </cell>
          <cell r="E104" t="str">
            <v>devise du montant</v>
          </cell>
          <cell r="F104" t="str">
            <v>de la</v>
          </cell>
          <cell r="G104" t="str">
            <v>réduction</v>
          </cell>
          <cell r="H104" t="str">
            <v>des</v>
          </cell>
          <cell r="I104" t="str">
            <v>avantages FONDO/ACORES</v>
          </cell>
        </row>
        <row r="105">
          <cell r="D105" t="str">
            <v>de la</v>
          </cell>
          <cell r="E105" t="str">
            <v>campagne d'avantage</v>
          </cell>
        </row>
        <row r="106">
          <cell r="D106" t="str">
            <v>de</v>
          </cell>
          <cell r="E106" t="str">
            <v>consommation d'avantage</v>
          </cell>
        </row>
        <row r="107">
          <cell r="D107" t="str">
            <v>de l'</v>
          </cell>
          <cell r="E107" t="str">
            <v>avantage contrat</v>
          </cell>
        </row>
        <row r="108">
          <cell r="D108" t="str">
            <v>de l'</v>
          </cell>
          <cell r="E108" t="str">
            <v>avantage sans campagne commerciale</v>
          </cell>
        </row>
        <row r="109">
          <cell r="D109" t="str">
            <v>de</v>
          </cell>
          <cell r="E109" t="str">
            <v>consommation d'avantage</v>
          </cell>
        </row>
        <row r="110">
          <cell r="D110" t="str">
            <v>de la</v>
          </cell>
          <cell r="E110" t="str">
            <v>campagne d'avantage</v>
          </cell>
        </row>
        <row r="111">
          <cell r="D111" t="str">
            <v>de</v>
          </cell>
          <cell r="E111" t="str">
            <v>consommation d'avantage</v>
          </cell>
        </row>
        <row r="112">
          <cell r="D112" t="str">
            <v>de l'</v>
          </cell>
          <cell r="E112" t="str">
            <v>avantage contrat</v>
          </cell>
        </row>
        <row r="113">
          <cell r="D113" t="str">
            <v>de l'</v>
          </cell>
          <cell r="E113" t="str">
            <v>avantage sans campagne commerciale</v>
          </cell>
        </row>
        <row r="114">
          <cell r="D114" t="str">
            <v>de</v>
          </cell>
          <cell r="E114" t="str">
            <v>consommation d'avantage</v>
          </cell>
        </row>
        <row r="115">
          <cell r="D115" t="str">
            <v>de la</v>
          </cell>
          <cell r="E115" t="str">
            <v>consommation d'avantage</v>
          </cell>
        </row>
        <row r="116">
          <cell r="D116" t="str">
            <v>de l'</v>
          </cell>
          <cell r="E116" t="str">
            <v>avantage mois gratuit</v>
          </cell>
        </row>
        <row r="117">
          <cell r="D117" t="str">
            <v>des</v>
          </cell>
          <cell r="E117" t="str">
            <v>avantages FONDO/ACORES</v>
          </cell>
        </row>
        <row r="118">
          <cell r="D118" t="str">
            <v>d'</v>
          </cell>
          <cell r="E118" t="str">
            <v>autres types</v>
          </cell>
        </row>
        <row r="119">
          <cell r="D119" t="str">
            <v>de la</v>
          </cell>
          <cell r="E119" t="str">
            <v>campagne d'avantage</v>
          </cell>
        </row>
        <row r="120">
          <cell r="D120" t="str">
            <v>de la</v>
          </cell>
          <cell r="E120" t="str">
            <v>campagne d'avantage</v>
          </cell>
        </row>
        <row r="121">
          <cell r="D121" t="str">
            <v>de la</v>
          </cell>
          <cell r="E121" t="str">
            <v>campagne d'avantage</v>
          </cell>
        </row>
        <row r="122">
          <cell r="D122" t="str">
            <v>de la</v>
          </cell>
          <cell r="E122" t="str">
            <v>campagne d'avantage</v>
          </cell>
        </row>
        <row r="123">
          <cell r="D123" t="str">
            <v>de la</v>
          </cell>
          <cell r="E123" t="str">
            <v>campagne d'avantage</v>
          </cell>
        </row>
        <row r="124">
          <cell r="D124" t="str">
            <v>de la</v>
          </cell>
          <cell r="E124" t="str">
            <v>campagne d'avantage</v>
          </cell>
        </row>
        <row r="125">
          <cell r="D125" t="str">
            <v>de la</v>
          </cell>
          <cell r="E125" t="str">
            <v>consommation d'avantage</v>
          </cell>
        </row>
        <row r="126">
          <cell r="D126" t="str">
            <v>de</v>
          </cell>
          <cell r="E126" t="str">
            <v>consommation d'avantage</v>
          </cell>
        </row>
        <row r="127">
          <cell r="D127" t="str">
            <v>de la</v>
          </cell>
          <cell r="E127" t="str">
            <v>consommation d'avantage</v>
          </cell>
        </row>
        <row r="128">
          <cell r="D128" t="str">
            <v>de</v>
          </cell>
          <cell r="E128" t="str">
            <v>consommation d'avantage</v>
          </cell>
        </row>
        <row r="129">
          <cell r="D129" t="str">
            <v>de</v>
          </cell>
          <cell r="E129" t="str">
            <v>consommation d'avantage</v>
          </cell>
        </row>
        <row r="130">
          <cell r="D130" t="str">
            <v>de</v>
          </cell>
          <cell r="E130" t="str">
            <v>consommation d'avantage</v>
          </cell>
        </row>
        <row r="131">
          <cell r="D131" t="str">
            <v>de l'</v>
          </cell>
          <cell r="E131" t="str">
            <v>avantage contrat</v>
          </cell>
        </row>
        <row r="132">
          <cell r="D132" t="str">
            <v>de l'</v>
          </cell>
          <cell r="E132" t="str">
            <v>avantage contrat</v>
          </cell>
        </row>
        <row r="133">
          <cell r="D133" t="str">
            <v>de l'</v>
          </cell>
          <cell r="E133" t="str">
            <v>avantage contrat</v>
          </cell>
        </row>
        <row r="134">
          <cell r="D134" t="str">
            <v>de l'</v>
          </cell>
          <cell r="E134" t="str">
            <v>avantage sans campagne commerciale</v>
          </cell>
        </row>
        <row r="135">
          <cell r="D135" t="str">
            <v>de l'</v>
          </cell>
          <cell r="E135" t="str">
            <v>avantage sans campagne commerciale</v>
          </cell>
        </row>
        <row r="136">
          <cell r="D136" t="str">
            <v>de la</v>
          </cell>
          <cell r="E136" t="str">
            <v>campagne d'avantage</v>
          </cell>
        </row>
        <row r="137">
          <cell r="D137" t="str">
            <v>de l'</v>
          </cell>
          <cell r="E137" t="str">
            <v>avantage contrat</v>
          </cell>
        </row>
        <row r="138">
          <cell r="D138" t="str">
            <v>de l'</v>
          </cell>
          <cell r="E138" t="str">
            <v>avantage sans campagne commerciale</v>
          </cell>
        </row>
        <row r="139">
          <cell r="D139" t="str">
            <v>de l'</v>
          </cell>
          <cell r="E139" t="str">
            <v>activité</v>
          </cell>
        </row>
        <row r="140">
          <cell r="D140" t="str">
            <v>du</v>
          </cell>
          <cell r="E140" t="str">
            <v>regroupement secteur d'activité</v>
          </cell>
        </row>
        <row r="141">
          <cell r="C141" t="str">
            <v>mois gratuit</v>
          </cell>
          <cell r="D141" t="str">
            <v>de la</v>
          </cell>
          <cell r="E141" t="str">
            <v>campagne d'avantage</v>
          </cell>
        </row>
        <row r="142">
          <cell r="C142" t="str">
            <v>mois gratuit</v>
          </cell>
          <cell r="D142" t="str">
            <v>de l'</v>
          </cell>
          <cell r="E142" t="str">
            <v>avantage contrat</v>
          </cell>
        </row>
        <row r="143">
          <cell r="C143" t="str">
            <v>Dernière image</v>
          </cell>
          <cell r="D143" t="str">
            <v>entre</v>
          </cell>
          <cell r="E143" t="str">
            <v>géographique</v>
          </cell>
          <cell r="F143" t="str">
            <v>et</v>
          </cell>
          <cell r="G143" t="str">
            <v>campagne d'avantage</v>
          </cell>
        </row>
        <row r="144">
          <cell r="C144" t="str">
            <v>Dernière image</v>
          </cell>
          <cell r="D144" t="str">
            <v>entre</v>
          </cell>
          <cell r="E144" t="str">
            <v>produit d'assurance</v>
          </cell>
          <cell r="F144" t="str">
            <v>et</v>
          </cell>
          <cell r="G144" t="str">
            <v>campagne d'avantage</v>
          </cell>
        </row>
        <row r="145">
          <cell r="C145" t="str">
            <v>Dernière image</v>
          </cell>
          <cell r="D145" t="str">
            <v>de la</v>
          </cell>
          <cell r="E145" t="str">
            <v>campagne d'avantage</v>
          </cell>
        </row>
        <row r="146">
          <cell r="C146" t="str">
            <v>Dernière image</v>
          </cell>
          <cell r="D146" t="str">
            <v>entre</v>
          </cell>
          <cell r="E146" t="str">
            <v>ACEM</v>
          </cell>
          <cell r="F146" t="str">
            <v>et</v>
          </cell>
          <cell r="G146" t="str">
            <v>campagne d'avantage</v>
          </cell>
        </row>
        <row r="147">
          <cell r="C147" t="str">
            <v>Dernière image</v>
          </cell>
          <cell r="D147" t="str">
            <v>de</v>
          </cell>
          <cell r="E147" t="str">
            <v>consommation d'avantage</v>
          </cell>
        </row>
        <row r="148">
          <cell r="C148" t="str">
            <v>Dernière image</v>
          </cell>
          <cell r="D148" t="str">
            <v>de l'</v>
          </cell>
          <cell r="E148" t="str">
            <v>avantage contrat</v>
          </cell>
        </row>
        <row r="149">
          <cell r="C149" t="str">
            <v>Dernière image</v>
          </cell>
          <cell r="D149" t="str">
            <v>de l'</v>
          </cell>
          <cell r="E149" t="str">
            <v>avantage sans campagne commerciale</v>
          </cell>
        </row>
        <row r="150">
          <cell r="C150" t="str">
            <v>dernier crédit</v>
          </cell>
          <cell r="D150" t="str">
            <v>de l'</v>
          </cell>
          <cell r="E150" t="str">
            <v>avantage sans campagne commerciale</v>
          </cell>
        </row>
        <row r="151">
          <cell r="C151" t="str">
            <v>Rattachement</v>
          </cell>
          <cell r="D151" t="str">
            <v>du</v>
          </cell>
          <cell r="E151" t="str">
            <v>Contrat</v>
          </cell>
          <cell r="F151" t="str">
            <v>au</v>
          </cell>
          <cell r="G151" t="str">
            <v>Bureau du guichet</v>
          </cell>
        </row>
        <row r="152">
          <cell r="C152" t="str">
            <v>rattachement</v>
          </cell>
          <cell r="D152" t="str">
            <v>à</v>
          </cell>
          <cell r="E152" t="str">
            <v>"Centre Est Europe"</v>
          </cell>
          <cell r="F152" t="str">
            <v>du</v>
          </cell>
          <cell r="G152" t="str">
            <v>Regroupement de guichet</v>
          </cell>
        </row>
        <row r="153">
          <cell r="C153" t="str">
            <v>Banque Interco</v>
          </cell>
          <cell r="D153" t="str">
            <v>de l'</v>
          </cell>
          <cell r="E153" t="str">
            <v>établissement</v>
          </cell>
        </row>
        <row r="154">
          <cell r="D154" t="str">
            <v>de la</v>
          </cell>
          <cell r="E154" t="str">
            <v>section</v>
          </cell>
          <cell r="F154" t="str">
            <v>dans la</v>
          </cell>
          <cell r="G154" t="str">
            <v>base organisme</v>
          </cell>
        </row>
        <row r="155">
          <cell r="D155" t="str">
            <v>de la</v>
          </cell>
          <cell r="E155" t="str">
            <v>section</v>
          </cell>
          <cell r="F155" t="str">
            <v>dans la</v>
          </cell>
          <cell r="G155" t="str">
            <v>base organisme</v>
          </cell>
        </row>
        <row r="156">
          <cell r="D156" t="str">
            <v>de la</v>
          </cell>
          <cell r="E156" t="str">
            <v>Catégorie de l'activité</v>
          </cell>
          <cell r="F156" t="str">
            <v>du</v>
          </cell>
          <cell r="G156" t="str">
            <v>Bureau du Guichet</v>
          </cell>
        </row>
        <row r="157">
          <cell r="D157" t="str">
            <v>de la</v>
          </cell>
          <cell r="E157" t="str">
            <v>Sous Catégorie de l'activité</v>
          </cell>
          <cell r="F157" t="str">
            <v>du</v>
          </cell>
          <cell r="G157" t="str">
            <v>Bureau du Guichet</v>
          </cell>
        </row>
        <row r="158">
          <cell r="D158" t="str">
            <v>du</v>
          </cell>
          <cell r="E158" t="str">
            <v>Mode de gestion</v>
          </cell>
          <cell r="F158" t="str">
            <v>du</v>
          </cell>
          <cell r="G158" t="str">
            <v>Bureau du Guichet</v>
          </cell>
        </row>
        <row r="159">
          <cell r="D159" t="str">
            <v>de la</v>
          </cell>
          <cell r="E159" t="str">
            <v>Catégorie de l'activité</v>
          </cell>
          <cell r="F159" t="str">
            <v>du</v>
          </cell>
          <cell r="G159" t="str">
            <v>Bureau du Guichet</v>
          </cell>
        </row>
        <row r="160">
          <cell r="D160" t="str">
            <v>de la</v>
          </cell>
          <cell r="E160" t="str">
            <v>Catégorie de l'activité</v>
          </cell>
          <cell r="F160" t="str">
            <v>du</v>
          </cell>
          <cell r="G160" t="str">
            <v>Bureau du Guichet</v>
          </cell>
        </row>
        <row r="161">
          <cell r="D161" t="str">
            <v>de la</v>
          </cell>
          <cell r="E161" t="str">
            <v>Sous Catégorie de l'activité</v>
          </cell>
          <cell r="F161" t="str">
            <v>du</v>
          </cell>
          <cell r="G161" t="str">
            <v>Bureau du Guichet</v>
          </cell>
        </row>
        <row r="162">
          <cell r="D162" t="str">
            <v>de la</v>
          </cell>
          <cell r="E162" t="str">
            <v>Sous Catégorie de l'activité</v>
          </cell>
          <cell r="F162" t="str">
            <v>du</v>
          </cell>
          <cell r="G162" t="str">
            <v>Bureau du Guichet</v>
          </cell>
        </row>
        <row r="163">
          <cell r="D163" t="str">
            <v>du</v>
          </cell>
          <cell r="E163" t="str">
            <v>Mode de Gestion</v>
          </cell>
          <cell r="F163" t="str">
            <v>du</v>
          </cell>
          <cell r="G163" t="str">
            <v>Bureau du Guichet</v>
          </cell>
        </row>
        <row r="164">
          <cell r="D164" t="str">
            <v>du</v>
          </cell>
          <cell r="E164" t="str">
            <v>Mode de Gestion</v>
          </cell>
          <cell r="F164" t="str">
            <v>du</v>
          </cell>
          <cell r="G164" t="str">
            <v>Bureau du Guichet</v>
          </cell>
        </row>
        <row r="165">
          <cell r="D165" t="str">
            <v xml:space="preserve"> </v>
          </cell>
          <cell r="E165" t="str">
            <v>SIRET</v>
          </cell>
          <cell r="F165" t="str">
            <v>du</v>
          </cell>
          <cell r="G165" t="str">
            <v>Bureau du Guichet</v>
          </cell>
        </row>
        <row r="166">
          <cell r="D166" t="str">
            <v>de la</v>
          </cell>
          <cell r="E166" t="str">
            <v>Nature</v>
          </cell>
          <cell r="F166" t="str">
            <v>de l'</v>
          </cell>
          <cell r="G166" t="str">
            <v>Entité Gestionnaire</v>
          </cell>
        </row>
        <row r="167">
          <cell r="D167" t="str">
            <v>de la</v>
          </cell>
          <cell r="E167" t="str">
            <v>Situation</v>
          </cell>
          <cell r="F167" t="str">
            <v>de l'</v>
          </cell>
          <cell r="G167" t="str">
            <v>Entité Gestionnaire</v>
          </cell>
        </row>
        <row r="168">
          <cell r="D168" t="str">
            <v>de la</v>
          </cell>
          <cell r="E168" t="str">
            <v>Nature</v>
          </cell>
          <cell r="F168" t="str">
            <v>de l'</v>
          </cell>
          <cell r="G168" t="str">
            <v>Entité gestionnaire</v>
          </cell>
          <cell r="H168" t="str">
            <v>du</v>
          </cell>
          <cell r="I168" t="str">
            <v>Guichet de l'établissement</v>
          </cell>
        </row>
        <row r="169">
          <cell r="D169" t="str">
            <v>de la</v>
          </cell>
          <cell r="E169" t="str">
            <v>Nature</v>
          </cell>
          <cell r="F169" t="str">
            <v>de l'</v>
          </cell>
          <cell r="G169" t="str">
            <v>Entité gestionnaire</v>
          </cell>
          <cell r="H169" t="str">
            <v>du</v>
          </cell>
          <cell r="I169" t="str">
            <v>Guichet de l'établissement</v>
          </cell>
        </row>
        <row r="170">
          <cell r="D170" t="str">
            <v>de la</v>
          </cell>
          <cell r="E170" t="str">
            <v>Situation</v>
          </cell>
          <cell r="F170" t="str">
            <v>de l'</v>
          </cell>
          <cell r="G170" t="str">
            <v>Entité gestionnaire</v>
          </cell>
          <cell r="H170" t="str">
            <v>du</v>
          </cell>
          <cell r="I170" t="str">
            <v>Guichet de l'établissement</v>
          </cell>
        </row>
        <row r="171">
          <cell r="D171" t="str">
            <v>de la</v>
          </cell>
          <cell r="E171" t="str">
            <v>Situation</v>
          </cell>
          <cell r="F171" t="str">
            <v>de l'</v>
          </cell>
          <cell r="G171" t="str">
            <v>Entité gestionnaire</v>
          </cell>
          <cell r="H171" t="str">
            <v>du</v>
          </cell>
          <cell r="I171" t="str">
            <v>Guichet de l'établissement</v>
          </cell>
        </row>
        <row r="172">
          <cell r="D172" t="str">
            <v>de la</v>
          </cell>
          <cell r="E172" t="str">
            <v>Nature</v>
          </cell>
          <cell r="F172" t="str">
            <v>de l'</v>
          </cell>
          <cell r="G172" t="str">
            <v>Entité Gestionnaire</v>
          </cell>
        </row>
        <row r="173">
          <cell r="D173" t="str">
            <v>de la</v>
          </cell>
          <cell r="E173" t="str">
            <v>Nature</v>
          </cell>
          <cell r="F173" t="str">
            <v>de l'</v>
          </cell>
          <cell r="G173" t="str">
            <v>Entité Gestionnaire</v>
          </cell>
        </row>
        <row r="174">
          <cell r="D174" t="str">
            <v>de la</v>
          </cell>
          <cell r="E174" t="str">
            <v>Situation</v>
          </cell>
          <cell r="F174" t="str">
            <v>de l'</v>
          </cell>
          <cell r="G174" t="str">
            <v>Entité Gestionnaire</v>
          </cell>
        </row>
        <row r="175">
          <cell r="D175" t="str">
            <v>de la</v>
          </cell>
          <cell r="E175" t="str">
            <v>Situation</v>
          </cell>
          <cell r="F175" t="str">
            <v>de l'</v>
          </cell>
          <cell r="G175" t="str">
            <v>Entité Gestionnaire</v>
          </cell>
        </row>
        <row r="176">
          <cell r="D176" t="str">
            <v>du</v>
          </cell>
          <cell r="E176" t="str">
            <v>Type d'utilisation</v>
          </cell>
          <cell r="F176" t="str">
            <v>de l'</v>
          </cell>
          <cell r="G176" t="str">
            <v>établissement</v>
          </cell>
        </row>
        <row r="177">
          <cell r="D177" t="str">
            <v>de l'</v>
          </cell>
          <cell r="E177" t="str">
            <v>BIC</v>
          </cell>
          <cell r="F177" t="str">
            <v>de l'</v>
          </cell>
          <cell r="G177" t="str">
            <v>établissement</v>
          </cell>
        </row>
        <row r="178">
          <cell r="D178" t="str">
            <v>du</v>
          </cell>
          <cell r="E178" t="str">
            <v>Type d'Entité Bancaire</v>
          </cell>
          <cell r="F178" t="str">
            <v>de l'</v>
          </cell>
          <cell r="G178" t="str">
            <v>établissement</v>
          </cell>
        </row>
        <row r="179">
          <cell r="D179" t="str">
            <v>du</v>
          </cell>
          <cell r="E179" t="str">
            <v>Type d'Entité Bancaire</v>
          </cell>
          <cell r="F179" t="str">
            <v>de l'</v>
          </cell>
          <cell r="G179" t="str">
            <v>établissement</v>
          </cell>
        </row>
        <row r="180">
          <cell r="D180" t="str">
            <v>du</v>
          </cell>
          <cell r="E180" t="str">
            <v>Réseau bancaire</v>
          </cell>
          <cell r="F180" t="str">
            <v>de l'</v>
          </cell>
          <cell r="G180" t="str">
            <v>établissement</v>
          </cell>
        </row>
        <row r="181">
          <cell r="D181" t="str">
            <v>du</v>
          </cell>
          <cell r="E181" t="str">
            <v>Réseau Bancaire</v>
          </cell>
          <cell r="F181" t="str">
            <v>de l'</v>
          </cell>
          <cell r="G181" t="str">
            <v>établissement</v>
          </cell>
        </row>
        <row r="182">
          <cell r="D182" t="str">
            <v>d'</v>
          </cell>
          <cell r="E182" t="str">
            <v>Identifiant d'Entité Légale (LEI)</v>
          </cell>
          <cell r="F182" t="str">
            <v>de l'</v>
          </cell>
          <cell r="G182" t="str">
            <v>établissement</v>
          </cell>
        </row>
        <row r="183">
          <cell r="D183" t="str">
            <v>de l'</v>
          </cell>
          <cell r="E183" t="str">
            <v>Entité centralisatrice des tiers</v>
          </cell>
          <cell r="F183" t="str">
            <v>de l'</v>
          </cell>
          <cell r="G183" t="str">
            <v>établissement</v>
          </cell>
        </row>
        <row r="184">
          <cell r="D184" t="str">
            <v xml:space="preserve"> </v>
          </cell>
          <cell r="E184" t="str">
            <v>SIRET</v>
          </cell>
          <cell r="F184" t="str">
            <v>de l'</v>
          </cell>
          <cell r="G184" t="str">
            <v>établissement</v>
          </cell>
        </row>
        <row r="185">
          <cell r="D185" t="str">
            <v>du</v>
          </cell>
          <cell r="E185" t="str">
            <v>Type d'utilisation</v>
          </cell>
          <cell r="F185" t="str">
            <v>de l'</v>
          </cell>
          <cell r="G185" t="str">
            <v>établissement</v>
          </cell>
        </row>
        <row r="186">
          <cell r="D186" t="str">
            <v>du</v>
          </cell>
          <cell r="E186" t="str">
            <v>Type d'utilisation</v>
          </cell>
          <cell r="F186" t="str">
            <v>de l'</v>
          </cell>
          <cell r="G186" t="str">
            <v>établissement</v>
          </cell>
        </row>
        <row r="187">
          <cell r="D187" t="str">
            <v>du</v>
          </cell>
          <cell r="E187" t="str">
            <v>Réseau bancaire</v>
          </cell>
          <cell r="F187" t="str">
            <v>de la</v>
          </cell>
          <cell r="G187" t="str">
            <v>Fédération</v>
          </cell>
        </row>
        <row r="188">
          <cell r="D188" t="str">
            <v>du</v>
          </cell>
          <cell r="E188" t="str">
            <v>Réseau Bancaire</v>
          </cell>
          <cell r="F188" t="str">
            <v>de la</v>
          </cell>
          <cell r="G188" t="str">
            <v>Fédération</v>
          </cell>
        </row>
        <row r="189">
          <cell r="D189" t="str">
            <v xml:space="preserve"> </v>
          </cell>
          <cell r="E189" t="str">
            <v>suspension de commissionnement</v>
          </cell>
          <cell r="F189" t="str">
            <v>du</v>
          </cell>
          <cell r="G189" t="str">
            <v>Guichet de l'établissement</v>
          </cell>
        </row>
        <row r="190">
          <cell r="D190" t="str">
            <v xml:space="preserve"> </v>
          </cell>
          <cell r="E190" t="str">
            <v>commissionable</v>
          </cell>
          <cell r="F190" t="str">
            <v>du</v>
          </cell>
          <cell r="G190" t="str">
            <v>Guichet de l'établissement</v>
          </cell>
        </row>
        <row r="191">
          <cell r="D191" t="str">
            <v>du</v>
          </cell>
          <cell r="E191" t="str">
            <v>Type</v>
          </cell>
          <cell r="F191" t="str">
            <v>du</v>
          </cell>
          <cell r="G191" t="str">
            <v>Guichet de l'établissement</v>
          </cell>
        </row>
        <row r="192">
          <cell r="D192" t="str">
            <v>du</v>
          </cell>
          <cell r="E192" t="str">
            <v>Pays</v>
          </cell>
          <cell r="F192" t="str">
            <v>du</v>
          </cell>
          <cell r="G192" t="str">
            <v>Guichet de l'établissement</v>
          </cell>
        </row>
        <row r="193">
          <cell r="D193" t="str">
            <v>du</v>
          </cell>
          <cell r="E193" t="str">
            <v>Pays</v>
          </cell>
          <cell r="F193" t="str">
            <v>du</v>
          </cell>
          <cell r="G193" t="str">
            <v>Guichet de l'établissement</v>
          </cell>
        </row>
        <row r="194">
          <cell r="D194" t="str">
            <v>du</v>
          </cell>
          <cell r="E194" t="str">
            <v>Type</v>
          </cell>
          <cell r="F194" t="str">
            <v>du</v>
          </cell>
          <cell r="G194" t="str">
            <v>Guichet de l'établissement</v>
          </cell>
        </row>
        <row r="195">
          <cell r="D195" t="str">
            <v>du</v>
          </cell>
          <cell r="E195" t="str">
            <v>Type</v>
          </cell>
          <cell r="F195" t="str">
            <v>du</v>
          </cell>
          <cell r="G195" t="str">
            <v>Guichet de l'établissement</v>
          </cell>
        </row>
        <row r="196">
          <cell r="D196" t="str">
            <v>du</v>
          </cell>
          <cell r="E196" t="str">
            <v>code métier</v>
          </cell>
          <cell r="F196" t="str">
            <v>du</v>
          </cell>
          <cell r="G196" t="str">
            <v>pilotage financier</v>
          </cell>
        </row>
        <row r="197">
          <cell r="D197" t="str">
            <v>du</v>
          </cell>
          <cell r="E197" t="str">
            <v>Préfixe</v>
          </cell>
          <cell r="F197" t="str">
            <v>du</v>
          </cell>
          <cell r="G197" t="str">
            <v>Regroupement de Guichet</v>
          </cell>
        </row>
        <row r="198">
          <cell r="D198" t="str">
            <v>du</v>
          </cell>
          <cell r="E198" t="str">
            <v>Guichet  Maître de l'établissement</v>
          </cell>
          <cell r="F198" t="str">
            <v>du</v>
          </cell>
          <cell r="G198" t="str">
            <v>Regroupement de Guichet</v>
          </cell>
        </row>
        <row r="199">
          <cell r="D199" t="str">
            <v>du</v>
          </cell>
          <cell r="E199" t="str">
            <v>Périmètre de Couverture</v>
          </cell>
          <cell r="F199" t="str">
            <v>du</v>
          </cell>
          <cell r="G199" t="str">
            <v>Regroupement de Guichet</v>
          </cell>
        </row>
        <row r="200">
          <cell r="D200" t="str">
            <v>de l'</v>
          </cell>
          <cell r="E200" t="str">
            <v>établissement Maître</v>
          </cell>
          <cell r="F200" t="str">
            <v>du</v>
          </cell>
          <cell r="G200" t="str">
            <v>Regroupement de Guichet</v>
          </cell>
        </row>
        <row r="201">
          <cell r="D201" t="str">
            <v>du</v>
          </cell>
          <cell r="E201" t="str">
            <v>Préfixe</v>
          </cell>
          <cell r="F201" t="str">
            <v>du</v>
          </cell>
          <cell r="G201" t="str">
            <v>Regroupement de Guichet</v>
          </cell>
        </row>
        <row r="202">
          <cell r="D202" t="str">
            <v>du</v>
          </cell>
          <cell r="E202" t="str">
            <v>Préfixe</v>
          </cell>
          <cell r="F202" t="str">
            <v>du</v>
          </cell>
          <cell r="G202" t="str">
            <v>Regroupement de Guichet</v>
          </cell>
        </row>
        <row r="203">
          <cell r="D203" t="str">
            <v>du</v>
          </cell>
          <cell r="E203" t="str">
            <v>Guichet de l'établissement</v>
          </cell>
          <cell r="F203" t="str">
            <v>de la</v>
          </cell>
          <cell r="G203" t="str">
            <v>section</v>
          </cell>
        </row>
        <row r="204">
          <cell r="D204" t="str">
            <v>du</v>
          </cell>
          <cell r="E204" t="str">
            <v>Guichet de l'établissement</v>
          </cell>
          <cell r="F204" t="str">
            <v>de la</v>
          </cell>
          <cell r="G204" t="str">
            <v>section</v>
          </cell>
        </row>
        <row r="205">
          <cell r="D205" t="str">
            <v>de la</v>
          </cell>
          <cell r="E205" t="str">
            <v>fédération</v>
          </cell>
          <cell r="F205" t="str">
            <v>de la</v>
          </cell>
          <cell r="G205" t="str">
            <v>section</v>
          </cell>
        </row>
        <row r="206">
          <cell r="D206" t="str">
            <v>de la</v>
          </cell>
          <cell r="E206" t="str">
            <v>fédération</v>
          </cell>
          <cell r="F206" t="str">
            <v>de la</v>
          </cell>
          <cell r="G206" t="str">
            <v>section</v>
          </cell>
        </row>
        <row r="207">
          <cell r="D207" t="str">
            <v>de la</v>
          </cell>
          <cell r="E207" t="str">
            <v>localité</v>
          </cell>
          <cell r="F207" t="str">
            <v>de la</v>
          </cell>
          <cell r="G207" t="str">
            <v>section</v>
          </cell>
        </row>
        <row r="208">
          <cell r="D208" t="str">
            <v>de la</v>
          </cell>
          <cell r="E208" t="str">
            <v>nature</v>
          </cell>
          <cell r="F208" t="str">
            <v>de la</v>
          </cell>
          <cell r="G208" t="str">
            <v>section</v>
          </cell>
        </row>
        <row r="209">
          <cell r="D209" t="str">
            <v>de l'</v>
          </cell>
          <cell r="E209" t="str">
            <v>établissement</v>
          </cell>
          <cell r="F209" t="str">
            <v>de la</v>
          </cell>
          <cell r="G209" t="str">
            <v>section</v>
          </cell>
        </row>
        <row r="210">
          <cell r="D210" t="str">
            <v>de l'</v>
          </cell>
          <cell r="E210" t="str">
            <v>établissement</v>
          </cell>
          <cell r="F210" t="str">
            <v>de la</v>
          </cell>
          <cell r="G210" t="str">
            <v>section</v>
          </cell>
        </row>
        <row r="211">
          <cell r="D211" t="str">
            <v>du</v>
          </cell>
          <cell r="E211" t="str">
            <v>responsable</v>
          </cell>
          <cell r="F211" t="str">
            <v>de la</v>
          </cell>
          <cell r="G211" t="str">
            <v>section</v>
          </cell>
        </row>
        <row r="212">
          <cell r="D212" t="str">
            <v>du</v>
          </cell>
          <cell r="E212" t="str">
            <v>responsable</v>
          </cell>
          <cell r="F212" t="str">
            <v>de la</v>
          </cell>
          <cell r="G212" t="str">
            <v>section</v>
          </cell>
        </row>
        <row r="213">
          <cell r="D213" t="str">
            <v>du</v>
          </cell>
          <cell r="E213" t="str">
            <v>responsable</v>
          </cell>
          <cell r="F213" t="str">
            <v>de la</v>
          </cell>
          <cell r="G213" t="str">
            <v>section</v>
          </cell>
        </row>
        <row r="214">
          <cell r="D214" t="str">
            <v>du</v>
          </cell>
          <cell r="E214" t="str">
            <v>Mode de gestion</v>
          </cell>
          <cell r="G214" t="str">
            <v>SIRET</v>
          </cell>
          <cell r="H214" t="str">
            <v>et</v>
          </cell>
          <cell r="I214" t="str">
            <v>SIREN</v>
          </cell>
        </row>
        <row r="215">
          <cell r="D215" t="str">
            <v>du</v>
          </cell>
          <cell r="E215" t="str">
            <v>Mode de gestion</v>
          </cell>
          <cell r="G215" t="str">
            <v>SIRET</v>
          </cell>
          <cell r="H215" t="str">
            <v>et</v>
          </cell>
          <cell r="I215" t="str">
            <v>SIREN</v>
          </cell>
        </row>
        <row r="216">
          <cell r="D216" t="str">
            <v>du</v>
          </cell>
          <cell r="E216" t="str">
            <v>Mode de gestion</v>
          </cell>
          <cell r="G216" t="str">
            <v>SIRET</v>
          </cell>
          <cell r="H216" t="str">
            <v>et</v>
          </cell>
          <cell r="I216" t="str">
            <v>SIREN</v>
          </cell>
        </row>
        <row r="217">
          <cell r="D217" t="str">
            <v xml:space="preserve"> </v>
          </cell>
          <cell r="E217" t="str">
            <v>Mode de gestion</v>
          </cell>
          <cell r="G217" t="str">
            <v>SIRET</v>
          </cell>
          <cell r="H217" t="str">
            <v>et</v>
          </cell>
          <cell r="I217" t="str">
            <v>SIREN</v>
          </cell>
        </row>
        <row r="218">
          <cell r="D218" t="str">
            <v>du</v>
          </cell>
          <cell r="E218" t="str">
            <v>Mode de gestion</v>
          </cell>
          <cell r="G218" t="str">
            <v>SIRET</v>
          </cell>
          <cell r="H218" t="str">
            <v>et</v>
          </cell>
          <cell r="I218" t="str">
            <v>SIREN</v>
          </cell>
        </row>
        <row r="219">
          <cell r="D219" t="str">
            <v>du</v>
          </cell>
          <cell r="E219" t="str">
            <v>Mode de gestion</v>
          </cell>
          <cell r="F219" t="str">
            <v>des</v>
          </cell>
          <cell r="G219" t="str">
            <v>Tiers</v>
          </cell>
        </row>
        <row r="220">
          <cell r="D220" t="str">
            <v>du</v>
          </cell>
          <cell r="E220" t="str">
            <v>Mode de gestion</v>
          </cell>
          <cell r="F220" t="str">
            <v>des</v>
          </cell>
          <cell r="G220" t="str">
            <v>Tiers</v>
          </cell>
          <cell r="H220" t="str">
            <v>de l'</v>
          </cell>
          <cell r="I220" t="str">
            <v>établissement</v>
          </cell>
        </row>
        <row r="221">
          <cell r="D221" t="str">
            <v>du</v>
          </cell>
          <cell r="E221" t="str">
            <v>Mode de gestion</v>
          </cell>
          <cell r="F221" t="str">
            <v>des</v>
          </cell>
          <cell r="G221" t="str">
            <v>Tiers</v>
          </cell>
          <cell r="H221" t="str">
            <v>de l'</v>
          </cell>
          <cell r="I221" t="str">
            <v>établissement</v>
          </cell>
        </row>
        <row r="222">
          <cell r="D222" t="str">
            <v>du</v>
          </cell>
          <cell r="E222" t="str">
            <v>Mode de gestion</v>
          </cell>
          <cell r="F222" t="str">
            <v>des</v>
          </cell>
          <cell r="G222" t="str">
            <v>Tiers</v>
          </cell>
        </row>
        <row r="223">
          <cell r="D223" t="str">
            <v>du</v>
          </cell>
          <cell r="E223" t="str">
            <v>Mode de gestion</v>
          </cell>
          <cell r="F223" t="str">
            <v>des</v>
          </cell>
          <cell r="G223" t="str">
            <v>Tiers</v>
          </cell>
        </row>
        <row r="224">
          <cell r="C224" t="str">
            <v>Complet</v>
          </cell>
          <cell r="D224" t="str">
            <v>du</v>
          </cell>
          <cell r="E224" t="str">
            <v>Regroupement de Guichet</v>
          </cell>
        </row>
        <row r="225">
          <cell r="D225" t="str">
            <v>du</v>
          </cell>
          <cell r="E225" t="str">
            <v>Regroupement de guichet</v>
          </cell>
        </row>
        <row r="226">
          <cell r="D226" t="str">
            <v>de l'</v>
          </cell>
          <cell r="E226" t="str">
            <v>Entité gestionnaire</v>
          </cell>
        </row>
        <row r="227">
          <cell r="D227" t="str">
            <v>de</v>
          </cell>
          <cell r="E227" t="str">
            <v>guichet de rattachement</v>
          </cell>
        </row>
        <row r="228">
          <cell r="D228" t="str">
            <v>de</v>
          </cell>
          <cell r="E228" t="str">
            <v>PVA</v>
          </cell>
        </row>
        <row r="229">
          <cell r="D229" t="str">
            <v>du</v>
          </cell>
          <cell r="E229" t="str">
            <v>Type d'Entité Bancaire</v>
          </cell>
        </row>
        <row r="230">
          <cell r="D230" t="str">
            <v>du</v>
          </cell>
          <cell r="E230" t="str">
            <v>Réseau Bancaire</v>
          </cell>
        </row>
        <row r="231">
          <cell r="D231" t="str">
            <v>du</v>
          </cell>
          <cell r="E231" t="str">
            <v>Regroupement de guichet</v>
          </cell>
        </row>
        <row r="232">
          <cell r="D232" t="str">
            <v>du</v>
          </cell>
          <cell r="E232" t="str">
            <v>Pays</v>
          </cell>
        </row>
        <row r="233">
          <cell r="D233" t="str">
            <v>de l'</v>
          </cell>
          <cell r="E233" t="str">
            <v>Entité Gestionnaire</v>
          </cell>
        </row>
        <row r="234">
          <cell r="D234" t="str">
            <v>de la</v>
          </cell>
          <cell r="E234" t="str">
            <v>section</v>
          </cell>
        </row>
        <row r="235">
          <cell r="D235" t="str">
            <v>du</v>
          </cell>
          <cell r="E235" t="str">
            <v>Guichet de l'établissement</v>
          </cell>
        </row>
        <row r="236">
          <cell r="D236" t="str">
            <v>du</v>
          </cell>
          <cell r="E236" t="str">
            <v>Guichet de l'établissement</v>
          </cell>
        </row>
        <row r="237">
          <cell r="D237" t="str">
            <v>du</v>
          </cell>
          <cell r="E237" t="str">
            <v>Bureau du Guichet</v>
          </cell>
        </row>
        <row r="238">
          <cell r="D238" t="str">
            <v>du</v>
          </cell>
          <cell r="E238" t="str">
            <v>Bureau du Guichet</v>
          </cell>
        </row>
        <row r="239">
          <cell r="D239" t="str">
            <v>du</v>
          </cell>
          <cell r="E239" t="str">
            <v>Regroupement de Guichet</v>
          </cell>
        </row>
        <row r="240">
          <cell r="D240" t="str">
            <v>du</v>
          </cell>
          <cell r="E240" t="str">
            <v>Regroupement de Guichet</v>
          </cell>
        </row>
        <row r="241">
          <cell r="D241" t="str">
            <v>du</v>
          </cell>
          <cell r="E241" t="str">
            <v>Regroupement de Guichet</v>
          </cell>
        </row>
        <row r="242">
          <cell r="D242" t="str">
            <v>du</v>
          </cell>
          <cell r="E242" t="str">
            <v>Regroupement de Guichet</v>
          </cell>
        </row>
        <row r="243">
          <cell r="C243" t="str">
            <v>métier</v>
          </cell>
          <cell r="D243" t="str">
            <v>du</v>
          </cell>
          <cell r="E243" t="str">
            <v>pilotage financier</v>
          </cell>
        </row>
        <row r="244">
          <cell r="D244" t="str">
            <v>de l'</v>
          </cell>
          <cell r="E244" t="str">
            <v>établissement</v>
          </cell>
        </row>
        <row r="245">
          <cell r="D245" t="str">
            <v>de l'</v>
          </cell>
          <cell r="E245" t="str">
            <v>établissement</v>
          </cell>
        </row>
        <row r="246">
          <cell r="D246" t="str">
            <v>de la</v>
          </cell>
          <cell r="E246" t="str">
            <v>Fédération</v>
          </cell>
        </row>
        <row r="247">
          <cell r="D247" t="str">
            <v>de la</v>
          </cell>
          <cell r="E247" t="str">
            <v>Fédération</v>
          </cell>
        </row>
        <row r="248">
          <cell r="D248" t="str">
            <v>de la</v>
          </cell>
          <cell r="E248" t="str">
            <v>section</v>
          </cell>
        </row>
        <row r="249">
          <cell r="D249" t="str">
            <v>du</v>
          </cell>
          <cell r="E249" t="str">
            <v>Type d'entité bancaire</v>
          </cell>
        </row>
        <row r="250">
          <cell r="D250" t="str">
            <v>du</v>
          </cell>
          <cell r="E250" t="str">
            <v>Type d'entité bancaire</v>
          </cell>
        </row>
        <row r="251">
          <cell r="D251" t="str">
            <v>du</v>
          </cell>
          <cell r="E251" t="str">
            <v>Réseau Bancaire</v>
          </cell>
        </row>
        <row r="252">
          <cell r="D252" t="str">
            <v>du</v>
          </cell>
          <cell r="E252" t="str">
            <v>Réseau Bancaire</v>
          </cell>
        </row>
        <row r="253">
          <cell r="D253" t="str">
            <v>du</v>
          </cell>
          <cell r="E253" t="str">
            <v>Guichet de l'établissement</v>
          </cell>
        </row>
        <row r="254">
          <cell r="D254" t="str">
            <v>du</v>
          </cell>
          <cell r="E254" t="str">
            <v>Guichet de l'établissement</v>
          </cell>
        </row>
        <row r="255">
          <cell r="D255" t="str">
            <v>du</v>
          </cell>
          <cell r="E255" t="str">
            <v>Guichet de l'établissement</v>
          </cell>
        </row>
        <row r="256">
          <cell r="D256" t="str">
            <v>du</v>
          </cell>
          <cell r="E256" t="str">
            <v>Guichet de l'établissement</v>
          </cell>
        </row>
        <row r="257">
          <cell r="D257" t="str">
            <v>du</v>
          </cell>
          <cell r="E257" t="str">
            <v>Guichet de l'établissement</v>
          </cell>
        </row>
        <row r="258">
          <cell r="D258" t="str">
            <v>du</v>
          </cell>
          <cell r="E258" t="str">
            <v>Guichet de l'établissement</v>
          </cell>
        </row>
        <row r="259">
          <cell r="D259" t="str">
            <v>du</v>
          </cell>
          <cell r="E259" t="str">
            <v>Guichet de l'établissement</v>
          </cell>
        </row>
        <row r="260">
          <cell r="D260" t="str">
            <v>du</v>
          </cell>
          <cell r="E260" t="str">
            <v>Guichet de l'établissement</v>
          </cell>
        </row>
        <row r="261">
          <cell r="D261" t="str">
            <v>du</v>
          </cell>
          <cell r="E261" t="str">
            <v>Guichet de l'établissement</v>
          </cell>
        </row>
        <row r="262">
          <cell r="D262" t="str">
            <v>du</v>
          </cell>
          <cell r="E262" t="str">
            <v>Bureau du Guichet</v>
          </cell>
        </row>
        <row r="263">
          <cell r="D263" t="str">
            <v>du</v>
          </cell>
          <cell r="E263" t="str">
            <v>Bureau du Guichet</v>
          </cell>
        </row>
        <row r="264">
          <cell r="D264" t="str">
            <v>du</v>
          </cell>
          <cell r="E264" t="str">
            <v>Bureau du Guichet</v>
          </cell>
        </row>
        <row r="265">
          <cell r="D265" t="str">
            <v>du</v>
          </cell>
          <cell r="E265" t="str">
            <v>Bureau du Guichet</v>
          </cell>
        </row>
        <row r="266">
          <cell r="D266" t="str">
            <v>du</v>
          </cell>
          <cell r="E266" t="str">
            <v>Bureau du Guichet</v>
          </cell>
        </row>
        <row r="267">
          <cell r="D267" t="str">
            <v>du</v>
          </cell>
          <cell r="E267" t="str">
            <v>Bureau du Guichet</v>
          </cell>
        </row>
        <row r="268">
          <cell r="D268" t="str">
            <v>du</v>
          </cell>
          <cell r="E268" t="str">
            <v>Regroupement de Guichet</v>
          </cell>
        </row>
        <row r="269">
          <cell r="D269" t="str">
            <v>du</v>
          </cell>
          <cell r="E269" t="str">
            <v>Regroupement de Guichet</v>
          </cell>
        </row>
        <row r="270">
          <cell r="D270" t="str">
            <v>du</v>
          </cell>
          <cell r="E270" t="str">
            <v>Regroupement de Guichet</v>
          </cell>
        </row>
        <row r="271">
          <cell r="D271" t="str">
            <v>du</v>
          </cell>
          <cell r="E271" t="str">
            <v>Regroupement de Guichet</v>
          </cell>
        </row>
        <row r="272">
          <cell r="D272" t="str">
            <v>du</v>
          </cell>
          <cell r="E272" t="str">
            <v>Pays</v>
          </cell>
        </row>
        <row r="273">
          <cell r="D273" t="str">
            <v>du</v>
          </cell>
          <cell r="E273" t="str">
            <v>Pays</v>
          </cell>
        </row>
        <row r="274">
          <cell r="D274" t="str">
            <v>de l'</v>
          </cell>
          <cell r="E274" t="str">
            <v>établissement</v>
          </cell>
        </row>
        <row r="275">
          <cell r="D275" t="str">
            <v>de l'</v>
          </cell>
          <cell r="E275" t="str">
            <v>établissement</v>
          </cell>
        </row>
        <row r="276">
          <cell r="D276" t="str">
            <v>de l'</v>
          </cell>
          <cell r="E276" t="str">
            <v>établissement</v>
          </cell>
        </row>
        <row r="277">
          <cell r="D277" t="str">
            <v>de l'</v>
          </cell>
          <cell r="E277" t="str">
            <v>établissement</v>
          </cell>
        </row>
        <row r="278">
          <cell r="D278" t="str">
            <v>de l'</v>
          </cell>
          <cell r="E278" t="str">
            <v>établissement</v>
          </cell>
        </row>
        <row r="279">
          <cell r="D279" t="str">
            <v>de l'</v>
          </cell>
          <cell r="E279" t="str">
            <v>établissement</v>
          </cell>
        </row>
        <row r="280">
          <cell r="D280" t="str">
            <v>de l'</v>
          </cell>
          <cell r="E280" t="str">
            <v>établissement</v>
          </cell>
        </row>
        <row r="281">
          <cell r="D281" t="str">
            <v>de la</v>
          </cell>
          <cell r="E281" t="str">
            <v>Fédération</v>
          </cell>
        </row>
        <row r="282">
          <cell r="D282" t="str">
            <v>de la</v>
          </cell>
          <cell r="E282" t="str">
            <v>Fédération</v>
          </cell>
        </row>
        <row r="283">
          <cell r="D283" t="str">
            <v>de la</v>
          </cell>
          <cell r="E283" t="str">
            <v>Fédération</v>
          </cell>
        </row>
        <row r="284">
          <cell r="C284" t="str">
            <v>INSEE</v>
          </cell>
          <cell r="D284" t="str">
            <v>du</v>
          </cell>
          <cell r="E284" t="str">
            <v>pays de résidence</v>
          </cell>
        </row>
        <row r="285">
          <cell r="C285" t="str">
            <v>ADRE</v>
          </cell>
          <cell r="D285" t="str">
            <v>de la</v>
          </cell>
          <cell r="E285" t="str">
            <v>section</v>
          </cell>
        </row>
        <row r="286">
          <cell r="D286" t="str">
            <v>de l'</v>
          </cell>
          <cell r="E286" t="str">
            <v>Entité Gestionnaire</v>
          </cell>
        </row>
        <row r="287">
          <cell r="D287" t="str">
            <v>de la</v>
          </cell>
          <cell r="E287" t="str">
            <v>section</v>
          </cell>
        </row>
        <row r="288">
          <cell r="D288" t="str">
            <v>de la</v>
          </cell>
          <cell r="E288" t="str">
            <v>section</v>
          </cell>
        </row>
        <row r="289">
          <cell r="D289" t="str">
            <v>de la</v>
          </cell>
          <cell r="E289" t="str">
            <v>section</v>
          </cell>
        </row>
        <row r="290">
          <cell r="D290" t="str">
            <v>de la</v>
          </cell>
          <cell r="E290" t="str">
            <v>section</v>
          </cell>
        </row>
        <row r="291">
          <cell r="D291" t="str">
            <v>de la</v>
          </cell>
          <cell r="E291" t="str">
            <v>section</v>
          </cell>
        </row>
        <row r="292">
          <cell r="D292" t="str">
            <v>de la</v>
          </cell>
          <cell r="E292" t="str">
            <v>section</v>
          </cell>
        </row>
        <row r="293">
          <cell r="D293" t="str">
            <v>de la</v>
          </cell>
          <cell r="E293" t="str">
            <v>section</v>
          </cell>
        </row>
        <row r="294">
          <cell r="C294" t="str">
            <v>Dossier</v>
          </cell>
          <cell r="D294" t="str">
            <v>de</v>
          </cell>
          <cell r="E294" t="str">
            <v>Prélèvement Forfaitaire Libératoire (PFL)</v>
          </cell>
          <cell r="F294" t="str">
            <v>du</v>
          </cell>
          <cell r="G294" t="str">
            <v>Guichet de l'établissement</v>
          </cell>
        </row>
        <row r="295">
          <cell r="D295" t="str">
            <v>de la</v>
          </cell>
          <cell r="E295" t="str">
            <v>section</v>
          </cell>
        </row>
        <row r="296">
          <cell r="D296" t="str">
            <v>de la</v>
          </cell>
          <cell r="E296" t="str">
            <v>section</v>
          </cell>
        </row>
        <row r="297">
          <cell r="D297" t="str">
            <v>de</v>
          </cell>
          <cell r="E297" t="str">
            <v>section</v>
          </cell>
        </row>
        <row r="298">
          <cell r="D298" t="str">
            <v>de la</v>
          </cell>
          <cell r="E298" t="str">
            <v>section</v>
          </cell>
        </row>
        <row r="299">
          <cell r="D299" t="str">
            <v>du</v>
          </cell>
          <cell r="E299" t="str">
            <v>code section</v>
          </cell>
        </row>
        <row r="300">
          <cell r="C300" t="str">
            <v>département</v>
          </cell>
          <cell r="D300" t="str">
            <v>de la</v>
          </cell>
          <cell r="E300" t="str">
            <v>section</v>
          </cell>
        </row>
        <row r="301">
          <cell r="C301" t="str">
            <v>commune</v>
          </cell>
          <cell r="D301" t="str">
            <v>de la</v>
          </cell>
          <cell r="E301" t="str">
            <v>section</v>
          </cell>
        </row>
        <row r="302">
          <cell r="C302" t="str">
            <v>Dernière image</v>
          </cell>
          <cell r="D302" t="str">
            <v>du</v>
          </cell>
          <cell r="E302" t="str">
            <v>Regroupement de guichet</v>
          </cell>
        </row>
        <row r="303">
          <cell r="C303" t="str">
            <v>agrément</v>
          </cell>
          <cell r="D303" t="str">
            <v>du</v>
          </cell>
          <cell r="E303" t="str">
            <v>Guichet de l'établissement</v>
          </cell>
        </row>
        <row r="304">
          <cell r="C304" t="str">
            <v>calendrier</v>
          </cell>
          <cell r="D304" t="str">
            <v>de la</v>
          </cell>
          <cell r="E304" t="str">
            <v>section</v>
          </cell>
        </row>
        <row r="305">
          <cell r="C305" t="str">
            <v>éligibilité</v>
          </cell>
          <cell r="D305" t="str">
            <v>du</v>
          </cell>
          <cell r="E305" t="str">
            <v>BBAN</v>
          </cell>
          <cell r="F305" t="str">
            <v>de la</v>
          </cell>
          <cell r="G305" t="str">
            <v>Carte avance santé</v>
          </cell>
        </row>
        <row r="306">
          <cell r="C306" t="str">
            <v>opposition</v>
          </cell>
          <cell r="D306" t="str">
            <v>à la</v>
          </cell>
          <cell r="E306" t="str">
            <v>carte avance santé</v>
          </cell>
        </row>
        <row r="307">
          <cell r="C307" t="str">
            <v>opposition</v>
          </cell>
          <cell r="D307" t="str">
            <v>du</v>
          </cell>
          <cell r="E307" t="str">
            <v>mouvement CAS</v>
          </cell>
        </row>
        <row r="308">
          <cell r="C308" t="str">
            <v>éligibilité</v>
          </cell>
          <cell r="D308" t="str">
            <v>du</v>
          </cell>
          <cell r="E308" t="str">
            <v>contrat</v>
          </cell>
        </row>
        <row r="309">
          <cell r="D309" t="str">
            <v>du</v>
          </cell>
          <cell r="E309" t="str">
            <v>rédacteur initiateur</v>
          </cell>
          <cell r="F309" t="str">
            <v>de l'</v>
          </cell>
          <cell r="G309" t="str">
            <v>action</v>
          </cell>
          <cell r="H309" t="str">
            <v>sur le</v>
          </cell>
          <cell r="I309" t="str">
            <v>rejet CAS</v>
          </cell>
        </row>
        <row r="310">
          <cell r="D310" t="str">
            <v>du</v>
          </cell>
          <cell r="E310" t="str">
            <v>mois</v>
          </cell>
          <cell r="F310" t="str">
            <v>de l'</v>
          </cell>
          <cell r="G310" t="str">
            <v>année</v>
          </cell>
          <cell r="H310" t="str">
            <v>d'</v>
          </cell>
          <cell r="I310" t="str">
            <v>OPC</v>
          </cell>
        </row>
        <row r="311">
          <cell r="D311" t="str">
            <v>du</v>
          </cell>
          <cell r="E311" t="str">
            <v>mouvement CAS</v>
          </cell>
          <cell r="F311" t="str">
            <v>par les</v>
          </cell>
          <cell r="G311" t="str">
            <v>assurances</v>
          </cell>
        </row>
        <row r="312">
          <cell r="D312" t="str">
            <v>du</v>
          </cell>
          <cell r="E312" t="str">
            <v>rejet CAS</v>
          </cell>
          <cell r="F312" t="str">
            <v>par les</v>
          </cell>
          <cell r="G312" t="str">
            <v>assurances</v>
          </cell>
        </row>
        <row r="313">
          <cell r="D313" t="str">
            <v>du</v>
          </cell>
          <cell r="E313" t="str">
            <v>rédacteur</v>
          </cell>
          <cell r="G313" t="str">
            <v>ayant résolu</v>
          </cell>
          <cell r="H313" t="str">
            <v>le</v>
          </cell>
          <cell r="I313" t="str">
            <v>rejet CAS</v>
          </cell>
        </row>
        <row r="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row>
        <row r="316">
          <cell r="D316" t="str">
            <v>du</v>
          </cell>
          <cell r="E316" t="str">
            <v>type de contrat</v>
          </cell>
          <cell r="F316" t="str">
            <v>de la</v>
          </cell>
          <cell r="G316" t="str">
            <v>Carte avance santé</v>
          </cell>
        </row>
        <row r="317">
          <cell r="D317" t="str">
            <v>du</v>
          </cell>
          <cell r="E317" t="str">
            <v>role du tiers titulaire</v>
          </cell>
          <cell r="F317" t="str">
            <v>de la</v>
          </cell>
          <cell r="G317" t="str">
            <v>Carte avance santé</v>
          </cell>
        </row>
        <row r="318">
          <cell r="C318" t="str">
            <v>adhésion</v>
          </cell>
          <cell r="D318" t="str">
            <v>du</v>
          </cell>
          <cell r="E318" t="str">
            <v>contrat</v>
          </cell>
        </row>
        <row r="319">
          <cell r="D319" t="str">
            <v>du</v>
          </cell>
          <cell r="E319" t="str">
            <v>BBAN</v>
          </cell>
          <cell r="F319" t="str">
            <v>de la</v>
          </cell>
          <cell r="G319" t="str">
            <v>Carte avance santé</v>
          </cell>
        </row>
        <row r="320">
          <cell r="D320" t="str">
            <v>du</v>
          </cell>
          <cell r="E320" t="str">
            <v>type de contrat</v>
          </cell>
          <cell r="F320" t="str">
            <v>de la</v>
          </cell>
          <cell r="G320" t="str">
            <v>Carte avance santé</v>
          </cell>
        </row>
        <row r="321">
          <cell r="D321" t="str">
            <v>du</v>
          </cell>
          <cell r="E321" t="str">
            <v>type de contrat</v>
          </cell>
          <cell r="F321" t="str">
            <v>de la</v>
          </cell>
          <cell r="G321" t="str">
            <v>Carte avance santé</v>
          </cell>
        </row>
        <row r="322">
          <cell r="D322" t="str">
            <v>du</v>
          </cell>
          <cell r="E322" t="str">
            <v>tiers titulaire</v>
          </cell>
          <cell r="F322" t="str">
            <v>de la</v>
          </cell>
          <cell r="G322" t="str">
            <v>Carte avance santé</v>
          </cell>
        </row>
        <row r="323">
          <cell r="D323" t="str">
            <v>du</v>
          </cell>
          <cell r="E323" t="str">
            <v>tiers titulaire</v>
          </cell>
          <cell r="F323" t="str">
            <v>de la</v>
          </cell>
          <cell r="G323" t="str">
            <v>Carte avance santé</v>
          </cell>
        </row>
        <row r="324">
          <cell r="D324" t="str">
            <v>du</v>
          </cell>
          <cell r="E324" t="str">
            <v>tiers titulaire</v>
          </cell>
          <cell r="F324" t="str">
            <v>de la</v>
          </cell>
          <cell r="G324" t="str">
            <v>Carte avance santé</v>
          </cell>
        </row>
        <row r="325">
          <cell r="D325" t="str">
            <v>du</v>
          </cell>
          <cell r="E325" t="str">
            <v>role du tiers titulaire</v>
          </cell>
          <cell r="F325" t="str">
            <v>de la</v>
          </cell>
          <cell r="G325" t="str">
            <v>Carte avance santé</v>
          </cell>
        </row>
        <row r="326">
          <cell r="D326" t="str">
            <v>du</v>
          </cell>
          <cell r="E326" t="str">
            <v>role du tiers titulaire</v>
          </cell>
          <cell r="F326" t="str">
            <v>de la</v>
          </cell>
          <cell r="G326" t="str">
            <v>Carte avance santé</v>
          </cell>
        </row>
        <row r="327">
          <cell r="D327" t="str">
            <v>de la</v>
          </cell>
          <cell r="E327" t="str">
            <v>banque</v>
          </cell>
          <cell r="F327" t="str">
            <v>du</v>
          </cell>
          <cell r="G327" t="str">
            <v>commercant</v>
          </cell>
          <cell r="H327" t="str">
            <v>du</v>
          </cell>
          <cell r="I327" t="str">
            <v>mouvement CAS</v>
          </cell>
        </row>
        <row r="328">
          <cell r="D328" t="str">
            <v>de la</v>
          </cell>
          <cell r="E328" t="str">
            <v>banque</v>
          </cell>
          <cell r="F328" t="str">
            <v>du</v>
          </cell>
          <cell r="G328" t="str">
            <v>commercant</v>
          </cell>
          <cell r="H328" t="str">
            <v>du</v>
          </cell>
          <cell r="I328" t="str">
            <v>mouvement CAS</v>
          </cell>
        </row>
        <row r="329">
          <cell r="D329" t="str">
            <v>du</v>
          </cell>
          <cell r="E329" t="str">
            <v>département</v>
          </cell>
          <cell r="F329" t="str">
            <v>du</v>
          </cell>
          <cell r="G329" t="str">
            <v>commercant</v>
          </cell>
          <cell r="H329" t="str">
            <v>du</v>
          </cell>
          <cell r="I329" t="str">
            <v>mouvement CAS</v>
          </cell>
        </row>
        <row r="330">
          <cell r="D330" t="str">
            <v>de</v>
          </cell>
          <cell r="E330" t="str">
            <v>TPE</v>
          </cell>
          <cell r="F330" t="str">
            <v>du</v>
          </cell>
          <cell r="G330" t="str">
            <v>commercant</v>
          </cell>
          <cell r="H330" t="str">
            <v>du</v>
          </cell>
          <cell r="I330" t="str">
            <v>mouvement CAS</v>
          </cell>
        </row>
        <row r="331">
          <cell r="D331" t="str">
            <v>du</v>
          </cell>
          <cell r="E331" t="str">
            <v>SIRET</v>
          </cell>
          <cell r="F331" t="str">
            <v>du</v>
          </cell>
          <cell r="G331" t="str">
            <v>commercant</v>
          </cell>
          <cell r="H331" t="str">
            <v>du</v>
          </cell>
          <cell r="I331" t="str">
            <v>mouvement CAS</v>
          </cell>
        </row>
        <row r="332">
          <cell r="D332" t="str">
            <v>de la</v>
          </cell>
          <cell r="E332" t="str">
            <v>commune</v>
          </cell>
          <cell r="F332" t="str">
            <v>du</v>
          </cell>
          <cell r="G332" t="str">
            <v>commercant</v>
          </cell>
          <cell r="H332" t="str">
            <v>du</v>
          </cell>
          <cell r="I332" t="str">
            <v>mouvement CAS</v>
          </cell>
        </row>
        <row r="333">
          <cell r="D333" t="str">
            <v>sur la</v>
          </cell>
          <cell r="E333" t="str">
            <v>situation</v>
          </cell>
          <cell r="F333" t="str">
            <v>du</v>
          </cell>
          <cell r="G333" t="str">
            <v>contrat</v>
          </cell>
        </row>
        <row r="334">
          <cell r="D334" t="str">
            <v>de l'</v>
          </cell>
          <cell r="E334" t="str">
            <v>Entité gestionnaire</v>
          </cell>
          <cell r="F334" t="str">
            <v>du</v>
          </cell>
          <cell r="G334" t="str">
            <v>contrat</v>
          </cell>
        </row>
        <row r="335">
          <cell r="D335" t="str">
            <v>des</v>
          </cell>
          <cell r="E335" t="str">
            <v>soins santé</v>
          </cell>
          <cell r="F335" t="str">
            <v>du</v>
          </cell>
          <cell r="G335" t="str">
            <v>Décompte santé</v>
          </cell>
          <cell r="H335" t="str">
            <v>du</v>
          </cell>
          <cell r="I335" t="str">
            <v>mouvement CAS</v>
          </cell>
        </row>
        <row r="336">
          <cell r="D336" t="str">
            <v>des</v>
          </cell>
          <cell r="E336" t="str">
            <v>soins santé</v>
          </cell>
          <cell r="F336" t="str">
            <v>du</v>
          </cell>
          <cell r="G336" t="str">
            <v>Décompte santé</v>
          </cell>
          <cell r="H336" t="str">
            <v>du</v>
          </cell>
          <cell r="I336" t="str">
            <v>mouvement CAS</v>
          </cell>
        </row>
        <row r="337">
          <cell r="D337" t="str">
            <v>du</v>
          </cell>
          <cell r="E337" t="str">
            <v>mouvement CAS</v>
          </cell>
          <cell r="G337" t="str">
            <v>devise d'origine</v>
          </cell>
        </row>
        <row r="338">
          <cell r="C338" t="str">
            <v>action</v>
          </cell>
          <cell r="D338" t="str">
            <v>sur le</v>
          </cell>
          <cell r="E338" t="str">
            <v>rejet CAS</v>
          </cell>
        </row>
        <row r="339">
          <cell r="D339" t="str">
            <v>du</v>
          </cell>
          <cell r="E339" t="str">
            <v>remboursement CPAM</v>
          </cell>
          <cell r="F339" t="str">
            <v>de la</v>
          </cell>
          <cell r="G339" t="str">
            <v>Ligne de soins</v>
          </cell>
          <cell r="H339" t="str">
            <v>du</v>
          </cell>
          <cell r="I339" t="str">
            <v>mouvement CAS</v>
          </cell>
        </row>
        <row r="340">
          <cell r="D340" t="str">
            <v>des</v>
          </cell>
          <cell r="E340" t="str">
            <v>frais réels</v>
          </cell>
          <cell r="F340" t="str">
            <v>de la</v>
          </cell>
          <cell r="G340" t="str">
            <v>Ligne de soins</v>
          </cell>
          <cell r="H340" t="str">
            <v>du</v>
          </cell>
          <cell r="I340" t="str">
            <v>mouvement CAS</v>
          </cell>
        </row>
        <row r="341">
          <cell r="D341" t="str">
            <v>du</v>
          </cell>
          <cell r="E341" t="str">
            <v>niveau de l'association</v>
          </cell>
          <cell r="F341" t="str">
            <v>de la</v>
          </cell>
          <cell r="G341" t="str">
            <v>Ligne de soins</v>
          </cell>
          <cell r="H341" t="str">
            <v>au</v>
          </cell>
          <cell r="I341" t="str">
            <v>mouvement CAS</v>
          </cell>
        </row>
        <row r="342">
          <cell r="D342" t="str">
            <v>de la</v>
          </cell>
          <cell r="E342" t="str">
            <v>catégorie</v>
          </cell>
          <cell r="F342" t="str">
            <v>du</v>
          </cell>
          <cell r="G342" t="str">
            <v>MCC</v>
          </cell>
        </row>
        <row r="343">
          <cell r="D343" t="str">
            <v>du</v>
          </cell>
          <cell r="E343" t="str">
            <v>mouvement CAS</v>
          </cell>
          <cell r="F343" t="str">
            <v>par la</v>
          </cell>
          <cell r="G343" t="str">
            <v>monétique</v>
          </cell>
        </row>
        <row r="344">
          <cell r="D344" t="str">
            <v>du</v>
          </cell>
          <cell r="E344" t="str">
            <v>mouvement CAS</v>
          </cell>
          <cell r="F344" t="str">
            <v>à la</v>
          </cell>
          <cell r="G344" t="str">
            <v>monétique</v>
          </cell>
        </row>
        <row r="345">
          <cell r="D345" t="str">
            <v>de la</v>
          </cell>
          <cell r="E345" t="str">
            <v>situation</v>
          </cell>
          <cell r="F345" t="str">
            <v>du</v>
          </cell>
          <cell r="G345" t="str">
            <v>mouvement CAS</v>
          </cell>
        </row>
        <row r="346">
          <cell r="D346" t="str">
            <v>du</v>
          </cell>
          <cell r="E346" t="str">
            <v>type de compte</v>
          </cell>
          <cell r="F346" t="str">
            <v>du</v>
          </cell>
          <cell r="G346" t="str">
            <v>mouvement CAS</v>
          </cell>
        </row>
        <row r="347">
          <cell r="D347" t="str">
            <v>du</v>
          </cell>
          <cell r="E347" t="str">
            <v>motif du retour</v>
          </cell>
          <cell r="F347" t="str">
            <v>du</v>
          </cell>
          <cell r="G347" t="str">
            <v>mouvement CAS</v>
          </cell>
        </row>
        <row r="348">
          <cell r="D348" t="str">
            <v>de la</v>
          </cell>
          <cell r="E348" t="str">
            <v>situation</v>
          </cell>
          <cell r="F348" t="str">
            <v>du</v>
          </cell>
          <cell r="G348" t="str">
            <v>mouvement CAS</v>
          </cell>
        </row>
        <row r="349">
          <cell r="D349" t="str">
            <v>de l'</v>
          </cell>
          <cell r="E349" t="str">
            <v>etat</v>
          </cell>
          <cell r="F349" t="str">
            <v>du</v>
          </cell>
          <cell r="G349" t="str">
            <v>mouvement CAS</v>
          </cell>
        </row>
        <row r="350">
          <cell r="D350" t="str">
            <v>entre</v>
          </cell>
          <cell r="E350" t="str">
            <v>contrat</v>
          </cell>
          <cell r="F350" t="str">
            <v>et</v>
          </cell>
          <cell r="G350" t="str">
            <v>mouvement CAS</v>
          </cell>
        </row>
        <row r="351">
          <cell r="D351" t="str">
            <v>entre</v>
          </cell>
          <cell r="E351" t="str">
            <v>contrat</v>
          </cell>
          <cell r="F351" t="str">
            <v>et</v>
          </cell>
          <cell r="G351" t="str">
            <v>mouvement CAS</v>
          </cell>
        </row>
        <row r="352">
          <cell r="D352" t="str">
            <v>entre</v>
          </cell>
          <cell r="E352" t="str">
            <v>contrat</v>
          </cell>
          <cell r="F352" t="str">
            <v>et</v>
          </cell>
          <cell r="G352" t="str">
            <v>mouvement CAS</v>
          </cell>
        </row>
        <row r="353">
          <cell r="D353" t="str">
            <v>entre</v>
          </cell>
          <cell r="E353" t="str">
            <v>contrat</v>
          </cell>
          <cell r="F353" t="str">
            <v>et</v>
          </cell>
          <cell r="G353" t="str">
            <v>mouvement CAS</v>
          </cell>
        </row>
        <row r="354">
          <cell r="D354" t="str">
            <v>entre</v>
          </cell>
          <cell r="E354" t="str">
            <v>contrat</v>
          </cell>
          <cell r="F354" t="str">
            <v>et</v>
          </cell>
          <cell r="G354" t="str">
            <v>mouvement CAS</v>
          </cell>
        </row>
        <row r="355">
          <cell r="D355" t="str">
            <v>entre</v>
          </cell>
          <cell r="E355" t="str">
            <v>contrat</v>
          </cell>
          <cell r="F355" t="str">
            <v>et</v>
          </cell>
          <cell r="G355" t="str">
            <v>mouvement CAS</v>
          </cell>
        </row>
        <row r="356">
          <cell r="D356" t="str">
            <v>de</v>
          </cell>
          <cell r="E356" t="str">
            <v>débit</v>
          </cell>
          <cell r="F356" t="str">
            <v>du</v>
          </cell>
          <cell r="G356" t="str">
            <v>mouvement CAS</v>
          </cell>
        </row>
        <row r="357">
          <cell r="D357" t="str">
            <v>de la</v>
          </cell>
          <cell r="E357" t="str">
            <v>ligne de soins</v>
          </cell>
          <cell r="F357" t="str">
            <v>au</v>
          </cell>
          <cell r="G357" t="str">
            <v>mouvement CAS</v>
          </cell>
        </row>
        <row r="358">
          <cell r="D358" t="str">
            <v>entre</v>
          </cell>
          <cell r="E358" t="str">
            <v>Ligne de soins</v>
          </cell>
          <cell r="F358" t="str">
            <v>et</v>
          </cell>
          <cell r="G358" t="str">
            <v>mouvement CAS</v>
          </cell>
        </row>
        <row r="359">
          <cell r="D359" t="str">
            <v>entre</v>
          </cell>
          <cell r="E359" t="str">
            <v>Ligne de soins</v>
          </cell>
          <cell r="F359" t="str">
            <v>et</v>
          </cell>
          <cell r="G359" t="str">
            <v>mouvement CAS</v>
          </cell>
        </row>
        <row r="360">
          <cell r="D360" t="str">
            <v>entre</v>
          </cell>
          <cell r="E360" t="str">
            <v>Ligne de soins</v>
          </cell>
          <cell r="F360" t="str">
            <v>et</v>
          </cell>
          <cell r="G360" t="str">
            <v>mouvement CAS</v>
          </cell>
        </row>
        <row r="361">
          <cell r="D361" t="str">
            <v>entre</v>
          </cell>
          <cell r="E361" t="str">
            <v>ligne de soins</v>
          </cell>
          <cell r="F361" t="str">
            <v>et</v>
          </cell>
          <cell r="G361" t="str">
            <v>mouvement CAS</v>
          </cell>
        </row>
        <row r="362">
          <cell r="D362" t="str">
            <v>entre</v>
          </cell>
          <cell r="E362" t="str">
            <v>ligne de soins</v>
          </cell>
          <cell r="F362" t="str">
            <v>et</v>
          </cell>
          <cell r="G362" t="str">
            <v>mouvement CAS</v>
          </cell>
        </row>
        <row r="363">
          <cell r="D363" t="str">
            <v>entre</v>
          </cell>
          <cell r="E363" t="str">
            <v>ligne de soins</v>
          </cell>
          <cell r="F363" t="str">
            <v>et</v>
          </cell>
          <cell r="G363" t="str">
            <v>mouvement CAS</v>
          </cell>
        </row>
        <row r="364">
          <cell r="D364" t="str">
            <v>de</v>
          </cell>
          <cell r="E364" t="str">
            <v>recyclage</v>
          </cell>
          <cell r="F364" t="str">
            <v>du</v>
          </cell>
          <cell r="G364" t="str">
            <v>mouvement CAS</v>
          </cell>
        </row>
        <row r="365">
          <cell r="D365" t="str">
            <v>de la</v>
          </cell>
          <cell r="E365" t="str">
            <v>situation</v>
          </cell>
          <cell r="F365" t="str">
            <v>du</v>
          </cell>
          <cell r="G365" t="str">
            <v>mouvement CAS</v>
          </cell>
        </row>
        <row r="366">
          <cell r="D366" t="str">
            <v>de la</v>
          </cell>
          <cell r="E366" t="str">
            <v>situation</v>
          </cell>
          <cell r="F366" t="str">
            <v>du</v>
          </cell>
          <cell r="G366" t="str">
            <v>mouvement CAS</v>
          </cell>
        </row>
        <row r="367">
          <cell r="D367" t="str">
            <v>de la</v>
          </cell>
          <cell r="E367" t="str">
            <v>situation</v>
          </cell>
          <cell r="F367" t="str">
            <v>du</v>
          </cell>
          <cell r="G367" t="str">
            <v>mouvement CAS</v>
          </cell>
        </row>
        <row r="368">
          <cell r="D368" t="str">
            <v>de la</v>
          </cell>
          <cell r="E368" t="str">
            <v>situation</v>
          </cell>
          <cell r="F368" t="str">
            <v>du</v>
          </cell>
          <cell r="G368" t="str">
            <v>mouvement CAS</v>
          </cell>
        </row>
        <row r="369">
          <cell r="D369" t="str">
            <v>de la</v>
          </cell>
          <cell r="E369" t="str">
            <v>situation</v>
          </cell>
          <cell r="F369" t="str">
            <v>du</v>
          </cell>
          <cell r="G369" t="str">
            <v>mouvement CAS</v>
          </cell>
        </row>
        <row r="370">
          <cell r="D370" t="str">
            <v>de la</v>
          </cell>
          <cell r="E370" t="str">
            <v>situation</v>
          </cell>
          <cell r="F370" t="str">
            <v>du</v>
          </cell>
          <cell r="G370" t="str">
            <v>mouvement CAS</v>
          </cell>
        </row>
        <row r="371">
          <cell r="D371" t="str">
            <v>du</v>
          </cell>
          <cell r="E371" t="str">
            <v>type de compte</v>
          </cell>
          <cell r="F371" t="str">
            <v>du</v>
          </cell>
          <cell r="G371" t="str">
            <v>mouvement CAS</v>
          </cell>
        </row>
        <row r="372">
          <cell r="D372" t="str">
            <v>du</v>
          </cell>
          <cell r="E372" t="str">
            <v>type de compte</v>
          </cell>
          <cell r="F372" t="str">
            <v>du</v>
          </cell>
          <cell r="G372" t="str">
            <v>mouvement CAS</v>
          </cell>
        </row>
        <row r="373">
          <cell r="D373" t="str">
            <v>du</v>
          </cell>
          <cell r="E373" t="str">
            <v>BBAN de prélèvement</v>
          </cell>
          <cell r="F373" t="str">
            <v>du</v>
          </cell>
          <cell r="G373" t="str">
            <v>mouvement CAS</v>
          </cell>
        </row>
        <row r="374">
          <cell r="D374" t="str">
            <v>de la</v>
          </cell>
          <cell r="E374" t="str">
            <v>devise</v>
          </cell>
          <cell r="F374" t="str">
            <v>du</v>
          </cell>
          <cell r="G374" t="str">
            <v>mouvement CAS</v>
          </cell>
        </row>
        <row r="375">
          <cell r="D375" t="str">
            <v>du</v>
          </cell>
          <cell r="E375" t="str">
            <v>commercant</v>
          </cell>
          <cell r="F375" t="str">
            <v>du</v>
          </cell>
          <cell r="G375" t="str">
            <v>mouvement CAS</v>
          </cell>
        </row>
        <row r="376">
          <cell r="D376" t="str">
            <v>de</v>
          </cell>
          <cell r="E376" t="str">
            <v>contrat</v>
          </cell>
          <cell r="F376" t="str">
            <v>du</v>
          </cell>
          <cell r="G376" t="str">
            <v>mouvement CAS</v>
          </cell>
        </row>
        <row r="377">
          <cell r="D377" t="str">
            <v>de la</v>
          </cell>
          <cell r="E377" t="str">
            <v>Société d'assurance</v>
          </cell>
          <cell r="F377" t="str">
            <v>du</v>
          </cell>
          <cell r="G377" t="str">
            <v>mouvement CAS</v>
          </cell>
        </row>
        <row r="378">
          <cell r="D378" t="str">
            <v>de la</v>
          </cell>
          <cell r="E378" t="str">
            <v>devise d'origine</v>
          </cell>
          <cell r="F378" t="str">
            <v>du</v>
          </cell>
          <cell r="G378" t="str">
            <v>mouvement CAS</v>
          </cell>
        </row>
        <row r="379">
          <cell r="D379" t="str">
            <v>de l'</v>
          </cell>
          <cell r="E379" t="str">
            <v>ancien BBAN</v>
          </cell>
          <cell r="F379" t="str">
            <v>du</v>
          </cell>
          <cell r="G379" t="str">
            <v>mouvement CAS</v>
          </cell>
        </row>
        <row r="380">
          <cell r="D380" t="str">
            <v>du</v>
          </cell>
          <cell r="E380" t="str">
            <v>motif du retour</v>
          </cell>
          <cell r="F380" t="str">
            <v>du</v>
          </cell>
          <cell r="G380" t="str">
            <v>mouvement CAS</v>
          </cell>
        </row>
        <row r="381">
          <cell r="D381" t="str">
            <v>du</v>
          </cell>
          <cell r="E381" t="str">
            <v>motif du retour</v>
          </cell>
          <cell r="F381" t="str">
            <v>du</v>
          </cell>
          <cell r="G381" t="str">
            <v>mouvement CAS</v>
          </cell>
        </row>
        <row r="382">
          <cell r="D382" t="str">
            <v>de l'</v>
          </cell>
          <cell r="E382" t="str">
            <v>etat</v>
          </cell>
          <cell r="F382" t="str">
            <v>du</v>
          </cell>
          <cell r="G382" t="str">
            <v>mouvement CAS</v>
          </cell>
        </row>
        <row r="383">
          <cell r="D383" t="str">
            <v>de l'</v>
          </cell>
          <cell r="E383" t="str">
            <v>etat</v>
          </cell>
          <cell r="F383" t="str">
            <v>du</v>
          </cell>
          <cell r="G383" t="str">
            <v>mouvement CAS</v>
          </cell>
        </row>
        <row r="384">
          <cell r="D384" t="str">
            <v>de l'</v>
          </cell>
          <cell r="E384" t="str">
            <v>action</v>
          </cell>
          <cell r="F384" t="str">
            <v>sur le</v>
          </cell>
          <cell r="G384" t="str">
            <v>rejet CAS</v>
          </cell>
        </row>
        <row r="385">
          <cell r="D385" t="str">
            <v>du</v>
          </cell>
          <cell r="E385" t="str">
            <v>motif</v>
          </cell>
          <cell r="F385" t="str">
            <v>du</v>
          </cell>
          <cell r="G385" t="str">
            <v>rejet CAS</v>
          </cell>
        </row>
        <row r="386">
          <cell r="D386" t="str">
            <v>de l'</v>
          </cell>
          <cell r="E386" t="str">
            <v>edition courrier</v>
          </cell>
          <cell r="F386" t="str">
            <v>du</v>
          </cell>
          <cell r="G386" t="str">
            <v>rejet CAS</v>
          </cell>
        </row>
        <row r="387">
          <cell r="D387" t="str">
            <v>de l'</v>
          </cell>
          <cell r="E387" t="str">
            <v>etat</v>
          </cell>
          <cell r="F387" t="str">
            <v>du</v>
          </cell>
          <cell r="G387" t="str">
            <v>rejet CAS</v>
          </cell>
        </row>
        <row r="388">
          <cell r="D388" t="str">
            <v>de l'</v>
          </cell>
          <cell r="E388" t="str">
            <v>action</v>
          </cell>
          <cell r="F388" t="str">
            <v>sur le</v>
          </cell>
          <cell r="G388" t="str">
            <v>rejet CAS</v>
          </cell>
        </row>
        <row r="389">
          <cell r="D389" t="str">
            <v>de l'</v>
          </cell>
          <cell r="E389" t="str">
            <v>action</v>
          </cell>
          <cell r="F389" t="str">
            <v>sur le</v>
          </cell>
          <cell r="G389" t="str">
            <v>rejet CAS</v>
          </cell>
        </row>
        <row r="390">
          <cell r="D390" t="str">
            <v>du</v>
          </cell>
          <cell r="E390" t="str">
            <v>motif</v>
          </cell>
          <cell r="F390" t="str">
            <v>du</v>
          </cell>
          <cell r="G390" t="str">
            <v>rejet CAS</v>
          </cell>
        </row>
        <row r="391">
          <cell r="D391" t="str">
            <v>du</v>
          </cell>
          <cell r="E391" t="str">
            <v>motif</v>
          </cell>
          <cell r="F391" t="str">
            <v>du</v>
          </cell>
          <cell r="G391" t="str">
            <v>rejet CAS</v>
          </cell>
        </row>
        <row r="392">
          <cell r="D392" t="str">
            <v>de l'</v>
          </cell>
          <cell r="E392" t="str">
            <v>edition courrier</v>
          </cell>
          <cell r="F392" t="str">
            <v>du</v>
          </cell>
          <cell r="G392" t="str">
            <v>rejet CAS</v>
          </cell>
        </row>
        <row r="393">
          <cell r="D393" t="str">
            <v>de l'</v>
          </cell>
          <cell r="E393" t="str">
            <v>edition courrier</v>
          </cell>
          <cell r="F393" t="str">
            <v>du</v>
          </cell>
          <cell r="G393" t="str">
            <v>rejet CAS</v>
          </cell>
        </row>
        <row r="394">
          <cell r="D394" t="str">
            <v>de l'</v>
          </cell>
          <cell r="E394" t="str">
            <v>etat</v>
          </cell>
          <cell r="F394" t="str">
            <v>du</v>
          </cell>
          <cell r="G394" t="str">
            <v>rejet CAS</v>
          </cell>
        </row>
        <row r="395">
          <cell r="D395" t="str">
            <v>de l'</v>
          </cell>
          <cell r="E395" t="str">
            <v>etat</v>
          </cell>
          <cell r="F395" t="str">
            <v>du</v>
          </cell>
          <cell r="G395" t="str">
            <v>rejet CAS</v>
          </cell>
        </row>
        <row r="396">
          <cell r="C396" t="str">
            <v>SIO</v>
          </cell>
          <cell r="D396" t="str">
            <v>du</v>
          </cell>
          <cell r="E396" t="str">
            <v>contrat</v>
          </cell>
          <cell r="F396" t="str">
            <v>de la</v>
          </cell>
          <cell r="G396" t="str">
            <v>Carte avance santé</v>
          </cell>
        </row>
        <row r="397">
          <cell r="C397" t="str">
            <v>ISO</v>
          </cell>
          <cell r="D397" t="str">
            <v>de la</v>
          </cell>
          <cell r="E397" t="str">
            <v>carte avance santé</v>
          </cell>
        </row>
        <row r="398">
          <cell r="D398" t="str">
            <v>du</v>
          </cell>
          <cell r="E398" t="str">
            <v>rejet CAS</v>
          </cell>
        </row>
        <row r="399">
          <cell r="D399" t="str">
            <v>de</v>
          </cell>
          <cell r="E399" t="str">
            <v>Contrat S18</v>
          </cell>
        </row>
        <row r="400">
          <cell r="D400" t="str">
            <v>sur l'</v>
          </cell>
          <cell r="E400" t="str">
            <v>age du tiers titulaire</v>
          </cell>
        </row>
        <row r="401">
          <cell r="D401" t="str">
            <v>du</v>
          </cell>
          <cell r="E401" t="str">
            <v>contrat CAS</v>
          </cell>
        </row>
        <row r="402">
          <cell r="D402" t="str">
            <v>du</v>
          </cell>
          <cell r="E402" t="str">
            <v>mouvement CAS</v>
          </cell>
        </row>
        <row r="403">
          <cell r="D403" t="str">
            <v>du</v>
          </cell>
          <cell r="E403" t="str">
            <v>rejet CAS</v>
          </cell>
        </row>
        <row r="404">
          <cell r="D404" t="str">
            <v>du</v>
          </cell>
          <cell r="E404" t="str">
            <v>commercant</v>
          </cell>
        </row>
        <row r="405">
          <cell r="D405" t="str">
            <v>du</v>
          </cell>
          <cell r="E405" t="str">
            <v>MCC</v>
          </cell>
        </row>
        <row r="406">
          <cell r="D406" t="str">
            <v>du</v>
          </cell>
          <cell r="E406" t="str">
            <v>mouvement CAS</v>
          </cell>
        </row>
        <row r="407">
          <cell r="D407" t="str">
            <v>du</v>
          </cell>
          <cell r="E407" t="str">
            <v>mouvement CAS</v>
          </cell>
        </row>
        <row r="408">
          <cell r="D408" t="str">
            <v>du</v>
          </cell>
          <cell r="E408" t="str">
            <v>mouvement CAS</v>
          </cell>
        </row>
        <row r="409">
          <cell r="D409" t="str">
            <v>du</v>
          </cell>
          <cell r="E409" t="str">
            <v>mouvement CAS</v>
          </cell>
        </row>
        <row r="410">
          <cell r="D410" t="str">
            <v>du</v>
          </cell>
          <cell r="E410" t="str">
            <v>mouvement CAS</v>
          </cell>
        </row>
        <row r="411">
          <cell r="D411" t="str">
            <v>du</v>
          </cell>
          <cell r="E411" t="str">
            <v>mouvement CAS</v>
          </cell>
        </row>
        <row r="412">
          <cell r="D412" t="str">
            <v>du</v>
          </cell>
          <cell r="E412" t="str">
            <v>mouvement CAS</v>
          </cell>
        </row>
        <row r="413">
          <cell r="D413" t="str">
            <v>du</v>
          </cell>
          <cell r="E413" t="str">
            <v>mouvement CAS</v>
          </cell>
        </row>
        <row r="414">
          <cell r="D414" t="str">
            <v>du</v>
          </cell>
          <cell r="E414" t="str">
            <v>rejet CAS</v>
          </cell>
        </row>
        <row r="415">
          <cell r="D415" t="str">
            <v>du</v>
          </cell>
          <cell r="E415" t="str">
            <v>rejet CAS</v>
          </cell>
        </row>
        <row r="416">
          <cell r="D416" t="str">
            <v>du</v>
          </cell>
          <cell r="E416" t="str">
            <v>rejet CAS</v>
          </cell>
        </row>
        <row r="417">
          <cell r="D417" t="str">
            <v>du</v>
          </cell>
          <cell r="E417" t="str">
            <v>rejet CAS</v>
          </cell>
        </row>
        <row r="418">
          <cell r="D418" t="str">
            <v>du</v>
          </cell>
          <cell r="E418" t="str">
            <v>rejet CAS</v>
          </cell>
        </row>
        <row r="419">
          <cell r="D419" t="str">
            <v>du</v>
          </cell>
          <cell r="E419" t="str">
            <v>rejet CAS</v>
          </cell>
        </row>
        <row r="420">
          <cell r="D420" t="str">
            <v>du</v>
          </cell>
          <cell r="E420" t="str">
            <v>rejet CAS</v>
          </cell>
        </row>
        <row r="421">
          <cell r="D421" t="str">
            <v>du</v>
          </cell>
          <cell r="E421" t="str">
            <v>rejet CAS</v>
          </cell>
        </row>
        <row r="422">
          <cell r="D422" t="str">
            <v>du</v>
          </cell>
          <cell r="E422" t="str">
            <v>rejet CAS</v>
          </cell>
        </row>
        <row r="423">
          <cell r="D423" t="str">
            <v>du</v>
          </cell>
          <cell r="E423" t="str">
            <v>rejet CAS</v>
          </cell>
        </row>
        <row r="424">
          <cell r="D424" t="str">
            <v>du</v>
          </cell>
          <cell r="E424" t="str">
            <v>rejet CAS</v>
          </cell>
        </row>
        <row r="425">
          <cell r="D425" t="str">
            <v>du</v>
          </cell>
          <cell r="E425" t="str">
            <v>contrat</v>
          </cell>
        </row>
        <row r="426">
          <cell r="D426" t="str">
            <v>d'</v>
          </cell>
          <cell r="E426" t="str">
            <v>extraction</v>
          </cell>
        </row>
        <row r="427">
          <cell r="D427" t="str">
            <v>du</v>
          </cell>
          <cell r="E427" t="str">
            <v>contrat CAS</v>
          </cell>
        </row>
        <row r="428">
          <cell r="D428" t="str">
            <v>du</v>
          </cell>
          <cell r="E428" t="str">
            <v>mouvement CAS</v>
          </cell>
        </row>
        <row r="429">
          <cell r="D429" t="str">
            <v>du</v>
          </cell>
          <cell r="E429" t="str">
            <v>rejet CAS</v>
          </cell>
        </row>
        <row r="430">
          <cell r="D430" t="str">
            <v>de la</v>
          </cell>
          <cell r="E430" t="str">
            <v>donnée</v>
          </cell>
        </row>
        <row r="431">
          <cell r="D431" t="str">
            <v>du</v>
          </cell>
          <cell r="E431" t="str">
            <v>MCC</v>
          </cell>
        </row>
        <row r="432">
          <cell r="D432" t="str">
            <v>d'</v>
          </cell>
          <cell r="E432" t="str">
            <v>échéance rejetée</v>
          </cell>
        </row>
        <row r="433">
          <cell r="C433" t="str">
            <v>Dernière image</v>
          </cell>
          <cell r="D433" t="str">
            <v>de la</v>
          </cell>
          <cell r="E433" t="str">
            <v>situation</v>
          </cell>
          <cell r="F433" t="str">
            <v>du</v>
          </cell>
          <cell r="G433" t="str">
            <v>mouvement CAS</v>
          </cell>
        </row>
        <row r="434">
          <cell r="C434" t="str">
            <v>Dernière image</v>
          </cell>
          <cell r="D434" t="str">
            <v>du</v>
          </cell>
          <cell r="E434" t="str">
            <v>rejet CAS</v>
          </cell>
        </row>
        <row r="435">
          <cell r="C435" t="str">
            <v>contrat</v>
          </cell>
          <cell r="D435" t="str">
            <v>du</v>
          </cell>
          <cell r="E435" t="str">
            <v>rejet CAS</v>
          </cell>
        </row>
        <row r="436">
          <cell r="C436" t="str">
            <v>activité</v>
          </cell>
          <cell r="D436" t="str">
            <v>du</v>
          </cell>
          <cell r="E436" t="str">
            <v>MCC</v>
          </cell>
        </row>
        <row r="437">
          <cell r="C437" t="str">
            <v>présence</v>
          </cell>
          <cell r="D437" t="str">
            <v>du</v>
          </cell>
          <cell r="E437" t="str">
            <v>professionnel de santé</v>
          </cell>
          <cell r="F437" t="str">
            <v>du</v>
          </cell>
          <cell r="G437" t="str">
            <v>MCC</v>
          </cell>
        </row>
        <row r="438">
          <cell r="D438" t="str">
            <v>de la</v>
          </cell>
          <cell r="E438" t="str">
            <v>Carte avance santé</v>
          </cell>
        </row>
        <row r="439">
          <cell r="D439" t="str">
            <v>de la</v>
          </cell>
          <cell r="E439" t="str">
            <v>transaction d'autorisation</v>
          </cell>
          <cell r="F439" t="str">
            <v>de la</v>
          </cell>
          <cell r="G439" t="str">
            <v>Carte avance santé</v>
          </cell>
        </row>
        <row r="440">
          <cell r="D440" t="str">
            <v>du</v>
          </cell>
          <cell r="E440" t="str">
            <v>type</v>
          </cell>
          <cell r="F440" t="str">
            <v>d'</v>
          </cell>
          <cell r="G440" t="str">
            <v>enregistrement</v>
          </cell>
          <cell r="H440" t="str">
            <v>de la</v>
          </cell>
          <cell r="I440" t="str">
            <v>transaction d'autorisation</v>
          </cell>
        </row>
        <row r="441">
          <cell r="D441" t="str">
            <v>de</v>
          </cell>
          <cell r="E441" t="str">
            <v>carte</v>
          </cell>
          <cell r="F441" t="str">
            <v>de la</v>
          </cell>
          <cell r="G441" t="str">
            <v>transaction d'autorisation</v>
          </cell>
        </row>
        <row r="442">
          <cell r="D442" t="str">
            <v>de la</v>
          </cell>
          <cell r="E442" t="str">
            <v>transaction d'autorisation</v>
          </cell>
        </row>
        <row r="443">
          <cell r="D443" t="str">
            <v>de la</v>
          </cell>
          <cell r="E443" t="str">
            <v>transaction d'autorisation</v>
          </cell>
        </row>
        <row r="444">
          <cell r="D444" t="str">
            <v>de la</v>
          </cell>
          <cell r="E444" t="str">
            <v>transaction d'autorisation</v>
          </cell>
        </row>
        <row r="445">
          <cell r="D445" t="str">
            <v>de la</v>
          </cell>
          <cell r="E445" t="str">
            <v>devise</v>
          </cell>
          <cell r="F445" t="str">
            <v>de la</v>
          </cell>
          <cell r="G445" t="str">
            <v>transaction d'autorisation</v>
          </cell>
        </row>
        <row r="446">
          <cell r="D446" t="str">
            <v>de la</v>
          </cell>
          <cell r="E446" t="str">
            <v>réponse du serveur</v>
          </cell>
        </row>
        <row r="447">
          <cell r="D447" t="str">
            <v>du</v>
          </cell>
          <cell r="E447" t="str">
            <v>motif</v>
          </cell>
          <cell r="F447" t="str">
            <v>de la</v>
          </cell>
          <cell r="G447" t="str">
            <v>réponse du serveur</v>
          </cell>
        </row>
        <row r="448">
          <cell r="D448" t="str">
            <v>du</v>
          </cell>
          <cell r="E448" t="str">
            <v>motif</v>
          </cell>
          <cell r="F448" t="str">
            <v>de la</v>
          </cell>
          <cell r="G448" t="str">
            <v>réponse du serveur</v>
          </cell>
        </row>
        <row r="449">
          <cell r="D449" t="str">
            <v>du</v>
          </cell>
          <cell r="E449" t="str">
            <v>mode de lecture</v>
          </cell>
        </row>
        <row r="450">
          <cell r="D450" t="str">
            <v>d'</v>
          </cell>
          <cell r="E450" t="str">
            <v>autorisation</v>
          </cell>
        </row>
        <row r="451">
          <cell r="D451" t="str">
            <v>de l'</v>
          </cell>
          <cell r="E451" t="str">
            <v>accepteur</v>
          </cell>
        </row>
        <row r="452">
          <cell r="D452" t="str">
            <v>du</v>
          </cell>
          <cell r="E452" t="str">
            <v>pays</v>
          </cell>
          <cell r="G452" t="str">
            <v>accepteur</v>
          </cell>
        </row>
        <row r="453">
          <cell r="D453" t="str">
            <v>du</v>
          </cell>
          <cell r="E453" t="str">
            <v>pays</v>
          </cell>
          <cell r="G453" t="str">
            <v>accepteur</v>
          </cell>
        </row>
        <row r="454">
          <cell r="D454" t="str">
            <v>du</v>
          </cell>
          <cell r="E454" t="str">
            <v>MCC</v>
          </cell>
          <cell r="F454" t="str">
            <v>du</v>
          </cell>
          <cell r="G454" t="str">
            <v>TPE</v>
          </cell>
        </row>
        <row r="455">
          <cell r="D455" t="str">
            <v>du</v>
          </cell>
          <cell r="E455" t="str">
            <v>commercant</v>
          </cell>
        </row>
        <row r="456">
          <cell r="D456" t="str">
            <v>de l'</v>
          </cell>
          <cell r="E456" t="str">
            <v>acquéreur</v>
          </cell>
        </row>
        <row r="457">
          <cell r="D457" t="str">
            <v>de</v>
          </cell>
          <cell r="E457" t="str">
            <v>TPE</v>
          </cell>
        </row>
        <row r="458">
          <cell r="D458" t="str">
            <v>de</v>
          </cell>
          <cell r="E458" t="str">
            <v>contrat CAS</v>
          </cell>
        </row>
        <row r="459">
          <cell r="D459" t="str">
            <v>du</v>
          </cell>
          <cell r="E459" t="str">
            <v>banque</v>
          </cell>
          <cell r="G459" t="str">
            <v>guichet</v>
          </cell>
          <cell r="H459" t="str">
            <v>du</v>
          </cell>
          <cell r="I459" t="str">
            <v>gestionnaire</v>
          </cell>
        </row>
        <row r="460">
          <cell r="D460" t="str">
            <v>du</v>
          </cell>
          <cell r="E460" t="str">
            <v>RIB</v>
          </cell>
          <cell r="F460" t="str">
            <v>d'</v>
          </cell>
          <cell r="G460" t="str">
            <v>opération</v>
          </cell>
        </row>
        <row r="461">
          <cell r="D461" t="str">
            <v>du</v>
          </cell>
          <cell r="E461" t="str">
            <v>département</v>
          </cell>
        </row>
        <row r="462">
          <cell r="D462" t="str">
            <v>de la</v>
          </cell>
          <cell r="E462" t="str">
            <v>ville</v>
          </cell>
          <cell r="F462" t="str">
            <v>du</v>
          </cell>
          <cell r="G462" t="str">
            <v>commercant</v>
          </cell>
        </row>
        <row r="463">
          <cell r="D463" t="str">
            <v>du</v>
          </cell>
          <cell r="E463" t="str">
            <v>pays</v>
          </cell>
          <cell r="G463" t="str">
            <v>acquéreur</v>
          </cell>
        </row>
        <row r="464">
          <cell r="D464" t="str">
            <v>du</v>
          </cell>
          <cell r="E464" t="str">
            <v>pays</v>
          </cell>
          <cell r="G464" t="str">
            <v>acquéreur</v>
          </cell>
        </row>
        <row r="465">
          <cell r="D465" t="str">
            <v>du</v>
          </cell>
          <cell r="E465" t="str">
            <v>type</v>
          </cell>
          <cell r="F465" t="str">
            <v>de</v>
          </cell>
          <cell r="G465" t="str">
            <v>stockage</v>
          </cell>
        </row>
        <row r="467">
          <cell r="D467" t="str">
            <v>de la</v>
          </cell>
          <cell r="E467" t="str">
            <v>dette</v>
          </cell>
        </row>
        <row r="468">
          <cell r="C468" t="str">
            <v>dernière image</v>
          </cell>
          <cell r="D468" t="str">
            <v>de l'</v>
          </cell>
          <cell r="E468" t="str">
            <v>affectation</v>
          </cell>
        </row>
        <row r="469">
          <cell r="C469" t="str">
            <v>dernière image</v>
          </cell>
          <cell r="D469" t="str">
            <v>du</v>
          </cell>
          <cell r="E469" t="str">
            <v>collaborateur</v>
          </cell>
        </row>
        <row r="470">
          <cell r="D470" t="str">
            <v>du</v>
          </cell>
          <cell r="E470" t="str">
            <v>type</v>
          </cell>
          <cell r="F470" t="str">
            <v>d'</v>
          </cell>
          <cell r="G470" t="str">
            <v>affectation</v>
          </cell>
        </row>
        <row r="471">
          <cell r="D471" t="str">
            <v>de la</v>
          </cell>
          <cell r="E471" t="str">
            <v>source applicative</v>
          </cell>
          <cell r="F471" t="str">
            <v>de l'</v>
          </cell>
          <cell r="G471" t="str">
            <v>affectation</v>
          </cell>
        </row>
        <row r="472">
          <cell r="D472" t="str">
            <v>du</v>
          </cell>
          <cell r="E472" t="str">
            <v>type</v>
          </cell>
          <cell r="F472" t="str">
            <v>d'</v>
          </cell>
          <cell r="G472" t="str">
            <v>affectation</v>
          </cell>
        </row>
        <row r="473">
          <cell r="D473" t="str">
            <v>du</v>
          </cell>
          <cell r="E473" t="str">
            <v>type</v>
          </cell>
          <cell r="F473" t="str">
            <v>d'</v>
          </cell>
          <cell r="G473" t="str">
            <v>affectation</v>
          </cell>
        </row>
        <row r="474">
          <cell r="D474" t="str">
            <v>du</v>
          </cell>
          <cell r="E474" t="str">
            <v>type</v>
          </cell>
          <cell r="F474" t="str">
            <v>de</v>
          </cell>
          <cell r="G474" t="str">
            <v>collaborateur</v>
          </cell>
        </row>
        <row r="475">
          <cell r="D475" t="str">
            <v>de la</v>
          </cell>
          <cell r="E475" t="str">
            <v>source applicative</v>
          </cell>
          <cell r="F475" t="str">
            <v>du</v>
          </cell>
          <cell r="G475" t="str">
            <v>collaborateur</v>
          </cell>
        </row>
        <row r="476">
          <cell r="D476" t="str">
            <v>du</v>
          </cell>
          <cell r="E476" t="str">
            <v>type</v>
          </cell>
          <cell r="F476" t="str">
            <v>de</v>
          </cell>
          <cell r="G476" t="str">
            <v>collaborateur</v>
          </cell>
        </row>
        <row r="477">
          <cell r="D477" t="str">
            <v>du</v>
          </cell>
          <cell r="E477" t="str">
            <v>type</v>
          </cell>
          <cell r="F477" t="str">
            <v>de</v>
          </cell>
          <cell r="G477" t="str">
            <v>collaborateur</v>
          </cell>
        </row>
        <row r="478">
          <cell r="D478" t="str">
            <v>de l'</v>
          </cell>
          <cell r="E478" t="str">
            <v>affectation</v>
          </cell>
        </row>
        <row r="479">
          <cell r="D479" t="str">
            <v>du</v>
          </cell>
          <cell r="E479" t="str">
            <v>collaborateur</v>
          </cell>
        </row>
        <row r="480">
          <cell r="D480" t="str">
            <v>du</v>
          </cell>
          <cell r="E480" t="str">
            <v>collaborateur</v>
          </cell>
        </row>
        <row r="481">
          <cell r="D481" t="str">
            <v>du</v>
          </cell>
          <cell r="E481" t="str">
            <v>collaborateur hiérarchie</v>
          </cell>
        </row>
        <row r="482">
          <cell r="D482" t="str">
            <v>du</v>
          </cell>
          <cell r="E482" t="str">
            <v>collaborateur</v>
          </cell>
        </row>
        <row r="483">
          <cell r="D483" t="str">
            <v>de l'</v>
          </cell>
          <cell r="E483" t="str">
            <v>identifiant fonctionnel</v>
          </cell>
          <cell r="F483" t="str">
            <v>du</v>
          </cell>
          <cell r="G483" t="str">
            <v>collaborateur</v>
          </cell>
        </row>
        <row r="484">
          <cell r="D484" t="str">
            <v>de l'</v>
          </cell>
          <cell r="E484" t="str">
            <v>affectation</v>
          </cell>
        </row>
        <row r="485">
          <cell r="D485" t="str">
            <v>de l'</v>
          </cell>
          <cell r="E485" t="str">
            <v>affectation</v>
          </cell>
        </row>
        <row r="486">
          <cell r="D486" t="str">
            <v>du</v>
          </cell>
          <cell r="E486" t="str">
            <v>collaborateur</v>
          </cell>
        </row>
        <row r="487">
          <cell r="D487" t="str">
            <v>du</v>
          </cell>
          <cell r="E487" t="str">
            <v>collaborateur</v>
          </cell>
        </row>
        <row r="488">
          <cell r="D488" t="str">
            <v>de l'</v>
          </cell>
          <cell r="E488" t="str">
            <v>affectation</v>
          </cell>
        </row>
        <row r="489">
          <cell r="D489" t="str">
            <v>de l'</v>
          </cell>
          <cell r="E489" t="str">
            <v>affectation</v>
          </cell>
        </row>
        <row r="490">
          <cell r="D490" t="str">
            <v>du</v>
          </cell>
          <cell r="E490" t="str">
            <v>collaborateur</v>
          </cell>
        </row>
        <row r="491">
          <cell r="D491" t="str">
            <v>du</v>
          </cell>
          <cell r="E491" t="str">
            <v>collaborateur</v>
          </cell>
        </row>
        <row r="492">
          <cell r="D492" t="str">
            <v>du</v>
          </cell>
          <cell r="E492" t="str">
            <v>collaborateur</v>
          </cell>
        </row>
        <row r="493">
          <cell r="D493" t="str">
            <v>du</v>
          </cell>
          <cell r="E493" t="str">
            <v>collaborateur</v>
          </cell>
        </row>
        <row r="494">
          <cell r="C494" t="str">
            <v>professionnelle</v>
          </cell>
          <cell r="D494" t="str">
            <v>du</v>
          </cell>
          <cell r="E494" t="str">
            <v>collaborateur</v>
          </cell>
        </row>
        <row r="495">
          <cell r="C495" t="str">
            <v>téléphone professionnel</v>
          </cell>
          <cell r="D495" t="str">
            <v>du</v>
          </cell>
          <cell r="E495" t="str">
            <v>collaborateur</v>
          </cell>
        </row>
        <row r="496">
          <cell r="D496" t="str">
            <v>du</v>
          </cell>
          <cell r="E496" t="str">
            <v>collaborateur</v>
          </cell>
        </row>
        <row r="497">
          <cell r="C497" t="str">
            <v>invariant</v>
          </cell>
          <cell r="D497" t="str">
            <v>du</v>
          </cell>
          <cell r="E497" t="str">
            <v>collaborateur</v>
          </cell>
        </row>
        <row r="498">
          <cell r="C498" t="str">
            <v>courant</v>
          </cell>
          <cell r="D498" t="str">
            <v>du</v>
          </cell>
          <cell r="E498" t="str">
            <v>collaborateur</v>
          </cell>
        </row>
        <row r="499">
          <cell r="D499" t="str">
            <v>du</v>
          </cell>
          <cell r="E499" t="str">
            <v>collaborateur</v>
          </cell>
        </row>
        <row r="500">
          <cell r="D500" t="str">
            <v>d'</v>
          </cell>
          <cell r="E500" t="str">
            <v>affectation</v>
          </cell>
          <cell r="F500" t="str">
            <v>à la</v>
          </cell>
          <cell r="G500" t="str">
            <v>structure</v>
          </cell>
        </row>
        <row r="501">
          <cell r="D501" t="str">
            <v>d'</v>
          </cell>
          <cell r="E501" t="str">
            <v>affectation</v>
          </cell>
          <cell r="F501" t="str">
            <v>à la</v>
          </cell>
          <cell r="G501" t="str">
            <v>structure</v>
          </cell>
        </row>
        <row r="502">
          <cell r="D502" t="str">
            <v>d'</v>
          </cell>
          <cell r="E502" t="str">
            <v>affectation</v>
          </cell>
          <cell r="F502" t="str">
            <v>à la</v>
          </cell>
          <cell r="G502" t="str">
            <v>structure</v>
          </cell>
        </row>
        <row r="503">
          <cell r="D503" t="str">
            <v>de la</v>
          </cell>
          <cell r="E503" t="str">
            <v>structure</v>
          </cell>
        </row>
        <row r="504">
          <cell r="D504" t="str">
            <v>de la</v>
          </cell>
          <cell r="E504" t="str">
            <v>structure</v>
          </cell>
        </row>
        <row r="505">
          <cell r="D505" t="str">
            <v>de l'</v>
          </cell>
          <cell r="E505" t="str">
            <v>organigramme</v>
          </cell>
          <cell r="F505" t="str">
            <v>de la</v>
          </cell>
          <cell r="G505" t="str">
            <v>structure</v>
          </cell>
        </row>
        <row r="506">
          <cell r="D506" t="str">
            <v>d'</v>
          </cell>
          <cell r="E506" t="str">
            <v>affectation</v>
          </cell>
        </row>
        <row r="507">
          <cell r="D507" t="str">
            <v>d'</v>
          </cell>
          <cell r="E507" t="str">
            <v>affectation</v>
          </cell>
        </row>
        <row r="508">
          <cell r="D508" t="str">
            <v>de la</v>
          </cell>
          <cell r="E508" t="str">
            <v>profession</v>
          </cell>
          <cell r="F508" t="str">
            <v>du</v>
          </cell>
          <cell r="G508" t="str">
            <v>collaborateur</v>
          </cell>
        </row>
        <row r="509">
          <cell r="D509" t="str">
            <v>de la</v>
          </cell>
          <cell r="E509" t="str">
            <v>profession</v>
          </cell>
          <cell r="F509" t="str">
            <v>du</v>
          </cell>
          <cell r="G509" t="str">
            <v>collaborateur</v>
          </cell>
        </row>
        <row r="510">
          <cell r="D510" t="str">
            <v>de la</v>
          </cell>
          <cell r="E510" t="str">
            <v>profession</v>
          </cell>
          <cell r="F510" t="str">
            <v>du</v>
          </cell>
          <cell r="G510" t="str">
            <v>collaborateur</v>
          </cell>
        </row>
        <row r="511">
          <cell r="C511" t="str">
            <v>dernière image</v>
          </cell>
          <cell r="D511" t="str">
            <v>d'</v>
          </cell>
          <cell r="E511" t="str">
            <v>affectation</v>
          </cell>
          <cell r="F511" t="str">
            <v>à la</v>
          </cell>
          <cell r="G511" t="str">
            <v>structure</v>
          </cell>
        </row>
        <row r="512">
          <cell r="C512" t="str">
            <v>détachement</v>
          </cell>
          <cell r="D512" t="str">
            <v>de la</v>
          </cell>
          <cell r="E512" t="str">
            <v>structure</v>
          </cell>
        </row>
        <row r="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row>
        <row r="515">
          <cell r="D515" t="str">
            <v>d'</v>
          </cell>
          <cell r="E515" t="str">
            <v>affectation</v>
          </cell>
          <cell r="F515" t="str">
            <v>à un</v>
          </cell>
          <cell r="G515" t="str">
            <v>utilisateur</v>
          </cell>
        </row>
        <row r="516">
          <cell r="D516" t="str">
            <v>d'</v>
          </cell>
          <cell r="E516" t="str">
            <v>affectation</v>
          </cell>
          <cell r="F516" t="str">
            <v>à un</v>
          </cell>
          <cell r="G516" t="str">
            <v>utilisateur</v>
          </cell>
        </row>
        <row r="517">
          <cell r="D517" t="str">
            <v>d'</v>
          </cell>
          <cell r="E517" t="str">
            <v>affectation</v>
          </cell>
          <cell r="F517" t="str">
            <v>à un</v>
          </cell>
          <cell r="G517" t="str">
            <v>utilisateur</v>
          </cell>
        </row>
        <row r="518">
          <cell r="C518" t="str">
            <v>dernière image</v>
          </cell>
          <cell r="D518" t="str">
            <v>d'</v>
          </cell>
          <cell r="E518" t="str">
            <v>affectation</v>
          </cell>
          <cell r="F518" t="str">
            <v>à un</v>
          </cell>
          <cell r="G518" t="str">
            <v>utilisateur</v>
          </cell>
        </row>
        <row r="519">
          <cell r="D519" t="str">
            <v>de l'</v>
          </cell>
          <cell r="E519" t="str">
            <v>utilisateur</v>
          </cell>
        </row>
        <row r="520">
          <cell r="D520" t="str">
            <v>de la</v>
          </cell>
          <cell r="E520" t="str">
            <v>section</v>
          </cell>
          <cell r="F520" t="str">
            <v>de l'</v>
          </cell>
          <cell r="G520" t="str">
            <v>utilisateur</v>
          </cell>
        </row>
        <row r="521">
          <cell r="D521" t="str">
            <v>de la</v>
          </cell>
          <cell r="E521" t="str">
            <v>section</v>
          </cell>
          <cell r="F521" t="str">
            <v>de l'</v>
          </cell>
          <cell r="G521" t="str">
            <v>utilisateur</v>
          </cell>
        </row>
        <row r="522">
          <cell r="D522" t="str">
            <v>de l'</v>
          </cell>
          <cell r="E522" t="str">
            <v>entité gestionnaire</v>
          </cell>
          <cell r="F522" t="str">
            <v>de l'</v>
          </cell>
          <cell r="G522" t="str">
            <v>utilisateur</v>
          </cell>
        </row>
        <row r="523">
          <cell r="D523" t="str">
            <v>de la</v>
          </cell>
          <cell r="E523" t="str">
            <v>localisation</v>
          </cell>
          <cell r="F523" t="str">
            <v>de l'</v>
          </cell>
          <cell r="G523" t="str">
            <v>utilisateur</v>
          </cell>
        </row>
        <row r="524">
          <cell r="D524" t="str">
            <v>du</v>
          </cell>
          <cell r="E524" t="str">
            <v>groupe de distribution</v>
          </cell>
          <cell r="F524" t="str">
            <v>de l'</v>
          </cell>
          <cell r="G524" t="str">
            <v>utilisateur</v>
          </cell>
        </row>
        <row r="525">
          <cell r="D525" t="str">
            <v>du</v>
          </cell>
          <cell r="E525" t="str">
            <v>fond de page</v>
          </cell>
          <cell r="F525" t="str">
            <v>de l'</v>
          </cell>
          <cell r="G525" t="str">
            <v>utilisateur</v>
          </cell>
        </row>
        <row r="526">
          <cell r="C526" t="str">
            <v>alias</v>
          </cell>
          <cell r="D526" t="str">
            <v>de l'</v>
          </cell>
          <cell r="E526" t="str">
            <v>utilisateur</v>
          </cell>
        </row>
        <row r="527">
          <cell r="C527" t="str">
            <v>rédacteur</v>
          </cell>
          <cell r="D527" t="str">
            <v>de l'</v>
          </cell>
          <cell r="E527" t="str">
            <v>utilisateur</v>
          </cell>
        </row>
        <row r="528">
          <cell r="D528" t="str">
            <v>du</v>
          </cell>
          <cell r="E528" t="str">
            <v>rédacteur</v>
          </cell>
        </row>
        <row r="529">
          <cell r="C529" t="str">
            <v>état</v>
          </cell>
          <cell r="D529" t="str">
            <v>du</v>
          </cell>
          <cell r="E529" t="str">
            <v>rédacteur</v>
          </cell>
        </row>
        <row r="530">
          <cell r="C530" t="str">
            <v>externe</v>
          </cell>
          <cell r="D530" t="str">
            <v>du</v>
          </cell>
          <cell r="E530" t="str">
            <v>rédacteur</v>
          </cell>
        </row>
        <row r="531">
          <cell r="C531" t="str">
            <v>interne</v>
          </cell>
          <cell r="D531" t="str">
            <v>du</v>
          </cell>
          <cell r="E531" t="str">
            <v>rédacteur</v>
          </cell>
        </row>
        <row r="532">
          <cell r="D532" t="str">
            <v>du</v>
          </cell>
          <cell r="E532" t="str">
            <v>grade</v>
          </cell>
          <cell r="F532" t="str">
            <v>du</v>
          </cell>
          <cell r="G532" t="str">
            <v>rédacteur</v>
          </cell>
        </row>
        <row r="533">
          <cell r="D533" t="str">
            <v>du</v>
          </cell>
          <cell r="E533" t="str">
            <v>grade</v>
          </cell>
          <cell r="F533" t="str">
            <v>du</v>
          </cell>
          <cell r="G533" t="str">
            <v>rédacteur</v>
          </cell>
        </row>
        <row r="534">
          <cell r="D534" t="str">
            <v>du</v>
          </cell>
          <cell r="E534" t="str">
            <v>grade</v>
          </cell>
          <cell r="F534" t="str">
            <v>du</v>
          </cell>
          <cell r="G534" t="str">
            <v>rédacteur</v>
          </cell>
        </row>
        <row r="535">
          <cell r="D535" t="str">
            <v>du</v>
          </cell>
          <cell r="E535" t="str">
            <v>service</v>
          </cell>
          <cell r="F535" t="str">
            <v>du</v>
          </cell>
          <cell r="G535" t="str">
            <v>rédacteur</v>
          </cell>
        </row>
        <row r="536">
          <cell r="D536" t="str">
            <v>du</v>
          </cell>
          <cell r="E536" t="str">
            <v>service</v>
          </cell>
          <cell r="F536" t="str">
            <v>du</v>
          </cell>
          <cell r="G536" t="str">
            <v>rédacteur</v>
          </cell>
        </row>
        <row r="537">
          <cell r="D537" t="str">
            <v>du</v>
          </cell>
          <cell r="E537" t="str">
            <v>service</v>
          </cell>
          <cell r="F537" t="str">
            <v>du</v>
          </cell>
          <cell r="G537" t="str">
            <v>rédacteur</v>
          </cell>
        </row>
        <row r="538">
          <cell r="D538" t="str">
            <v>de la</v>
          </cell>
          <cell r="E538" t="str">
            <v>localisation</v>
          </cell>
          <cell r="F538" t="str">
            <v>du</v>
          </cell>
          <cell r="G538" t="str">
            <v>rédacteur</v>
          </cell>
        </row>
        <row r="539">
          <cell r="D539" t="str">
            <v>de la</v>
          </cell>
          <cell r="E539" t="str">
            <v>localisation</v>
          </cell>
          <cell r="F539" t="str">
            <v>du</v>
          </cell>
          <cell r="G539" t="str">
            <v>rédacteur</v>
          </cell>
        </row>
        <row r="540">
          <cell r="D540" t="str">
            <v>de la</v>
          </cell>
          <cell r="E540" t="str">
            <v>localisation</v>
          </cell>
          <cell r="F540" t="str">
            <v>du</v>
          </cell>
          <cell r="G540" t="str">
            <v>rédacteur</v>
          </cell>
        </row>
        <row r="541">
          <cell r="D541" t="str">
            <v>de l'</v>
          </cell>
          <cell r="E541" t="str">
            <v>équipe</v>
          </cell>
          <cell r="F541" t="str">
            <v>du</v>
          </cell>
          <cell r="G541" t="str">
            <v>rédacteur</v>
          </cell>
        </row>
        <row r="542">
          <cell r="D542" t="str">
            <v>de l'</v>
          </cell>
          <cell r="E542" t="str">
            <v>équipe</v>
          </cell>
          <cell r="F542" t="str">
            <v>du</v>
          </cell>
          <cell r="G542" t="str">
            <v>rédacteur</v>
          </cell>
        </row>
        <row r="543">
          <cell r="D543" t="str">
            <v>de l'</v>
          </cell>
          <cell r="E543" t="str">
            <v>équipe</v>
          </cell>
          <cell r="F543" t="str">
            <v>du</v>
          </cell>
          <cell r="G543" t="str">
            <v>rédacteur</v>
          </cell>
        </row>
        <row r="544">
          <cell r="C544" t="str">
            <v>téléphone</v>
          </cell>
          <cell r="D544" t="str">
            <v>du</v>
          </cell>
          <cell r="E544" t="str">
            <v>rédacteur</v>
          </cell>
        </row>
        <row r="545">
          <cell r="C545" t="str">
            <v>fax</v>
          </cell>
          <cell r="D545" t="str">
            <v>du</v>
          </cell>
          <cell r="E545" t="str">
            <v>rédacteur</v>
          </cell>
        </row>
        <row r="546">
          <cell r="C546" t="str">
            <v>autorisé</v>
          </cell>
          <cell r="D546" t="str">
            <v>du</v>
          </cell>
          <cell r="E546" t="str">
            <v>rédacteur</v>
          </cell>
        </row>
        <row r="547">
          <cell r="D547" t="str">
            <v>du</v>
          </cell>
          <cell r="E547" t="str">
            <v>montant autorisé</v>
          </cell>
          <cell r="F547" t="str">
            <v>du</v>
          </cell>
          <cell r="G547" t="str">
            <v>rédacteur</v>
          </cell>
        </row>
        <row r="548">
          <cell r="D548" t="str">
            <v>de la</v>
          </cell>
          <cell r="E548" t="str">
            <v>source applicative</v>
          </cell>
          <cell r="F548" t="str">
            <v>de l'</v>
          </cell>
          <cell r="G548" t="str">
            <v>affectation</v>
          </cell>
          <cell r="H548" t="str">
            <v>à un</v>
          </cell>
          <cell r="I548" t="str">
            <v>utilisateur</v>
          </cell>
        </row>
        <row r="549">
          <cell r="D549" t="str">
            <v>de la</v>
          </cell>
          <cell r="E549" t="str">
            <v>relation hiérarchique</v>
          </cell>
        </row>
        <row r="550">
          <cell r="D550" t="str">
            <v>de la</v>
          </cell>
          <cell r="E550" t="str">
            <v>relation hiérarchique</v>
          </cell>
        </row>
        <row r="551">
          <cell r="D551" t="str">
            <v>de la</v>
          </cell>
          <cell r="E551" t="str">
            <v>relation hiérarchique</v>
          </cell>
        </row>
        <row r="552">
          <cell r="C552" t="str">
            <v>dernière image</v>
          </cell>
          <cell r="D552" t="str">
            <v>de la</v>
          </cell>
          <cell r="E552" t="str">
            <v>relation hiérarchique</v>
          </cell>
        </row>
        <row r="553">
          <cell r="D553" t="str">
            <v>de la</v>
          </cell>
          <cell r="E553" t="str">
            <v>source applicative</v>
          </cell>
          <cell r="F553" t="str">
            <v>de la</v>
          </cell>
          <cell r="G553" t="str">
            <v>relation hiérarchique</v>
          </cell>
        </row>
        <row r="554">
          <cell r="C554" t="str">
            <v>enregistrement</v>
          </cell>
          <cell r="D554" t="str">
            <v>dans le</v>
          </cell>
          <cell r="E554" t="str">
            <v>SID</v>
          </cell>
        </row>
        <row r="555">
          <cell r="C555" t="str">
            <v>enregistrement</v>
          </cell>
          <cell r="D555" t="str">
            <v>dans le</v>
          </cell>
          <cell r="E555" t="str">
            <v>SIO</v>
          </cell>
        </row>
        <row r="556">
          <cell r="C556" t="str">
            <v>OPC</v>
          </cell>
          <cell r="D556" t="str">
            <v>du</v>
          </cell>
          <cell r="E556" t="str">
            <v>traitement</v>
          </cell>
        </row>
        <row r="557">
          <cell r="D557" t="str">
            <v>dans le</v>
          </cell>
          <cell r="E557" t="str">
            <v>SID</v>
          </cell>
        </row>
        <row r="558">
          <cell r="D558" t="str">
            <v>dans le</v>
          </cell>
          <cell r="E558" t="str">
            <v>SIO</v>
          </cell>
        </row>
        <row r="559">
          <cell r="D559" t="str">
            <v>des</v>
          </cell>
          <cell r="E559" t="str">
            <v>clé</v>
          </cell>
        </row>
        <row r="560">
          <cell r="D560" t="str">
            <v>du</v>
          </cell>
          <cell r="E560" t="str">
            <v>site d'origine</v>
          </cell>
        </row>
        <row r="561">
          <cell r="D561" t="str">
            <v>de la</v>
          </cell>
          <cell r="E561" t="str">
            <v>requête</v>
          </cell>
        </row>
        <row r="562">
          <cell r="D562" t="str">
            <v>du</v>
          </cell>
          <cell r="E562" t="str">
            <v>schéma</v>
          </cell>
        </row>
        <row r="563">
          <cell r="D563" t="str">
            <v>de la</v>
          </cell>
          <cell r="E563" t="str">
            <v>table</v>
          </cell>
        </row>
        <row r="564">
          <cell r="D564" t="str">
            <v>de la</v>
          </cell>
          <cell r="E564" t="str">
            <v>référence</v>
          </cell>
          <cell r="F564" t="str">
            <v>des</v>
          </cell>
          <cell r="G564" t="str">
            <v>conditions et moyens de paiement</v>
          </cell>
        </row>
        <row r="565">
          <cell r="D565" t="str">
            <v>de l'</v>
          </cell>
          <cell r="E565" t="str">
            <v>archivage</v>
          </cell>
          <cell r="F565" t="str">
            <v>des</v>
          </cell>
          <cell r="G565" t="str">
            <v>conditions et moyens de paiement</v>
          </cell>
        </row>
        <row r="566">
          <cell r="D566" t="str">
            <v>du</v>
          </cell>
          <cell r="E566" t="str">
            <v>compte bancaire</v>
          </cell>
          <cell r="F566" t="str">
            <v>des</v>
          </cell>
          <cell r="G566" t="str">
            <v>conditions et moyens de paiement</v>
          </cell>
        </row>
        <row r="567">
          <cell r="D567" t="str">
            <v>de</v>
          </cell>
          <cell r="E567" t="str">
            <v>crédit</v>
          </cell>
          <cell r="F567" t="str">
            <v>des</v>
          </cell>
          <cell r="G567" t="str">
            <v>conditions et moyens de paiement</v>
          </cell>
        </row>
        <row r="568">
          <cell r="D568" t="str">
            <v>d'</v>
          </cell>
          <cell r="E568" t="str">
            <v>objet assuré</v>
          </cell>
          <cell r="F568" t="str">
            <v>des</v>
          </cell>
          <cell r="G568" t="str">
            <v>conditions et moyens de paiement</v>
          </cell>
        </row>
        <row r="569">
          <cell r="D569" t="str">
            <v>d'</v>
          </cell>
          <cell r="E569" t="str">
            <v>objet assuré</v>
          </cell>
          <cell r="F569" t="str">
            <v>des</v>
          </cell>
          <cell r="G569" t="str">
            <v>conditions et moyens de paiement</v>
          </cell>
        </row>
        <row r="570">
          <cell r="D570" t="str">
            <v>de</v>
          </cell>
          <cell r="E570" t="str">
            <v>fractionnement</v>
          </cell>
          <cell r="F570" t="str">
            <v>des</v>
          </cell>
          <cell r="G570" t="str">
            <v>conditions et moyens de paiement</v>
          </cell>
        </row>
        <row r="571">
          <cell r="D571" t="str">
            <v>de l'</v>
          </cell>
          <cell r="E571" t="str">
            <v>état</v>
          </cell>
          <cell r="F571" t="str">
            <v>des</v>
          </cell>
          <cell r="G571" t="str">
            <v>conditions et moyens de paiement</v>
          </cell>
        </row>
        <row r="572">
          <cell r="D572" t="str">
            <v>de la</v>
          </cell>
          <cell r="E572" t="str">
            <v>mise à jour</v>
          </cell>
          <cell r="F572" t="str">
            <v>des</v>
          </cell>
          <cell r="G572" t="str">
            <v>conditions et moyens de paiement</v>
          </cell>
        </row>
        <row r="573">
          <cell r="C573" t="str">
            <v>choisi</v>
          </cell>
          <cell r="D573" t="str">
            <v>des</v>
          </cell>
          <cell r="E573" t="str">
            <v>conditions et moyens de paiement</v>
          </cell>
        </row>
        <row r="574">
          <cell r="D574" t="str">
            <v>du</v>
          </cell>
          <cell r="E574" t="str">
            <v>type d'utilisation</v>
          </cell>
          <cell r="F574" t="str">
            <v>des</v>
          </cell>
          <cell r="G574" t="str">
            <v>conditions et moyens de paiement</v>
          </cell>
        </row>
        <row r="575">
          <cell r="D575" t="str">
            <v>de</v>
          </cell>
          <cell r="E575" t="str">
            <v>référence interne</v>
          </cell>
          <cell r="F575" t="str">
            <v>du</v>
          </cell>
          <cell r="G575" t="str">
            <v>contrat</v>
          </cell>
        </row>
        <row r="576">
          <cell r="D576" t="str">
            <v>de</v>
          </cell>
          <cell r="E576" t="str">
            <v>référence externe</v>
          </cell>
          <cell r="F576" t="str">
            <v>du</v>
          </cell>
          <cell r="G576" t="str">
            <v>contrat</v>
          </cell>
        </row>
        <row r="577">
          <cell r="D577" t="str">
            <v>du</v>
          </cell>
          <cell r="E577" t="str">
            <v>créateur</v>
          </cell>
          <cell r="F577" t="str">
            <v>de la</v>
          </cell>
          <cell r="G577" t="str">
            <v>référence</v>
          </cell>
          <cell r="H577" t="str">
            <v>des</v>
          </cell>
          <cell r="I577" t="str">
            <v>conditions et moyens de paiement</v>
          </cell>
        </row>
        <row r="578">
          <cell r="D578" t="str">
            <v>de la</v>
          </cell>
          <cell r="E578" t="str">
            <v>première réception</v>
          </cell>
          <cell r="F578" t="str">
            <v>dans le</v>
          </cell>
          <cell r="G578" t="str">
            <v>SID</v>
          </cell>
        </row>
        <row r="579">
          <cell r="D579" t="str">
            <v>de la</v>
          </cell>
          <cell r="E579" t="str">
            <v>dernière réception</v>
          </cell>
          <cell r="F579" t="str">
            <v>dans le</v>
          </cell>
          <cell r="G579" t="str">
            <v>SID</v>
          </cell>
        </row>
        <row r="580">
          <cell r="D580" t="str">
            <v>de</v>
          </cell>
          <cell r="E580" t="str">
            <v>suppression</v>
          </cell>
          <cell r="F580" t="str">
            <v>dans le</v>
          </cell>
          <cell r="G580" t="str">
            <v>SIO</v>
          </cell>
        </row>
        <row r="581">
          <cell r="D581" t="str">
            <v>de</v>
          </cell>
          <cell r="E581" t="str">
            <v>suppression</v>
          </cell>
          <cell r="F581" t="str">
            <v>dans le</v>
          </cell>
          <cell r="G581" t="str">
            <v>SIO</v>
          </cell>
        </row>
        <row r="582">
          <cell r="D582" t="str">
            <v>de la</v>
          </cell>
          <cell r="E582" t="str">
            <v>réactivation</v>
          </cell>
          <cell r="F582" t="str">
            <v>dans le</v>
          </cell>
          <cell r="G582" t="str">
            <v>SIO</v>
          </cell>
        </row>
        <row r="583">
          <cell r="D583" t="str">
            <v>des</v>
          </cell>
          <cell r="E583" t="str">
            <v>conditions et moyens de paiement</v>
          </cell>
        </row>
        <row r="584">
          <cell r="D584" t="str">
            <v>des</v>
          </cell>
          <cell r="E584" t="str">
            <v>conditions et moyens de paiement</v>
          </cell>
        </row>
        <row r="585">
          <cell r="D585" t="str">
            <v>des</v>
          </cell>
          <cell r="E585" t="str">
            <v>conditions et moyens de paiement</v>
          </cell>
        </row>
        <row r="586">
          <cell r="D586" t="str">
            <v>des</v>
          </cell>
          <cell r="E586" t="str">
            <v>conditions et moyens de paiement</v>
          </cell>
        </row>
        <row r="587">
          <cell r="D587" t="str">
            <v>des</v>
          </cell>
          <cell r="E587" t="str">
            <v>conditions et moyens de paiement</v>
          </cell>
        </row>
        <row r="588">
          <cell r="D588" t="str">
            <v>des</v>
          </cell>
          <cell r="E588" t="str">
            <v>conditions et moyens de paiement</v>
          </cell>
        </row>
        <row r="589">
          <cell r="D589" t="str">
            <v>des</v>
          </cell>
          <cell r="E589" t="str">
            <v>conditions et moyens de paiement</v>
          </cell>
        </row>
        <row r="590">
          <cell r="D590" t="str">
            <v>des</v>
          </cell>
          <cell r="E590" t="str">
            <v>conditions et moyens de paiement</v>
          </cell>
        </row>
        <row r="591">
          <cell r="D591" t="str">
            <v>des</v>
          </cell>
          <cell r="E591" t="str">
            <v>conditions et moyens de paiement</v>
          </cell>
        </row>
        <row r="592">
          <cell r="D592" t="str">
            <v>du</v>
          </cell>
          <cell r="E592" t="str">
            <v>BBAN</v>
          </cell>
        </row>
        <row r="593">
          <cell r="D593" t="str">
            <v>des</v>
          </cell>
          <cell r="E593" t="str">
            <v>conditions et moyens de paiement</v>
          </cell>
        </row>
        <row r="594">
          <cell r="D594" t="str">
            <v>de l'</v>
          </cell>
          <cell r="E594" t="str">
            <v>application source</v>
          </cell>
        </row>
        <row r="595">
          <cell r="C595" t="str">
            <v>affichage</v>
          </cell>
          <cell r="D595" t="str">
            <v>de l'</v>
          </cell>
          <cell r="E595" t="str">
            <v>Objectif</v>
          </cell>
        </row>
        <row r="596">
          <cell r="C596" t="str">
            <v>masquage</v>
          </cell>
          <cell r="D596" t="str">
            <v>de l'</v>
          </cell>
          <cell r="E596" t="str">
            <v>Objectif atteint</v>
          </cell>
        </row>
        <row r="597">
          <cell r="C597" t="str">
            <v>extinction</v>
          </cell>
          <cell r="D597" t="str">
            <v>de l'</v>
          </cell>
          <cell r="E597" t="str">
            <v>Objectif</v>
          </cell>
        </row>
        <row r="598">
          <cell r="C598" t="str">
            <v>traitement estimé</v>
          </cell>
          <cell r="D598" t="str">
            <v>de la</v>
          </cell>
          <cell r="E598" t="str">
            <v>Demande</v>
          </cell>
        </row>
        <row r="599">
          <cell r="C599" t="str">
            <v>priorité</v>
          </cell>
          <cell r="D599" t="str">
            <v>de la</v>
          </cell>
          <cell r="E599" t="str">
            <v>Demande</v>
          </cell>
        </row>
        <row r="600">
          <cell r="D600" t="str">
            <v>de la</v>
          </cell>
          <cell r="E600" t="str">
            <v>Branche assurance</v>
          </cell>
          <cell r="F600" t="str">
            <v>de l'</v>
          </cell>
          <cell r="G600" t="str">
            <v>Activité</v>
          </cell>
        </row>
        <row r="601">
          <cell r="D601" t="str">
            <v>de</v>
          </cell>
          <cell r="E601" t="str">
            <v>Priorité</v>
          </cell>
          <cell r="F601" t="str">
            <v>de l'</v>
          </cell>
          <cell r="G601" t="str">
            <v>Activité</v>
          </cell>
        </row>
        <row r="602">
          <cell r="D602" t="str">
            <v>du</v>
          </cell>
          <cell r="E602" t="str">
            <v>Canal de distribution</v>
          </cell>
          <cell r="F602" t="str">
            <v>de l'</v>
          </cell>
          <cell r="G602" t="str">
            <v>Activité</v>
          </cell>
        </row>
        <row r="603">
          <cell r="D603" t="str">
            <v>du</v>
          </cell>
          <cell r="E603" t="str">
            <v>Canal de distribution</v>
          </cell>
          <cell r="F603" t="str">
            <v>de l'</v>
          </cell>
          <cell r="G603" t="str">
            <v>Activité</v>
          </cell>
        </row>
        <row r="604">
          <cell r="D604" t="str">
            <v>de la</v>
          </cell>
          <cell r="E604" t="str">
            <v>Branche assurance</v>
          </cell>
          <cell r="F604" t="str">
            <v>de l'</v>
          </cell>
          <cell r="G604" t="str">
            <v>Activité</v>
          </cell>
        </row>
        <row r="605">
          <cell r="D605" t="str">
            <v>du</v>
          </cell>
          <cell r="E605" t="str">
            <v>Site de stockage</v>
          </cell>
          <cell r="F605" t="str">
            <v>de l'</v>
          </cell>
          <cell r="G605" t="str">
            <v>Activité</v>
          </cell>
        </row>
        <row r="606">
          <cell r="D606" t="str">
            <v>du</v>
          </cell>
          <cell r="E606" t="str">
            <v>Site de stockage</v>
          </cell>
          <cell r="F606" t="str">
            <v>de l'</v>
          </cell>
          <cell r="G606" t="str">
            <v>application informatique</v>
          </cell>
        </row>
        <row r="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row>
        <row r="609">
          <cell r="D609" t="str">
            <v>entre</v>
          </cell>
          <cell r="E609" t="str">
            <v>Activité</v>
          </cell>
          <cell r="F609" t="str">
            <v>et</v>
          </cell>
          <cell r="G609" t="str">
            <v>Canal de distribution</v>
          </cell>
        </row>
        <row r="610">
          <cell r="D610" t="str">
            <v>entre</v>
          </cell>
          <cell r="E610" t="str">
            <v>Activité</v>
          </cell>
          <cell r="F610" t="str">
            <v>et</v>
          </cell>
          <cell r="G610" t="str">
            <v>Canal de distribution</v>
          </cell>
        </row>
        <row r="611">
          <cell r="D611" t="str">
            <v>entre</v>
          </cell>
          <cell r="E611" t="str">
            <v>Activité</v>
          </cell>
          <cell r="F611" t="str">
            <v>et</v>
          </cell>
          <cell r="G611" t="str">
            <v>Canal de distribution</v>
          </cell>
        </row>
        <row r="612">
          <cell r="D612" t="str">
            <v>entre</v>
          </cell>
          <cell r="E612" t="str">
            <v>Activité</v>
          </cell>
          <cell r="F612" t="str">
            <v>et</v>
          </cell>
          <cell r="G612" t="str">
            <v>Canal de distribution</v>
          </cell>
        </row>
        <row r="613">
          <cell r="D613" t="str">
            <v>entre</v>
          </cell>
          <cell r="E613" t="str">
            <v>Activité</v>
          </cell>
          <cell r="F613" t="str">
            <v>et</v>
          </cell>
          <cell r="G613" t="str">
            <v>Canal de distribution</v>
          </cell>
        </row>
        <row r="614">
          <cell r="D614" t="str">
            <v>entre</v>
          </cell>
          <cell r="E614" t="str">
            <v>Activité</v>
          </cell>
          <cell r="F614" t="str">
            <v>et</v>
          </cell>
          <cell r="G614" t="str">
            <v>Canal de distribution</v>
          </cell>
        </row>
        <row r="615">
          <cell r="C615" t="str">
            <v>ancien</v>
          </cell>
          <cell r="D615" t="str">
            <v>de l'</v>
          </cell>
          <cell r="E615" t="str">
            <v>Objectif</v>
          </cell>
        </row>
        <row r="616">
          <cell r="D616" t="str">
            <v>entre</v>
          </cell>
          <cell r="E616" t="str">
            <v>Activité</v>
          </cell>
          <cell r="F616" t="str">
            <v>et</v>
          </cell>
          <cell r="G616" t="str">
            <v>Demande</v>
          </cell>
        </row>
        <row r="617">
          <cell r="D617" t="str">
            <v>entre</v>
          </cell>
          <cell r="E617" t="str">
            <v>Application informatique</v>
          </cell>
          <cell r="F617" t="str">
            <v>et</v>
          </cell>
          <cell r="G617" t="str">
            <v>Demande</v>
          </cell>
        </row>
        <row r="618">
          <cell r="D618" t="str">
            <v>entre</v>
          </cell>
          <cell r="E618" t="str">
            <v>Qualifiant</v>
          </cell>
          <cell r="F618" t="str">
            <v>et</v>
          </cell>
          <cell r="G618" t="str">
            <v>Demande</v>
          </cell>
        </row>
        <row r="619">
          <cell r="D619" t="str">
            <v>de la</v>
          </cell>
          <cell r="E619" t="str">
            <v>Branche assurance</v>
          </cell>
          <cell r="F619" t="str">
            <v>de la</v>
          </cell>
          <cell r="G619" t="str">
            <v>Demande</v>
          </cell>
        </row>
        <row r="620">
          <cell r="D620" t="str">
            <v>entre</v>
          </cell>
          <cell r="E620" t="str">
            <v>Activité</v>
          </cell>
          <cell r="F620" t="str">
            <v>et</v>
          </cell>
          <cell r="G620" t="str">
            <v>Demande</v>
          </cell>
        </row>
        <row r="621">
          <cell r="D621" t="str">
            <v>entre</v>
          </cell>
          <cell r="E621" t="str">
            <v>Application informatique</v>
          </cell>
          <cell r="F621" t="str">
            <v>et</v>
          </cell>
          <cell r="G621" t="str">
            <v>Demande</v>
          </cell>
        </row>
        <row r="622">
          <cell r="D622" t="str">
            <v>entre</v>
          </cell>
          <cell r="E622" t="str">
            <v>Qualifiant</v>
          </cell>
          <cell r="F622" t="str">
            <v>et</v>
          </cell>
          <cell r="G622" t="str">
            <v>Demande</v>
          </cell>
        </row>
        <row r="623">
          <cell r="D623" t="str">
            <v>entre</v>
          </cell>
          <cell r="E623" t="str">
            <v>Activité</v>
          </cell>
          <cell r="F623" t="str">
            <v>et</v>
          </cell>
          <cell r="G623" t="str">
            <v>Demande</v>
          </cell>
        </row>
        <row r="624">
          <cell r="D624" t="str">
            <v>entre</v>
          </cell>
          <cell r="E624" t="str">
            <v>Activité</v>
          </cell>
          <cell r="F624" t="str">
            <v>et</v>
          </cell>
          <cell r="G624" t="str">
            <v>Demande</v>
          </cell>
        </row>
        <row r="625">
          <cell r="D625" t="str">
            <v>entre</v>
          </cell>
          <cell r="E625" t="str">
            <v>Activité</v>
          </cell>
          <cell r="F625" t="str">
            <v>et</v>
          </cell>
          <cell r="G625" t="str">
            <v>Demande</v>
          </cell>
        </row>
        <row r="626">
          <cell r="D626" t="str">
            <v>entre</v>
          </cell>
          <cell r="E626" t="str">
            <v>Activité</v>
          </cell>
          <cell r="F626" t="str">
            <v>et</v>
          </cell>
          <cell r="G626" t="str">
            <v>Demande</v>
          </cell>
        </row>
        <row r="627">
          <cell r="D627" t="str">
            <v>entre</v>
          </cell>
          <cell r="E627" t="str">
            <v>Application informatique</v>
          </cell>
          <cell r="F627" t="str">
            <v>et</v>
          </cell>
          <cell r="G627" t="str">
            <v>Demande</v>
          </cell>
        </row>
        <row r="628">
          <cell r="D628" t="str">
            <v>entre</v>
          </cell>
          <cell r="E628" t="str">
            <v>Application informatique</v>
          </cell>
          <cell r="F628" t="str">
            <v>et</v>
          </cell>
          <cell r="G628" t="str">
            <v>Demande</v>
          </cell>
        </row>
        <row r="629">
          <cell r="D629" t="str">
            <v>entre</v>
          </cell>
          <cell r="E629" t="str">
            <v>Qualifiant</v>
          </cell>
          <cell r="F629" t="str">
            <v>et</v>
          </cell>
          <cell r="G629" t="str">
            <v>Demande</v>
          </cell>
        </row>
        <row r="630">
          <cell r="D630" t="str">
            <v>entre</v>
          </cell>
          <cell r="E630" t="str">
            <v>Qualifiant</v>
          </cell>
          <cell r="F630" t="str">
            <v>et</v>
          </cell>
          <cell r="G630" t="str">
            <v>Demande</v>
          </cell>
        </row>
        <row r="631">
          <cell r="D631" t="str">
            <v>entre</v>
          </cell>
          <cell r="E631" t="str">
            <v>Qualifiant</v>
          </cell>
          <cell r="F631" t="str">
            <v>et</v>
          </cell>
          <cell r="G631" t="str">
            <v>Demande</v>
          </cell>
        </row>
        <row r="632">
          <cell r="D632" t="str">
            <v>entre</v>
          </cell>
          <cell r="E632" t="str">
            <v>Qualifiant</v>
          </cell>
          <cell r="F632" t="str">
            <v>et</v>
          </cell>
          <cell r="G632" t="str">
            <v>Demande</v>
          </cell>
        </row>
        <row r="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row>
        <row r="635">
          <cell r="D635" t="str">
            <v>du</v>
          </cell>
          <cell r="E635" t="str">
            <v>Type</v>
          </cell>
          <cell r="F635" t="str">
            <v>de la</v>
          </cell>
          <cell r="G635" t="str">
            <v>Demande</v>
          </cell>
          <cell r="H635" t="str">
            <v>de l'</v>
          </cell>
          <cell r="I635" t="str">
            <v>Activité</v>
          </cell>
        </row>
        <row r="636">
          <cell r="D636" t="str">
            <v>entre</v>
          </cell>
          <cell r="E636" t="str">
            <v>Activité</v>
          </cell>
          <cell r="F636" t="str">
            <v>et</v>
          </cell>
          <cell r="G636" t="str">
            <v>Demande</v>
          </cell>
        </row>
        <row r="637">
          <cell r="C637" t="str">
            <v>Dernière image</v>
          </cell>
          <cell r="D637" t="str">
            <v>entre</v>
          </cell>
          <cell r="E637" t="str">
            <v>Qualifiant</v>
          </cell>
          <cell r="F637" t="str">
            <v>et</v>
          </cell>
          <cell r="G637" t="str">
            <v>Employé</v>
          </cell>
        </row>
        <row r="638">
          <cell r="D638" t="str">
            <v>entre</v>
          </cell>
          <cell r="E638" t="str">
            <v>Activité</v>
          </cell>
          <cell r="F638" t="str">
            <v>et</v>
          </cell>
          <cell r="G638" t="str">
            <v>Demande</v>
          </cell>
        </row>
        <row r="639">
          <cell r="D639" t="str">
            <v>entre</v>
          </cell>
          <cell r="E639" t="str">
            <v>Application informatique</v>
          </cell>
          <cell r="F639" t="str">
            <v>et</v>
          </cell>
          <cell r="G639" t="str">
            <v>Demande</v>
          </cell>
        </row>
        <row r="640">
          <cell r="D640" t="str">
            <v>de la</v>
          </cell>
          <cell r="E640" t="str">
            <v>Branche assurance</v>
          </cell>
          <cell r="F640" t="str">
            <v>de la</v>
          </cell>
          <cell r="G640" t="str">
            <v>Demande</v>
          </cell>
        </row>
        <row r="641">
          <cell r="D641" t="str">
            <v>entre</v>
          </cell>
          <cell r="E641" t="str">
            <v>Qualifiant</v>
          </cell>
          <cell r="F641" t="str">
            <v>et</v>
          </cell>
          <cell r="G641" t="str">
            <v>Demande</v>
          </cell>
        </row>
        <row r="642">
          <cell r="D642" t="str">
            <v>du</v>
          </cell>
          <cell r="E642" t="str">
            <v>Site de stockage</v>
          </cell>
          <cell r="F642" t="str">
            <v>de la</v>
          </cell>
          <cell r="G642" t="str">
            <v>Demande</v>
          </cell>
        </row>
        <row r="643">
          <cell r="D643" t="str">
            <v>du</v>
          </cell>
          <cell r="E643" t="str">
            <v>Type</v>
          </cell>
          <cell r="F643" t="str">
            <v>de la</v>
          </cell>
          <cell r="G643" t="str">
            <v>Demande</v>
          </cell>
        </row>
        <row r="644">
          <cell r="D644" t="str">
            <v>du</v>
          </cell>
          <cell r="E644" t="str">
            <v>Type</v>
          </cell>
          <cell r="F644" t="str">
            <v>de la</v>
          </cell>
          <cell r="G644" t="str">
            <v>Demande</v>
          </cell>
        </row>
        <row r="645">
          <cell r="D645" t="str">
            <v>entre</v>
          </cell>
          <cell r="E645" t="str">
            <v>Activité</v>
          </cell>
          <cell r="F645" t="str">
            <v>et</v>
          </cell>
          <cell r="G645" t="str">
            <v>Employé</v>
          </cell>
        </row>
        <row r="646">
          <cell r="C646" t="str">
            <v>Dernière image</v>
          </cell>
          <cell r="D646" t="str">
            <v>de l'</v>
          </cell>
          <cell r="E646" t="str">
            <v>Objectif</v>
          </cell>
        </row>
        <row r="647">
          <cell r="D647" t="str">
            <v>entre</v>
          </cell>
          <cell r="E647" t="str">
            <v>Qualifiant</v>
          </cell>
          <cell r="F647" t="str">
            <v>et</v>
          </cell>
          <cell r="G647" t="str">
            <v>Employé</v>
          </cell>
        </row>
        <row r="648">
          <cell r="D648" t="str">
            <v>entre</v>
          </cell>
          <cell r="E648" t="str">
            <v>Activité</v>
          </cell>
          <cell r="F648" t="str">
            <v>et</v>
          </cell>
          <cell r="G648" t="str">
            <v>Employé</v>
          </cell>
        </row>
        <row r="649">
          <cell r="D649" t="str">
            <v>entre</v>
          </cell>
          <cell r="E649" t="str">
            <v>Qualifiant</v>
          </cell>
          <cell r="F649" t="str">
            <v>et</v>
          </cell>
          <cell r="G649" t="str">
            <v>Employé</v>
          </cell>
        </row>
        <row r="650">
          <cell r="D650" t="str">
            <v>entre</v>
          </cell>
          <cell r="E650" t="str">
            <v>Activité</v>
          </cell>
          <cell r="F650" t="str">
            <v>et</v>
          </cell>
          <cell r="G650" t="str">
            <v>Employé</v>
          </cell>
        </row>
        <row r="651">
          <cell r="D651" t="str">
            <v>entre</v>
          </cell>
          <cell r="E651" t="str">
            <v>Activité</v>
          </cell>
          <cell r="F651" t="str">
            <v>et</v>
          </cell>
          <cell r="G651" t="str">
            <v>Employé</v>
          </cell>
        </row>
        <row r="652">
          <cell r="D652" t="str">
            <v>entre</v>
          </cell>
          <cell r="E652" t="str">
            <v>Activité</v>
          </cell>
          <cell r="F652" t="str">
            <v>et</v>
          </cell>
          <cell r="G652" t="str">
            <v>Employé</v>
          </cell>
        </row>
        <row r="653">
          <cell r="D653" t="str">
            <v>entre</v>
          </cell>
          <cell r="E653" t="str">
            <v>Activité</v>
          </cell>
          <cell r="F653" t="str">
            <v>et</v>
          </cell>
          <cell r="G653" t="str">
            <v>Employé</v>
          </cell>
        </row>
        <row r="654">
          <cell r="D654" t="str">
            <v>entre</v>
          </cell>
          <cell r="E654" t="str">
            <v>Qualifiant</v>
          </cell>
          <cell r="F654" t="str">
            <v>et</v>
          </cell>
          <cell r="G654" t="str">
            <v>Employé</v>
          </cell>
        </row>
        <row r="655">
          <cell r="D655" t="str">
            <v>entre</v>
          </cell>
          <cell r="E655" t="str">
            <v>Qualifiant</v>
          </cell>
          <cell r="F655" t="str">
            <v>et</v>
          </cell>
          <cell r="G655" t="str">
            <v>Employé</v>
          </cell>
        </row>
        <row r="656">
          <cell r="D656" t="str">
            <v>entre</v>
          </cell>
          <cell r="E656" t="str">
            <v>Activité</v>
          </cell>
          <cell r="F656" t="str">
            <v>et</v>
          </cell>
          <cell r="G656" t="str">
            <v>Employé</v>
          </cell>
        </row>
        <row r="657">
          <cell r="D657" t="str">
            <v>entre</v>
          </cell>
          <cell r="E657" t="str">
            <v>Qualifiant</v>
          </cell>
          <cell r="F657" t="str">
            <v>et</v>
          </cell>
          <cell r="G657" t="str">
            <v>Employé</v>
          </cell>
        </row>
        <row r="658">
          <cell r="D658" t="str">
            <v>de l'</v>
          </cell>
          <cell r="E658" t="str">
            <v>Etat</v>
          </cell>
          <cell r="F658" t="str">
            <v>de l'</v>
          </cell>
          <cell r="G658" t="str">
            <v>Etape de la demande</v>
          </cell>
        </row>
        <row r="659">
          <cell r="D659" t="str">
            <v>de l'</v>
          </cell>
          <cell r="E659" t="str">
            <v>Etat</v>
          </cell>
          <cell r="F659" t="str">
            <v>de l'</v>
          </cell>
          <cell r="G659" t="str">
            <v>Etape de la demande</v>
          </cell>
        </row>
        <row r="660">
          <cell r="D660" t="str">
            <v>de l'</v>
          </cell>
          <cell r="E660" t="str">
            <v>Etat</v>
          </cell>
          <cell r="F660" t="str">
            <v>de l'</v>
          </cell>
          <cell r="G660" t="str">
            <v>Etape de la demande</v>
          </cell>
        </row>
        <row r="661">
          <cell r="D661" t="str">
            <v>de l'</v>
          </cell>
          <cell r="E661" t="str">
            <v>origine</v>
          </cell>
          <cell r="F661" t="str">
            <v>de l'</v>
          </cell>
          <cell r="G661" t="str">
            <v>événement</v>
          </cell>
        </row>
        <row r="662">
          <cell r="D662" t="str">
            <v>de l'</v>
          </cell>
          <cell r="E662" t="str">
            <v>origine</v>
          </cell>
          <cell r="F662" t="str">
            <v>de l'</v>
          </cell>
          <cell r="G662" t="str">
            <v>événement</v>
          </cell>
        </row>
        <row r="663">
          <cell r="D663" t="str">
            <v>de l'</v>
          </cell>
          <cell r="E663" t="str">
            <v>origine</v>
          </cell>
          <cell r="F663" t="str">
            <v>de l'</v>
          </cell>
          <cell r="G663" t="str">
            <v>événement</v>
          </cell>
        </row>
        <row r="664">
          <cell r="D664" t="str">
            <v>de la</v>
          </cell>
          <cell r="E664" t="str">
            <v>Branche assurance</v>
          </cell>
          <cell r="F664" t="str">
            <v>du</v>
          </cell>
          <cell r="G664" t="str">
            <v>Flux à l'origine de la demande</v>
          </cell>
        </row>
        <row r="665">
          <cell r="D665" t="str">
            <v>de la</v>
          </cell>
          <cell r="E665" t="str">
            <v>Confidentialité</v>
          </cell>
          <cell r="F665" t="str">
            <v>du</v>
          </cell>
          <cell r="G665" t="str">
            <v>Flux à l'origine de la demande</v>
          </cell>
        </row>
        <row r="666">
          <cell r="D666" t="str">
            <v>du</v>
          </cell>
          <cell r="E666" t="str">
            <v>Canal de distribution</v>
          </cell>
          <cell r="F666" t="str">
            <v>du</v>
          </cell>
          <cell r="G666" t="str">
            <v>Flux à l'origine de la demande</v>
          </cell>
        </row>
        <row r="667">
          <cell r="D667" t="str">
            <v>du</v>
          </cell>
          <cell r="E667" t="str">
            <v>Canal de distribution</v>
          </cell>
          <cell r="F667" t="str">
            <v>du</v>
          </cell>
          <cell r="G667" t="str">
            <v>Flux à l'origine de la demande</v>
          </cell>
        </row>
        <row r="668">
          <cell r="D668" t="str">
            <v>de la</v>
          </cell>
          <cell r="E668" t="str">
            <v>Branche assurance</v>
          </cell>
          <cell r="F668" t="str">
            <v>du</v>
          </cell>
          <cell r="G668" t="str">
            <v>Flux à l'origine de la demande</v>
          </cell>
        </row>
        <row r="669">
          <cell r="D669" t="str">
            <v>de l'</v>
          </cell>
          <cell r="E669" t="str">
            <v>Application de stockage</v>
          </cell>
          <cell r="F669" t="str">
            <v>du</v>
          </cell>
          <cell r="G669" t="str">
            <v>Flux à l'origine de la demande</v>
          </cell>
        </row>
        <row r="670">
          <cell r="D670" t="str">
            <v>du</v>
          </cell>
          <cell r="E670" t="str">
            <v>Site de stockage</v>
          </cell>
          <cell r="F670" t="str">
            <v>du</v>
          </cell>
          <cell r="G670" t="str">
            <v>Flux à l'origine de la demande</v>
          </cell>
        </row>
        <row r="671">
          <cell r="D671" t="str">
            <v>du</v>
          </cell>
          <cell r="E671" t="str">
            <v>Type</v>
          </cell>
          <cell r="F671" t="str">
            <v>du</v>
          </cell>
          <cell r="G671" t="str">
            <v>Flux à l'origine de la demande</v>
          </cell>
        </row>
        <row r="672">
          <cell r="D672" t="str">
            <v>du</v>
          </cell>
          <cell r="E672" t="str">
            <v>Type</v>
          </cell>
          <cell r="F672" t="str">
            <v>du</v>
          </cell>
          <cell r="G672" t="str">
            <v>Flux à l'origine de la demande</v>
          </cell>
        </row>
        <row r="673">
          <cell r="D673" t="str">
            <v>du</v>
          </cell>
          <cell r="E673" t="str">
            <v>Type</v>
          </cell>
          <cell r="F673" t="str">
            <v>du</v>
          </cell>
          <cell r="G673" t="str">
            <v>Flux à l'origine de la demande</v>
          </cell>
        </row>
        <row r="674">
          <cell r="D674" t="str">
            <v>du</v>
          </cell>
          <cell r="E674" t="str">
            <v>Type</v>
          </cell>
          <cell r="F674" t="str">
            <v>de</v>
          </cell>
          <cell r="G674" t="str">
            <v>Groupe TRIBU</v>
          </cell>
        </row>
        <row r="675">
          <cell r="D675" t="str">
            <v>du</v>
          </cell>
          <cell r="E675" t="str">
            <v>Type</v>
          </cell>
          <cell r="F675" t="str">
            <v>de</v>
          </cell>
          <cell r="G675" t="str">
            <v>Groupe TRIBU</v>
          </cell>
        </row>
        <row r="676">
          <cell r="D676" t="str">
            <v>du</v>
          </cell>
          <cell r="E676" t="str">
            <v>Type</v>
          </cell>
          <cell r="F676" t="str">
            <v>de</v>
          </cell>
          <cell r="G676" t="str">
            <v>Groupe TRIBU</v>
          </cell>
        </row>
        <row r="677">
          <cell r="D677" t="str">
            <v>de la</v>
          </cell>
          <cell r="E677" t="str">
            <v>Périodicité</v>
          </cell>
          <cell r="F677" t="str">
            <v>de l'</v>
          </cell>
          <cell r="G677" t="str">
            <v>Objectif</v>
          </cell>
        </row>
        <row r="678">
          <cell r="D678" t="str">
            <v>de la</v>
          </cell>
          <cell r="E678" t="str">
            <v>Plage de distribution</v>
          </cell>
          <cell r="F678" t="str">
            <v>de l'</v>
          </cell>
          <cell r="G678" t="str">
            <v>Objectif</v>
          </cell>
        </row>
        <row r="679">
          <cell r="D679" t="str">
            <v>de la</v>
          </cell>
          <cell r="E679" t="str">
            <v>Périodicité</v>
          </cell>
          <cell r="F679" t="str">
            <v>de l'</v>
          </cell>
          <cell r="G679" t="str">
            <v>Objectif</v>
          </cell>
        </row>
        <row r="680">
          <cell r="D680" t="str">
            <v>de la</v>
          </cell>
          <cell r="E680" t="str">
            <v>Périodicité</v>
          </cell>
          <cell r="F680" t="str">
            <v>de l'</v>
          </cell>
          <cell r="G680" t="str">
            <v>Objectif</v>
          </cell>
        </row>
        <row r="681">
          <cell r="D681" t="str">
            <v>du</v>
          </cell>
          <cell r="E681" t="str">
            <v>Site de stockage</v>
          </cell>
          <cell r="F681" t="str">
            <v>de l'</v>
          </cell>
          <cell r="G681" t="str">
            <v>Objectif</v>
          </cell>
        </row>
        <row r="682">
          <cell r="D682" t="str">
            <v>entre</v>
          </cell>
          <cell r="E682" t="str">
            <v>Activité</v>
          </cell>
          <cell r="F682" t="str">
            <v>et</v>
          </cell>
          <cell r="G682" t="str">
            <v>Qualifiant</v>
          </cell>
        </row>
        <row r="683">
          <cell r="D683" t="str">
            <v>de</v>
          </cell>
          <cell r="E683" t="str">
            <v>Priorité</v>
          </cell>
          <cell r="F683" t="str">
            <v>du</v>
          </cell>
          <cell r="G683" t="str">
            <v>Qualifiant</v>
          </cell>
        </row>
        <row r="684">
          <cell r="D684" t="str">
            <v>entre</v>
          </cell>
          <cell r="E684" t="str">
            <v>Activité</v>
          </cell>
          <cell r="F684" t="str">
            <v>et</v>
          </cell>
          <cell r="G684" t="str">
            <v>Qualifiant</v>
          </cell>
        </row>
        <row r="685">
          <cell r="D685" t="str">
            <v>entre</v>
          </cell>
          <cell r="E685" t="str">
            <v>Activité</v>
          </cell>
          <cell r="F685" t="str">
            <v>et</v>
          </cell>
          <cell r="G685" t="str">
            <v>Qualifiant</v>
          </cell>
        </row>
        <row r="687">
          <cell r="D687" t="str">
            <v>entre</v>
          </cell>
          <cell r="E687" t="str">
            <v>Activité</v>
          </cell>
          <cell r="F687" t="str">
            <v>et</v>
          </cell>
          <cell r="G687" t="str">
            <v>Qualifiant</v>
          </cell>
        </row>
        <row r="688">
          <cell r="D688" t="str">
            <v>entre</v>
          </cell>
          <cell r="E688" t="str">
            <v>Activité</v>
          </cell>
          <cell r="F688" t="str">
            <v>et</v>
          </cell>
          <cell r="G688" t="str">
            <v>Qualifiant</v>
          </cell>
        </row>
        <row r="689">
          <cell r="D689" t="str">
            <v>du</v>
          </cell>
          <cell r="E689" t="str">
            <v>Site de stockage</v>
          </cell>
          <cell r="F689" t="str">
            <v>du</v>
          </cell>
          <cell r="G689" t="str">
            <v>Qualifiant</v>
          </cell>
        </row>
        <row r="690">
          <cell r="D690" t="str">
            <v>du</v>
          </cell>
          <cell r="E690" t="str">
            <v>Type</v>
          </cell>
          <cell r="F690" t="str">
            <v>du</v>
          </cell>
          <cell r="G690" t="str">
            <v>Qualifiant</v>
          </cell>
        </row>
        <row r="691">
          <cell r="D691" t="str">
            <v>du</v>
          </cell>
          <cell r="E691" t="str">
            <v>Type</v>
          </cell>
          <cell r="F691" t="str">
            <v>du</v>
          </cell>
          <cell r="G691" t="str">
            <v>Qualifiant</v>
          </cell>
        </row>
        <row r="692">
          <cell r="D692" t="str">
            <v>de l'</v>
          </cell>
          <cell r="E692" t="str">
            <v>Objectif</v>
          </cell>
        </row>
        <row r="693">
          <cell r="D693" t="str">
            <v>du</v>
          </cell>
          <cell r="E693" t="str">
            <v>Flux à l'origine de la demande</v>
          </cell>
        </row>
        <row r="694">
          <cell r="D694" t="str">
            <v>de l'</v>
          </cell>
          <cell r="E694" t="str">
            <v>Etape de la demande</v>
          </cell>
        </row>
        <row r="695">
          <cell r="D695" t="str">
            <v>de l'</v>
          </cell>
          <cell r="E695" t="str">
            <v>Activité</v>
          </cell>
        </row>
        <row r="696">
          <cell r="D696" t="str">
            <v>de l'</v>
          </cell>
          <cell r="E696" t="str">
            <v>Objectif</v>
          </cell>
        </row>
        <row r="697">
          <cell r="D697" t="str">
            <v>du</v>
          </cell>
          <cell r="E697" t="str">
            <v>Qualifiant</v>
          </cell>
        </row>
        <row r="698">
          <cell r="D698" t="str">
            <v>de la</v>
          </cell>
          <cell r="E698" t="str">
            <v>demande</v>
          </cell>
        </row>
        <row r="699">
          <cell r="D699" t="str">
            <v>de l'</v>
          </cell>
          <cell r="E699" t="str">
            <v>Activité</v>
          </cell>
        </row>
        <row r="700">
          <cell r="D700" t="str">
            <v>du</v>
          </cell>
          <cell r="E700" t="str">
            <v>Sinistre</v>
          </cell>
        </row>
        <row r="701">
          <cell r="D701" t="str">
            <v>de l'</v>
          </cell>
          <cell r="E701" t="str">
            <v>Application informatique</v>
          </cell>
        </row>
        <row r="702">
          <cell r="D702" t="str">
            <v>du</v>
          </cell>
          <cell r="E702" t="str">
            <v>Contrat</v>
          </cell>
        </row>
        <row r="703">
          <cell r="D703" t="str">
            <v>du</v>
          </cell>
          <cell r="E703" t="str">
            <v>Canal de distribution</v>
          </cell>
        </row>
        <row r="704">
          <cell r="D704" t="str">
            <v>de la</v>
          </cell>
          <cell r="E704" t="str">
            <v>Portée de l'objectif</v>
          </cell>
        </row>
        <row r="705">
          <cell r="D705" t="str">
            <v>du</v>
          </cell>
          <cell r="E705" t="str">
            <v>Qualifiant</v>
          </cell>
        </row>
        <row r="706">
          <cell r="D706" t="str">
            <v>de la</v>
          </cell>
          <cell r="E706" t="str">
            <v>Demande</v>
          </cell>
        </row>
        <row r="707">
          <cell r="D707" t="str">
            <v>du</v>
          </cell>
          <cell r="E707" t="str">
            <v>Flux à l'origine de la demande</v>
          </cell>
        </row>
        <row r="708">
          <cell r="D708" t="str">
            <v>de l'</v>
          </cell>
          <cell r="E708" t="str">
            <v>Etape de la demande</v>
          </cell>
        </row>
        <row r="709">
          <cell r="D709" t="str">
            <v>de la</v>
          </cell>
          <cell r="E709" t="str">
            <v>Demande liée</v>
          </cell>
        </row>
        <row r="710">
          <cell r="D710" t="str">
            <v>de l'</v>
          </cell>
          <cell r="E710" t="str">
            <v>Etiquette</v>
          </cell>
        </row>
        <row r="711">
          <cell r="D711" t="str">
            <v>du</v>
          </cell>
          <cell r="E711" t="str">
            <v>Tiers</v>
          </cell>
        </row>
        <row r="712">
          <cell r="D712" t="str">
            <v>de l'</v>
          </cell>
          <cell r="E712" t="str">
            <v>Objectif</v>
          </cell>
        </row>
        <row r="713">
          <cell r="D713" t="str">
            <v>de l'</v>
          </cell>
          <cell r="E713" t="str">
            <v>Objectif</v>
          </cell>
        </row>
        <row r="714">
          <cell r="D714" t="str">
            <v>de la</v>
          </cell>
          <cell r="E714" t="str">
            <v>Demande</v>
          </cell>
        </row>
        <row r="715">
          <cell r="D715" t="str">
            <v>de la</v>
          </cell>
          <cell r="E715" t="str">
            <v>Demande</v>
          </cell>
        </row>
        <row r="716">
          <cell r="D716" t="str">
            <v>de la</v>
          </cell>
          <cell r="E716" t="str">
            <v>Demande</v>
          </cell>
        </row>
        <row r="717">
          <cell r="D717" t="str">
            <v>de la</v>
          </cell>
          <cell r="E717" t="str">
            <v>Demande</v>
          </cell>
        </row>
        <row r="718">
          <cell r="D718" t="str">
            <v>de la</v>
          </cell>
          <cell r="E718" t="str">
            <v>Demande</v>
          </cell>
        </row>
        <row r="719">
          <cell r="D719" t="str">
            <v>de la</v>
          </cell>
          <cell r="E719" t="str">
            <v>Demande</v>
          </cell>
        </row>
        <row r="720">
          <cell r="D720" t="str">
            <v>de la</v>
          </cell>
          <cell r="E720" t="str">
            <v>Demande</v>
          </cell>
        </row>
        <row r="721">
          <cell r="D721" t="str">
            <v>du</v>
          </cell>
          <cell r="E721" t="str">
            <v>Flux à l'origine de la demande</v>
          </cell>
        </row>
        <row r="722">
          <cell r="D722" t="str">
            <v>du</v>
          </cell>
          <cell r="E722" t="str">
            <v>Flux à l'origine de la demande</v>
          </cell>
        </row>
        <row r="723">
          <cell r="D723" t="str">
            <v>de l'</v>
          </cell>
          <cell r="E723" t="str">
            <v>Etape de la demande</v>
          </cell>
        </row>
        <row r="724">
          <cell r="D724" t="str">
            <v>de l'</v>
          </cell>
          <cell r="E724" t="str">
            <v>Etape de la demande</v>
          </cell>
        </row>
        <row r="725">
          <cell r="D725" t="str">
            <v>de l'</v>
          </cell>
          <cell r="E725" t="str">
            <v>Etape de la demande</v>
          </cell>
        </row>
        <row r="726">
          <cell r="D726" t="str">
            <v>de l'</v>
          </cell>
          <cell r="E726" t="str">
            <v>Etape de la demande</v>
          </cell>
        </row>
        <row r="727">
          <cell r="D727" t="str">
            <v>de la</v>
          </cell>
          <cell r="E727" t="str">
            <v>Demande liée</v>
          </cell>
        </row>
        <row r="728">
          <cell r="D728" t="str">
            <v>de la</v>
          </cell>
          <cell r="E728" t="str">
            <v>Demande liée</v>
          </cell>
        </row>
        <row r="729">
          <cell r="D729" t="str">
            <v>de l'</v>
          </cell>
          <cell r="E729" t="str">
            <v>Etiquette</v>
          </cell>
        </row>
        <row r="730">
          <cell r="D730" t="str">
            <v>de l'</v>
          </cell>
          <cell r="E730" t="str">
            <v>Etiquette</v>
          </cell>
        </row>
        <row r="731">
          <cell r="D731" t="str">
            <v>de l'</v>
          </cell>
          <cell r="E731" t="str">
            <v>Activité</v>
          </cell>
        </row>
        <row r="732">
          <cell r="D732" t="str">
            <v>de l'</v>
          </cell>
          <cell r="E732" t="str">
            <v>Activité</v>
          </cell>
        </row>
        <row r="733">
          <cell r="D733" t="str">
            <v>de l'</v>
          </cell>
          <cell r="E733" t="str">
            <v>Activité</v>
          </cell>
        </row>
        <row r="734">
          <cell r="D734" t="str">
            <v>du</v>
          </cell>
          <cell r="E734" t="str">
            <v>Sinistre</v>
          </cell>
        </row>
        <row r="735">
          <cell r="D735" t="str">
            <v>de l'</v>
          </cell>
          <cell r="E735" t="str">
            <v>Application informatique</v>
          </cell>
        </row>
        <row r="736">
          <cell r="C736" t="str">
            <v>Dernière image</v>
          </cell>
          <cell r="D736" t="str">
            <v>entre</v>
          </cell>
          <cell r="E736" t="str">
            <v>Activité</v>
          </cell>
          <cell r="F736" t="str">
            <v>et</v>
          </cell>
          <cell r="G736" t="str">
            <v>Qualifiant</v>
          </cell>
        </row>
        <row r="737">
          <cell r="D737" t="str">
            <v>de l'</v>
          </cell>
          <cell r="E737" t="str">
            <v>Application informatique</v>
          </cell>
        </row>
        <row r="738">
          <cell r="D738" t="str">
            <v>de l'</v>
          </cell>
          <cell r="E738" t="str">
            <v>Application informatique</v>
          </cell>
        </row>
        <row r="739">
          <cell r="D739" t="str">
            <v>de l'</v>
          </cell>
          <cell r="E739" t="str">
            <v>Application informatique</v>
          </cell>
        </row>
        <row r="740">
          <cell r="C740" t="str">
            <v>Dernière image</v>
          </cell>
          <cell r="D740" t="str">
            <v>entre</v>
          </cell>
          <cell r="E740" t="str">
            <v>Activité</v>
          </cell>
          <cell r="F740" t="str">
            <v>et</v>
          </cell>
          <cell r="G740" t="str">
            <v>Demande</v>
          </cell>
        </row>
        <row r="741">
          <cell r="D741" t="str">
            <v>du</v>
          </cell>
          <cell r="E741" t="str">
            <v>Canal de distribution</v>
          </cell>
        </row>
        <row r="742">
          <cell r="C742" t="str">
            <v>Dernière image</v>
          </cell>
          <cell r="D742" t="str">
            <v>entre</v>
          </cell>
          <cell r="E742" t="str">
            <v>Application informatique</v>
          </cell>
          <cell r="F742" t="str">
            <v>et</v>
          </cell>
          <cell r="G742" t="str">
            <v>Demande</v>
          </cell>
        </row>
        <row r="743">
          <cell r="D743" t="str">
            <v>du</v>
          </cell>
          <cell r="E743" t="str">
            <v>Canal de distribution</v>
          </cell>
        </row>
        <row r="744">
          <cell r="C744" t="str">
            <v>Dernière image</v>
          </cell>
          <cell r="D744" t="str">
            <v>entre</v>
          </cell>
          <cell r="E744" t="str">
            <v>Qualifiant</v>
          </cell>
          <cell r="F744" t="str">
            <v>et</v>
          </cell>
          <cell r="G744" t="str">
            <v>Demande</v>
          </cell>
        </row>
        <row r="745">
          <cell r="D745" t="str">
            <v>de l'</v>
          </cell>
          <cell r="E745" t="str">
            <v>Objectif</v>
          </cell>
        </row>
        <row r="746">
          <cell r="D746" t="str">
            <v>de l'</v>
          </cell>
          <cell r="E746" t="str">
            <v>Objectif</v>
          </cell>
        </row>
        <row r="747">
          <cell r="C747" t="str">
            <v>Dernière image</v>
          </cell>
          <cell r="D747" t="str">
            <v>du</v>
          </cell>
          <cell r="E747" t="str">
            <v>Flux à l'origine de la demande</v>
          </cell>
        </row>
        <row r="748">
          <cell r="D748" t="str">
            <v>de la</v>
          </cell>
          <cell r="E748" t="str">
            <v>Portée de l'objectif</v>
          </cell>
        </row>
        <row r="749">
          <cell r="C749" t="str">
            <v>Dernière image</v>
          </cell>
          <cell r="D749" t="str">
            <v>de l'</v>
          </cell>
          <cell r="E749" t="str">
            <v>Etape de la demande</v>
          </cell>
        </row>
        <row r="750">
          <cell r="D750" t="str">
            <v>de la</v>
          </cell>
          <cell r="E750" t="str">
            <v>Portée de l'objectif</v>
          </cell>
        </row>
        <row r="751">
          <cell r="D751" t="str">
            <v>du</v>
          </cell>
          <cell r="E751" t="str">
            <v>Qualifiant</v>
          </cell>
        </row>
        <row r="752">
          <cell r="D752" t="str">
            <v>du</v>
          </cell>
          <cell r="E752" t="str">
            <v>Qualifiant</v>
          </cell>
        </row>
        <row r="753">
          <cell r="D753" t="str">
            <v>du</v>
          </cell>
          <cell r="E753" t="str">
            <v>Qualifiant</v>
          </cell>
        </row>
        <row r="754">
          <cell r="D754" t="str">
            <v>de la</v>
          </cell>
          <cell r="E754" t="str">
            <v>Demande</v>
          </cell>
        </row>
        <row r="755">
          <cell r="D755" t="str">
            <v>du</v>
          </cell>
          <cell r="E755" t="str">
            <v>Flux à l'origine de la demande</v>
          </cell>
        </row>
        <row r="756">
          <cell r="D756" t="str">
            <v>du</v>
          </cell>
          <cell r="E756" t="str">
            <v>Flux à l'origine de la demande</v>
          </cell>
        </row>
        <row r="757">
          <cell r="D757" t="str">
            <v>du</v>
          </cell>
          <cell r="E757" t="str">
            <v>Flux à l'origine de la demande</v>
          </cell>
        </row>
        <row r="758">
          <cell r="D758" t="str">
            <v>de la</v>
          </cell>
          <cell r="E758" t="str">
            <v>Demande liée</v>
          </cell>
        </row>
        <row r="759">
          <cell r="D759" t="str">
            <v>de l'</v>
          </cell>
          <cell r="E759" t="str">
            <v>Etiquette</v>
          </cell>
        </row>
        <row r="760">
          <cell r="D760" t="str">
            <v>de l'</v>
          </cell>
          <cell r="E760" t="str">
            <v>Etiquette</v>
          </cell>
        </row>
        <row r="761">
          <cell r="C761" t="str">
            <v>différé</v>
          </cell>
          <cell r="D761" t="str">
            <v>de l'</v>
          </cell>
          <cell r="E761" t="str">
            <v>Etape de la demande</v>
          </cell>
        </row>
        <row r="762">
          <cell r="C762" t="str">
            <v>prise en charge</v>
          </cell>
          <cell r="D762" t="str">
            <v>par</v>
          </cell>
          <cell r="E762" t="str">
            <v>Employé</v>
          </cell>
          <cell r="F762" t="str">
            <v>de l'</v>
          </cell>
          <cell r="G762" t="str">
            <v>Etape de la demande</v>
          </cell>
        </row>
        <row r="763">
          <cell r="C763" t="str">
            <v>prise en charge</v>
          </cell>
          <cell r="D763" t="str">
            <v>par</v>
          </cell>
          <cell r="E763" t="str">
            <v>Employé</v>
          </cell>
          <cell r="F763" t="str">
            <v>de l'</v>
          </cell>
          <cell r="G763" t="str">
            <v>Etape de la demande</v>
          </cell>
        </row>
        <row r="764">
          <cell r="C764" t="str">
            <v>possession</v>
          </cell>
          <cell r="D764" t="str">
            <v>de</v>
          </cell>
          <cell r="E764" t="str">
            <v>Contrat complémentaire</v>
          </cell>
          <cell r="F764" t="str">
            <v>du</v>
          </cell>
          <cell r="G764" t="str">
            <v>contrat prévoyance santé</v>
          </cell>
        </row>
        <row r="765">
          <cell r="C765" t="str">
            <v>prélèvement</v>
          </cell>
          <cell r="D765" t="str">
            <v>de la</v>
          </cell>
          <cell r="E765" t="str">
            <v>cotisation</v>
          </cell>
        </row>
        <row r="766">
          <cell r="C766" t="str">
            <v>groupement</v>
          </cell>
          <cell r="D766" t="str">
            <v>de l'</v>
          </cell>
          <cell r="E766" t="str">
            <v>avenant du contrat</v>
          </cell>
        </row>
        <row r="767">
          <cell r="C767" t="str">
            <v>dernier</v>
          </cell>
          <cell r="D767" t="str">
            <v>du</v>
          </cell>
          <cell r="E767" t="str">
            <v>avenant du contrat</v>
          </cell>
        </row>
        <row r="768">
          <cell r="C768" t="str">
            <v>version</v>
          </cell>
          <cell r="D768" t="str">
            <v>de l'</v>
          </cell>
          <cell r="E768" t="str">
            <v>Avenant du contrat</v>
          </cell>
        </row>
        <row r="769">
          <cell r="C769" t="str">
            <v>dernier</v>
          </cell>
          <cell r="D769" t="str">
            <v>du</v>
          </cell>
          <cell r="E769" t="str">
            <v>etat</v>
          </cell>
        </row>
        <row r="770">
          <cell r="C770" t="str">
            <v>dernière image</v>
          </cell>
          <cell r="D770" t="str">
            <v>de l'</v>
          </cell>
          <cell r="E770" t="str">
            <v>objet assuré</v>
          </cell>
          <cell r="F770" t="str">
            <v>du</v>
          </cell>
          <cell r="G770" t="str">
            <v>contrat</v>
          </cell>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row>
        <row r="774">
          <cell r="C774" t="str">
            <v>dernière image</v>
          </cell>
          <cell r="D774" t="str">
            <v>de l'</v>
          </cell>
          <cell r="E774" t="str">
            <v>objet assuré</v>
          </cell>
          <cell r="F774" t="str">
            <v>du</v>
          </cell>
          <cell r="G774" t="str">
            <v>contrat prévoyance santé</v>
          </cell>
        </row>
        <row r="775">
          <cell r="C775" t="str">
            <v>dernière image</v>
          </cell>
          <cell r="D775" t="str">
            <v>de l'</v>
          </cell>
          <cell r="E775" t="str">
            <v>avenant du contrat prévoyance santé</v>
          </cell>
        </row>
        <row r="776">
          <cell r="C776" t="str">
            <v>dernière image</v>
          </cell>
          <cell r="D776" t="str">
            <v>de l'</v>
          </cell>
          <cell r="E776" t="str">
            <v>échéance du contrat</v>
          </cell>
        </row>
        <row r="777">
          <cell r="D777" t="str">
            <v>du</v>
          </cell>
          <cell r="E777" t="str">
            <v>type</v>
          </cell>
          <cell r="F777" t="str">
            <v>de</v>
          </cell>
          <cell r="G777" t="str">
            <v>contrat</v>
          </cell>
        </row>
        <row r="778">
          <cell r="D778" t="str">
            <v>du</v>
          </cell>
          <cell r="E778" t="str">
            <v>type</v>
          </cell>
          <cell r="F778" t="str">
            <v>de</v>
          </cell>
          <cell r="G778" t="str">
            <v>contrat</v>
          </cell>
        </row>
        <row r="779">
          <cell r="C779" t="str">
            <v>annulé</v>
          </cell>
          <cell r="D779" t="str">
            <v>du</v>
          </cell>
          <cell r="E779" t="str">
            <v>Contrat</v>
          </cell>
        </row>
        <row r="780">
          <cell r="C780" t="str">
            <v>migré</v>
          </cell>
          <cell r="D780" t="str">
            <v>de</v>
          </cell>
          <cell r="E780" t="str">
            <v>Contrat</v>
          </cell>
        </row>
        <row r="781">
          <cell r="C781" t="str">
            <v>remplacé</v>
          </cell>
          <cell r="D781" t="str">
            <v>de</v>
          </cell>
          <cell r="E781" t="str">
            <v>Contrat</v>
          </cell>
        </row>
        <row r="782">
          <cell r="C782" t="str">
            <v>responsable</v>
          </cell>
          <cell r="D782" t="str">
            <v>de</v>
          </cell>
          <cell r="E782" t="str">
            <v>Contrat</v>
          </cell>
        </row>
        <row r="783">
          <cell r="C783" t="str">
            <v>dernière saisie</v>
          </cell>
          <cell r="D783" t="str">
            <v>de la</v>
          </cell>
          <cell r="E783" t="str">
            <v>Situation</v>
          </cell>
          <cell r="F783" t="str">
            <v>du</v>
          </cell>
          <cell r="G783" t="str">
            <v>Contrat</v>
          </cell>
        </row>
        <row r="784">
          <cell r="C784" t="str">
            <v>remplaçant</v>
          </cell>
          <cell r="D784" t="str">
            <v>de</v>
          </cell>
          <cell r="E784" t="str">
            <v>Contrat</v>
          </cell>
        </row>
        <row r="785">
          <cell r="C785" t="str">
            <v>multidétention</v>
          </cell>
          <cell r="D785" t="str">
            <v>de la</v>
          </cell>
          <cell r="E785" t="str">
            <v>Prévention bien-être collectif</v>
          </cell>
          <cell r="F785" t="str">
            <v>de l'</v>
          </cell>
          <cell r="G785" t="str">
            <v>avenant du contrat prévoyance santé</v>
          </cell>
        </row>
        <row r="786">
          <cell r="C786" t="str">
            <v>multidétention</v>
          </cell>
          <cell r="D786" t="str">
            <v>de la</v>
          </cell>
          <cell r="E786" t="str">
            <v>Prévention bien-être individuel</v>
          </cell>
          <cell r="F786" t="str">
            <v>de l'</v>
          </cell>
          <cell r="G786" t="str">
            <v>avenant du contrat prévoyance santé</v>
          </cell>
        </row>
        <row r="787">
          <cell r="C787" t="str">
            <v>multidétention</v>
          </cell>
          <cell r="D787" t="str">
            <v>de la</v>
          </cell>
          <cell r="E787" t="str">
            <v>Loi Madelin</v>
          </cell>
          <cell r="F787" t="str">
            <v>de l'</v>
          </cell>
          <cell r="G787" t="str">
            <v>avenant du contrat prévoyance santé</v>
          </cell>
        </row>
        <row r="788">
          <cell r="C788" t="str">
            <v>responsable</v>
          </cell>
          <cell r="D788" t="str">
            <v>de l'</v>
          </cell>
          <cell r="E788" t="str">
            <v>avenant du contrat prévoyance santé</v>
          </cell>
        </row>
        <row r="789">
          <cell r="C789" t="str">
            <v>exploitant agricole</v>
          </cell>
          <cell r="D789" t="str">
            <v>du</v>
          </cell>
          <cell r="E789" t="str">
            <v>souscripteur</v>
          </cell>
          <cell r="F789" t="str">
            <v>de l'</v>
          </cell>
          <cell r="G789" t="str">
            <v>avenant du contrat prévoyance santé</v>
          </cell>
        </row>
        <row r="790">
          <cell r="C790" t="str">
            <v>solidaire</v>
          </cell>
          <cell r="D790" t="str">
            <v>de l'</v>
          </cell>
          <cell r="E790" t="str">
            <v>avenant du contrat prévoyance santé</v>
          </cell>
        </row>
        <row r="791">
          <cell r="C791" t="str">
            <v>complémentaire santé</v>
          </cell>
          <cell r="D791" t="str">
            <v>de l'</v>
          </cell>
          <cell r="E791" t="str">
            <v>avenant du contrat prévoyance santé</v>
          </cell>
        </row>
        <row r="792">
          <cell r="D792" t="str">
            <v>du</v>
          </cell>
          <cell r="E792" t="str">
            <v>motif</v>
          </cell>
          <cell r="F792" t="str">
            <v>de l'</v>
          </cell>
          <cell r="G792" t="str">
            <v>avantage sans campagne commerciale</v>
          </cell>
        </row>
        <row r="793">
          <cell r="D793" t="str">
            <v>de</v>
          </cell>
          <cell r="E793" t="str">
            <v>frais</v>
          </cell>
          <cell r="F793" t="str">
            <v>d'</v>
          </cell>
          <cell r="G793" t="str">
            <v>avenant du contrat</v>
          </cell>
        </row>
        <row r="794">
          <cell r="D794" t="str">
            <v>du</v>
          </cell>
          <cell r="E794" t="str">
            <v>Canal de Distribution</v>
          </cell>
          <cell r="F794" t="str">
            <v>de l'</v>
          </cell>
          <cell r="G794" t="str">
            <v>Avenant du contrat</v>
          </cell>
        </row>
        <row r="795">
          <cell r="D795" t="str">
            <v>de l'</v>
          </cell>
          <cell r="E795" t="str">
            <v>Entité gestionnaire</v>
          </cell>
          <cell r="F795" t="str">
            <v>de l'</v>
          </cell>
          <cell r="G795" t="str">
            <v>Avenant du contrat</v>
          </cell>
        </row>
        <row r="796">
          <cell r="D796" t="str">
            <v>de l'</v>
          </cell>
          <cell r="E796" t="str">
            <v>Identifiant unique</v>
          </cell>
          <cell r="F796" t="str">
            <v>de l'</v>
          </cell>
          <cell r="G796" t="str">
            <v>Avenant du contrat</v>
          </cell>
        </row>
        <row r="797">
          <cell r="D797" t="str">
            <v>de l'</v>
          </cell>
          <cell r="E797" t="str">
            <v>Identifiant unique</v>
          </cell>
          <cell r="F797" t="str">
            <v>de l'</v>
          </cell>
          <cell r="G797" t="str">
            <v>Avenant du contrat</v>
          </cell>
        </row>
        <row r="798">
          <cell r="D798" t="str">
            <v>du</v>
          </cell>
          <cell r="E798" t="str">
            <v>Motif</v>
          </cell>
          <cell r="F798" t="str">
            <v>de</v>
          </cell>
          <cell r="G798" t="str">
            <v>Avenant du contrat</v>
          </cell>
        </row>
        <row r="799">
          <cell r="D799" t="str">
            <v>de la</v>
          </cell>
          <cell r="E799" t="str">
            <v>devise</v>
          </cell>
          <cell r="F799" t="str">
            <v>de l'</v>
          </cell>
          <cell r="G799" t="str">
            <v>Avenant du contrat</v>
          </cell>
        </row>
        <row r="800">
          <cell r="D800" t="str">
            <v>du</v>
          </cell>
          <cell r="E800" t="str">
            <v>créateur</v>
          </cell>
          <cell r="F800" t="str">
            <v>de l'</v>
          </cell>
          <cell r="G800" t="str">
            <v>avenant du contrat</v>
          </cell>
        </row>
        <row r="801">
          <cell r="D801" t="str">
            <v>du</v>
          </cell>
          <cell r="E801" t="str">
            <v>Canal de Distribution</v>
          </cell>
          <cell r="F801" t="str">
            <v>de l'</v>
          </cell>
          <cell r="G801" t="str">
            <v>Avenant du contrat</v>
          </cell>
        </row>
        <row r="802">
          <cell r="D802" t="str">
            <v>du</v>
          </cell>
          <cell r="E802" t="str">
            <v>Canal de Distribution</v>
          </cell>
          <cell r="F802" t="str">
            <v>de l'</v>
          </cell>
          <cell r="G802" t="str">
            <v>Avenant du contrat</v>
          </cell>
        </row>
        <row r="803">
          <cell r="D803" t="str">
            <v>du</v>
          </cell>
          <cell r="E803" t="str">
            <v>Produit d'Assurance</v>
          </cell>
          <cell r="F803" t="str">
            <v>de l'</v>
          </cell>
          <cell r="G803" t="str">
            <v>Avenant du contrat</v>
          </cell>
        </row>
        <row r="804">
          <cell r="D804" t="str">
            <v>de l'</v>
          </cell>
          <cell r="E804" t="str">
            <v>intermédiaire de gestion</v>
          </cell>
          <cell r="F804" t="str">
            <v>de l'</v>
          </cell>
          <cell r="G804" t="str">
            <v>avenant du contrat</v>
          </cell>
        </row>
        <row r="805">
          <cell r="D805" t="str">
            <v>de l'</v>
          </cell>
          <cell r="E805" t="str">
            <v>Entité gestionnaire</v>
          </cell>
          <cell r="F805" t="str">
            <v>de l'</v>
          </cell>
          <cell r="G805" t="str">
            <v>Avenant du contrat</v>
          </cell>
        </row>
        <row r="806">
          <cell r="D806" t="str">
            <v>de l'</v>
          </cell>
          <cell r="E806" t="str">
            <v>Entité gestionnaire</v>
          </cell>
          <cell r="F806" t="str">
            <v>de l'</v>
          </cell>
          <cell r="G806" t="str">
            <v>Avenant du contrat</v>
          </cell>
        </row>
        <row r="807">
          <cell r="C807" t="str">
            <v>dernière image</v>
          </cell>
          <cell r="D807" t="str">
            <v>de la</v>
          </cell>
          <cell r="E807" t="str">
            <v>garantie souscrite</v>
          </cell>
        </row>
        <row r="808">
          <cell r="D808" t="str">
            <v>du</v>
          </cell>
          <cell r="E808" t="str">
            <v>site de gestion</v>
          </cell>
          <cell r="F808" t="str">
            <v>de l'</v>
          </cell>
          <cell r="G808" t="str">
            <v>Avenant du contrat</v>
          </cell>
        </row>
        <row r="809">
          <cell r="D809" t="str">
            <v>de la</v>
          </cell>
          <cell r="E809" t="str">
            <v>mise à jour</v>
          </cell>
          <cell r="F809" t="str">
            <v>de l'</v>
          </cell>
          <cell r="G809" t="str">
            <v>avenant du contrat</v>
          </cell>
        </row>
        <row r="810">
          <cell r="D810" t="str">
            <v>du</v>
          </cell>
          <cell r="E810" t="str">
            <v>mode de connexion</v>
          </cell>
          <cell r="G810" t="str">
            <v>ayant saisi</v>
          </cell>
        </row>
        <row r="811">
          <cell r="D811" t="str">
            <v>du</v>
          </cell>
          <cell r="E811" t="str">
            <v>Rédacteur</v>
          </cell>
          <cell r="G811" t="str">
            <v>ayant saisi</v>
          </cell>
          <cell r="H811" t="str">
            <v>de l'</v>
          </cell>
          <cell r="I811" t="str">
            <v>Avenant du contrat</v>
          </cell>
        </row>
        <row r="812">
          <cell r="D812" t="str">
            <v>du</v>
          </cell>
          <cell r="E812" t="str">
            <v>Type d'identifiant</v>
          </cell>
          <cell r="G812" t="str">
            <v>ayant saisi</v>
          </cell>
          <cell r="H812" t="str">
            <v>l'</v>
          </cell>
          <cell r="I812" t="str">
            <v>Avenant du contrat</v>
          </cell>
        </row>
        <row r="813">
          <cell r="D813" t="str">
            <v>du</v>
          </cell>
          <cell r="E813" t="str">
            <v>Type d'identifiant</v>
          </cell>
          <cell r="G813" t="str">
            <v>ayant saisi</v>
          </cell>
          <cell r="H813" t="str">
            <v>l'</v>
          </cell>
          <cell r="I813" t="str">
            <v>Avenant du contrat</v>
          </cell>
        </row>
        <row r="814">
          <cell r="D814" t="str">
            <v>du</v>
          </cell>
          <cell r="E814" t="str">
            <v>crédit d'impot</v>
          </cell>
          <cell r="F814" t="str">
            <v>pour le</v>
          </cell>
          <cell r="G814" t="str">
            <v>bénéficiaire en assurance santé</v>
          </cell>
        </row>
        <row r="815">
          <cell r="D815" t="str">
            <v>de l'</v>
          </cell>
          <cell r="E815" t="str">
            <v>adhésion</v>
          </cell>
          <cell r="F815" t="str">
            <v>du</v>
          </cell>
          <cell r="G815" t="str">
            <v>bénéficiaire en assurance santé</v>
          </cell>
        </row>
        <row r="816">
          <cell r="D816" t="str">
            <v>de l'</v>
          </cell>
          <cell r="E816" t="str">
            <v>adhésion</v>
          </cell>
          <cell r="F816" t="str">
            <v>du</v>
          </cell>
          <cell r="G816" t="str">
            <v>bénéficiaire en assurance santé</v>
          </cell>
        </row>
        <row r="817">
          <cell r="D817" t="str">
            <v>de la</v>
          </cell>
          <cell r="E817" t="str">
            <v>typologie</v>
          </cell>
          <cell r="F817" t="str">
            <v>du</v>
          </cell>
          <cell r="G817" t="str">
            <v>bénéficiaire en assurance santé</v>
          </cell>
          <cell r="H817" t="str">
            <v>de l'</v>
          </cell>
          <cell r="I817" t="str">
            <v>objet assuré</v>
          </cell>
        </row>
        <row r="818">
          <cell r="D818" t="str">
            <v>du</v>
          </cell>
          <cell r="E818" t="str">
            <v>motif de sortie</v>
          </cell>
          <cell r="F818" t="str">
            <v>du</v>
          </cell>
          <cell r="G818" t="str">
            <v>bénéficiaire en assurance santé</v>
          </cell>
        </row>
        <row r="819">
          <cell r="C819" t="str">
            <v>réel</v>
          </cell>
          <cell r="D819" t="str">
            <v>du</v>
          </cell>
          <cell r="E819" t="str">
            <v>contrat groupe</v>
          </cell>
        </row>
        <row r="820">
          <cell r="D820" t="str">
            <v>du</v>
          </cell>
          <cell r="E820" t="str">
            <v>mode de calcul</v>
          </cell>
          <cell r="F820" t="str">
            <v>de la</v>
          </cell>
          <cell r="G820" t="str">
            <v>commission à échéance</v>
          </cell>
        </row>
        <row r="821">
          <cell r="D821" t="str">
            <v>du</v>
          </cell>
          <cell r="E821" t="str">
            <v>mode de calcul</v>
          </cell>
          <cell r="F821" t="str">
            <v>de la</v>
          </cell>
          <cell r="G821" t="str">
            <v>commission initiale</v>
          </cell>
        </row>
        <row r="822">
          <cell r="D822" t="str">
            <v>de l'</v>
          </cell>
          <cell r="E822" t="str">
            <v>Entité gestionnaire</v>
          </cell>
          <cell r="F822" t="str">
            <v>du</v>
          </cell>
          <cell r="G822" t="str">
            <v>commissionnement</v>
          </cell>
        </row>
        <row r="823">
          <cell r="C823" t="str">
            <v>ancien</v>
          </cell>
          <cell r="D823" t="str">
            <v>du</v>
          </cell>
          <cell r="E823" t="str">
            <v>contrat PCM</v>
          </cell>
        </row>
        <row r="824">
          <cell r="C824" t="str">
            <v>ancien</v>
          </cell>
          <cell r="D824" t="str">
            <v>d'</v>
          </cell>
          <cell r="E824" t="str">
            <v>adhésion PCM</v>
          </cell>
        </row>
        <row r="825">
          <cell r="D825" t="str">
            <v>de l'</v>
          </cell>
          <cell r="E825" t="str">
            <v>objet assuré</v>
          </cell>
          <cell r="F825" t="str">
            <v>du</v>
          </cell>
          <cell r="G825" t="str">
            <v>contrat</v>
          </cell>
        </row>
        <row r="826">
          <cell r="D826" t="str">
            <v>de</v>
          </cell>
          <cell r="E826" t="str">
            <v>mise à jour</v>
          </cell>
          <cell r="F826" t="str">
            <v>du</v>
          </cell>
          <cell r="G826" t="str">
            <v>contrat</v>
          </cell>
        </row>
        <row r="827">
          <cell r="C827" t="str">
            <v>FINESS</v>
          </cell>
          <cell r="D827" t="str">
            <v>du</v>
          </cell>
          <cell r="E827" t="str">
            <v>médecin référent</v>
          </cell>
        </row>
        <row r="828">
          <cell r="D828" t="str">
            <v>de la</v>
          </cell>
          <cell r="E828" t="str">
            <v>Devise</v>
          </cell>
          <cell r="F828" t="str">
            <v>du</v>
          </cell>
          <cell r="G828" t="str">
            <v>Contrat</v>
          </cell>
        </row>
        <row r="829">
          <cell r="C829" t="str">
            <v>forcé</v>
          </cell>
          <cell r="D829" t="str">
            <v>à la</v>
          </cell>
          <cell r="E829" t="str">
            <v>souscription</v>
          </cell>
        </row>
        <row r="830">
          <cell r="D830" t="str">
            <v>de l'</v>
          </cell>
          <cell r="E830" t="str">
            <v>objet assuré</v>
          </cell>
          <cell r="F830" t="str">
            <v>du</v>
          </cell>
          <cell r="G830" t="str">
            <v>contrat</v>
          </cell>
        </row>
        <row r="831">
          <cell r="D831" t="str">
            <v>du</v>
          </cell>
          <cell r="E831" t="str">
            <v>Mode de gestion</v>
          </cell>
          <cell r="F831" t="str">
            <v>du</v>
          </cell>
          <cell r="G831" t="str">
            <v>Contrat</v>
          </cell>
        </row>
        <row r="832">
          <cell r="D832" t="str">
            <v>du</v>
          </cell>
          <cell r="E832" t="str">
            <v>type d'opération</v>
          </cell>
          <cell r="F832" t="str">
            <v>de</v>
          </cell>
          <cell r="G832" t="str">
            <v>Contrat</v>
          </cell>
        </row>
        <row r="833">
          <cell r="D833" t="str">
            <v>de la</v>
          </cell>
          <cell r="E833" t="str">
            <v>Situation</v>
          </cell>
          <cell r="F833" t="str">
            <v>du</v>
          </cell>
          <cell r="G833" t="str">
            <v>Contrat</v>
          </cell>
        </row>
        <row r="834">
          <cell r="D834" t="str">
            <v>de la</v>
          </cell>
          <cell r="E834" t="str">
            <v>période de couverture</v>
          </cell>
          <cell r="F834" t="str">
            <v>du</v>
          </cell>
          <cell r="G834" t="str">
            <v>contrat</v>
          </cell>
        </row>
        <row r="835">
          <cell r="D835" t="str">
            <v>de la</v>
          </cell>
          <cell r="E835" t="str">
            <v>période de couverture</v>
          </cell>
          <cell r="F835" t="str">
            <v>du</v>
          </cell>
          <cell r="G835" t="str">
            <v>contrat</v>
          </cell>
        </row>
        <row r="836">
          <cell r="D836" t="str">
            <v>d'</v>
          </cell>
          <cell r="E836" t="str">
            <v>échéance différée</v>
          </cell>
          <cell r="F836" t="str">
            <v>du</v>
          </cell>
          <cell r="G836" t="str">
            <v>Contrat</v>
          </cell>
        </row>
        <row r="837">
          <cell r="D837" t="str">
            <v>de l'</v>
          </cell>
          <cell r="E837" t="str">
            <v>objet assuré</v>
          </cell>
          <cell r="F837" t="str">
            <v>du</v>
          </cell>
          <cell r="G837" t="str">
            <v>contrat</v>
          </cell>
        </row>
        <row r="838">
          <cell r="D838" t="str">
            <v>de l'</v>
          </cell>
          <cell r="E838" t="str">
            <v>objet assuré</v>
          </cell>
          <cell r="F838" t="str">
            <v>du</v>
          </cell>
          <cell r="G838" t="str">
            <v>contrat</v>
          </cell>
        </row>
        <row r="839">
          <cell r="D839" t="str">
            <v>de l'</v>
          </cell>
          <cell r="E839" t="str">
            <v>objet assuré</v>
          </cell>
          <cell r="F839" t="str">
            <v>du</v>
          </cell>
          <cell r="G839" t="str">
            <v>contrat</v>
          </cell>
        </row>
        <row r="840">
          <cell r="D840" t="str">
            <v>de l'</v>
          </cell>
          <cell r="E840" t="str">
            <v>objet assuré</v>
          </cell>
          <cell r="F840" t="str">
            <v>du</v>
          </cell>
          <cell r="G840" t="str">
            <v>contrat</v>
          </cell>
        </row>
        <row r="841">
          <cell r="D841" t="str">
            <v>d'</v>
          </cell>
          <cell r="E841" t="str">
            <v>échéance principale</v>
          </cell>
          <cell r="F841" t="str">
            <v>du</v>
          </cell>
          <cell r="G841" t="str">
            <v>Contrat</v>
          </cell>
        </row>
        <row r="842">
          <cell r="D842" t="str">
            <v>d'</v>
          </cell>
          <cell r="E842" t="str">
            <v>échéance principale</v>
          </cell>
          <cell r="F842" t="str">
            <v>du</v>
          </cell>
          <cell r="G842" t="str">
            <v>Contrat</v>
          </cell>
        </row>
        <row r="843">
          <cell r="D843" t="str">
            <v>de l'</v>
          </cell>
          <cell r="E843" t="str">
            <v>opération</v>
          </cell>
          <cell r="F843" t="str">
            <v>sur le</v>
          </cell>
          <cell r="G843" t="str">
            <v>contrat</v>
          </cell>
        </row>
        <row r="844">
          <cell r="D844" t="str">
            <v>de la</v>
          </cell>
          <cell r="E844" t="str">
            <v>Situation</v>
          </cell>
          <cell r="F844" t="str">
            <v>du</v>
          </cell>
          <cell r="G844" t="str">
            <v>Contrat</v>
          </cell>
        </row>
        <row r="845">
          <cell r="D845" t="str">
            <v>de la</v>
          </cell>
          <cell r="E845" t="str">
            <v>résiliation</v>
          </cell>
          <cell r="F845" t="str">
            <v>du</v>
          </cell>
          <cell r="G845" t="str">
            <v>Contrat</v>
          </cell>
        </row>
        <row r="846">
          <cell r="D846" t="str">
            <v>de l'</v>
          </cell>
          <cell r="E846" t="str">
            <v>Identifiant unique</v>
          </cell>
          <cell r="F846" t="str">
            <v>du</v>
          </cell>
          <cell r="G846" t="str">
            <v>Contrat</v>
          </cell>
        </row>
        <row r="847">
          <cell r="D847" t="str">
            <v>de l'</v>
          </cell>
          <cell r="E847" t="str">
            <v>Identifiant unique</v>
          </cell>
          <cell r="F847" t="str">
            <v>du</v>
          </cell>
          <cell r="G847" t="str">
            <v>Contrat</v>
          </cell>
        </row>
        <row r="848">
          <cell r="D848" t="str">
            <v>de la</v>
          </cell>
          <cell r="E848" t="str">
            <v>devise</v>
          </cell>
          <cell r="F848" t="str">
            <v>du</v>
          </cell>
          <cell r="G848" t="str">
            <v>Contrat</v>
          </cell>
        </row>
        <row r="849">
          <cell r="D849" t="str">
            <v>du</v>
          </cell>
          <cell r="E849" t="str">
            <v>Mode de gestion</v>
          </cell>
          <cell r="F849" t="str">
            <v>de</v>
          </cell>
          <cell r="G849" t="str">
            <v>Contrat</v>
          </cell>
        </row>
        <row r="850">
          <cell r="D850" t="str">
            <v>du</v>
          </cell>
          <cell r="E850" t="str">
            <v>Mode de gestion</v>
          </cell>
          <cell r="F850" t="str">
            <v>du</v>
          </cell>
          <cell r="G850" t="str">
            <v>Contrat</v>
          </cell>
        </row>
        <row r="851">
          <cell r="D851" t="str">
            <v>de l'</v>
          </cell>
          <cell r="E851" t="str">
            <v>Opération</v>
          </cell>
          <cell r="F851" t="str">
            <v>de</v>
          </cell>
          <cell r="G851" t="str">
            <v>Contrat</v>
          </cell>
        </row>
        <row r="852">
          <cell r="D852" t="str">
            <v>de l'</v>
          </cell>
          <cell r="E852" t="str">
            <v>Opération</v>
          </cell>
          <cell r="F852" t="str">
            <v>de</v>
          </cell>
          <cell r="G852" t="str">
            <v>Contrat</v>
          </cell>
        </row>
        <row r="853">
          <cell r="D853" t="str">
            <v>du</v>
          </cell>
          <cell r="E853" t="str">
            <v>site de gestion</v>
          </cell>
          <cell r="F853" t="str">
            <v>du</v>
          </cell>
          <cell r="G853" t="str">
            <v>contrat</v>
          </cell>
        </row>
        <row r="854">
          <cell r="D854" t="str">
            <v>de l'</v>
          </cell>
          <cell r="E854" t="str">
            <v>Application source</v>
          </cell>
          <cell r="F854" t="str">
            <v>du</v>
          </cell>
          <cell r="G854" t="str">
            <v>Contrat</v>
          </cell>
        </row>
        <row r="855">
          <cell r="D855" t="str">
            <v>de la</v>
          </cell>
          <cell r="E855" t="str">
            <v>Situation</v>
          </cell>
          <cell r="F855" t="str">
            <v>du</v>
          </cell>
          <cell r="G855" t="str">
            <v>Contrat</v>
          </cell>
        </row>
        <row r="856">
          <cell r="D856" t="str">
            <v>de la</v>
          </cell>
          <cell r="E856" t="str">
            <v>Situation</v>
          </cell>
          <cell r="F856" t="str">
            <v>du</v>
          </cell>
          <cell r="G856" t="str">
            <v>Contrat</v>
          </cell>
        </row>
        <row r="857">
          <cell r="D857" t="str">
            <v>du</v>
          </cell>
          <cell r="E857" t="str">
            <v>tiers</v>
          </cell>
          <cell r="F857" t="str">
            <v>du</v>
          </cell>
          <cell r="G857" t="str">
            <v>contrat</v>
          </cell>
        </row>
        <row r="858">
          <cell r="D858" t="str">
            <v>de</v>
          </cell>
          <cell r="E858" t="str">
            <v>renumérotation massive</v>
          </cell>
          <cell r="F858" t="str">
            <v>du</v>
          </cell>
          <cell r="G858" t="str">
            <v>contrat groupe</v>
          </cell>
        </row>
        <row r="859">
          <cell r="D859" t="str">
            <v>de l'</v>
          </cell>
          <cell r="E859" t="str">
            <v>objet assuré</v>
          </cell>
          <cell r="F859" t="str">
            <v>du</v>
          </cell>
          <cell r="G859" t="str">
            <v>contrat prévoyance santé</v>
          </cell>
        </row>
        <row r="860">
          <cell r="D860" t="str">
            <v>d'</v>
          </cell>
          <cell r="E860" t="str">
            <v>Adhérent</v>
          </cell>
          <cell r="F860" t="str">
            <v>du</v>
          </cell>
          <cell r="G860" t="str">
            <v>contrat prévoyance santé</v>
          </cell>
        </row>
        <row r="861">
          <cell r="D861" t="str">
            <v>d'</v>
          </cell>
          <cell r="E861" t="str">
            <v>Ordre</v>
          </cell>
          <cell r="F861" t="str">
            <v>du</v>
          </cell>
          <cell r="G861" t="str">
            <v>contrat prévoyance santé</v>
          </cell>
        </row>
        <row r="862">
          <cell r="D862" t="str">
            <v>de l'</v>
          </cell>
          <cell r="E862" t="str">
            <v>objet assuré</v>
          </cell>
          <cell r="F862" t="str">
            <v>du</v>
          </cell>
          <cell r="G862" t="str">
            <v>contrat prévoyance santé</v>
          </cell>
        </row>
        <row r="863">
          <cell r="D863" t="str">
            <v>de l'</v>
          </cell>
          <cell r="E863" t="str">
            <v>Application source</v>
          </cell>
          <cell r="F863" t="str">
            <v>du</v>
          </cell>
          <cell r="G863" t="str">
            <v>contrat prévoyance santé</v>
          </cell>
        </row>
        <row r="864">
          <cell r="D864" t="str">
            <v>de</v>
          </cell>
          <cell r="E864" t="str">
            <v>prestation santé</v>
          </cell>
          <cell r="F864" t="str">
            <v>du</v>
          </cell>
          <cell r="G864" t="str">
            <v>contrat prévoyance santé</v>
          </cell>
        </row>
        <row r="865">
          <cell r="D865" t="str">
            <v>de l'</v>
          </cell>
          <cell r="E865" t="str">
            <v>objet assuré</v>
          </cell>
          <cell r="F865" t="str">
            <v>du</v>
          </cell>
          <cell r="G865" t="str">
            <v>contrat prévoyance santé</v>
          </cell>
        </row>
        <row r="866">
          <cell r="D866" t="str">
            <v>de l'</v>
          </cell>
          <cell r="E866" t="str">
            <v>objet assuré</v>
          </cell>
          <cell r="F866" t="str">
            <v>du</v>
          </cell>
          <cell r="G866" t="str">
            <v>contrat prévoyance santé</v>
          </cell>
        </row>
        <row r="867">
          <cell r="D867" t="str">
            <v>de l'</v>
          </cell>
          <cell r="E867" t="str">
            <v>objet assuré</v>
          </cell>
          <cell r="F867" t="str">
            <v>du</v>
          </cell>
          <cell r="G867" t="str">
            <v>contrat prévoyance santé</v>
          </cell>
        </row>
        <row r="868">
          <cell r="D868" t="str">
            <v>de l'</v>
          </cell>
          <cell r="E868" t="str">
            <v>objet assuré</v>
          </cell>
          <cell r="F868" t="str">
            <v>du</v>
          </cell>
          <cell r="G868" t="str">
            <v>contrat prévoyance santé</v>
          </cell>
        </row>
        <row r="869">
          <cell r="D869" t="str">
            <v>de l'</v>
          </cell>
          <cell r="E869" t="str">
            <v>Application source</v>
          </cell>
          <cell r="F869" t="str">
            <v>du</v>
          </cell>
          <cell r="G869" t="str">
            <v>contrat prévoyance santé</v>
          </cell>
        </row>
        <row r="870">
          <cell r="C870" t="str">
            <v>dernière image</v>
          </cell>
          <cell r="D870" t="str">
            <v>de l'</v>
          </cell>
          <cell r="E870" t="str">
            <v>Avenant du contrat</v>
          </cell>
        </row>
        <row r="871">
          <cell r="D871" t="str">
            <v>de</v>
          </cell>
          <cell r="E871" t="str">
            <v>Avenant du contrat</v>
          </cell>
          <cell r="F871" t="str">
            <v>par</v>
          </cell>
          <cell r="G871" t="str">
            <v>Date de saisie</v>
          </cell>
        </row>
        <row r="872">
          <cell r="D872" t="str">
            <v>du</v>
          </cell>
          <cell r="E872" t="str">
            <v>Contrat</v>
          </cell>
          <cell r="F872" t="str">
            <v>par</v>
          </cell>
          <cell r="G872" t="str">
            <v>Date de saisie</v>
          </cell>
        </row>
        <row r="873">
          <cell r="D873" t="str">
            <v>du</v>
          </cell>
          <cell r="E873" t="str">
            <v>Contrat</v>
          </cell>
          <cell r="F873" t="str">
            <v>par</v>
          </cell>
          <cell r="G873" t="str">
            <v>Date de saisie</v>
          </cell>
        </row>
        <row r="874">
          <cell r="D874" t="str">
            <v>du</v>
          </cell>
          <cell r="E874" t="str">
            <v>Contrat</v>
          </cell>
          <cell r="F874" t="str">
            <v>par</v>
          </cell>
          <cell r="G874" t="str">
            <v>Date de souscription</v>
          </cell>
        </row>
        <row r="875">
          <cell r="D875" t="str">
            <v>du</v>
          </cell>
          <cell r="E875" t="str">
            <v>Contrat</v>
          </cell>
          <cell r="F875" t="str">
            <v>par</v>
          </cell>
          <cell r="G875" t="str">
            <v>Date d'effet</v>
          </cell>
        </row>
        <row r="876">
          <cell r="D876" t="str">
            <v>du</v>
          </cell>
          <cell r="E876" t="str">
            <v>Type</v>
          </cell>
          <cell r="F876" t="str">
            <v>de la</v>
          </cell>
          <cell r="G876" t="str">
            <v>Garantie souscrite</v>
          </cell>
        </row>
        <row r="877">
          <cell r="D877" t="str">
            <v>de</v>
          </cell>
          <cell r="E877" t="str">
            <v>contrat</v>
          </cell>
          <cell r="G877" t="str">
            <v>loi madelin</v>
          </cell>
        </row>
        <row r="878">
          <cell r="C878" t="str">
            <v>dernier</v>
          </cell>
          <cell r="D878" t="str">
            <v>du</v>
          </cell>
          <cell r="E878" t="str">
            <v>contrat</v>
          </cell>
        </row>
        <row r="879">
          <cell r="C879" t="str">
            <v>dernier</v>
          </cell>
          <cell r="D879" t="str">
            <v>du</v>
          </cell>
          <cell r="E879" t="str">
            <v>contrat</v>
          </cell>
        </row>
        <row r="880">
          <cell r="C880" t="str">
            <v>limite</v>
          </cell>
          <cell r="D880" t="str">
            <v>de</v>
          </cell>
          <cell r="E880" t="str">
            <v>calcul de la résiliation</v>
          </cell>
          <cell r="F880" t="str">
            <v>du</v>
          </cell>
          <cell r="G880" t="str">
            <v>Contrat</v>
          </cell>
        </row>
        <row r="881">
          <cell r="D881" t="str">
            <v>des</v>
          </cell>
          <cell r="E881" t="str">
            <v>Garantie</v>
          </cell>
          <cell r="F881" t="str">
            <v>des</v>
          </cell>
          <cell r="G881" t="str">
            <v>objet assuré</v>
          </cell>
          <cell r="H881" t="str">
            <v>du</v>
          </cell>
          <cell r="I881" t="str">
            <v>Contrat</v>
          </cell>
        </row>
        <row r="882">
          <cell r="D882" t="str">
            <v>de</v>
          </cell>
          <cell r="E882" t="str">
            <v>Acteur</v>
          </cell>
          <cell r="F882" t="str">
            <v>de</v>
          </cell>
          <cell r="G882" t="str">
            <v>objet assuré</v>
          </cell>
          <cell r="H882" t="str">
            <v>du</v>
          </cell>
          <cell r="I882" t="str">
            <v>Contrat</v>
          </cell>
        </row>
        <row r="883">
          <cell r="D883" t="str">
            <v>du</v>
          </cell>
          <cell r="E883" t="str">
            <v>Type</v>
          </cell>
          <cell r="F883" t="str">
            <v>d'</v>
          </cell>
          <cell r="G883" t="str">
            <v>objet assuré</v>
          </cell>
          <cell r="H883" t="str">
            <v>du</v>
          </cell>
          <cell r="I883" t="str">
            <v>Contrat</v>
          </cell>
        </row>
        <row r="884">
          <cell r="D884" t="str">
            <v>du</v>
          </cell>
          <cell r="E884" t="str">
            <v>Régime tarifaire</v>
          </cell>
          <cell r="F884" t="str">
            <v>de l'</v>
          </cell>
          <cell r="G884" t="str">
            <v>objet assuré</v>
          </cell>
          <cell r="H884" t="str">
            <v>du</v>
          </cell>
          <cell r="I884" t="str">
            <v>contrat prévoyance santé</v>
          </cell>
        </row>
        <row r="885">
          <cell r="D885" t="str">
            <v>du</v>
          </cell>
          <cell r="E885" t="str">
            <v>Contrat</v>
          </cell>
          <cell r="F885" t="str">
            <v>par</v>
          </cell>
          <cell r="G885" t="str">
            <v>Opération</v>
          </cell>
          <cell r="H885" t="str">
            <v>en</v>
          </cell>
          <cell r="I885" t="str">
            <v>Date d'effet</v>
          </cell>
        </row>
        <row r="886">
          <cell r="D886" t="str">
            <v>du</v>
          </cell>
          <cell r="E886" t="str">
            <v>Contrat</v>
          </cell>
          <cell r="F886" t="str">
            <v>par</v>
          </cell>
          <cell r="G886" t="str">
            <v>Opération</v>
          </cell>
          <cell r="H886" t="str">
            <v>en</v>
          </cell>
          <cell r="I886" t="str">
            <v>Date de souscription</v>
          </cell>
        </row>
        <row r="887">
          <cell r="D887" t="str">
            <v>du</v>
          </cell>
          <cell r="E887" t="str">
            <v>Contrat</v>
          </cell>
          <cell r="F887" t="str">
            <v>par</v>
          </cell>
          <cell r="G887" t="str">
            <v>Opération</v>
          </cell>
          <cell r="H887" t="str">
            <v>en</v>
          </cell>
          <cell r="I887" t="str">
            <v>Date d'effet</v>
          </cell>
        </row>
        <row r="888">
          <cell r="D888" t="str">
            <v>du</v>
          </cell>
          <cell r="E888" t="str">
            <v>Contrat</v>
          </cell>
          <cell r="F888" t="str">
            <v>par</v>
          </cell>
          <cell r="G888" t="str">
            <v>Opération</v>
          </cell>
          <cell r="H888" t="str">
            <v>en</v>
          </cell>
          <cell r="I888" t="str">
            <v>Date d'effet</v>
          </cell>
        </row>
        <row r="889">
          <cell r="D889" t="str">
            <v>du</v>
          </cell>
          <cell r="E889" t="str">
            <v>Contrat</v>
          </cell>
          <cell r="F889" t="str">
            <v>par</v>
          </cell>
          <cell r="G889" t="str">
            <v>Opération</v>
          </cell>
          <cell r="H889" t="str">
            <v>en</v>
          </cell>
          <cell r="I889" t="str">
            <v>Date de souscription</v>
          </cell>
        </row>
        <row r="890">
          <cell r="D890" t="str">
            <v>du</v>
          </cell>
          <cell r="E890" t="str">
            <v>Contrat</v>
          </cell>
          <cell r="F890" t="str">
            <v>par</v>
          </cell>
          <cell r="G890" t="str">
            <v>Opération</v>
          </cell>
          <cell r="H890" t="str">
            <v>en</v>
          </cell>
          <cell r="I890" t="str">
            <v>Date de souscription</v>
          </cell>
        </row>
        <row r="891">
          <cell r="D891" t="str">
            <v>du</v>
          </cell>
          <cell r="E891" t="str">
            <v>Contrat</v>
          </cell>
          <cell r="F891" t="str">
            <v>par</v>
          </cell>
          <cell r="G891" t="str">
            <v>Opération</v>
          </cell>
          <cell r="H891" t="str">
            <v>en</v>
          </cell>
          <cell r="I891" t="str">
            <v>Date de souscription</v>
          </cell>
        </row>
        <row r="892">
          <cell r="D892" t="str">
            <v>du</v>
          </cell>
          <cell r="E892" t="str">
            <v>Contrat</v>
          </cell>
          <cell r="F892" t="str">
            <v>par</v>
          </cell>
          <cell r="G892" t="str">
            <v>Opération</v>
          </cell>
          <cell r="H892" t="str">
            <v>en</v>
          </cell>
          <cell r="I892" t="str">
            <v>Date de souscription</v>
          </cell>
        </row>
        <row r="893">
          <cell r="D893" t="str">
            <v>de la</v>
          </cell>
          <cell r="E893" t="str">
            <v>Société apéritrice</v>
          </cell>
          <cell r="F893" t="str">
            <v>du</v>
          </cell>
          <cell r="G893" t="str">
            <v>Produit d'Assurance</v>
          </cell>
          <cell r="H893" t="str">
            <v>de l'</v>
          </cell>
          <cell r="I893" t="str">
            <v>Avenant du contrat</v>
          </cell>
        </row>
        <row r="894">
          <cell r="D894" t="str">
            <v>de la</v>
          </cell>
          <cell r="E894" t="str">
            <v>Formule</v>
          </cell>
          <cell r="F894" t="str">
            <v>de</v>
          </cell>
          <cell r="G894" t="str">
            <v>REGASA</v>
          </cell>
          <cell r="H894" t="str">
            <v>de l'</v>
          </cell>
          <cell r="I894" t="str">
            <v>objet assuré</v>
          </cell>
        </row>
        <row r="895">
          <cell r="D895" t="str">
            <v>du</v>
          </cell>
          <cell r="E895" t="str">
            <v>contrat groupe</v>
          </cell>
          <cell r="F895" t="str">
            <v>du</v>
          </cell>
          <cell r="G895" t="str">
            <v>remboursement</v>
          </cell>
        </row>
        <row r="896">
          <cell r="D896" t="str">
            <v>du</v>
          </cell>
          <cell r="E896" t="str">
            <v>Type d'identifiant</v>
          </cell>
          <cell r="F896" t="str">
            <v>du</v>
          </cell>
          <cell r="G896" t="str">
            <v>responsable</v>
          </cell>
          <cell r="H896" t="str">
            <v>de l'</v>
          </cell>
          <cell r="I896" t="str">
            <v>Avenant du contrat</v>
          </cell>
        </row>
        <row r="897">
          <cell r="D897" t="str">
            <v>du</v>
          </cell>
          <cell r="E897" t="str">
            <v>Type d'identifiant</v>
          </cell>
          <cell r="F897" t="str">
            <v>du</v>
          </cell>
          <cell r="G897" t="str">
            <v>responsable</v>
          </cell>
          <cell r="H897" t="str">
            <v>de l'</v>
          </cell>
          <cell r="I897" t="str">
            <v>Avenant du contrat</v>
          </cell>
        </row>
        <row r="898">
          <cell r="D898" t="str">
            <v>du</v>
          </cell>
          <cell r="E898" t="str">
            <v>mode de connexion</v>
          </cell>
          <cell r="F898" t="str">
            <v>du</v>
          </cell>
          <cell r="G898" t="str">
            <v>responsable de l'avenant</v>
          </cell>
        </row>
        <row r="899">
          <cell r="D899" t="str">
            <v>du</v>
          </cell>
          <cell r="E899" t="str">
            <v>motif</v>
          </cell>
          <cell r="F899" t="str">
            <v>de</v>
          </cell>
          <cell r="G899" t="str">
            <v>risque aggravé</v>
          </cell>
        </row>
        <row r="900">
          <cell r="D900" t="str">
            <v>du</v>
          </cell>
          <cell r="E900" t="str">
            <v>Motif</v>
          </cell>
          <cell r="F900" t="str">
            <v>de la</v>
          </cell>
          <cell r="G900" t="str">
            <v>Situation</v>
          </cell>
          <cell r="H900" t="str">
            <v>du</v>
          </cell>
          <cell r="I900" t="str">
            <v>Contrat</v>
          </cell>
        </row>
        <row r="901">
          <cell r="D901" t="str">
            <v>des</v>
          </cell>
          <cell r="E901" t="str">
            <v>Date de saisie</v>
          </cell>
          <cell r="F901" t="str">
            <v>de la</v>
          </cell>
          <cell r="G901" t="str">
            <v>Situation</v>
          </cell>
          <cell r="H901" t="str">
            <v>du</v>
          </cell>
          <cell r="I901" t="str">
            <v>Contrat</v>
          </cell>
        </row>
        <row r="902">
          <cell r="D902" t="str">
            <v>du</v>
          </cell>
          <cell r="E902" t="str">
            <v>Motif</v>
          </cell>
          <cell r="F902" t="str">
            <v>de la</v>
          </cell>
          <cell r="G902" t="str">
            <v>Situation</v>
          </cell>
          <cell r="H902" t="str">
            <v>du</v>
          </cell>
          <cell r="I902" t="str">
            <v>Contrat</v>
          </cell>
        </row>
        <row r="903">
          <cell r="D903" t="str">
            <v>du</v>
          </cell>
          <cell r="E903" t="str">
            <v>Motif</v>
          </cell>
          <cell r="F903" t="str">
            <v>de la</v>
          </cell>
          <cell r="G903" t="str">
            <v>Situation</v>
          </cell>
          <cell r="H903" t="str">
            <v>du</v>
          </cell>
          <cell r="I903" t="str">
            <v>Contrat</v>
          </cell>
        </row>
        <row r="904">
          <cell r="D904" t="str">
            <v>du</v>
          </cell>
          <cell r="E904" t="str">
            <v>motif</v>
          </cell>
          <cell r="F904" t="str">
            <v>de la</v>
          </cell>
          <cell r="G904" t="str">
            <v>situation précédente</v>
          </cell>
        </row>
        <row r="905">
          <cell r="D905" t="str">
            <v>du</v>
          </cell>
          <cell r="E905" t="str">
            <v>statut</v>
          </cell>
          <cell r="F905" t="str">
            <v>du</v>
          </cell>
          <cell r="G905" t="str">
            <v>souscripteur</v>
          </cell>
          <cell r="H905" t="str">
            <v>de l'</v>
          </cell>
          <cell r="I905" t="str">
            <v>avenant du contrat prévoyance santé</v>
          </cell>
        </row>
        <row r="906">
          <cell r="D906" t="str">
            <v>de la</v>
          </cell>
          <cell r="E906" t="str">
            <v>devise</v>
          </cell>
          <cell r="F906" t="str">
            <v>à la</v>
          </cell>
          <cell r="G906" t="str">
            <v>souscription</v>
          </cell>
        </row>
        <row r="907">
          <cell r="D907" t="str">
            <v>du</v>
          </cell>
          <cell r="E907" t="str">
            <v>mode de calcul</v>
          </cell>
          <cell r="F907" t="str">
            <v>de la</v>
          </cell>
          <cell r="G907" t="str">
            <v>surprime temporaire</v>
          </cell>
        </row>
        <row r="908">
          <cell r="D908" t="str">
            <v>du</v>
          </cell>
          <cell r="E908" t="str">
            <v>motif</v>
          </cell>
          <cell r="F908" t="str">
            <v>de la</v>
          </cell>
          <cell r="G908" t="str">
            <v>suspension du contrat</v>
          </cell>
        </row>
        <row r="909">
          <cell r="D909" t="str">
            <v>du</v>
          </cell>
          <cell r="E909" t="str">
            <v>souscripteur</v>
          </cell>
          <cell r="G909" t="str">
            <v>Tiers</v>
          </cell>
          <cell r="H909" t="str">
            <v>du</v>
          </cell>
          <cell r="I909" t="str">
            <v>Contrat</v>
          </cell>
        </row>
        <row r="910">
          <cell r="D910" t="str">
            <v>de</v>
          </cell>
          <cell r="E910" t="str">
            <v>forçage</v>
          </cell>
          <cell r="F910" t="str">
            <v>de la</v>
          </cell>
          <cell r="G910" t="str">
            <v>zone de tarification</v>
          </cell>
        </row>
        <row r="911">
          <cell r="D911" t="str">
            <v>de l'</v>
          </cell>
          <cell r="E911" t="str">
            <v>Avenant du contrat</v>
          </cell>
        </row>
        <row r="912">
          <cell r="D912" t="str">
            <v>du</v>
          </cell>
          <cell r="E912" t="str">
            <v>Lien contrat</v>
          </cell>
        </row>
        <row r="913">
          <cell r="D913" t="str">
            <v>de l'</v>
          </cell>
          <cell r="E913" t="str">
            <v>avenant du contrat prévoyance santé</v>
          </cell>
        </row>
        <row r="914">
          <cell r="D914" t="str">
            <v>de l'</v>
          </cell>
          <cell r="E914" t="str">
            <v>échéance du contrat</v>
          </cell>
        </row>
        <row r="915">
          <cell r="D915" t="str">
            <v>de</v>
          </cell>
          <cell r="E915" t="str">
            <v>réduction familiale</v>
          </cell>
        </row>
        <row r="916">
          <cell r="D916" t="str">
            <v>d'</v>
          </cell>
          <cell r="E916" t="str">
            <v>autre commission</v>
          </cell>
        </row>
        <row r="917">
          <cell r="D917" t="str">
            <v>de</v>
          </cell>
          <cell r="E917" t="str">
            <v>règlement</v>
          </cell>
        </row>
        <row r="918">
          <cell r="D918" t="str">
            <v>de</v>
          </cell>
          <cell r="E918" t="str">
            <v>contrat payant</v>
          </cell>
        </row>
        <row r="919">
          <cell r="D919" t="str">
            <v>de</v>
          </cell>
          <cell r="E919" t="str">
            <v>frais de souscription</v>
          </cell>
        </row>
        <row r="920">
          <cell r="D920" t="str">
            <v>de</v>
          </cell>
          <cell r="E920" t="str">
            <v>sp santé</v>
          </cell>
        </row>
        <row r="921">
          <cell r="D921" t="str">
            <v>de la</v>
          </cell>
          <cell r="E921" t="str">
            <v>garantie souscrite</v>
          </cell>
        </row>
        <row r="922">
          <cell r="D922" t="str">
            <v>d'</v>
          </cell>
          <cell r="E922" t="str">
            <v>ACORES</v>
          </cell>
        </row>
        <row r="923">
          <cell r="D923" t="str">
            <v>de l'</v>
          </cell>
          <cell r="E923" t="str">
            <v>avantage sans campagne commerciale</v>
          </cell>
        </row>
        <row r="924">
          <cell r="D924" t="str">
            <v>de</v>
          </cell>
          <cell r="E924" t="str">
            <v>réduction familiale</v>
          </cell>
        </row>
        <row r="925">
          <cell r="D925" t="str">
            <v>du</v>
          </cell>
          <cell r="E925" t="str">
            <v>FONDO</v>
          </cell>
        </row>
        <row r="926">
          <cell r="D926" t="str">
            <v>de la</v>
          </cell>
          <cell r="E926" t="str">
            <v>surprime temporaire</v>
          </cell>
        </row>
        <row r="927">
          <cell r="D927" t="str">
            <v>de</v>
          </cell>
          <cell r="E927" t="str">
            <v>fractionnement</v>
          </cell>
        </row>
        <row r="928">
          <cell r="D928" t="str">
            <v>de l'</v>
          </cell>
          <cell r="E928" t="str">
            <v>avantage sans campagne commerciale</v>
          </cell>
        </row>
        <row r="929">
          <cell r="D929" t="str">
            <v>de l'</v>
          </cell>
          <cell r="E929" t="str">
            <v>Avenant du contrat</v>
          </cell>
        </row>
        <row r="930">
          <cell r="D930" t="str">
            <v>de</v>
          </cell>
          <cell r="E930" t="str">
            <v>FINESS</v>
          </cell>
        </row>
        <row r="931">
          <cell r="D931" t="str">
            <v>du</v>
          </cell>
          <cell r="E931" t="str">
            <v>contrat groupe</v>
          </cell>
        </row>
        <row r="932">
          <cell r="D932" t="str">
            <v>du</v>
          </cell>
          <cell r="E932" t="str">
            <v>bénéficiaire en assurance santé</v>
          </cell>
        </row>
        <row r="933">
          <cell r="D933" t="str">
            <v>du</v>
          </cell>
          <cell r="E933" t="str">
            <v>bénéficiaire en assurance santé</v>
          </cell>
        </row>
        <row r="934">
          <cell r="D934" t="str">
            <v>d'</v>
          </cell>
          <cell r="E934" t="str">
            <v>adhérent</v>
          </cell>
        </row>
        <row r="935">
          <cell r="D935" t="str">
            <v>de la</v>
          </cell>
          <cell r="E935" t="str">
            <v>carte étudiante</v>
          </cell>
        </row>
        <row r="936">
          <cell r="C936" t="str">
            <v>origine</v>
          </cell>
          <cell r="D936" t="str">
            <v>de la</v>
          </cell>
          <cell r="E936" t="str">
            <v>CPAM</v>
          </cell>
        </row>
        <row r="937">
          <cell r="C937" t="str">
            <v>refus</v>
          </cell>
          <cell r="D937" t="str">
            <v>d'</v>
          </cell>
          <cell r="E937" t="str">
            <v>échange CPAM</v>
          </cell>
        </row>
        <row r="938">
          <cell r="D938" t="str">
            <v>du</v>
          </cell>
          <cell r="E938" t="str">
            <v>Contrat</v>
          </cell>
        </row>
        <row r="939">
          <cell r="D939" t="str">
            <v>de l'</v>
          </cell>
          <cell r="E939" t="str">
            <v>Avenant du contrat</v>
          </cell>
        </row>
        <row r="940">
          <cell r="D940" t="str">
            <v>du</v>
          </cell>
          <cell r="E940" t="str">
            <v>Lien contrat</v>
          </cell>
        </row>
        <row r="941">
          <cell r="D941" t="str">
            <v>de l'</v>
          </cell>
          <cell r="E941" t="str">
            <v>avenant du contrat prévoyance santé</v>
          </cell>
        </row>
        <row r="942">
          <cell r="D942" t="str">
            <v>de l'</v>
          </cell>
          <cell r="E942" t="str">
            <v>échéance du contrat</v>
          </cell>
        </row>
        <row r="943">
          <cell r="C943" t="str">
            <v>rédacteur</v>
          </cell>
          <cell r="D943" t="str">
            <v>du</v>
          </cell>
          <cell r="E943" t="str">
            <v>contrat</v>
          </cell>
        </row>
        <row r="944">
          <cell r="C944" t="str">
            <v>interne</v>
          </cell>
          <cell r="D944" t="str">
            <v>du</v>
          </cell>
          <cell r="E944" t="str">
            <v>contrat</v>
          </cell>
        </row>
        <row r="945">
          <cell r="C945" t="str">
            <v>SID</v>
          </cell>
          <cell r="D945" t="str">
            <v>de l'</v>
          </cell>
          <cell r="E945" t="str">
            <v>objet assuré</v>
          </cell>
          <cell r="F945" t="str">
            <v>du</v>
          </cell>
          <cell r="G945" t="str">
            <v>contrat</v>
          </cell>
        </row>
        <row r="946">
          <cell r="C946" t="str">
            <v>générique</v>
          </cell>
          <cell r="D946" t="str">
            <v>de</v>
          </cell>
          <cell r="E946" t="str">
            <v>objet assuré</v>
          </cell>
          <cell r="F946" t="str">
            <v>du</v>
          </cell>
          <cell r="G946" t="str">
            <v>Contrat</v>
          </cell>
        </row>
        <row r="947">
          <cell r="C947" t="str">
            <v>SIO</v>
          </cell>
          <cell r="D947" t="str">
            <v>de l'</v>
          </cell>
          <cell r="E947" t="str">
            <v>objet assuré</v>
          </cell>
          <cell r="F947" t="str">
            <v>du</v>
          </cell>
          <cell r="G947" t="str">
            <v>contrat</v>
          </cell>
        </row>
        <row r="948">
          <cell r="C948" t="str">
            <v>ancienneté</v>
          </cell>
          <cell r="D948" t="str">
            <v>du</v>
          </cell>
          <cell r="E948" t="str">
            <v>contrat</v>
          </cell>
        </row>
        <row r="949">
          <cell r="C949" t="str">
            <v>ancienneté</v>
          </cell>
          <cell r="D949" t="str">
            <v>du</v>
          </cell>
          <cell r="E949" t="str">
            <v>contrat</v>
          </cell>
        </row>
        <row r="950">
          <cell r="C950" t="str">
            <v>externe</v>
          </cell>
          <cell r="D950" t="str">
            <v>du</v>
          </cell>
          <cell r="E950" t="str">
            <v>contrat</v>
          </cell>
        </row>
        <row r="951">
          <cell r="C951" t="str">
            <v>générique</v>
          </cell>
          <cell r="E951" t="str">
            <v>ayant saisi</v>
          </cell>
          <cell r="F951" t="str">
            <v>l'</v>
          </cell>
          <cell r="G951" t="str">
            <v>Avenant du contrat</v>
          </cell>
        </row>
        <row r="952">
          <cell r="C952" t="str">
            <v>générique</v>
          </cell>
          <cell r="D952" t="str">
            <v>du</v>
          </cell>
          <cell r="E952" t="str">
            <v>responsable</v>
          </cell>
          <cell r="F952" t="str">
            <v>l'</v>
          </cell>
          <cell r="G952" t="str">
            <v>Avenant du contrat</v>
          </cell>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row>
        <row r="955">
          <cell r="D955" t="str">
            <v>de la</v>
          </cell>
          <cell r="E955" t="str">
            <v>garantie souscrite</v>
          </cell>
        </row>
        <row r="956">
          <cell r="D956" t="str">
            <v>d'</v>
          </cell>
          <cell r="E956" t="str">
            <v>ACORES</v>
          </cell>
        </row>
        <row r="957">
          <cell r="D957" t="str">
            <v>de l'</v>
          </cell>
          <cell r="E957" t="str">
            <v>avantage sans campagne commerciale</v>
          </cell>
        </row>
        <row r="958">
          <cell r="D958" t="str">
            <v>du</v>
          </cell>
          <cell r="E958" t="str">
            <v>FONDO</v>
          </cell>
        </row>
        <row r="959">
          <cell r="D959" t="str">
            <v>de l'</v>
          </cell>
          <cell r="E959" t="str">
            <v>avantage sans campagne commerciale</v>
          </cell>
        </row>
        <row r="960">
          <cell r="D960" t="str">
            <v>du</v>
          </cell>
          <cell r="E960" t="str">
            <v>Contrat</v>
          </cell>
        </row>
        <row r="961">
          <cell r="D961" t="str">
            <v>du</v>
          </cell>
          <cell r="E961" t="str">
            <v>contrat</v>
          </cell>
        </row>
        <row r="962">
          <cell r="D962" t="str">
            <v>du</v>
          </cell>
          <cell r="E962" t="str">
            <v>contrat</v>
          </cell>
        </row>
        <row r="963">
          <cell r="D963" t="str">
            <v>du</v>
          </cell>
          <cell r="E963" t="str">
            <v>contrat</v>
          </cell>
        </row>
        <row r="964">
          <cell r="D964" t="str">
            <v>du</v>
          </cell>
          <cell r="E964" t="str">
            <v>Contrat</v>
          </cell>
        </row>
        <row r="965">
          <cell r="D965" t="str">
            <v>du</v>
          </cell>
          <cell r="E965" t="str">
            <v>contrat</v>
          </cell>
        </row>
        <row r="966">
          <cell r="D966" t="str">
            <v>du</v>
          </cell>
          <cell r="E966" t="str">
            <v>Contrat</v>
          </cell>
        </row>
        <row r="967">
          <cell r="D967" t="str">
            <v>du</v>
          </cell>
          <cell r="E967" t="str">
            <v>Contrat</v>
          </cell>
        </row>
        <row r="968">
          <cell r="D968" t="str">
            <v>du</v>
          </cell>
          <cell r="E968" t="str">
            <v>contrat</v>
          </cell>
        </row>
        <row r="969">
          <cell r="D969" t="str">
            <v>du</v>
          </cell>
          <cell r="E969" t="str">
            <v>Contrat</v>
          </cell>
        </row>
        <row r="970">
          <cell r="D970" t="str">
            <v>du</v>
          </cell>
          <cell r="E970" t="str">
            <v>Contrat</v>
          </cell>
        </row>
        <row r="971">
          <cell r="D971" t="str">
            <v>du</v>
          </cell>
          <cell r="E971" t="str">
            <v>Contrat</v>
          </cell>
        </row>
        <row r="972">
          <cell r="D972" t="str">
            <v>du</v>
          </cell>
          <cell r="E972" t="str">
            <v>Contrat</v>
          </cell>
        </row>
        <row r="973">
          <cell r="D973" t="str">
            <v>du</v>
          </cell>
          <cell r="E973" t="str">
            <v>Contrat</v>
          </cell>
        </row>
        <row r="974">
          <cell r="D974" t="str">
            <v>du</v>
          </cell>
          <cell r="E974" t="str">
            <v>Contrat</v>
          </cell>
        </row>
        <row r="975">
          <cell r="D975" t="str">
            <v>du</v>
          </cell>
          <cell r="E975" t="str">
            <v>contrat</v>
          </cell>
        </row>
        <row r="976">
          <cell r="D976" t="str">
            <v>de l'</v>
          </cell>
          <cell r="E976" t="str">
            <v>Avenant du contrat</v>
          </cell>
        </row>
        <row r="977">
          <cell r="D977" t="str">
            <v>de l'</v>
          </cell>
          <cell r="E977" t="str">
            <v>Avenant du contrat</v>
          </cell>
        </row>
        <row r="978">
          <cell r="D978" t="str">
            <v>de l'</v>
          </cell>
          <cell r="E978" t="str">
            <v>Avenant du contrat</v>
          </cell>
        </row>
        <row r="979">
          <cell r="D979" t="str">
            <v>de l'</v>
          </cell>
          <cell r="E979" t="str">
            <v>Avenant du contrat</v>
          </cell>
        </row>
        <row r="980">
          <cell r="D980" t="str">
            <v>de l'</v>
          </cell>
          <cell r="E980" t="str">
            <v>Avenant du contrat</v>
          </cell>
        </row>
        <row r="981">
          <cell r="D981" t="str">
            <v>de l'</v>
          </cell>
          <cell r="E981" t="str">
            <v>Avenant du contrat</v>
          </cell>
        </row>
        <row r="982">
          <cell r="D982" t="str">
            <v>de</v>
          </cell>
          <cell r="E982" t="str">
            <v>Avenant du contrat</v>
          </cell>
        </row>
        <row r="983">
          <cell r="D983" t="str">
            <v>de l'</v>
          </cell>
          <cell r="E983" t="str">
            <v>Avenant du contrat</v>
          </cell>
        </row>
        <row r="984">
          <cell r="D984" t="str">
            <v>de l'</v>
          </cell>
          <cell r="E984" t="str">
            <v>avenant du contrat</v>
          </cell>
        </row>
        <row r="985">
          <cell r="D985" t="str">
            <v>de l'</v>
          </cell>
          <cell r="E985" t="str">
            <v>Avenant du contrat</v>
          </cell>
        </row>
        <row r="986">
          <cell r="D986" t="str">
            <v>de l'</v>
          </cell>
          <cell r="E986" t="str">
            <v>Avenant du contrat</v>
          </cell>
        </row>
        <row r="987">
          <cell r="D987" t="str">
            <v>de l'</v>
          </cell>
          <cell r="E987" t="str">
            <v>Avenant du contrat</v>
          </cell>
        </row>
        <row r="988">
          <cell r="D988" t="str">
            <v>du</v>
          </cell>
          <cell r="E988" t="str">
            <v>Lien contrat</v>
          </cell>
        </row>
        <row r="989">
          <cell r="D989" t="str">
            <v>du</v>
          </cell>
          <cell r="E989" t="str">
            <v>Lien contrat</v>
          </cell>
        </row>
        <row r="990">
          <cell r="D990" t="str">
            <v>du</v>
          </cell>
          <cell r="E990" t="str">
            <v>Lien contrat</v>
          </cell>
        </row>
        <row r="991">
          <cell r="D991" t="str">
            <v>du</v>
          </cell>
          <cell r="E991" t="str">
            <v>Lien contrat</v>
          </cell>
        </row>
        <row r="992">
          <cell r="D992" t="str">
            <v>du</v>
          </cell>
          <cell r="E992" t="str">
            <v>Lien contrat</v>
          </cell>
        </row>
        <row r="993">
          <cell r="D993" t="str">
            <v>du</v>
          </cell>
          <cell r="E993" t="str">
            <v>Lien contrat</v>
          </cell>
        </row>
        <row r="994">
          <cell r="D994" t="str">
            <v>du</v>
          </cell>
          <cell r="E994" t="str">
            <v>Lien contrat</v>
          </cell>
        </row>
        <row r="995">
          <cell r="D995" t="str">
            <v>de l'</v>
          </cell>
          <cell r="E995" t="str">
            <v>avenant du contrat prévoyance santé</v>
          </cell>
        </row>
        <row r="996">
          <cell r="D996" t="str">
            <v>de l'</v>
          </cell>
          <cell r="E996" t="str">
            <v>avenant du contrat prévoyance santé</v>
          </cell>
        </row>
        <row r="997">
          <cell r="D997" t="str">
            <v>de l'</v>
          </cell>
          <cell r="E997" t="str">
            <v>avenant du contrat prévoyance santé</v>
          </cell>
        </row>
        <row r="998">
          <cell r="D998" t="str">
            <v>de l'</v>
          </cell>
          <cell r="E998" t="str">
            <v>avenant du contrat prévoyance santé</v>
          </cell>
        </row>
        <row r="999">
          <cell r="D999" t="str">
            <v>de la</v>
          </cell>
          <cell r="E999" t="str">
            <v>suspension du contrat</v>
          </cell>
        </row>
        <row r="1000">
          <cell r="D1000" t="str">
            <v>de la</v>
          </cell>
          <cell r="E1000" t="str">
            <v>suspension du contrat</v>
          </cell>
        </row>
        <row r="1001">
          <cell r="D1001" t="str">
            <v>de l'</v>
          </cell>
          <cell r="E1001" t="str">
            <v>échéance du contrat</v>
          </cell>
        </row>
        <row r="1002">
          <cell r="D1002" t="str">
            <v>de l'</v>
          </cell>
          <cell r="E1002" t="str">
            <v>échéance du contrat</v>
          </cell>
        </row>
        <row r="1003">
          <cell r="D1003" t="str">
            <v>de l'</v>
          </cell>
          <cell r="E1003" t="str">
            <v>échéance du contrat</v>
          </cell>
        </row>
        <row r="1004">
          <cell r="D1004" t="str">
            <v>de l'</v>
          </cell>
          <cell r="E1004" t="str">
            <v>échéance du contrat</v>
          </cell>
        </row>
        <row r="1005">
          <cell r="D1005" t="str">
            <v>du</v>
          </cell>
          <cell r="E1005" t="str">
            <v>bareme groupe</v>
          </cell>
        </row>
        <row r="1006">
          <cell r="D1006" t="str">
            <v>du</v>
          </cell>
          <cell r="E1006" t="str">
            <v>bénéficiaire en assurance santé</v>
          </cell>
        </row>
        <row r="1007">
          <cell r="D1007" t="str">
            <v>du</v>
          </cell>
          <cell r="E1007" t="str">
            <v>bénéficiaire en assurance santé</v>
          </cell>
        </row>
        <row r="1008">
          <cell r="D1008" t="str">
            <v>de l'</v>
          </cell>
          <cell r="E1008" t="str">
            <v>attestation de santé</v>
          </cell>
        </row>
        <row r="1009">
          <cell r="D1009" t="str">
            <v>du</v>
          </cell>
          <cell r="E1009" t="str">
            <v>risque aggravé</v>
          </cell>
        </row>
        <row r="1010">
          <cell r="D1010" t="str">
            <v>de la</v>
          </cell>
          <cell r="E1010" t="str">
            <v>Couverture assurance</v>
          </cell>
        </row>
        <row r="1011">
          <cell r="D1011" t="str">
            <v>de la</v>
          </cell>
          <cell r="E1011" t="str">
            <v>Couverture assurance</v>
          </cell>
        </row>
        <row r="1012">
          <cell r="D1012" t="str">
            <v>du</v>
          </cell>
          <cell r="E1012" t="str">
            <v>devis</v>
          </cell>
        </row>
        <row r="1013">
          <cell r="C1013" t="str">
            <v>edition</v>
          </cell>
          <cell r="D1013" t="str">
            <v>d'</v>
          </cell>
          <cell r="E1013" t="str">
            <v>attestation de santé</v>
          </cell>
        </row>
        <row r="1014">
          <cell r="D1014" t="str">
            <v>de l'</v>
          </cell>
          <cell r="E1014" t="str">
            <v>indice à la souscription</v>
          </cell>
        </row>
        <row r="1015">
          <cell r="D1015" t="str">
            <v>du</v>
          </cell>
          <cell r="E1015" t="str">
            <v>bareme</v>
          </cell>
        </row>
        <row r="1016">
          <cell r="D1016" t="str">
            <v>dans le</v>
          </cell>
          <cell r="E1016" t="str">
            <v>canton suisse</v>
          </cell>
        </row>
        <row r="1017">
          <cell r="D1017" t="str">
            <v>du</v>
          </cell>
          <cell r="E1017" t="str">
            <v>crédit d'impot</v>
          </cell>
        </row>
        <row r="1018">
          <cell r="D1018" t="str">
            <v>du</v>
          </cell>
          <cell r="E1018" t="str">
            <v>crédit d'impot</v>
          </cell>
        </row>
        <row r="1019">
          <cell r="D1019" t="str">
            <v>de</v>
          </cell>
          <cell r="E1019" t="str">
            <v>calcul de la résiliation</v>
          </cell>
        </row>
        <row r="1020">
          <cell r="D1020" t="str">
            <v>de l'</v>
          </cell>
          <cell r="E1020" t="str">
            <v>événement en attente</v>
          </cell>
        </row>
        <row r="1021">
          <cell r="D1021" t="str">
            <v>de la</v>
          </cell>
          <cell r="E1021" t="str">
            <v>garantie souscrite</v>
          </cell>
        </row>
        <row r="1022">
          <cell r="D1022" t="str">
            <v>de la</v>
          </cell>
          <cell r="E1022" t="str">
            <v>garantie souscrite</v>
          </cell>
        </row>
        <row r="1023">
          <cell r="D1023" t="str">
            <v>de la</v>
          </cell>
          <cell r="E1023" t="str">
            <v>garantie souscrite</v>
          </cell>
        </row>
        <row r="1024">
          <cell r="D1024" t="str">
            <v>de la</v>
          </cell>
          <cell r="E1024" t="str">
            <v>garantie souscrite</v>
          </cell>
        </row>
        <row r="1025">
          <cell r="D1025" t="str">
            <v>de l'</v>
          </cell>
          <cell r="E1025" t="str">
            <v>avantage sans campagne commerciale</v>
          </cell>
        </row>
        <row r="1026">
          <cell r="D1026" t="str">
            <v>de la</v>
          </cell>
          <cell r="E1026" t="str">
            <v>relation bénéficiaire</v>
          </cell>
        </row>
        <row r="1027">
          <cell r="C1027" t="str">
            <v>langue</v>
          </cell>
          <cell r="D1027" t="str">
            <v>de l'</v>
          </cell>
          <cell r="E1027" t="str">
            <v>edition courrier</v>
          </cell>
        </row>
        <row r="1028">
          <cell r="D1028" t="str">
            <v>de la</v>
          </cell>
          <cell r="E1028" t="str">
            <v>devise</v>
          </cell>
        </row>
        <row r="1029">
          <cell r="D1029" t="str">
            <v>du</v>
          </cell>
          <cell r="E1029" t="str">
            <v>mode de connexion</v>
          </cell>
        </row>
        <row r="1030">
          <cell r="D1030" t="str">
            <v>du</v>
          </cell>
          <cell r="E1030" t="str">
            <v>mode de connexion</v>
          </cell>
        </row>
        <row r="1031">
          <cell r="D1031" t="str">
            <v>de la</v>
          </cell>
          <cell r="E1031" t="str">
            <v>société concurrente</v>
          </cell>
        </row>
        <row r="1032">
          <cell r="D1032" t="str">
            <v>de la</v>
          </cell>
          <cell r="E1032" t="str">
            <v>CPAM</v>
          </cell>
        </row>
        <row r="1033">
          <cell r="D1033" t="str">
            <v>du</v>
          </cell>
          <cell r="E1033" t="str">
            <v>Contrat</v>
          </cell>
        </row>
        <row r="1034">
          <cell r="D1034" t="str">
            <v>d'</v>
          </cell>
          <cell r="E1034" t="str">
            <v>avenant du contrat</v>
          </cell>
        </row>
        <row r="1035">
          <cell r="D1035" t="str">
            <v>de la</v>
          </cell>
          <cell r="E1035" t="str">
            <v>limite de calcul</v>
          </cell>
        </row>
        <row r="1036">
          <cell r="D1036" t="str">
            <v>de la</v>
          </cell>
          <cell r="E1036" t="str">
            <v>situation précédente</v>
          </cell>
        </row>
        <row r="1037">
          <cell r="C1037" t="str">
            <v>état</v>
          </cell>
          <cell r="D1037" t="str">
            <v>du</v>
          </cell>
          <cell r="E1037" t="str">
            <v>bénéficiaire en assurance santé</v>
          </cell>
        </row>
        <row r="1038">
          <cell r="D1038" t="str">
            <v>du</v>
          </cell>
          <cell r="E1038" t="str">
            <v>sous-produit d'assurance</v>
          </cell>
        </row>
        <row r="1039">
          <cell r="D1039" t="str">
            <v>de</v>
          </cell>
          <cell r="E1039" t="str">
            <v>lien</v>
          </cell>
        </row>
        <row r="1040">
          <cell r="D1040" t="str">
            <v>de la</v>
          </cell>
          <cell r="E1040" t="str">
            <v>dernière mise a jour</v>
          </cell>
        </row>
        <row r="1041">
          <cell r="D1041" t="str">
            <v>d'</v>
          </cell>
          <cell r="E1041" t="str">
            <v>antécédants médicaux</v>
          </cell>
        </row>
        <row r="1042">
          <cell r="D1042" t="str">
            <v>de l'</v>
          </cell>
          <cell r="E1042" t="str">
            <v>unité de gestion</v>
          </cell>
        </row>
        <row r="1043">
          <cell r="D1043" t="str">
            <v>du</v>
          </cell>
          <cell r="E1043" t="str">
            <v>mode de gestion</v>
          </cell>
        </row>
        <row r="1044">
          <cell r="D1044" t="str">
            <v>du</v>
          </cell>
          <cell r="E1044" t="str">
            <v>mode de règlement</v>
          </cell>
        </row>
        <row r="1045">
          <cell r="D1045" t="str">
            <v>de</v>
          </cell>
          <cell r="E1045" t="str">
            <v>PROCOM</v>
          </cell>
        </row>
        <row r="1046">
          <cell r="C1046" t="str">
            <v>rattachement</v>
          </cell>
          <cell r="D1046" t="str">
            <v>au</v>
          </cell>
          <cell r="E1046" t="str">
            <v>régime sécurité sociale</v>
          </cell>
        </row>
        <row r="1047">
          <cell r="D1047" t="str">
            <v>de l'</v>
          </cell>
          <cell r="E1047" t="str">
            <v>indice à la souscription</v>
          </cell>
        </row>
        <row r="1048">
          <cell r="D1048" t="str">
            <v>de l'</v>
          </cell>
          <cell r="E1048" t="str">
            <v>indice à la souscription</v>
          </cell>
        </row>
        <row r="1049">
          <cell r="D1049" t="str">
            <v>de</v>
          </cell>
          <cell r="E1049" t="str">
            <v>suffixe</v>
          </cell>
        </row>
        <row r="1050">
          <cell r="D1050" t="str">
            <v>du</v>
          </cell>
          <cell r="E1050" t="str">
            <v>contrat complémentaire</v>
          </cell>
        </row>
        <row r="1051">
          <cell r="D1051" t="str">
            <v>de</v>
          </cell>
          <cell r="E1051" t="str">
            <v>régime sécurité sociale</v>
          </cell>
        </row>
        <row r="1052">
          <cell r="D1052" t="str">
            <v>de l'</v>
          </cell>
          <cell r="E1052" t="str">
            <v>etat</v>
          </cell>
        </row>
        <row r="1053">
          <cell r="D1053" t="str">
            <v>du</v>
          </cell>
          <cell r="E1053" t="str">
            <v>statut</v>
          </cell>
        </row>
        <row r="1054">
          <cell r="D1054" t="str">
            <v>du</v>
          </cell>
          <cell r="E1054" t="str">
            <v>canton suisse</v>
          </cell>
        </row>
        <row r="1055">
          <cell r="D1055" t="str">
            <v>de l'</v>
          </cell>
          <cell r="E1055" t="str">
            <v>événement en attente</v>
          </cell>
        </row>
        <row r="1056">
          <cell r="D1056" t="str">
            <v>de</v>
          </cell>
          <cell r="E1056" t="str">
            <v>délai de carence</v>
          </cell>
        </row>
        <row r="1057">
          <cell r="C1057" t="str">
            <v>archivage</v>
          </cell>
          <cell r="D1057" t="str">
            <v>du</v>
          </cell>
          <cell r="E1057" t="str">
            <v>contrat</v>
          </cell>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row>
        <row r="1060">
          <cell r="C1060" t="str">
            <v>gratuité</v>
          </cell>
          <cell r="D1060" t="str">
            <v>du</v>
          </cell>
          <cell r="E1060" t="str">
            <v>bénéficiaire en assurance santé</v>
          </cell>
        </row>
        <row r="1061">
          <cell r="C1061" t="str">
            <v>rattachement</v>
          </cell>
          <cell r="D1061" t="str">
            <v>au</v>
          </cell>
          <cell r="E1061" t="str">
            <v>Crédit Mutuel</v>
          </cell>
        </row>
        <row r="1062">
          <cell r="C1062" t="str">
            <v>création</v>
          </cell>
          <cell r="D1062" t="str">
            <v>du</v>
          </cell>
          <cell r="E1062" t="str">
            <v>contrat</v>
          </cell>
        </row>
        <row r="1063">
          <cell r="C1063" t="str">
            <v>création</v>
          </cell>
          <cell r="D1063" t="str">
            <v>de l'</v>
          </cell>
          <cell r="E1063" t="str">
            <v>adhésion</v>
          </cell>
        </row>
        <row r="1064">
          <cell r="C1064" t="str">
            <v>référence</v>
          </cell>
          <cell r="D1064" t="str">
            <v>du</v>
          </cell>
          <cell r="E1064" t="str">
            <v>bénéficiaire en assurance santé</v>
          </cell>
        </row>
        <row r="1065">
          <cell r="C1065" t="str">
            <v>SID</v>
          </cell>
          <cell r="D1065" t="str">
            <v>du</v>
          </cell>
          <cell r="E1065" t="str">
            <v>bénéficiaire en assurance santé</v>
          </cell>
        </row>
        <row r="1066">
          <cell r="D1066" t="str">
            <v>de la</v>
          </cell>
          <cell r="E1066" t="str">
            <v>référence bancaire</v>
          </cell>
        </row>
        <row r="1067">
          <cell r="C1067" t="str">
            <v>clé</v>
          </cell>
          <cell r="D1067" t="str">
            <v>de l'</v>
          </cell>
          <cell r="E1067" t="str">
            <v>unité de gestion</v>
          </cell>
        </row>
        <row r="1068">
          <cell r="C1068" t="str">
            <v>différé</v>
          </cell>
          <cell r="D1068" t="str">
            <v>des</v>
          </cell>
          <cell r="E1068" t="str">
            <v>caractéristiques du correspondant</v>
          </cell>
        </row>
        <row r="1069">
          <cell r="C1069" t="str">
            <v>fraude</v>
          </cell>
          <cell r="D1069" t="str">
            <v>des</v>
          </cell>
          <cell r="E1069" t="str">
            <v>caractéristiques du correspondant</v>
          </cell>
        </row>
        <row r="1070">
          <cell r="C1070" t="str">
            <v>fortement utilisé</v>
          </cell>
          <cell r="D1070" t="str">
            <v>des</v>
          </cell>
          <cell r="E1070" t="str">
            <v>caractéristiques du correspondant</v>
          </cell>
        </row>
        <row r="1071">
          <cell r="C1071" t="str">
            <v>dernière image</v>
          </cell>
          <cell r="D1071" t="str">
            <v>de l'</v>
          </cell>
          <cell r="E1071" t="str">
            <v>Identifiant unique</v>
          </cell>
          <cell r="F1071" t="str">
            <v>du</v>
          </cell>
          <cell r="G1071" t="str">
            <v>correspondant</v>
          </cell>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row>
        <row r="1076">
          <cell r="C1076" t="str">
            <v>banesto</v>
          </cell>
          <cell r="D1076" t="str">
            <v>des</v>
          </cell>
          <cell r="E1076" t="str">
            <v>caractéristiques du correspondant</v>
          </cell>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row>
        <row r="1080">
          <cell r="C1080" t="str">
            <v>Dernière image</v>
          </cell>
          <cell r="D1080" t="str">
            <v>du</v>
          </cell>
          <cell r="E1080" t="str">
            <v>tarif correspondant</v>
          </cell>
        </row>
        <row r="1081">
          <cell r="C1081" t="str">
            <v>état</v>
          </cell>
          <cell r="D1081" t="str">
            <v>du</v>
          </cell>
          <cell r="E1081" t="str">
            <v>forfait VEI</v>
          </cell>
          <cell r="F1081" t="str">
            <v>et</v>
          </cell>
          <cell r="G1081" t="str">
            <v>RIV</v>
          </cell>
        </row>
        <row r="1082">
          <cell r="D1082" t="str">
            <v>du</v>
          </cell>
          <cell r="E1082" t="str">
            <v>forfait VEI</v>
          </cell>
          <cell r="F1082" t="str">
            <v>et</v>
          </cell>
          <cell r="G1082" t="str">
            <v>RIV</v>
          </cell>
          <cell r="H1082" t="str">
            <v>du</v>
          </cell>
          <cell r="I1082" t="str">
            <v>tarif correspondant</v>
          </cell>
        </row>
        <row r="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row>
        <row r="1085">
          <cell r="C1085" t="str">
            <v>état</v>
          </cell>
          <cell r="D1085" t="str">
            <v>du</v>
          </cell>
          <cell r="E1085" t="str">
            <v>booléen</v>
          </cell>
          <cell r="F1085" t="str">
            <v>de l'</v>
          </cell>
          <cell r="G1085" t="str">
            <v>agrément vitrage</v>
          </cell>
        </row>
        <row r="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row>
        <row r="1088">
          <cell r="D1088" t="str">
            <v xml:space="preserve"> </v>
          </cell>
          <cell r="E1088" t="str">
            <v>cybermut</v>
          </cell>
          <cell r="F1088" t="str">
            <v>des</v>
          </cell>
          <cell r="G1088" t="str">
            <v>caractéristiques du correspondant</v>
          </cell>
        </row>
        <row r="1089">
          <cell r="D1089" t="str">
            <v xml:space="preserve"> </v>
          </cell>
          <cell r="E1089" t="str">
            <v>IRPF</v>
          </cell>
          <cell r="F1089" t="str">
            <v>des</v>
          </cell>
          <cell r="G1089" t="str">
            <v>caractéristiques du correspondant</v>
          </cell>
        </row>
        <row r="1090">
          <cell r="D1090" t="str">
            <v xml:space="preserve"> </v>
          </cell>
          <cell r="E1090" t="str">
            <v>convention honoraire</v>
          </cell>
          <cell r="F1090" t="str">
            <v>des</v>
          </cell>
          <cell r="G1090" t="str">
            <v>caractéristiques du correspondant</v>
          </cell>
        </row>
        <row r="1091">
          <cell r="D1091" t="str">
            <v xml:space="preserve"> </v>
          </cell>
          <cell r="E1091" t="str">
            <v>certificat fiscal</v>
          </cell>
          <cell r="F1091" t="str">
            <v>des</v>
          </cell>
          <cell r="G1091" t="str">
            <v>caractéristiques du correspondant</v>
          </cell>
        </row>
        <row r="1092">
          <cell r="D1092" t="str">
            <v xml:space="preserve"> </v>
          </cell>
          <cell r="E1092" t="str">
            <v>VSL</v>
          </cell>
          <cell r="F1092" t="str">
            <v>des</v>
          </cell>
          <cell r="G1092" t="str">
            <v>caractéristiques du correspondant</v>
          </cell>
        </row>
        <row r="1093">
          <cell r="D1093" t="str">
            <v xml:space="preserve"> </v>
          </cell>
          <cell r="E1093" t="str">
            <v>établissement public hospitalier</v>
          </cell>
          <cell r="F1093" t="str">
            <v>des</v>
          </cell>
          <cell r="G1093" t="str">
            <v>caractéristiques du correspondant</v>
          </cell>
        </row>
        <row r="1094">
          <cell r="D1094" t="str">
            <v>de</v>
          </cell>
          <cell r="E1094" t="str">
            <v>tiers payant</v>
          </cell>
          <cell r="F1094" t="str">
            <v>de la</v>
          </cell>
          <cell r="G1094" t="str">
            <v>carte avance santé</v>
          </cell>
          <cell r="H1094" t="str">
            <v>des</v>
          </cell>
          <cell r="I1094" t="str">
            <v>caractéristiques du correspondant</v>
          </cell>
        </row>
        <row r="1095">
          <cell r="D1095" t="str">
            <v>de</v>
          </cell>
          <cell r="E1095" t="str">
            <v>tiers payant</v>
          </cell>
          <cell r="F1095" t="str">
            <v>des</v>
          </cell>
          <cell r="G1095" t="str">
            <v>caractéristiques du correspondant</v>
          </cell>
        </row>
        <row r="1096">
          <cell r="D1096" t="str">
            <v xml:space="preserve"> </v>
          </cell>
          <cell r="E1096" t="str">
            <v>centre d'expertise</v>
          </cell>
          <cell r="F1096" t="str">
            <v>des</v>
          </cell>
          <cell r="G1096" t="str">
            <v>caractéristiques du correspondant</v>
          </cell>
        </row>
        <row r="1097">
          <cell r="D1097" t="str">
            <v>de la</v>
          </cell>
          <cell r="E1097" t="str">
            <v>remise pied de facture</v>
          </cell>
          <cell r="F1097" t="str">
            <v>des</v>
          </cell>
          <cell r="G1097" t="str">
            <v>caractéristiques du correspondant</v>
          </cell>
        </row>
        <row r="1098">
          <cell r="D1098" t="str">
            <v>de</v>
          </cell>
          <cell r="E1098" t="str">
            <v>paiement</v>
          </cell>
          <cell r="F1098" t="str">
            <v>des</v>
          </cell>
          <cell r="G1098" t="str">
            <v>caractéristiques du correspondant</v>
          </cell>
        </row>
        <row r="1099">
          <cell r="D1099" t="str">
            <v>d'</v>
          </cell>
          <cell r="E1099" t="str">
            <v>ordre de préférence</v>
          </cell>
          <cell r="F1099" t="str">
            <v>des</v>
          </cell>
          <cell r="G1099" t="str">
            <v>caractéristiques du correspondant</v>
          </cell>
        </row>
        <row r="1100">
          <cell r="D1100" t="str">
            <v>de la</v>
          </cell>
          <cell r="E1100" t="str">
            <v>remise sur main d'œuvre</v>
          </cell>
          <cell r="F1100" t="str">
            <v>des</v>
          </cell>
          <cell r="G1100" t="str">
            <v>caractéristiques du correspondant</v>
          </cell>
        </row>
        <row r="1101">
          <cell r="D1101" t="str">
            <v>des</v>
          </cell>
          <cell r="E1101" t="str">
            <v>frais de déplacement</v>
          </cell>
          <cell r="F1101" t="str">
            <v>des</v>
          </cell>
          <cell r="G1101" t="str">
            <v>caractéristiques du correspondant</v>
          </cell>
        </row>
        <row r="1102">
          <cell r="D1102" t="str">
            <v>de la</v>
          </cell>
          <cell r="E1102" t="str">
            <v>remise sur pièces détachées</v>
          </cell>
          <cell r="F1102" t="str">
            <v>des</v>
          </cell>
          <cell r="G1102" t="str">
            <v>caractéristiques du correspondant</v>
          </cell>
        </row>
        <row r="1103">
          <cell r="D1103" t="str">
            <v>de la</v>
          </cell>
          <cell r="E1103" t="str">
            <v>remise pare-brise</v>
          </cell>
          <cell r="F1103" t="str">
            <v>des</v>
          </cell>
          <cell r="G1103" t="str">
            <v>caractéristiques du correspondant</v>
          </cell>
        </row>
        <row r="1104">
          <cell r="D1104" t="str">
            <v>d'</v>
          </cell>
          <cell r="E1104" t="str">
            <v>arrêté comptable</v>
          </cell>
          <cell r="F1104" t="str">
            <v>des</v>
          </cell>
          <cell r="G1104" t="str">
            <v>caractéristiques du correspondant</v>
          </cell>
        </row>
        <row r="1105">
          <cell r="D1105" t="str">
            <v>de l'</v>
          </cell>
          <cell r="E1105" t="str">
            <v>entreprise</v>
          </cell>
          <cell r="F1105" t="str">
            <v>des</v>
          </cell>
          <cell r="G1105" t="str">
            <v>caractéristiques du correspondant</v>
          </cell>
        </row>
        <row r="1106">
          <cell r="D1106" t="str">
            <v>de l'</v>
          </cell>
          <cell r="E1106" t="str">
            <v>entreprise</v>
          </cell>
          <cell r="F1106" t="str">
            <v>des</v>
          </cell>
          <cell r="G1106" t="str">
            <v>caractéristiques du correspondant</v>
          </cell>
        </row>
        <row r="1107">
          <cell r="D1107" t="str">
            <v>du</v>
          </cell>
          <cell r="E1107" t="str">
            <v>réseau d'appartenance</v>
          </cell>
          <cell r="F1107" t="str">
            <v>des</v>
          </cell>
          <cell r="G1107" t="str">
            <v>caractéristiques du correspondant</v>
          </cell>
        </row>
        <row r="1108">
          <cell r="D1108" t="str">
            <v>du</v>
          </cell>
          <cell r="E1108" t="str">
            <v>réseau d'appartenance</v>
          </cell>
          <cell r="F1108" t="str">
            <v>des</v>
          </cell>
          <cell r="G1108" t="str">
            <v>caractéristiques du correspondant</v>
          </cell>
        </row>
        <row r="1109">
          <cell r="D1109" t="str">
            <v>de l'</v>
          </cell>
          <cell r="E1109" t="str">
            <v>habilitation</v>
          </cell>
          <cell r="F1109" t="str">
            <v>des</v>
          </cell>
          <cell r="G1109" t="str">
            <v>caractéristiques du correspondant</v>
          </cell>
        </row>
        <row r="1110">
          <cell r="D1110" t="str">
            <v>de l'</v>
          </cell>
          <cell r="E1110" t="str">
            <v>habilitation</v>
          </cell>
          <cell r="F1110" t="str">
            <v>des</v>
          </cell>
          <cell r="G1110" t="str">
            <v>caractéristiques du correspondant</v>
          </cell>
        </row>
        <row r="1111">
          <cell r="D1111" t="str">
            <v>de la</v>
          </cell>
          <cell r="E1111" t="str">
            <v>concession ou marque automobile</v>
          </cell>
          <cell r="F1111" t="str">
            <v>des</v>
          </cell>
          <cell r="G1111" t="str">
            <v>caractéristiques du correspondant</v>
          </cell>
        </row>
        <row r="1112">
          <cell r="D1112" t="str">
            <v>du</v>
          </cell>
          <cell r="E1112" t="str">
            <v>mail</v>
          </cell>
          <cell r="F1112" t="str">
            <v>des</v>
          </cell>
          <cell r="G1112" t="str">
            <v>caractéristiques du correspondant</v>
          </cell>
        </row>
        <row r="1113">
          <cell r="D1113" t="str">
            <v>du</v>
          </cell>
          <cell r="E1113" t="str">
            <v>FAX</v>
          </cell>
          <cell r="F1113" t="str">
            <v>des</v>
          </cell>
          <cell r="G1113" t="str">
            <v>caractéristiques du correspondant</v>
          </cell>
        </row>
        <row r="1114">
          <cell r="D1114" t="str">
            <v>de la</v>
          </cell>
          <cell r="E1114" t="str">
            <v>répartition des dossiers</v>
          </cell>
          <cell r="F1114" t="str">
            <v>des</v>
          </cell>
          <cell r="G1114" t="str">
            <v>caractéristiques du correspondant</v>
          </cell>
        </row>
        <row r="1115">
          <cell r="D1115" t="str">
            <v>du</v>
          </cell>
          <cell r="E1115" t="str">
            <v>lien site web</v>
          </cell>
          <cell r="F1115" t="str">
            <v>des</v>
          </cell>
          <cell r="G1115" t="str">
            <v>caractéristiques du correspondant</v>
          </cell>
        </row>
        <row r="1116">
          <cell r="D1116" t="str">
            <v>du</v>
          </cell>
          <cell r="E1116" t="str">
            <v>barreau de compétence</v>
          </cell>
          <cell r="F1116" t="str">
            <v>des</v>
          </cell>
          <cell r="G1116" t="str">
            <v>caractéristiques du correspondant</v>
          </cell>
        </row>
        <row r="1117">
          <cell r="D1117" t="str">
            <v>de la</v>
          </cell>
          <cell r="E1117" t="str">
            <v>compagnie de remplacement</v>
          </cell>
          <cell r="F1117" t="str">
            <v>des</v>
          </cell>
          <cell r="G1117" t="str">
            <v>caractéristiques du correspondant</v>
          </cell>
        </row>
        <row r="1118">
          <cell r="D1118" t="str">
            <v>du</v>
          </cell>
          <cell r="E1118" t="str">
            <v>téléphone</v>
          </cell>
          <cell r="F1118" t="str">
            <v>des</v>
          </cell>
          <cell r="G1118" t="str">
            <v>caractéristiques du correspondant</v>
          </cell>
        </row>
        <row r="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row>
        <row r="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row>
        <row r="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row>
        <row r="1125">
          <cell r="D1125" t="str">
            <v>de</v>
          </cell>
          <cell r="E1125" t="str">
            <v>service BDG</v>
          </cell>
          <cell r="F1125" t="str">
            <v>des</v>
          </cell>
          <cell r="G1125" t="str">
            <v>caractéristiques du correspondant</v>
          </cell>
        </row>
        <row r="1126">
          <cell r="D1126" t="str">
            <v>de</v>
          </cell>
          <cell r="E1126" t="str">
            <v xml:space="preserve">tête de pont </v>
          </cell>
          <cell r="F1126" t="str">
            <v>du</v>
          </cell>
          <cell r="G1126" t="str">
            <v>correspondant</v>
          </cell>
        </row>
        <row r="1127">
          <cell r="D1127" t="str">
            <v>de</v>
          </cell>
          <cell r="E1127" t="str">
            <v>procédure SOS</v>
          </cell>
          <cell r="F1127" t="str">
            <v>des</v>
          </cell>
          <cell r="G1127" t="str">
            <v>caractéristiques du correspondant</v>
          </cell>
          <cell r="H1127" t="str">
            <v xml:space="preserve"> </v>
          </cell>
        </row>
        <row r="1128">
          <cell r="D1128" t="str">
            <v>de</v>
          </cell>
          <cell r="E1128" t="str">
            <v>véhicule électrique</v>
          </cell>
          <cell r="F1128" t="str">
            <v>des</v>
          </cell>
          <cell r="G1128" t="str">
            <v>caractéristiques du correspondant</v>
          </cell>
        </row>
        <row r="1129">
          <cell r="D1129" t="str">
            <v>d'</v>
          </cell>
          <cell r="E1129" t="str">
            <v>honoraire conventionné</v>
          </cell>
          <cell r="F1129" t="str">
            <v>des</v>
          </cell>
          <cell r="G1129" t="str">
            <v>caractéristiques du correspondant</v>
          </cell>
        </row>
        <row r="1130">
          <cell r="D1130" t="str">
            <v>de</v>
          </cell>
          <cell r="E1130" t="str">
            <v>kilomètre gratuit</v>
          </cell>
          <cell r="F1130" t="str">
            <v>du</v>
          </cell>
          <cell r="G1130" t="str">
            <v>Correspondant</v>
          </cell>
        </row>
        <row r="1131">
          <cell r="D1131" t="str">
            <v>de</v>
          </cell>
          <cell r="E1131" t="str">
            <v>dépannage gratuit</v>
          </cell>
          <cell r="F1131" t="str">
            <v>des</v>
          </cell>
          <cell r="G1131" t="str">
            <v>caractéristiques du correspondant</v>
          </cell>
        </row>
        <row r="1132">
          <cell r="D1132" t="str">
            <v>de</v>
          </cell>
          <cell r="E1132" t="str">
            <v>salarié du groupe</v>
          </cell>
          <cell r="F1132" t="str">
            <v>du</v>
          </cell>
          <cell r="G1132" t="str">
            <v>correspondant</v>
          </cell>
        </row>
        <row r="1133">
          <cell r="D1133" t="str">
            <v>de</v>
          </cell>
          <cell r="E1133" t="str">
            <v>service à domicile</v>
          </cell>
          <cell r="F1133" t="str">
            <v>des</v>
          </cell>
          <cell r="G1133" t="str">
            <v>caractéristiques du correspondant</v>
          </cell>
        </row>
        <row r="1134">
          <cell r="D1134" t="str">
            <v>de</v>
          </cell>
          <cell r="E1134" t="str">
            <v>prêt immédiat</v>
          </cell>
          <cell r="F1134" t="str">
            <v>des</v>
          </cell>
          <cell r="G1134" t="str">
            <v>caractéristiques du correspondant</v>
          </cell>
        </row>
        <row r="1135">
          <cell r="D1135" t="str">
            <v>de</v>
          </cell>
          <cell r="E1135" t="str">
            <v>mécanique toute marque</v>
          </cell>
          <cell r="F1135" t="str">
            <v>des</v>
          </cell>
          <cell r="G1135" t="str">
            <v>caractéristiques du correspondant</v>
          </cell>
        </row>
        <row r="1136">
          <cell r="D1136" t="str">
            <v>de</v>
          </cell>
          <cell r="E1136" t="str">
            <v>présence chauffeur</v>
          </cell>
          <cell r="F1136" t="str">
            <v>des</v>
          </cell>
          <cell r="G1136" t="str">
            <v>caractéristiques du correspondant</v>
          </cell>
        </row>
        <row r="1137">
          <cell r="D1137" t="str">
            <v>de</v>
          </cell>
          <cell r="E1137" t="str">
            <v>débosselage sans peinture</v>
          </cell>
          <cell r="F1137" t="str">
            <v>des</v>
          </cell>
          <cell r="G1137" t="str">
            <v>caractéristiques du correspondant</v>
          </cell>
        </row>
        <row r="1138">
          <cell r="D1138" t="str">
            <v>de</v>
          </cell>
          <cell r="E1138" t="str">
            <v>partenaire</v>
          </cell>
          <cell r="F1138" t="str">
            <v>des</v>
          </cell>
          <cell r="G1138" t="str">
            <v>caractéristiques du correspondant</v>
          </cell>
        </row>
        <row r="1139">
          <cell r="D1139" t="str">
            <v>d'</v>
          </cell>
          <cell r="E1139" t="str">
            <v>expertise à distance</v>
          </cell>
          <cell r="F1139" t="str">
            <v>des</v>
          </cell>
          <cell r="G1139" t="str">
            <v>caractéristiques du correspondant</v>
          </cell>
        </row>
        <row r="1140">
          <cell r="D1140" t="str">
            <v>de</v>
          </cell>
          <cell r="E1140" t="str">
            <v>véhicule de remplacement</v>
          </cell>
          <cell r="F1140" t="str">
            <v>des</v>
          </cell>
          <cell r="G1140" t="str">
            <v>caractéristiques du correspondant</v>
          </cell>
        </row>
        <row r="1141">
          <cell r="D1141" t="str">
            <v>de</v>
          </cell>
          <cell r="E1141" t="str">
            <v>sous-traitant 100%</v>
          </cell>
          <cell r="F1141" t="str">
            <v>des</v>
          </cell>
          <cell r="G1141" t="str">
            <v>caractéristiques du correspondant</v>
          </cell>
        </row>
        <row r="1142">
          <cell r="D1142" t="str">
            <v>de</v>
          </cell>
          <cell r="E1142" t="str">
            <v>dossiers graves</v>
          </cell>
          <cell r="F1142" t="str">
            <v>des</v>
          </cell>
          <cell r="G1142" t="str">
            <v>caractéristiques du correspondant</v>
          </cell>
        </row>
        <row r="1143">
          <cell r="D1143" t="str">
            <v>de</v>
          </cell>
          <cell r="E1143" t="str">
            <v>véhicule d'occasion</v>
          </cell>
          <cell r="F1143" t="str">
            <v>des</v>
          </cell>
          <cell r="G1143" t="str">
            <v>caractéristiques du correspondant</v>
          </cell>
        </row>
        <row r="1144">
          <cell r="D1144" t="str">
            <v>de</v>
          </cell>
          <cell r="E1144" t="str">
            <v>carte verte</v>
          </cell>
          <cell r="F1144" t="str">
            <v>du</v>
          </cell>
          <cell r="G1144" t="str">
            <v>correspondant</v>
          </cell>
        </row>
        <row r="1145">
          <cell r="D1145" t="str">
            <v>de</v>
          </cell>
          <cell r="E1145" t="str">
            <v>score</v>
          </cell>
          <cell r="F1145" t="str">
            <v>des</v>
          </cell>
          <cell r="G1145" t="str">
            <v>caractéristiques du correspondant</v>
          </cell>
        </row>
        <row r="1146">
          <cell r="D1146" t="str">
            <v>du</v>
          </cell>
          <cell r="E1146" t="str">
            <v>RPPS</v>
          </cell>
          <cell r="F1146" t="str">
            <v>du</v>
          </cell>
          <cell r="G1146" t="str">
            <v>Correspondant</v>
          </cell>
        </row>
        <row r="1147">
          <cell r="D1147" t="str">
            <v>de</v>
          </cell>
          <cell r="E1147" t="str">
            <v>SIRET</v>
          </cell>
          <cell r="F1147" t="str">
            <v>du</v>
          </cell>
          <cell r="G1147" t="str">
            <v>correspondant</v>
          </cell>
        </row>
        <row r="1148">
          <cell r="D1148" t="str">
            <v>de l'</v>
          </cell>
          <cell r="E1148" t="str">
            <v>état</v>
          </cell>
          <cell r="F1148" t="str">
            <v>du</v>
          </cell>
          <cell r="G1148" t="str">
            <v>SIRET</v>
          </cell>
          <cell r="H1148" t="str">
            <v>du</v>
          </cell>
          <cell r="I1148" t="str">
            <v>correspondant</v>
          </cell>
        </row>
        <row r="1149">
          <cell r="D1149" t="str">
            <v>du</v>
          </cell>
          <cell r="E1149" t="str">
            <v>tarif correspondant</v>
          </cell>
        </row>
        <row r="1150">
          <cell r="D1150" t="str">
            <v>de l'</v>
          </cell>
          <cell r="E1150" t="str">
            <v>état</v>
          </cell>
          <cell r="F1150" t="str">
            <v>du</v>
          </cell>
          <cell r="G1150" t="str">
            <v>tarif correspondant</v>
          </cell>
        </row>
        <row r="1151">
          <cell r="D1151" t="str">
            <v>de l'</v>
          </cell>
          <cell r="E1151" t="str">
            <v>état</v>
          </cell>
          <cell r="F1151" t="str">
            <v>du</v>
          </cell>
          <cell r="G1151" t="str">
            <v>tarif correspondant</v>
          </cell>
        </row>
        <row r="1152">
          <cell r="D1152" t="str">
            <v>du</v>
          </cell>
          <cell r="E1152" t="str">
            <v>réseau d'appartenance</v>
          </cell>
          <cell r="F1152" t="str">
            <v>du</v>
          </cell>
          <cell r="G1152" t="str">
            <v>correspondant</v>
          </cell>
        </row>
        <row r="1153">
          <cell r="D1153" t="str">
            <v>du</v>
          </cell>
          <cell r="E1153" t="str">
            <v>secteur d'activité</v>
          </cell>
          <cell r="F1153" t="str">
            <v>du</v>
          </cell>
          <cell r="G1153" t="str">
            <v>correspondant</v>
          </cell>
        </row>
        <row r="1154">
          <cell r="D1154" t="str">
            <v>de la</v>
          </cell>
          <cell r="E1154" t="str">
            <v>nature légale</v>
          </cell>
          <cell r="F1154" t="str">
            <v>du</v>
          </cell>
          <cell r="G1154" t="str">
            <v>correspondant</v>
          </cell>
        </row>
        <row r="1155">
          <cell r="D1155" t="str">
            <v>de la</v>
          </cell>
          <cell r="E1155" t="str">
            <v>Spécialité professionnelle</v>
          </cell>
          <cell r="F1155" t="str">
            <v>du</v>
          </cell>
          <cell r="G1155" t="str">
            <v>correspondant</v>
          </cell>
        </row>
        <row r="1156">
          <cell r="D1156" t="str">
            <v>du</v>
          </cell>
          <cell r="E1156" t="str">
            <v>type de relation</v>
          </cell>
          <cell r="F1156" t="str">
            <v>du</v>
          </cell>
          <cell r="G1156" t="str">
            <v>correspondant</v>
          </cell>
        </row>
        <row r="1157">
          <cell r="D1157" t="str">
            <v>de la</v>
          </cell>
          <cell r="E1157" t="str">
            <v>situation</v>
          </cell>
          <cell r="F1157" t="str">
            <v>du</v>
          </cell>
          <cell r="G1157" t="str">
            <v>Correspondant</v>
          </cell>
        </row>
        <row r="1158">
          <cell r="D1158" t="str">
            <v>de la</v>
          </cell>
          <cell r="E1158" t="str">
            <v>structure</v>
          </cell>
          <cell r="F1158" t="str">
            <v>du</v>
          </cell>
          <cell r="G1158" t="str">
            <v>correspondant</v>
          </cell>
        </row>
        <row r="1159">
          <cell r="D1159" t="str">
            <v>du</v>
          </cell>
          <cell r="E1159" t="str">
            <v>type de structure</v>
          </cell>
          <cell r="F1159" t="str">
            <v>du</v>
          </cell>
          <cell r="G1159" t="str">
            <v>correspondant</v>
          </cell>
        </row>
        <row r="1160">
          <cell r="D1160" t="str">
            <v>du</v>
          </cell>
          <cell r="E1160" t="str">
            <v>statut</v>
          </cell>
          <cell r="F1160" t="str">
            <v>du</v>
          </cell>
          <cell r="G1160" t="str">
            <v>correspondant</v>
          </cell>
        </row>
        <row r="1161">
          <cell r="D1161" t="str">
            <v>de l'</v>
          </cell>
          <cell r="E1161" t="str">
            <v>offre couronne dentaire</v>
          </cell>
          <cell r="F1161" t="str">
            <v>du</v>
          </cell>
          <cell r="G1161" t="str">
            <v>correspondant</v>
          </cell>
        </row>
        <row r="1162">
          <cell r="D1162" t="str">
            <v>de l'</v>
          </cell>
          <cell r="E1162" t="str">
            <v>offre intégrale dentaire</v>
          </cell>
          <cell r="F1162" t="str">
            <v>du</v>
          </cell>
          <cell r="G1162" t="str">
            <v>correspondant</v>
          </cell>
        </row>
        <row r="1163">
          <cell r="D1163" t="str">
            <v>du</v>
          </cell>
          <cell r="E1163" t="str">
            <v>secteur d'activité</v>
          </cell>
          <cell r="F1163" t="str">
            <v>du</v>
          </cell>
          <cell r="G1163" t="str">
            <v>correspondant</v>
          </cell>
        </row>
        <row r="1164">
          <cell r="D1164" t="str">
            <v>du</v>
          </cell>
          <cell r="E1164" t="str">
            <v>secteur d'activité</v>
          </cell>
          <cell r="F1164" t="str">
            <v>du</v>
          </cell>
          <cell r="G1164" t="str">
            <v>correspondant</v>
          </cell>
        </row>
        <row r="1165">
          <cell r="D1165" t="str">
            <v xml:space="preserve"> </v>
          </cell>
          <cell r="E1165" t="str">
            <v>ACAM</v>
          </cell>
          <cell r="F1165" t="str">
            <v>du</v>
          </cell>
          <cell r="G1165" t="str">
            <v>correspondant</v>
          </cell>
        </row>
        <row r="1166">
          <cell r="D1166" t="str">
            <v>de la</v>
          </cell>
          <cell r="E1166" t="str">
            <v>Spécialité professionnelle complémentaire</v>
          </cell>
          <cell r="F1166" t="str">
            <v>du</v>
          </cell>
          <cell r="G1166" t="str">
            <v>correspondant</v>
          </cell>
        </row>
        <row r="1167">
          <cell r="D1167" t="str">
            <v xml:space="preserve"> </v>
          </cell>
          <cell r="E1167" t="str">
            <v>ADELI</v>
          </cell>
          <cell r="F1167" t="str">
            <v>du</v>
          </cell>
          <cell r="G1167" t="str">
            <v>correspondant</v>
          </cell>
        </row>
        <row r="1168">
          <cell r="D1168" t="str">
            <v>de l'</v>
          </cell>
          <cell r="E1168" t="str">
            <v>Enseigne commerciale audio</v>
          </cell>
          <cell r="F1168" t="str">
            <v>des</v>
          </cell>
          <cell r="G1168" t="str">
            <v>caractéristiques du correspondant</v>
          </cell>
        </row>
        <row r="1169">
          <cell r="D1169" t="str">
            <v>du</v>
          </cell>
          <cell r="E1169" t="str">
            <v>réseau d'appartenance</v>
          </cell>
          <cell r="F1169" t="str">
            <v>du</v>
          </cell>
          <cell r="G1169" t="str">
            <v>correspondant</v>
          </cell>
        </row>
        <row r="1170">
          <cell r="D1170" t="str">
            <v>du</v>
          </cell>
          <cell r="E1170" t="str">
            <v>réseau d'appartenance</v>
          </cell>
          <cell r="F1170" t="str">
            <v>du</v>
          </cell>
          <cell r="G1170" t="str">
            <v>correspondant</v>
          </cell>
        </row>
        <row r="1171">
          <cell r="C1171" t="str">
            <v>état</v>
          </cell>
          <cell r="D1171" t="str">
            <v>de l'</v>
          </cell>
          <cell r="E1171" t="str">
            <v>Activité</v>
          </cell>
          <cell r="F1171" t="str">
            <v>du</v>
          </cell>
          <cell r="G1171" t="str">
            <v>correspondant</v>
          </cell>
        </row>
        <row r="1172">
          <cell r="D1172" t="str">
            <v>du</v>
          </cell>
          <cell r="E1172" t="str">
            <v>secteur d'activité</v>
          </cell>
          <cell r="F1172" t="str">
            <v>du</v>
          </cell>
          <cell r="G1172" t="str">
            <v>correspondant</v>
          </cell>
        </row>
        <row r="1173">
          <cell r="D1173" t="str">
            <v>du</v>
          </cell>
          <cell r="E1173" t="str">
            <v>secteur d'activité</v>
          </cell>
          <cell r="F1173" t="str">
            <v>du</v>
          </cell>
          <cell r="G1173" t="str">
            <v>correspondant</v>
          </cell>
        </row>
        <row r="1174">
          <cell r="D1174" t="str">
            <v xml:space="preserve"> </v>
          </cell>
          <cell r="E1174" t="str">
            <v>Banque de France</v>
          </cell>
          <cell r="F1174" t="str">
            <v>du</v>
          </cell>
          <cell r="G1174" t="str">
            <v>correspondant</v>
          </cell>
        </row>
        <row r="1175">
          <cell r="D1175" t="str">
            <v xml:space="preserve"> </v>
          </cell>
          <cell r="E1175" t="str">
            <v>CBFA</v>
          </cell>
          <cell r="F1175" t="str">
            <v>du</v>
          </cell>
          <cell r="G1175" t="str">
            <v>correspondant</v>
          </cell>
        </row>
        <row r="1176">
          <cell r="D1176" t="str">
            <v xml:space="preserve"> </v>
          </cell>
          <cell r="E1176" t="str">
            <v>CCA</v>
          </cell>
          <cell r="F1176" t="str">
            <v>du</v>
          </cell>
          <cell r="G1176" t="str">
            <v>correspondant</v>
          </cell>
        </row>
        <row r="1177">
          <cell r="D1177" t="str">
            <v xml:space="preserve"> </v>
          </cell>
          <cell r="E1177" t="str">
            <v>CODIQUE</v>
          </cell>
          <cell r="F1177" t="str">
            <v>du</v>
          </cell>
          <cell r="G1177" t="str">
            <v>correspondant</v>
          </cell>
        </row>
        <row r="1178">
          <cell r="D1178" t="str">
            <v>des</v>
          </cell>
          <cell r="E1178" t="str">
            <v>caractéristiques</v>
          </cell>
          <cell r="F1178" t="str">
            <v>du</v>
          </cell>
          <cell r="G1178" t="str">
            <v>correspondant</v>
          </cell>
        </row>
        <row r="1179">
          <cell r="D1179" t="str">
            <v>de la</v>
          </cell>
          <cell r="E1179" t="str">
            <v>ville</v>
          </cell>
          <cell r="F1179" t="str">
            <v>du</v>
          </cell>
          <cell r="G1179" t="str">
            <v>correspondant</v>
          </cell>
        </row>
        <row r="1180">
          <cell r="D1180" t="str">
            <v>de l'</v>
          </cell>
          <cell r="E1180" t="str">
            <v>offre classique</v>
          </cell>
          <cell r="F1180" t="str">
            <v>des</v>
          </cell>
          <cell r="G1180" t="str">
            <v>caractéristiques du correspondant</v>
          </cell>
        </row>
        <row r="1181">
          <cell r="D1181" t="str">
            <v>du</v>
          </cell>
          <cell r="E1181" t="str">
            <v>pays</v>
          </cell>
          <cell r="F1181" t="str">
            <v>du</v>
          </cell>
          <cell r="G1181" t="str">
            <v>correspondant</v>
          </cell>
        </row>
        <row r="1182">
          <cell r="D1182" t="str">
            <v>du</v>
          </cell>
          <cell r="E1182" t="str">
            <v>DGS</v>
          </cell>
          <cell r="F1182" t="str">
            <v>du</v>
          </cell>
          <cell r="G1182" t="str">
            <v>correspondant</v>
          </cell>
        </row>
        <row r="1183">
          <cell r="D1183" t="str">
            <v xml:space="preserve"> </v>
          </cell>
          <cell r="E1183" t="str">
            <v>DARVA</v>
          </cell>
          <cell r="F1183" t="str">
            <v>du</v>
          </cell>
          <cell r="G1183" t="str">
            <v>correspondant</v>
          </cell>
        </row>
        <row r="1184">
          <cell r="D1184" t="str">
            <v xml:space="preserve"> </v>
          </cell>
          <cell r="E1184" t="str">
            <v>BCE</v>
          </cell>
          <cell r="F1184" t="str">
            <v>du</v>
          </cell>
          <cell r="G1184" t="str">
            <v>correspondant</v>
          </cell>
        </row>
        <row r="1185">
          <cell r="D1185" t="str">
            <v>du</v>
          </cell>
          <cell r="E1185" t="str">
            <v>téléchiffrage</v>
          </cell>
          <cell r="F1185" t="str">
            <v>des</v>
          </cell>
          <cell r="G1185" t="str">
            <v>caractéristiques du correspondant</v>
          </cell>
        </row>
        <row r="1186">
          <cell r="D1186" t="str">
            <v xml:space="preserve"> </v>
          </cell>
          <cell r="E1186" t="str">
            <v>employé</v>
          </cell>
          <cell r="F1186" t="str">
            <v>du</v>
          </cell>
          <cell r="G1186" t="str">
            <v>correspondant</v>
          </cell>
        </row>
        <row r="1187">
          <cell r="D1187" t="str">
            <v>de l'</v>
          </cell>
          <cell r="E1187" t="str">
            <v>offre salarié</v>
          </cell>
          <cell r="F1187" t="str">
            <v>des</v>
          </cell>
          <cell r="G1187" t="str">
            <v>caractéristiques du correspondant</v>
          </cell>
        </row>
        <row r="1188">
          <cell r="D1188" t="str">
            <v>du</v>
          </cell>
          <cell r="E1188" t="str">
            <v>routage volet</v>
          </cell>
          <cell r="F1188" t="str">
            <v>des</v>
          </cell>
          <cell r="G1188" t="str">
            <v>caractéristiques du correspondant</v>
          </cell>
        </row>
        <row r="1189">
          <cell r="D1189" t="str">
            <v xml:space="preserve"> </v>
          </cell>
          <cell r="E1189" t="str">
            <v>FINESS</v>
          </cell>
          <cell r="F1189" t="str">
            <v>du</v>
          </cell>
          <cell r="G1189" t="str">
            <v>correspondant</v>
          </cell>
        </row>
        <row r="1190">
          <cell r="D1190" t="str">
            <v xml:space="preserve"> </v>
          </cell>
          <cell r="E1190" t="str">
            <v>GTA</v>
          </cell>
          <cell r="F1190" t="str">
            <v>du</v>
          </cell>
          <cell r="G1190" t="str">
            <v>correspondant</v>
          </cell>
        </row>
        <row r="1191">
          <cell r="D1191" t="str">
            <v>de l'</v>
          </cell>
          <cell r="E1191" t="str">
            <v>enseigne entreprise individuelle</v>
          </cell>
          <cell r="F1191" t="str">
            <v>du</v>
          </cell>
          <cell r="G1191" t="str">
            <v>correspondant</v>
          </cell>
        </row>
        <row r="1192">
          <cell r="D1192" t="str">
            <v>du</v>
          </cell>
          <cell r="E1192" t="str">
            <v>INFORMEX</v>
          </cell>
          <cell r="F1192" t="str">
            <v>du</v>
          </cell>
          <cell r="G1192" t="str">
            <v>Correspondant</v>
          </cell>
        </row>
        <row r="1193">
          <cell r="D1193" t="str">
            <v xml:space="preserve"> </v>
          </cell>
          <cell r="E1193" t="str">
            <v>INSEE</v>
          </cell>
          <cell r="F1193" t="str">
            <v>du</v>
          </cell>
          <cell r="G1193" t="str">
            <v>correspondant</v>
          </cell>
        </row>
        <row r="1194">
          <cell r="D1194" t="str">
            <v>de la</v>
          </cell>
          <cell r="E1194" t="str">
            <v>nature légale</v>
          </cell>
          <cell r="F1194" t="str">
            <v>du</v>
          </cell>
          <cell r="G1194" t="str">
            <v>correspondant</v>
          </cell>
        </row>
        <row r="1195">
          <cell r="D1195" t="str">
            <v>de la</v>
          </cell>
          <cell r="E1195" t="str">
            <v>nature légale</v>
          </cell>
          <cell r="F1195" t="str">
            <v>du</v>
          </cell>
          <cell r="G1195" t="str">
            <v>correspondant</v>
          </cell>
        </row>
        <row r="1196">
          <cell r="D1196" t="str">
            <v xml:space="preserve"> </v>
          </cell>
          <cell r="E1196" t="str">
            <v>mondial assistance</v>
          </cell>
          <cell r="F1196" t="str">
            <v>du</v>
          </cell>
          <cell r="G1196" t="str">
            <v>correspondant</v>
          </cell>
        </row>
        <row r="1197">
          <cell r="D1197" t="str">
            <v xml:space="preserve"> </v>
          </cell>
          <cell r="E1197" t="str">
            <v>MULCOR</v>
          </cell>
          <cell r="F1197" t="str">
            <v>du</v>
          </cell>
          <cell r="G1197" t="str">
            <v>correspondant</v>
          </cell>
        </row>
        <row r="1198">
          <cell r="D1198" t="str">
            <v xml:space="preserve"> </v>
          </cell>
          <cell r="E1198" t="str">
            <v>MULPHA</v>
          </cell>
          <cell r="F1198" t="str">
            <v>du</v>
          </cell>
          <cell r="G1198" t="str">
            <v>correspondant</v>
          </cell>
        </row>
        <row r="1199">
          <cell r="D1199" t="str">
            <v xml:space="preserve"> </v>
          </cell>
          <cell r="E1199" t="str">
            <v>Numéro Identifiant National</v>
          </cell>
          <cell r="F1199" t="str">
            <v>du</v>
          </cell>
          <cell r="G1199" t="str">
            <v>correspondant</v>
          </cell>
        </row>
        <row r="1200">
          <cell r="D1200" t="str">
            <v xml:space="preserve"> </v>
          </cell>
          <cell r="E1200" t="str">
            <v>NOEMIE</v>
          </cell>
          <cell r="F1200" t="str">
            <v>du</v>
          </cell>
          <cell r="G1200" t="str">
            <v>correspondant</v>
          </cell>
        </row>
        <row r="1201">
          <cell r="D1201" t="str">
            <v>de l'</v>
          </cell>
          <cell r="E1201" t="str">
            <v>Enseigne commerciale optique</v>
          </cell>
          <cell r="F1201" t="str">
            <v>des</v>
          </cell>
          <cell r="G1201" t="str">
            <v>caractéristiques du correspondant</v>
          </cell>
        </row>
        <row r="1202">
          <cell r="D1202" t="str">
            <v>de la</v>
          </cell>
          <cell r="E1202" t="str">
            <v>Spécialité professionnelle</v>
          </cell>
          <cell r="F1202" t="str">
            <v>du</v>
          </cell>
          <cell r="G1202" t="str">
            <v>correspondant</v>
          </cell>
        </row>
        <row r="1203">
          <cell r="D1203" t="str">
            <v>de la</v>
          </cell>
          <cell r="E1203" t="str">
            <v>Spécialité professionnelle</v>
          </cell>
          <cell r="F1203" t="str">
            <v>du</v>
          </cell>
          <cell r="G1203" t="str">
            <v>correspondant</v>
          </cell>
        </row>
        <row r="1204">
          <cell r="D1204" t="str">
            <v xml:space="preserve"> </v>
          </cell>
          <cell r="E1204" t="str">
            <v>QUI</v>
          </cell>
          <cell r="F1204" t="str">
            <v>du</v>
          </cell>
          <cell r="G1204" t="str">
            <v>correspondant</v>
          </cell>
        </row>
        <row r="1205">
          <cell r="D1205" t="str">
            <v>du</v>
          </cell>
          <cell r="E1205" t="str">
            <v>rayon</v>
          </cell>
          <cell r="F1205" t="str">
            <v>du</v>
          </cell>
          <cell r="G1205" t="str">
            <v>correspondant</v>
          </cell>
        </row>
        <row r="1206">
          <cell r="D1206" t="str">
            <v xml:space="preserve"> </v>
          </cell>
          <cell r="E1206" t="str">
            <v>Banque à distance</v>
          </cell>
          <cell r="F1206" t="str">
            <v>du</v>
          </cell>
          <cell r="G1206" t="str">
            <v>correspondant</v>
          </cell>
        </row>
        <row r="1207">
          <cell r="D1207" t="str">
            <v>du</v>
          </cell>
          <cell r="E1207" t="str">
            <v>type de relation</v>
          </cell>
          <cell r="F1207" t="str">
            <v>du</v>
          </cell>
          <cell r="G1207" t="str">
            <v>correspondant</v>
          </cell>
        </row>
        <row r="1208">
          <cell r="D1208" t="str">
            <v>du</v>
          </cell>
          <cell r="E1208" t="str">
            <v>type de relation</v>
          </cell>
          <cell r="F1208" t="str">
            <v>du</v>
          </cell>
          <cell r="G1208" t="str">
            <v>correspondant</v>
          </cell>
        </row>
        <row r="1209">
          <cell r="D1209" t="str">
            <v xml:space="preserve"> </v>
          </cell>
          <cell r="E1209" t="str">
            <v>REPARMUT</v>
          </cell>
          <cell r="F1209" t="str">
            <v>du</v>
          </cell>
          <cell r="G1209" t="str">
            <v>correspondant</v>
          </cell>
        </row>
        <row r="1210">
          <cell r="D1210" t="str">
            <v xml:space="preserve"> </v>
          </cell>
          <cell r="E1210" t="str">
            <v>CIF NIF</v>
          </cell>
          <cell r="F1210" t="str">
            <v>du</v>
          </cell>
          <cell r="G1210" t="str">
            <v>correspondant</v>
          </cell>
        </row>
        <row r="1211">
          <cell r="D1211" t="str">
            <v>de la</v>
          </cell>
          <cell r="E1211" t="str">
            <v>situation</v>
          </cell>
          <cell r="F1211" t="str">
            <v>du</v>
          </cell>
          <cell r="G1211" t="str">
            <v>correspondant</v>
          </cell>
        </row>
        <row r="1212">
          <cell r="D1212" t="str">
            <v>de la</v>
          </cell>
          <cell r="E1212" t="str">
            <v>situation</v>
          </cell>
          <cell r="F1212" t="str">
            <v>du</v>
          </cell>
          <cell r="G1212" t="str">
            <v>correspondant</v>
          </cell>
        </row>
        <row r="1213">
          <cell r="D1213" t="str">
            <v>de la</v>
          </cell>
          <cell r="E1213" t="str">
            <v>structure</v>
          </cell>
          <cell r="F1213" t="str">
            <v>du</v>
          </cell>
          <cell r="G1213" t="str">
            <v>correspondant</v>
          </cell>
        </row>
        <row r="1214">
          <cell r="D1214" t="str">
            <v>de la</v>
          </cell>
          <cell r="E1214" t="str">
            <v>structure</v>
          </cell>
          <cell r="F1214" t="str">
            <v>du</v>
          </cell>
          <cell r="G1214" t="str">
            <v>correspondant</v>
          </cell>
        </row>
        <row r="1215">
          <cell r="D1215" t="str">
            <v>du</v>
          </cell>
          <cell r="E1215" t="str">
            <v>type de structure</v>
          </cell>
          <cell r="F1215" t="str">
            <v>du</v>
          </cell>
          <cell r="G1215" t="str">
            <v>correspondant</v>
          </cell>
        </row>
        <row r="1216">
          <cell r="D1216" t="str">
            <v>du</v>
          </cell>
          <cell r="E1216" t="str">
            <v>type de structure</v>
          </cell>
          <cell r="F1216" t="str">
            <v>du</v>
          </cell>
          <cell r="G1216" t="str">
            <v>correspondant</v>
          </cell>
        </row>
        <row r="1217">
          <cell r="D1217" t="str">
            <v>du</v>
          </cell>
          <cell r="E1217" t="str">
            <v>statut</v>
          </cell>
          <cell r="F1217" t="str">
            <v>du</v>
          </cell>
          <cell r="G1217" t="str">
            <v>correspondant</v>
          </cell>
        </row>
        <row r="1218">
          <cell r="D1218" t="str">
            <v>du</v>
          </cell>
          <cell r="E1218" t="str">
            <v>statut</v>
          </cell>
          <cell r="F1218" t="str">
            <v>du</v>
          </cell>
          <cell r="G1218" t="str">
            <v>correspondant</v>
          </cell>
        </row>
        <row r="1219">
          <cell r="D1219" t="str">
            <v>de</v>
          </cell>
          <cell r="E1219" t="str">
            <v>gardiennage véhicule</v>
          </cell>
          <cell r="F1219" t="str">
            <v>des</v>
          </cell>
          <cell r="G1219" t="str">
            <v>caractéristiques du correspondant</v>
          </cell>
        </row>
        <row r="1220">
          <cell r="D1220" t="str">
            <v>du</v>
          </cell>
          <cell r="E1220" t="str">
            <v>forfait VEI</v>
          </cell>
          <cell r="F1220" t="str">
            <v>de</v>
          </cell>
          <cell r="G1220" t="str">
            <v>corse</v>
          </cell>
          <cell r="H1220" t="str">
            <v>du</v>
          </cell>
          <cell r="I1220" t="str">
            <v>tarif correspondant</v>
          </cell>
        </row>
        <row r="1221">
          <cell r="D1221" t="str">
            <v>de la</v>
          </cell>
          <cell r="E1221" t="str">
            <v>voiturette</v>
          </cell>
          <cell r="F1221" t="str">
            <v>de</v>
          </cell>
          <cell r="G1221" t="str">
            <v>corse</v>
          </cell>
          <cell r="H1221" t="str">
            <v>du</v>
          </cell>
          <cell r="I1221" t="str">
            <v>tarif correspondant</v>
          </cell>
        </row>
        <row r="1222">
          <cell r="D1222" t="str">
            <v>du</v>
          </cell>
          <cell r="E1222" t="str">
            <v>poids</v>
          </cell>
          <cell r="F1222" t="str">
            <v>de la</v>
          </cell>
          <cell r="G1222" t="str">
            <v>couverture</v>
          </cell>
          <cell r="H1222" t="str">
            <v>de type</v>
          </cell>
          <cell r="I1222" t="str">
            <v>adresse</v>
          </cell>
        </row>
        <row r="1223">
          <cell r="D1223" t="str">
            <v>du</v>
          </cell>
          <cell r="E1223" t="str">
            <v>poids</v>
          </cell>
          <cell r="F1223" t="str">
            <v>de la</v>
          </cell>
          <cell r="G1223" t="str">
            <v>couverture</v>
          </cell>
          <cell r="H1223" t="str">
            <v>de type</v>
          </cell>
          <cell r="I1223" t="str">
            <v>couverture</v>
          </cell>
        </row>
        <row r="1224">
          <cell r="D1224" t="str">
            <v>du</v>
          </cell>
          <cell r="E1224" t="str">
            <v>DGA</v>
          </cell>
          <cell r="F1224" t="str">
            <v>de la</v>
          </cell>
          <cell r="G1224" t="str">
            <v>couverture</v>
          </cell>
          <cell r="H1224" t="str">
            <v>de type</v>
          </cell>
          <cell r="I1224" t="str">
            <v>adresse</v>
          </cell>
        </row>
        <row r="1225">
          <cell r="D1225" t="str">
            <v>du</v>
          </cell>
          <cell r="E1225" t="str">
            <v>DGA</v>
          </cell>
          <cell r="F1225" t="str">
            <v>de la</v>
          </cell>
          <cell r="G1225" t="str">
            <v>couverture</v>
          </cell>
          <cell r="H1225" t="str">
            <v>de type</v>
          </cell>
          <cell r="I1225" t="str">
            <v>regroupement secteur d'activité</v>
          </cell>
        </row>
        <row r="1226">
          <cell r="D1226" t="str">
            <v>du</v>
          </cell>
          <cell r="E1226" t="str">
            <v>DGA</v>
          </cell>
          <cell r="F1226" t="str">
            <v>de la</v>
          </cell>
          <cell r="G1226" t="str">
            <v>couverture</v>
          </cell>
          <cell r="H1226" t="str">
            <v>de type</v>
          </cell>
          <cell r="I1226" t="str">
            <v>couverture</v>
          </cell>
        </row>
        <row r="1227">
          <cell r="D1227" t="str">
            <v>du</v>
          </cell>
          <cell r="E1227" t="str">
            <v>DGA</v>
          </cell>
          <cell r="F1227" t="str">
            <v>de la</v>
          </cell>
          <cell r="G1227" t="str">
            <v>couverture</v>
          </cell>
          <cell r="H1227" t="str">
            <v>de type</v>
          </cell>
          <cell r="I1227" t="str">
            <v>rayon</v>
          </cell>
        </row>
        <row r="1228">
          <cell r="D1228" t="str">
            <v>du</v>
          </cell>
          <cell r="E1228" t="str">
            <v>DGA</v>
          </cell>
          <cell r="F1228" t="str">
            <v>de la</v>
          </cell>
          <cell r="G1228" t="str">
            <v>couverture</v>
          </cell>
          <cell r="H1228" t="str">
            <v>de type</v>
          </cell>
          <cell r="I1228" t="str">
            <v>référence</v>
          </cell>
        </row>
        <row r="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row>
        <row r="1233">
          <cell r="C1233" t="str">
            <v>état</v>
          </cell>
          <cell r="D1233" t="str">
            <v>du</v>
          </cell>
          <cell r="E1233" t="str">
            <v>montant</v>
          </cell>
          <cell r="F1233" t="str">
            <v>du</v>
          </cell>
          <cell r="G1233" t="str">
            <v>forfait VEI</v>
          </cell>
          <cell r="H1233" t="str">
            <v>de</v>
          </cell>
          <cell r="I1233" t="str">
            <v>Corse</v>
          </cell>
        </row>
        <row r="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row>
        <row r="1236">
          <cell r="C1236" t="str">
            <v>état</v>
          </cell>
          <cell r="D1236" t="str">
            <v>du</v>
          </cell>
          <cell r="E1236" t="str">
            <v>montant</v>
          </cell>
          <cell r="F1236" t="str">
            <v>de la</v>
          </cell>
          <cell r="G1236" t="str">
            <v>franchise de frais</v>
          </cell>
        </row>
        <row r="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row>
        <row r="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row>
        <row r="1241">
          <cell r="C1241" t="str">
            <v>agrément</v>
          </cell>
          <cell r="D1241" t="str">
            <v>des</v>
          </cell>
          <cell r="E1241" t="str">
            <v>caractéristiques du correspondant</v>
          </cell>
        </row>
        <row r="1242">
          <cell r="C1242" t="str">
            <v>état</v>
          </cell>
          <cell r="D1242" t="str">
            <v>du</v>
          </cell>
          <cell r="E1242" t="str">
            <v>taux</v>
          </cell>
          <cell r="F1242" t="str">
            <v>de l'</v>
          </cell>
          <cell r="G1242" t="str">
            <v>IVA/IGIC</v>
          </cell>
        </row>
        <row r="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row>
        <row r="1245">
          <cell r="C1245" t="str">
            <v>état</v>
          </cell>
          <cell r="D1245" t="str">
            <v>du</v>
          </cell>
          <cell r="E1245" t="str">
            <v>taux horaire fixe</v>
          </cell>
          <cell r="F1245" t="str">
            <v>de la</v>
          </cell>
          <cell r="G1245" t="str">
            <v>main d'œuvre hors taxe</v>
          </cell>
        </row>
        <row r="1246">
          <cell r="C1246" t="str">
            <v>état</v>
          </cell>
          <cell r="D1246" t="str">
            <v>du</v>
          </cell>
          <cell r="E1246" t="str">
            <v>montant</v>
          </cell>
          <cell r="F1246" t="str">
            <v>de la</v>
          </cell>
          <cell r="G1246" t="str">
            <v>peinture nacrée</v>
          </cell>
        </row>
        <row r="1247">
          <cell r="C1247" t="str">
            <v>état</v>
          </cell>
          <cell r="D1247" t="str">
            <v>du</v>
          </cell>
          <cell r="E1247" t="str">
            <v>montant</v>
          </cell>
          <cell r="F1247" t="str">
            <v>de la</v>
          </cell>
          <cell r="G1247" t="str">
            <v>peinture opaque</v>
          </cell>
          <cell r="H1247" t="str">
            <v xml:space="preserve"> </v>
          </cell>
        </row>
        <row r="1248">
          <cell r="C1248" t="str">
            <v>état</v>
          </cell>
          <cell r="D1248" t="str">
            <v>du</v>
          </cell>
          <cell r="E1248" t="str">
            <v>montant</v>
          </cell>
          <cell r="F1248" t="str">
            <v>de la</v>
          </cell>
          <cell r="G1248" t="str">
            <v>peinture vernie</v>
          </cell>
        </row>
        <row r="1249">
          <cell r="C1249" t="str">
            <v>état</v>
          </cell>
          <cell r="D1249" t="str">
            <v>du</v>
          </cell>
          <cell r="E1249" t="str">
            <v>montant</v>
          </cell>
          <cell r="F1249" t="str">
            <v>du</v>
          </cell>
          <cell r="G1249" t="str">
            <v>prix au km avec chauffeur</v>
          </cell>
        </row>
        <row r="1250">
          <cell r="C1250" t="str">
            <v>état</v>
          </cell>
          <cell r="D1250" t="str">
            <v>du</v>
          </cell>
          <cell r="E1250" t="str">
            <v>montant</v>
          </cell>
          <cell r="F1250" t="str">
            <v>du</v>
          </cell>
          <cell r="G1250" t="str">
            <v>prix au km sans chauffeur</v>
          </cell>
        </row>
        <row r="1251">
          <cell r="D1251" t="str">
            <v>du</v>
          </cell>
          <cell r="E1251" t="str">
            <v>forfait réparateur BDG</v>
          </cell>
          <cell r="F1251" t="str">
            <v>de</v>
          </cell>
          <cell r="G1251" t="str">
            <v>province</v>
          </cell>
          <cell r="H1251" t="str">
            <v>du</v>
          </cell>
          <cell r="I1251" t="str">
            <v>tarif correspondant</v>
          </cell>
        </row>
        <row r="1252">
          <cell r="D1252" t="str">
            <v xml:space="preserve"> </v>
          </cell>
          <cell r="E1252" t="str">
            <v>RIV</v>
          </cell>
          <cell r="F1252" t="str">
            <v>et</v>
          </cell>
          <cell r="G1252" t="str">
            <v>quad</v>
          </cell>
          <cell r="H1252" t="str">
            <v>du</v>
          </cell>
          <cell r="I1252" t="str">
            <v>tarif correspondant</v>
          </cell>
        </row>
        <row r="1253">
          <cell r="D1253" t="str">
            <v xml:space="preserve"> </v>
          </cell>
          <cell r="E1253" t="str">
            <v>VEI</v>
          </cell>
          <cell r="F1253" t="str">
            <v>et</v>
          </cell>
          <cell r="G1253" t="str">
            <v>quad</v>
          </cell>
          <cell r="H1253" t="str">
            <v>du</v>
          </cell>
          <cell r="I1253" t="str">
            <v>tarif correspondant</v>
          </cell>
        </row>
        <row r="1254">
          <cell r="D1254" t="str">
            <v xml:space="preserve"> </v>
          </cell>
          <cell r="E1254" t="str">
            <v>TNR</v>
          </cell>
          <cell r="F1254" t="str">
            <v>et</v>
          </cell>
          <cell r="G1254" t="str">
            <v>quad</v>
          </cell>
          <cell r="H1254" t="str">
            <v>du</v>
          </cell>
          <cell r="I1254" t="str">
            <v>tarif correspondant</v>
          </cell>
        </row>
        <row r="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row>
        <row r="1257">
          <cell r="C1257" t="str">
            <v>état</v>
          </cell>
          <cell r="D1257" t="str">
            <v>du</v>
          </cell>
          <cell r="E1257" t="str">
            <v>booléen</v>
          </cell>
          <cell r="F1257" t="str">
            <v>de</v>
          </cell>
          <cell r="G1257" t="str">
            <v>RECC</v>
          </cell>
        </row>
        <row r="1258">
          <cell r="D1258" t="str">
            <v>du</v>
          </cell>
          <cell r="E1258" t="str">
            <v>poids</v>
          </cell>
          <cell r="F1258" t="str">
            <v>de la</v>
          </cell>
          <cell r="G1258" t="str">
            <v>couverture</v>
          </cell>
          <cell r="H1258" t="str">
            <v>de type</v>
          </cell>
          <cell r="I1258" t="str">
            <v>référence</v>
          </cell>
        </row>
        <row r="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row>
        <row r="1261">
          <cell r="C1261" t="str">
            <v>état</v>
          </cell>
          <cell r="D1261" t="str">
            <v>du</v>
          </cell>
          <cell r="E1261" t="str">
            <v>montant</v>
          </cell>
          <cell r="F1261" t="str">
            <v>de la</v>
          </cell>
          <cell r="G1261" t="str">
            <v>remise pied de facture</v>
          </cell>
        </row>
        <row r="1262">
          <cell r="C1262" t="str">
            <v>état</v>
          </cell>
          <cell r="D1262" t="str">
            <v>du</v>
          </cell>
          <cell r="E1262" t="str">
            <v>taux</v>
          </cell>
          <cell r="F1262" t="str">
            <v>de</v>
          </cell>
          <cell r="G1262" t="str">
            <v>remise sur main d'œuvre</v>
          </cell>
        </row>
        <row r="1263">
          <cell r="C1263" t="str">
            <v>état</v>
          </cell>
          <cell r="D1263" t="str">
            <v>du</v>
          </cell>
          <cell r="E1263" t="str">
            <v>montant</v>
          </cell>
          <cell r="F1263" t="str">
            <v>de la</v>
          </cell>
          <cell r="G1263" t="str">
            <v>remise sur part-brise</v>
          </cell>
        </row>
        <row r="1264">
          <cell r="C1264" t="str">
            <v>état</v>
          </cell>
          <cell r="D1264" t="str">
            <v>du</v>
          </cell>
          <cell r="E1264" t="str">
            <v>taux</v>
          </cell>
          <cell r="F1264" t="str">
            <v>de</v>
          </cell>
          <cell r="G1264" t="str">
            <v>remise sur part-brise</v>
          </cell>
        </row>
        <row r="1265">
          <cell r="C1265" t="str">
            <v>état</v>
          </cell>
          <cell r="D1265" t="str">
            <v>du</v>
          </cell>
          <cell r="E1265" t="str">
            <v>montant</v>
          </cell>
          <cell r="F1265" t="str">
            <v>de la</v>
          </cell>
          <cell r="G1265" t="str">
            <v>réparation impact supplémentaire</v>
          </cell>
        </row>
        <row r="1266">
          <cell r="C1266" t="str">
            <v>état</v>
          </cell>
          <cell r="D1266" t="str">
            <v>du</v>
          </cell>
          <cell r="E1266" t="str">
            <v>montant</v>
          </cell>
          <cell r="F1266" t="str">
            <v>de la</v>
          </cell>
          <cell r="G1266" t="str">
            <v>réparation premier impact</v>
          </cell>
        </row>
        <row r="1267">
          <cell r="C1267" t="str">
            <v>état</v>
          </cell>
          <cell r="D1267" t="str">
            <v>du</v>
          </cell>
          <cell r="E1267" t="str">
            <v>taux</v>
          </cell>
          <cell r="F1267" t="str">
            <v>de</v>
          </cell>
          <cell r="G1267" t="str">
            <v>RIV</v>
          </cell>
        </row>
        <row r="1268">
          <cell r="C1268" t="str">
            <v>état</v>
          </cell>
          <cell r="D1268" t="str">
            <v>du</v>
          </cell>
          <cell r="E1268" t="str">
            <v>taux</v>
          </cell>
          <cell r="F1268" t="str">
            <v>de</v>
          </cell>
          <cell r="G1268" t="str">
            <v>RIV</v>
          </cell>
          <cell r="H1268" t="str">
            <v>et</v>
          </cell>
          <cell r="I1268" t="str">
            <v>quad</v>
          </cell>
        </row>
        <row r="1269">
          <cell r="D1269" t="str">
            <v>de</v>
          </cell>
          <cell r="E1269" t="str">
            <v>suppression</v>
          </cell>
          <cell r="F1269" t="str">
            <v>dans le</v>
          </cell>
          <cell r="G1269" t="str">
            <v>SIO</v>
          </cell>
        </row>
        <row r="1270">
          <cell r="D1270" t="str">
            <v>de</v>
          </cell>
          <cell r="E1270" t="str">
            <v>suppression</v>
          </cell>
          <cell r="F1270" t="str">
            <v>dans le</v>
          </cell>
          <cell r="G1270" t="str">
            <v>SIO</v>
          </cell>
        </row>
        <row r="1271">
          <cell r="D1271" t="str">
            <v>de l'</v>
          </cell>
          <cell r="E1271" t="str">
            <v>Etat</v>
          </cell>
          <cell r="F1271" t="str">
            <v>du</v>
          </cell>
          <cell r="G1271" t="str">
            <v>SIRET</v>
          </cell>
          <cell r="H1271" t="str">
            <v>du</v>
          </cell>
          <cell r="I1271" t="str">
            <v>Correspondant</v>
          </cell>
        </row>
        <row r="1272">
          <cell r="D1272" t="str">
            <v>de l'</v>
          </cell>
          <cell r="E1272" t="str">
            <v>Etat</v>
          </cell>
          <cell r="F1272" t="str">
            <v>du</v>
          </cell>
          <cell r="G1272" t="str">
            <v>SIRET</v>
          </cell>
          <cell r="H1272" t="str">
            <v>du</v>
          </cell>
          <cell r="I1272" t="str">
            <v>Correspondant</v>
          </cell>
        </row>
        <row r="1273">
          <cell r="D1273" t="str">
            <v xml:space="preserve"> </v>
          </cell>
          <cell r="E1273" t="str">
            <v>agrément vitrage</v>
          </cell>
          <cell r="F1273" t="str">
            <v>du</v>
          </cell>
          <cell r="G1273" t="str">
            <v>tarif correspondant</v>
          </cell>
        </row>
        <row r="1274">
          <cell r="D1274" t="str">
            <v xml:space="preserve"> </v>
          </cell>
          <cell r="E1274" t="str">
            <v>RECC</v>
          </cell>
          <cell r="F1274" t="str">
            <v>du</v>
          </cell>
          <cell r="G1274" t="str">
            <v>tarif correspondant</v>
          </cell>
        </row>
        <row r="1275">
          <cell r="D1275" t="str">
            <v>du</v>
          </cell>
          <cell r="E1275" t="str">
            <v>REC</v>
          </cell>
          <cell r="F1275" t="str">
            <v>du</v>
          </cell>
          <cell r="G1275" t="str">
            <v>tarif correspondant</v>
          </cell>
        </row>
        <row r="1276">
          <cell r="D1276" t="str">
            <v>de</v>
          </cell>
          <cell r="E1276" t="str">
            <v>remise différée</v>
          </cell>
          <cell r="F1276" t="str">
            <v>du</v>
          </cell>
          <cell r="G1276" t="str">
            <v>tarif correspondant</v>
          </cell>
        </row>
        <row r="1277">
          <cell r="D1277" t="str">
            <v xml:space="preserve"> </v>
          </cell>
          <cell r="E1277" t="str">
            <v>IRPF</v>
          </cell>
          <cell r="F1277" t="str">
            <v>du</v>
          </cell>
          <cell r="G1277" t="str">
            <v>tarif correspondant</v>
          </cell>
        </row>
        <row r="1278">
          <cell r="D1278" t="str">
            <v xml:space="preserve"> </v>
          </cell>
          <cell r="E1278" t="str">
            <v>IVA/IGIC</v>
          </cell>
          <cell r="F1278" t="str">
            <v>du</v>
          </cell>
          <cell r="G1278" t="str">
            <v>tarif correspondant</v>
          </cell>
        </row>
        <row r="1279">
          <cell r="D1279" t="str">
            <v>de la</v>
          </cell>
          <cell r="E1279" t="str">
            <v>main d'œuvre hors taxe</v>
          </cell>
          <cell r="F1279" t="str">
            <v>du</v>
          </cell>
          <cell r="G1279" t="str">
            <v>tarif correspondant</v>
          </cell>
        </row>
        <row r="1280">
          <cell r="D1280" t="str">
            <v>des</v>
          </cell>
          <cell r="E1280" t="str">
            <v>honoraire</v>
          </cell>
          <cell r="F1280" t="str">
            <v>du</v>
          </cell>
          <cell r="G1280" t="str">
            <v>tarif correspondant</v>
          </cell>
        </row>
        <row r="1281">
          <cell r="D1281" t="str">
            <v xml:space="preserve"> </v>
          </cell>
          <cell r="E1281" t="str">
            <v>RIV</v>
          </cell>
          <cell r="F1281" t="str">
            <v>du</v>
          </cell>
          <cell r="G1281" t="str">
            <v>tarif correspondant</v>
          </cell>
        </row>
        <row r="1282">
          <cell r="D1282" t="str">
            <v xml:space="preserve"> </v>
          </cell>
          <cell r="E1282" t="str">
            <v>RIV VE</v>
          </cell>
          <cell r="F1282" t="str">
            <v>du</v>
          </cell>
          <cell r="G1282" t="str">
            <v>tarif correspondant</v>
          </cell>
        </row>
        <row r="1283">
          <cell r="D1283" t="str">
            <v>de la</v>
          </cell>
          <cell r="E1283" t="str">
            <v>main d'œuvre</v>
          </cell>
          <cell r="F1283" t="str">
            <v>du</v>
          </cell>
          <cell r="G1283" t="str">
            <v>tarif correspondant</v>
          </cell>
        </row>
        <row r="1284">
          <cell r="D1284" t="str">
            <v>de</v>
          </cell>
          <cell r="E1284" t="str">
            <v>remise sur main d'œuvre</v>
          </cell>
          <cell r="F1284" t="str">
            <v>du</v>
          </cell>
          <cell r="G1284" t="str">
            <v>tarif correspondant</v>
          </cell>
        </row>
        <row r="1285">
          <cell r="D1285" t="str">
            <v xml:space="preserve"> </v>
          </cell>
          <cell r="E1285" t="str">
            <v>VEI</v>
          </cell>
          <cell r="F1285" t="str">
            <v>du</v>
          </cell>
          <cell r="G1285" t="str">
            <v>tarif correspondant</v>
          </cell>
        </row>
        <row r="1286">
          <cell r="D1286" t="str">
            <v xml:space="preserve"> </v>
          </cell>
          <cell r="E1286" t="str">
            <v>VHU</v>
          </cell>
          <cell r="F1286" t="str">
            <v>du</v>
          </cell>
          <cell r="G1286" t="str">
            <v>tarif correspondant</v>
          </cell>
        </row>
        <row r="1287">
          <cell r="D1287" t="str">
            <v>de</v>
          </cell>
          <cell r="E1287" t="str">
            <v>remise sur pièces détachées</v>
          </cell>
          <cell r="F1287" t="str">
            <v>du</v>
          </cell>
          <cell r="G1287" t="str">
            <v>tarif correspondant</v>
          </cell>
        </row>
        <row r="1288">
          <cell r="D1288" t="str">
            <v xml:space="preserve"> </v>
          </cell>
          <cell r="E1288" t="str">
            <v>immergé</v>
          </cell>
          <cell r="F1288" t="str">
            <v>du</v>
          </cell>
          <cell r="G1288" t="str">
            <v>tarif correspondant</v>
          </cell>
        </row>
        <row r="1289">
          <cell r="D1289" t="str">
            <v xml:space="preserve"> </v>
          </cell>
          <cell r="E1289" t="str">
            <v>voiturette</v>
          </cell>
          <cell r="F1289" t="str">
            <v>du</v>
          </cell>
          <cell r="G1289" t="str">
            <v>tarif correspondant</v>
          </cell>
        </row>
        <row r="1290">
          <cell r="D1290" t="str">
            <v>de</v>
          </cell>
          <cell r="E1290" t="str">
            <v>remise sur part-brise</v>
          </cell>
          <cell r="F1290" t="str">
            <v>du</v>
          </cell>
          <cell r="G1290" t="str">
            <v>tarif correspondant</v>
          </cell>
        </row>
        <row r="1291">
          <cell r="D1291" t="str">
            <v>de</v>
          </cell>
          <cell r="E1291" t="str">
            <v>véhicule</v>
          </cell>
          <cell r="F1291" t="str">
            <v>du</v>
          </cell>
          <cell r="G1291" t="str">
            <v>tarif correspondant</v>
          </cell>
        </row>
        <row r="1292">
          <cell r="D1292" t="str">
            <v>de l'</v>
          </cell>
          <cell r="E1292" t="str">
            <v>Etat</v>
          </cell>
          <cell r="F1292" t="str">
            <v>du</v>
          </cell>
          <cell r="G1292" t="str">
            <v>tarif correspondant</v>
          </cell>
        </row>
        <row r="1293">
          <cell r="D1293" t="str">
            <v>des</v>
          </cell>
          <cell r="E1293" t="str">
            <v>réparation impact supplémentaire</v>
          </cell>
          <cell r="F1293" t="str">
            <v>du</v>
          </cell>
          <cell r="G1293" t="str">
            <v>tarif correspondant</v>
          </cell>
        </row>
        <row r="1294">
          <cell r="D1294" t="str">
            <v xml:space="preserve"> </v>
          </cell>
          <cell r="E1294" t="str">
            <v>remise pied de facture</v>
          </cell>
          <cell r="F1294" t="str">
            <v>du</v>
          </cell>
          <cell r="G1294" t="str">
            <v>tarif correspondant</v>
          </cell>
        </row>
        <row r="1295">
          <cell r="D1295" t="str">
            <v>de</v>
          </cell>
          <cell r="E1295" t="str">
            <v>casse lentilles</v>
          </cell>
          <cell r="F1295" t="str">
            <v>du</v>
          </cell>
          <cell r="G1295" t="str">
            <v>tarif correspondant</v>
          </cell>
        </row>
        <row r="1296">
          <cell r="D1296" t="str">
            <v>du</v>
          </cell>
          <cell r="E1296" t="str">
            <v>prix au km avec chauffeur</v>
          </cell>
          <cell r="F1296" t="str">
            <v>du</v>
          </cell>
          <cell r="G1296" t="str">
            <v>tarif correspondant</v>
          </cell>
        </row>
        <row r="1297">
          <cell r="D1297" t="str">
            <v>de la</v>
          </cell>
          <cell r="E1297" t="str">
            <v>franchise de frais</v>
          </cell>
          <cell r="F1297" t="str">
            <v>du</v>
          </cell>
          <cell r="G1297" t="str">
            <v>tarif correspondant</v>
          </cell>
        </row>
        <row r="1298">
          <cell r="D1298" t="str">
            <v>des</v>
          </cell>
          <cell r="E1298" t="str">
            <v>réparation premier impact</v>
          </cell>
          <cell r="F1298" t="str">
            <v>du</v>
          </cell>
          <cell r="G1298" t="str">
            <v>tarif correspondant</v>
          </cell>
        </row>
        <row r="1299">
          <cell r="D1299" t="str">
            <v>de</v>
          </cell>
          <cell r="E1299" t="str">
            <v>casse montures</v>
          </cell>
          <cell r="F1299" t="str">
            <v>du</v>
          </cell>
          <cell r="G1299" t="str">
            <v>tarif correspondant</v>
          </cell>
        </row>
        <row r="1300">
          <cell r="D1300" t="str">
            <v>du</v>
          </cell>
          <cell r="E1300" t="str">
            <v>tarif horaire</v>
          </cell>
          <cell r="F1300" t="str">
            <v>du</v>
          </cell>
          <cell r="G1300" t="str">
            <v>tarif correspondant</v>
          </cell>
        </row>
        <row r="1301">
          <cell r="D1301" t="str">
            <v>des</v>
          </cell>
          <cell r="E1301" t="str">
            <v>frais déplacement max</v>
          </cell>
          <cell r="F1301" t="str">
            <v>du</v>
          </cell>
          <cell r="G1301" t="str">
            <v>tarif correspondant</v>
          </cell>
        </row>
        <row r="1302">
          <cell r="D1302" t="str">
            <v>du</v>
          </cell>
          <cell r="E1302" t="str">
            <v>forfait VEI</v>
          </cell>
          <cell r="F1302" t="str">
            <v>du</v>
          </cell>
          <cell r="G1302" t="str">
            <v>tarif correspondant</v>
          </cell>
        </row>
        <row r="1303">
          <cell r="D1303" t="str">
            <v>de l'</v>
          </cell>
          <cell r="E1303" t="str">
            <v>adaptation verres</v>
          </cell>
          <cell r="F1303" t="str">
            <v>du</v>
          </cell>
          <cell r="G1303" t="str">
            <v>tarif correspondant</v>
          </cell>
        </row>
        <row r="1304">
          <cell r="D1304" t="str">
            <v>de</v>
          </cell>
          <cell r="E1304" t="str">
            <v>casse verres</v>
          </cell>
          <cell r="F1304" t="str">
            <v>du</v>
          </cell>
          <cell r="G1304" t="str">
            <v>tarif correspondant</v>
          </cell>
        </row>
        <row r="1305">
          <cell r="D1305" t="str">
            <v>de la</v>
          </cell>
          <cell r="E1305" t="str">
            <v>peinture opaque</v>
          </cell>
          <cell r="F1305" t="str">
            <v>du</v>
          </cell>
          <cell r="G1305" t="str">
            <v>tarif correspondant</v>
          </cell>
        </row>
        <row r="1306">
          <cell r="D1306" t="str">
            <v xml:space="preserve"> </v>
          </cell>
          <cell r="E1306" t="str">
            <v>remise fournitures</v>
          </cell>
          <cell r="F1306" t="str">
            <v>du</v>
          </cell>
          <cell r="G1306" t="str">
            <v>tarif correspondant</v>
          </cell>
        </row>
        <row r="1307">
          <cell r="D1307" t="str">
            <v>de l'</v>
          </cell>
          <cell r="E1307" t="str">
            <v>autre garantie tarifaire</v>
          </cell>
          <cell r="F1307" t="str">
            <v>du</v>
          </cell>
          <cell r="G1307" t="str">
            <v>tarif correspondant</v>
          </cell>
        </row>
        <row r="1308">
          <cell r="D1308" t="str">
            <v>de la</v>
          </cell>
          <cell r="E1308" t="str">
            <v>peinture nacrée</v>
          </cell>
          <cell r="F1308" t="str">
            <v>du</v>
          </cell>
          <cell r="G1308" t="str">
            <v>tarif correspondant</v>
          </cell>
        </row>
        <row r="1309">
          <cell r="D1309" t="str">
            <v>des</v>
          </cell>
          <cell r="E1309" t="str">
            <v>travaux peinture</v>
          </cell>
          <cell r="F1309" t="str">
            <v>du</v>
          </cell>
          <cell r="G1309" t="str">
            <v>tarif correspondant</v>
          </cell>
        </row>
        <row r="1310">
          <cell r="D1310" t="str">
            <v>du</v>
          </cell>
          <cell r="E1310" t="str">
            <v>forfait véhicule de remplacement</v>
          </cell>
          <cell r="F1310" t="str">
            <v>du</v>
          </cell>
          <cell r="G1310" t="str">
            <v>tarif correspondant</v>
          </cell>
        </row>
        <row r="1311">
          <cell r="D1311" t="str">
            <v>de la</v>
          </cell>
          <cell r="E1311" t="str">
            <v>peinture vernie</v>
          </cell>
          <cell r="F1311" t="str">
            <v>du</v>
          </cell>
          <cell r="G1311" t="str">
            <v>tarif correspondant</v>
          </cell>
        </row>
        <row r="1312">
          <cell r="D1312" t="str">
            <v xml:space="preserve"> </v>
          </cell>
          <cell r="E1312" t="str">
            <v>remise pare-brise</v>
          </cell>
          <cell r="F1312" t="str">
            <v>du</v>
          </cell>
          <cell r="G1312" t="str">
            <v>tarif correspondant</v>
          </cell>
        </row>
        <row r="1313">
          <cell r="D1313" t="str">
            <v>du</v>
          </cell>
          <cell r="E1313" t="str">
            <v>prix au km sans chauffeur</v>
          </cell>
          <cell r="F1313" t="str">
            <v>du</v>
          </cell>
          <cell r="G1313" t="str">
            <v>tarif correspondant</v>
          </cell>
        </row>
        <row r="1314">
          <cell r="C1314" t="str">
            <v>état</v>
          </cell>
          <cell r="D1314" t="str">
            <v>du</v>
          </cell>
          <cell r="E1314" t="str">
            <v>taux</v>
          </cell>
          <cell r="F1314" t="str">
            <v>du</v>
          </cell>
          <cell r="G1314" t="str">
            <v>tarif correspondant</v>
          </cell>
        </row>
        <row r="1315">
          <cell r="D1315" t="str">
            <v>pour le</v>
          </cell>
          <cell r="E1315" t="str">
            <v>véhicule de remplacement</v>
          </cell>
          <cell r="F1315" t="str">
            <v>du</v>
          </cell>
          <cell r="G1315" t="str">
            <v>tarif correspondant</v>
          </cell>
        </row>
        <row r="1316">
          <cell r="C1316" t="str">
            <v>état</v>
          </cell>
          <cell r="D1316" t="str">
            <v>du</v>
          </cell>
          <cell r="E1316" t="str">
            <v>montant</v>
          </cell>
          <cell r="F1316" t="str">
            <v>du</v>
          </cell>
          <cell r="G1316" t="str">
            <v>tarif horaire</v>
          </cell>
        </row>
        <row r="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row>
        <row r="1319">
          <cell r="C1319" t="str">
            <v>état</v>
          </cell>
          <cell r="D1319" t="str">
            <v>du</v>
          </cell>
          <cell r="E1319" t="str">
            <v>nombre</v>
          </cell>
          <cell r="F1319" t="str">
            <v>de</v>
          </cell>
          <cell r="G1319" t="str">
            <v>véhicule</v>
          </cell>
        </row>
        <row r="1320">
          <cell r="C1320" t="str">
            <v>état</v>
          </cell>
          <cell r="D1320" t="str">
            <v>du</v>
          </cell>
          <cell r="E1320" t="str">
            <v>code</v>
          </cell>
          <cell r="F1320" t="str">
            <v>pour le</v>
          </cell>
          <cell r="G1320" t="str">
            <v>véhicule de remplacement</v>
          </cell>
        </row>
        <row r="1321">
          <cell r="C1321" t="str">
            <v>état</v>
          </cell>
          <cell r="D1321" t="str">
            <v>du</v>
          </cell>
          <cell r="E1321" t="str">
            <v>taux</v>
          </cell>
          <cell r="F1321" t="str">
            <v>de</v>
          </cell>
          <cell r="G1321" t="str">
            <v>VEI</v>
          </cell>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row>
        <row r="1326">
          <cell r="D1326" t="str">
            <v>du</v>
          </cell>
          <cell r="E1326" t="str">
            <v>Correspondant</v>
          </cell>
        </row>
        <row r="1327">
          <cell r="D1327" t="str">
            <v>des</v>
          </cell>
          <cell r="E1327" t="str">
            <v>caractéristiques du correspondant</v>
          </cell>
        </row>
        <row r="1328">
          <cell r="D1328" t="str">
            <v>du</v>
          </cell>
          <cell r="E1328" t="str">
            <v>tarif correspondant</v>
          </cell>
        </row>
        <row r="1329">
          <cell r="D1329" t="str">
            <v>du</v>
          </cell>
          <cell r="E1329" t="str">
            <v>tarif correspondant</v>
          </cell>
        </row>
        <row r="1330">
          <cell r="D1330" t="str">
            <v>du</v>
          </cell>
          <cell r="E1330" t="str">
            <v>mail</v>
          </cell>
          <cell r="F1330" t="str">
            <v>du</v>
          </cell>
          <cell r="G1330" t="str">
            <v>correspondant</v>
          </cell>
        </row>
        <row r="1331">
          <cell r="D1331" t="str">
            <v>de</v>
          </cell>
          <cell r="E1331" t="str">
            <v>téléphone</v>
          </cell>
          <cell r="F1331" t="str">
            <v>du</v>
          </cell>
          <cell r="G1331" t="str">
            <v>correspondant</v>
          </cell>
        </row>
        <row r="1332">
          <cell r="D1332" t="str">
            <v>de</v>
          </cell>
          <cell r="E1332" t="str">
            <v>confidentialité</v>
          </cell>
          <cell r="F1332" t="str">
            <v>du</v>
          </cell>
          <cell r="G1332" t="str">
            <v>téléphone</v>
          </cell>
          <cell r="H1332" t="str">
            <v>du</v>
          </cell>
          <cell r="I1332" t="str">
            <v>Correspondant</v>
          </cell>
        </row>
        <row r="1333">
          <cell r="D1333" t="str">
            <v>de</v>
          </cell>
          <cell r="E1333" t="str">
            <v>téléphone portable</v>
          </cell>
          <cell r="F1333" t="str">
            <v>du</v>
          </cell>
          <cell r="G1333" t="str">
            <v>correspondant</v>
          </cell>
        </row>
        <row r="1334">
          <cell r="D1334" t="str">
            <v>de</v>
          </cell>
          <cell r="E1334" t="str">
            <v>confidentialité</v>
          </cell>
          <cell r="F1334" t="str">
            <v>du</v>
          </cell>
          <cell r="G1334" t="str">
            <v>téléphone mobile</v>
          </cell>
          <cell r="H1334" t="str">
            <v>du</v>
          </cell>
          <cell r="I1334" t="str">
            <v>Correspondant</v>
          </cell>
        </row>
        <row r="1335">
          <cell r="D1335" t="str">
            <v>de</v>
          </cell>
          <cell r="E1335" t="str">
            <v>fax</v>
          </cell>
          <cell r="F1335" t="str">
            <v>du</v>
          </cell>
          <cell r="G1335" t="str">
            <v>correspondant</v>
          </cell>
        </row>
        <row r="1336">
          <cell r="C1336" t="str">
            <v>légal</v>
          </cell>
          <cell r="D1336" t="str">
            <v>du</v>
          </cell>
          <cell r="E1336" t="str">
            <v>correspondant</v>
          </cell>
        </row>
        <row r="1337">
          <cell r="C1337" t="str">
            <v>légal</v>
          </cell>
          <cell r="D1337" t="str">
            <v>du</v>
          </cell>
          <cell r="E1337" t="str">
            <v>correspondant</v>
          </cell>
        </row>
        <row r="1338">
          <cell r="C1338" t="str">
            <v>légal</v>
          </cell>
          <cell r="D1338" t="str">
            <v>du</v>
          </cell>
          <cell r="E1338" t="str">
            <v>correspondant</v>
          </cell>
        </row>
        <row r="1339">
          <cell r="C1339" t="str">
            <v>légal</v>
          </cell>
          <cell r="D1339" t="str">
            <v>du</v>
          </cell>
          <cell r="E1339" t="str">
            <v>correspondant</v>
          </cell>
        </row>
        <row r="1340">
          <cell r="C1340" t="str">
            <v>légal</v>
          </cell>
          <cell r="D1340" t="str">
            <v>du</v>
          </cell>
          <cell r="E1340" t="str">
            <v>correspondant</v>
          </cell>
        </row>
        <row r="1341">
          <cell r="C1341" t="str">
            <v>légal</v>
          </cell>
          <cell r="D1341" t="str">
            <v>du</v>
          </cell>
          <cell r="E1341" t="str">
            <v>correspondant</v>
          </cell>
        </row>
        <row r="1342">
          <cell r="C1342" t="str">
            <v>courrier</v>
          </cell>
          <cell r="D1342" t="str">
            <v>du</v>
          </cell>
          <cell r="E1342" t="str">
            <v>correspondant</v>
          </cell>
        </row>
        <row r="1343">
          <cell r="C1343" t="str">
            <v>courrier</v>
          </cell>
          <cell r="D1343" t="str">
            <v>du</v>
          </cell>
          <cell r="E1343" t="str">
            <v>correspondant</v>
          </cell>
        </row>
        <row r="1344">
          <cell r="C1344" t="str">
            <v>courrier</v>
          </cell>
          <cell r="D1344" t="str">
            <v>du</v>
          </cell>
          <cell r="E1344" t="str">
            <v>correspondant</v>
          </cell>
        </row>
        <row r="1345">
          <cell r="C1345" t="str">
            <v>courrier</v>
          </cell>
          <cell r="D1345" t="str">
            <v>du</v>
          </cell>
          <cell r="E1345" t="str">
            <v>correspondant</v>
          </cell>
        </row>
        <row r="1346">
          <cell r="C1346" t="str">
            <v>courrier</v>
          </cell>
          <cell r="D1346" t="str">
            <v>du</v>
          </cell>
          <cell r="E1346" t="str">
            <v>correspondant</v>
          </cell>
        </row>
        <row r="1347">
          <cell r="C1347" t="str">
            <v>courrier</v>
          </cell>
          <cell r="D1347" t="str">
            <v>du</v>
          </cell>
          <cell r="E1347" t="str">
            <v>correspondant</v>
          </cell>
        </row>
        <row r="1348">
          <cell r="C1348" t="str">
            <v>postal</v>
          </cell>
          <cell r="D1348" t="str">
            <v>du</v>
          </cell>
          <cell r="E1348" t="str">
            <v>correspondant</v>
          </cell>
        </row>
        <row r="1349">
          <cell r="D1349" t="str">
            <v>du</v>
          </cell>
          <cell r="E1349" t="str">
            <v>correspondant</v>
          </cell>
        </row>
        <row r="1350">
          <cell r="D1350" t="str">
            <v>des</v>
          </cell>
          <cell r="E1350" t="str">
            <v>caractéristiques du correspondant</v>
          </cell>
        </row>
        <row r="1351">
          <cell r="D1351" t="str">
            <v>du</v>
          </cell>
          <cell r="E1351" t="str">
            <v>tarif correspondant</v>
          </cell>
        </row>
        <row r="1352">
          <cell r="D1352" t="str">
            <v>du</v>
          </cell>
          <cell r="E1352" t="str">
            <v>correspondant en relation</v>
          </cell>
        </row>
        <row r="1353">
          <cell r="D1353" t="str">
            <v>du</v>
          </cell>
          <cell r="E1353" t="str">
            <v>correspondant</v>
          </cell>
        </row>
        <row r="1354">
          <cell r="D1354" t="str">
            <v>du</v>
          </cell>
          <cell r="E1354" t="str">
            <v>correspondant</v>
          </cell>
        </row>
        <row r="1355">
          <cell r="D1355" t="str">
            <v>des</v>
          </cell>
          <cell r="E1355" t="str">
            <v>caractéristiques du correspondant</v>
          </cell>
        </row>
        <row r="1356">
          <cell r="D1356" t="str">
            <v>des</v>
          </cell>
          <cell r="E1356" t="str">
            <v>caractéristiques du correspondant</v>
          </cell>
        </row>
        <row r="1357">
          <cell r="D1357" t="str">
            <v>du</v>
          </cell>
          <cell r="E1357" t="str">
            <v>tarif correspondant</v>
          </cell>
        </row>
        <row r="1358">
          <cell r="D1358" t="str">
            <v>de la</v>
          </cell>
          <cell r="E1358" t="str">
            <v>structure</v>
          </cell>
          <cell r="F1358" t="str">
            <v>du</v>
          </cell>
          <cell r="G1358" t="str">
            <v>secteur d'activité</v>
          </cell>
          <cell r="H1358" t="str">
            <v>de la</v>
          </cell>
          <cell r="I1358" t="str">
            <v>spécialité professionnelle</v>
          </cell>
        </row>
        <row r="1359">
          <cell r="D1359" t="str">
            <v>de la</v>
          </cell>
          <cell r="E1359" t="str">
            <v>structure</v>
          </cell>
          <cell r="F1359" t="str">
            <v>du</v>
          </cell>
          <cell r="G1359" t="str">
            <v>secteur d'activité</v>
          </cell>
          <cell r="H1359" t="str">
            <v>de la</v>
          </cell>
          <cell r="I1359" t="str">
            <v>spécialité professionnelle</v>
          </cell>
        </row>
        <row r="1360">
          <cell r="D1360" t="str">
            <v>de la</v>
          </cell>
          <cell r="E1360" t="str">
            <v>structure</v>
          </cell>
          <cell r="F1360" t="str">
            <v>du</v>
          </cell>
          <cell r="G1360" t="str">
            <v>secteur d'activité</v>
          </cell>
          <cell r="H1360" t="str">
            <v>de la</v>
          </cell>
          <cell r="I1360" t="str">
            <v>spécialité professionnelle</v>
          </cell>
        </row>
        <row r="1361">
          <cell r="D1361" t="str">
            <v>du</v>
          </cell>
          <cell r="E1361" t="str">
            <v>tarif correspondant</v>
          </cell>
        </row>
        <row r="1362">
          <cell r="D1362" t="str">
            <v>de l'</v>
          </cell>
          <cell r="E1362" t="str">
            <v>entreprise</v>
          </cell>
        </row>
        <row r="1363">
          <cell r="D1363" t="str">
            <v>du</v>
          </cell>
          <cell r="E1363" t="str">
            <v>correspondant</v>
          </cell>
        </row>
        <row r="1364">
          <cell r="D1364" t="str">
            <v>du</v>
          </cell>
          <cell r="E1364" t="str">
            <v>correspondant</v>
          </cell>
        </row>
        <row r="1365">
          <cell r="D1365" t="str">
            <v>du</v>
          </cell>
          <cell r="E1365" t="str">
            <v>correspondant</v>
          </cell>
        </row>
        <row r="1366">
          <cell r="D1366" t="str">
            <v>du</v>
          </cell>
          <cell r="E1366" t="str">
            <v>correspondant</v>
          </cell>
        </row>
        <row r="1367">
          <cell r="D1367" t="str">
            <v>du</v>
          </cell>
          <cell r="E1367" t="str">
            <v>correspondant</v>
          </cell>
        </row>
        <row r="1368">
          <cell r="D1368" t="str">
            <v>du</v>
          </cell>
          <cell r="E1368" t="str">
            <v>correspondant</v>
          </cell>
        </row>
        <row r="1369">
          <cell r="D1369" t="str">
            <v>du</v>
          </cell>
          <cell r="E1369" t="str">
            <v>correspondant</v>
          </cell>
        </row>
        <row r="1370">
          <cell r="D1370" t="str">
            <v>du</v>
          </cell>
          <cell r="E1370" t="str">
            <v>correspondant</v>
          </cell>
        </row>
        <row r="1371">
          <cell r="D1371" t="str">
            <v>du</v>
          </cell>
          <cell r="E1371" t="str">
            <v>correspondant</v>
          </cell>
        </row>
        <row r="1372">
          <cell r="D1372" t="str">
            <v>du</v>
          </cell>
          <cell r="E1372" t="str">
            <v>correspondant</v>
          </cell>
        </row>
        <row r="1373">
          <cell r="D1373" t="str">
            <v>du</v>
          </cell>
          <cell r="E1373" t="str">
            <v>correspondant en relation</v>
          </cell>
        </row>
        <row r="1374">
          <cell r="D1374" t="str">
            <v>de</v>
          </cell>
          <cell r="E1374" t="str">
            <v>kilomètre illimité</v>
          </cell>
        </row>
        <row r="1375">
          <cell r="C1375" t="str">
            <v>durée</v>
          </cell>
          <cell r="D1375" t="str">
            <v>de la</v>
          </cell>
          <cell r="E1375" t="str">
            <v>casse lentilles</v>
          </cell>
          <cell r="F1375" t="str">
            <v>des</v>
          </cell>
          <cell r="G1375" t="str">
            <v>caractéristiques du correspondant</v>
          </cell>
        </row>
        <row r="1376">
          <cell r="C1376" t="str">
            <v>durée</v>
          </cell>
          <cell r="D1376" t="str">
            <v>de la</v>
          </cell>
          <cell r="E1376" t="str">
            <v>casse montures</v>
          </cell>
          <cell r="F1376" t="str">
            <v>des</v>
          </cell>
          <cell r="G1376" t="str">
            <v>caractéristiques du correspondant</v>
          </cell>
        </row>
        <row r="1377">
          <cell r="C1377" t="str">
            <v>durée</v>
          </cell>
          <cell r="D1377" t="str">
            <v>de l'</v>
          </cell>
          <cell r="E1377" t="str">
            <v>adaptation verres</v>
          </cell>
          <cell r="F1377" t="str">
            <v>des</v>
          </cell>
          <cell r="G1377" t="str">
            <v>caractéristiques du correspondant</v>
          </cell>
        </row>
        <row r="1378">
          <cell r="C1378" t="str">
            <v>durée</v>
          </cell>
          <cell r="D1378" t="str">
            <v>de la</v>
          </cell>
          <cell r="E1378" t="str">
            <v>casse verres</v>
          </cell>
          <cell r="F1378" t="str">
            <v>des</v>
          </cell>
          <cell r="G1378" t="str">
            <v>caractéristiques du correspondant</v>
          </cell>
        </row>
        <row r="1379">
          <cell r="C1379" t="str">
            <v>durée</v>
          </cell>
          <cell r="D1379" t="str">
            <v>de l'</v>
          </cell>
          <cell r="E1379" t="str">
            <v>autre garantie tarifaire</v>
          </cell>
          <cell r="F1379" t="str">
            <v>des</v>
          </cell>
          <cell r="G1379" t="str">
            <v>caractéristiques du correspondant</v>
          </cell>
        </row>
        <row r="1380">
          <cell r="C1380" t="str">
            <v>prise en charge</v>
          </cell>
          <cell r="D1380" t="str">
            <v>de l'</v>
          </cell>
          <cell r="E1380" t="str">
            <v>établissement public hospitalier</v>
          </cell>
          <cell r="F1380" t="str">
            <v>des</v>
          </cell>
          <cell r="G1380" t="str">
            <v>caractéristiques du correspondant</v>
          </cell>
        </row>
        <row r="1381">
          <cell r="C1381" t="str">
            <v>qualité</v>
          </cell>
          <cell r="D1381" t="str">
            <v>du</v>
          </cell>
          <cell r="E1381" t="str">
            <v>correspondant</v>
          </cell>
        </row>
        <row r="1382">
          <cell r="C1382" t="str">
            <v>quota hebdo</v>
          </cell>
          <cell r="D1382" t="str">
            <v>des</v>
          </cell>
          <cell r="E1382" t="str">
            <v>caractéristiques du correspondant</v>
          </cell>
          <cell r="F1382" t="str">
            <v xml:space="preserve"> </v>
          </cell>
        </row>
        <row r="1383">
          <cell r="C1383" t="str">
            <v>certification</v>
          </cell>
          <cell r="D1383" t="str">
            <v>du</v>
          </cell>
          <cell r="E1383" t="str">
            <v>service technique automobile</v>
          </cell>
          <cell r="F1383" t="str">
            <v>des</v>
          </cell>
          <cell r="G1383" t="str">
            <v>caractéristiques du correspondant</v>
          </cell>
        </row>
        <row r="1384">
          <cell r="D1384" t="str">
            <v>du</v>
          </cell>
          <cell r="E1384" t="str">
            <v>délai de paiement</v>
          </cell>
          <cell r="F1384" t="str">
            <v>des</v>
          </cell>
          <cell r="G1384" t="str">
            <v>caractéristiques du correspondant</v>
          </cell>
        </row>
        <row r="1385">
          <cell r="D1385" t="str">
            <v>de l'</v>
          </cell>
          <cell r="E1385" t="str">
            <v>adresse courrier</v>
          </cell>
          <cell r="F1385" t="str">
            <v>du</v>
          </cell>
          <cell r="G1385" t="str">
            <v>correspondant</v>
          </cell>
        </row>
        <row r="1386">
          <cell r="D1386" t="str">
            <v>de l'</v>
          </cell>
          <cell r="E1386" t="str">
            <v>adresse courrier</v>
          </cell>
          <cell r="F1386" t="str">
            <v>du</v>
          </cell>
          <cell r="G1386" t="str">
            <v>correspondant</v>
          </cell>
        </row>
        <row r="1387">
          <cell r="D1387" t="str">
            <v>d'</v>
          </cell>
          <cell r="E1387" t="str">
            <v>indisponibilité</v>
          </cell>
        </row>
        <row r="1388">
          <cell r="D1388" t="str">
            <v>d'</v>
          </cell>
          <cell r="E1388" t="str">
            <v>indisponibilité</v>
          </cell>
        </row>
        <row r="1389">
          <cell r="C1389" t="str">
            <v>ligne 1</v>
          </cell>
          <cell r="D1389" t="str">
            <v>du</v>
          </cell>
          <cell r="E1389" t="str">
            <v>bloc note</v>
          </cell>
        </row>
        <row r="1390">
          <cell r="C1390" t="str">
            <v>ligne 2</v>
          </cell>
          <cell r="D1390" t="str">
            <v>du</v>
          </cell>
          <cell r="E1390" t="str">
            <v>bloc note</v>
          </cell>
        </row>
        <row r="1391">
          <cell r="C1391" t="str">
            <v>ligne 3</v>
          </cell>
          <cell r="D1391" t="str">
            <v>du</v>
          </cell>
          <cell r="E1391" t="str">
            <v>bloc note</v>
          </cell>
        </row>
        <row r="1392">
          <cell r="D1392" t="str">
            <v>du</v>
          </cell>
          <cell r="E1392" t="str">
            <v>contact</v>
          </cell>
          <cell r="F1392" t="str">
            <v>du</v>
          </cell>
          <cell r="G1392" t="str">
            <v>correspondant</v>
          </cell>
        </row>
        <row r="1393">
          <cell r="D1393" t="str">
            <v>du</v>
          </cell>
          <cell r="E1393" t="str">
            <v>correspondant</v>
          </cell>
        </row>
        <row r="1394">
          <cell r="D1394" t="str">
            <v>du</v>
          </cell>
          <cell r="E1394" t="str">
            <v>contact</v>
          </cell>
        </row>
        <row r="1395">
          <cell r="D1395" t="str">
            <v>du</v>
          </cell>
          <cell r="E1395" t="str">
            <v>contact</v>
          </cell>
          <cell r="F1395" t="str">
            <v>du</v>
          </cell>
          <cell r="G1395" t="str">
            <v>correspondant</v>
          </cell>
        </row>
        <row r="1396">
          <cell r="D1396" t="str">
            <v>du</v>
          </cell>
          <cell r="E1396" t="str">
            <v>contact</v>
          </cell>
          <cell r="F1396" t="str">
            <v>du</v>
          </cell>
          <cell r="G1396" t="str">
            <v>correspondant</v>
          </cell>
        </row>
        <row r="1397">
          <cell r="C1397" t="str">
            <v>dernière image</v>
          </cell>
          <cell r="D1397" t="str">
            <v>du</v>
          </cell>
          <cell r="E1397" t="str">
            <v>contact</v>
          </cell>
          <cell r="F1397" t="str">
            <v>du</v>
          </cell>
          <cell r="G1397" t="str">
            <v>correspondant</v>
          </cell>
        </row>
        <row r="1398">
          <cell r="D1398" t="str">
            <v>du</v>
          </cell>
          <cell r="E1398" t="str">
            <v>contact</v>
          </cell>
        </row>
        <row r="1399">
          <cell r="D1399" t="str">
            <v>du</v>
          </cell>
          <cell r="E1399" t="str">
            <v>rôle</v>
          </cell>
          <cell r="F1399" t="str">
            <v>du</v>
          </cell>
          <cell r="G1399" t="str">
            <v>contact</v>
          </cell>
        </row>
        <row r="1400">
          <cell r="C1400" t="str">
            <v>téléphone fixe</v>
          </cell>
          <cell r="D1400" t="str">
            <v>du</v>
          </cell>
          <cell r="E1400" t="str">
            <v>contact</v>
          </cell>
        </row>
        <row r="1401">
          <cell r="D1401" t="str">
            <v>de</v>
          </cell>
          <cell r="E1401" t="str">
            <v>confidentialité</v>
          </cell>
          <cell r="F1401" t="str">
            <v>du</v>
          </cell>
          <cell r="G1401" t="str">
            <v>téléphone fixe</v>
          </cell>
        </row>
        <row r="1402">
          <cell r="C1402" t="str">
            <v>téléphone portable</v>
          </cell>
          <cell r="D1402" t="str">
            <v>du</v>
          </cell>
          <cell r="E1402" t="str">
            <v>contact</v>
          </cell>
        </row>
        <row r="1403">
          <cell r="D1403" t="str">
            <v>de</v>
          </cell>
          <cell r="E1403" t="str">
            <v>confidentialité</v>
          </cell>
          <cell r="F1403" t="str">
            <v>du</v>
          </cell>
          <cell r="G1403" t="str">
            <v>téléphone portable</v>
          </cell>
        </row>
        <row r="1404">
          <cell r="C1404" t="str">
            <v>fax</v>
          </cell>
          <cell r="D1404" t="str">
            <v>du</v>
          </cell>
          <cell r="E1404" t="str">
            <v>contact</v>
          </cell>
        </row>
        <row r="1405">
          <cell r="D1405" t="str">
            <v>du</v>
          </cell>
          <cell r="E1405" t="str">
            <v>contact</v>
          </cell>
        </row>
        <row r="1406">
          <cell r="D1406" t="str">
            <v>de la</v>
          </cell>
          <cell r="E1406" t="str">
            <v>permanence</v>
          </cell>
          <cell r="F1406" t="str">
            <v>du</v>
          </cell>
          <cell r="G1406" t="str">
            <v>correspondant</v>
          </cell>
        </row>
        <row r="1407">
          <cell r="D1407" t="str">
            <v>du</v>
          </cell>
          <cell r="E1407" t="str">
            <v>correspondant</v>
          </cell>
        </row>
        <row r="1408">
          <cell r="D1408" t="str">
            <v>du</v>
          </cell>
          <cell r="E1408" t="str">
            <v>type de structure</v>
          </cell>
          <cell r="F1408" t="str">
            <v>du</v>
          </cell>
          <cell r="G1408" t="str">
            <v>correspondant</v>
          </cell>
        </row>
        <row r="1409">
          <cell r="D1409" t="str">
            <v>du</v>
          </cell>
          <cell r="E1409" t="str">
            <v>type de structure</v>
          </cell>
          <cell r="F1409" t="str">
            <v>du</v>
          </cell>
          <cell r="G1409" t="str">
            <v>correspondant</v>
          </cell>
        </row>
        <row r="1410">
          <cell r="D1410" t="str">
            <v>de la</v>
          </cell>
          <cell r="E1410" t="str">
            <v>structure</v>
          </cell>
          <cell r="F1410" t="str">
            <v>du</v>
          </cell>
          <cell r="G1410" t="str">
            <v>correspondant</v>
          </cell>
        </row>
        <row r="1411">
          <cell r="D1411" t="str">
            <v>de la</v>
          </cell>
          <cell r="E1411" t="str">
            <v>structure</v>
          </cell>
          <cell r="F1411" t="str">
            <v>du</v>
          </cell>
          <cell r="G1411" t="str">
            <v>correspondant</v>
          </cell>
        </row>
        <row r="1412">
          <cell r="D1412" t="str">
            <v>du</v>
          </cell>
          <cell r="E1412" t="str">
            <v>secteur d'activité</v>
          </cell>
          <cell r="F1412" t="str">
            <v>du</v>
          </cell>
          <cell r="G1412" t="str">
            <v>correspondant</v>
          </cell>
        </row>
        <row r="1413">
          <cell r="D1413" t="str">
            <v>du</v>
          </cell>
          <cell r="E1413" t="str">
            <v>secteur d'activité</v>
          </cell>
          <cell r="F1413" t="str">
            <v>du</v>
          </cell>
          <cell r="G1413" t="str">
            <v>correspondant</v>
          </cell>
        </row>
        <row r="1414">
          <cell r="D1414" t="str">
            <v>de la</v>
          </cell>
          <cell r="E1414" t="str">
            <v>spécialité professionnelle</v>
          </cell>
          <cell r="F1414" t="str">
            <v>du</v>
          </cell>
          <cell r="G1414" t="str">
            <v>correspondant</v>
          </cell>
        </row>
        <row r="1415">
          <cell r="D1415" t="str">
            <v>de la</v>
          </cell>
          <cell r="E1415" t="str">
            <v>spécialité professionnelle</v>
          </cell>
          <cell r="F1415" t="str">
            <v>du</v>
          </cell>
          <cell r="G1415" t="str">
            <v>correspondant</v>
          </cell>
        </row>
        <row r="1416">
          <cell r="D1416" t="str">
            <v>du</v>
          </cell>
          <cell r="E1416" t="str">
            <v>type de permanence</v>
          </cell>
        </row>
        <row r="1417">
          <cell r="D1417" t="str">
            <v>du</v>
          </cell>
          <cell r="E1417" t="str">
            <v>type de permanence</v>
          </cell>
        </row>
        <row r="1418">
          <cell r="D1418" t="str">
            <v>de la</v>
          </cell>
          <cell r="E1418" t="str">
            <v>permanence</v>
          </cell>
          <cell r="F1418" t="str">
            <v>du</v>
          </cell>
          <cell r="G1418" t="str">
            <v>correspondant</v>
          </cell>
        </row>
        <row r="1419">
          <cell r="D1419" t="str">
            <v>de la</v>
          </cell>
          <cell r="E1419" t="str">
            <v>permanence</v>
          </cell>
          <cell r="F1419" t="str">
            <v>du</v>
          </cell>
          <cell r="G1419" t="str">
            <v>correspondant</v>
          </cell>
        </row>
        <row r="1420">
          <cell r="C1420" t="str">
            <v>dernière image</v>
          </cell>
          <cell r="D1420" t="str">
            <v>de la</v>
          </cell>
          <cell r="E1420" t="str">
            <v>permanence</v>
          </cell>
          <cell r="F1420" t="str">
            <v>du</v>
          </cell>
          <cell r="G1420" t="str">
            <v>correspondant</v>
          </cell>
        </row>
        <row r="1421">
          <cell r="D1421" t="str">
            <v>du</v>
          </cell>
          <cell r="E1421" t="str">
            <v>lundi matin</v>
          </cell>
        </row>
        <row r="1422">
          <cell r="D1422" t="str">
            <v>du</v>
          </cell>
          <cell r="E1422" t="str">
            <v>lundi matin</v>
          </cell>
        </row>
        <row r="1423">
          <cell r="D1423" t="str">
            <v>du</v>
          </cell>
          <cell r="E1423" t="str">
            <v>lundi après-midi</v>
          </cell>
        </row>
        <row r="1424">
          <cell r="D1424" t="str">
            <v>du</v>
          </cell>
          <cell r="E1424" t="str">
            <v>lundi après-midi</v>
          </cell>
        </row>
        <row r="1425">
          <cell r="D1425" t="str">
            <v>de la</v>
          </cell>
          <cell r="E1425" t="str">
            <v>modalité de la permanence</v>
          </cell>
          <cell r="F1425" t="str">
            <v>du</v>
          </cell>
          <cell r="G1425" t="str">
            <v>lundi</v>
          </cell>
        </row>
        <row r="1426">
          <cell r="D1426" t="str">
            <v>du</v>
          </cell>
          <cell r="E1426" t="str">
            <v>mardi matin</v>
          </cell>
        </row>
        <row r="1427">
          <cell r="D1427" t="str">
            <v>du</v>
          </cell>
          <cell r="E1427" t="str">
            <v>mardi matin</v>
          </cell>
        </row>
        <row r="1428">
          <cell r="D1428" t="str">
            <v>du</v>
          </cell>
          <cell r="E1428" t="str">
            <v>mardi après-midi</v>
          </cell>
        </row>
        <row r="1429">
          <cell r="D1429" t="str">
            <v>du</v>
          </cell>
          <cell r="E1429" t="str">
            <v>mardi après-midi</v>
          </cell>
        </row>
        <row r="1430">
          <cell r="D1430" t="str">
            <v>de la</v>
          </cell>
          <cell r="E1430" t="str">
            <v>modalité de la permanence</v>
          </cell>
          <cell r="F1430" t="str">
            <v>du</v>
          </cell>
          <cell r="G1430" t="str">
            <v>mardi</v>
          </cell>
        </row>
        <row r="1431">
          <cell r="D1431" t="str">
            <v>du</v>
          </cell>
          <cell r="E1431" t="str">
            <v>mercredi matin</v>
          </cell>
        </row>
        <row r="1432">
          <cell r="D1432" t="str">
            <v>du</v>
          </cell>
          <cell r="E1432" t="str">
            <v>mercredi matin</v>
          </cell>
        </row>
        <row r="1433">
          <cell r="D1433" t="str">
            <v>du</v>
          </cell>
          <cell r="E1433" t="str">
            <v>mercredi après-midi</v>
          </cell>
        </row>
        <row r="1434">
          <cell r="D1434" t="str">
            <v>du</v>
          </cell>
          <cell r="E1434" t="str">
            <v>mercredi après-midi</v>
          </cell>
        </row>
        <row r="1435">
          <cell r="D1435" t="str">
            <v>de la</v>
          </cell>
          <cell r="E1435" t="str">
            <v>modalité de la permanence</v>
          </cell>
          <cell r="F1435" t="str">
            <v>du</v>
          </cell>
          <cell r="G1435" t="str">
            <v>mercredi</v>
          </cell>
        </row>
        <row r="1436">
          <cell r="D1436" t="str">
            <v>du</v>
          </cell>
          <cell r="E1436" t="str">
            <v>jeudi matin</v>
          </cell>
        </row>
        <row r="1437">
          <cell r="D1437" t="str">
            <v>du</v>
          </cell>
          <cell r="E1437" t="str">
            <v>jeudi matin</v>
          </cell>
        </row>
        <row r="1438">
          <cell r="D1438" t="str">
            <v>du</v>
          </cell>
          <cell r="E1438" t="str">
            <v>jeudi après-midi</v>
          </cell>
        </row>
        <row r="1439">
          <cell r="D1439" t="str">
            <v>du</v>
          </cell>
          <cell r="E1439" t="str">
            <v>jeudi après-midi</v>
          </cell>
        </row>
        <row r="1440">
          <cell r="D1440" t="str">
            <v>de la</v>
          </cell>
          <cell r="E1440" t="str">
            <v>modalité de la permanence</v>
          </cell>
          <cell r="F1440" t="str">
            <v>du</v>
          </cell>
          <cell r="G1440" t="str">
            <v>jeudi</v>
          </cell>
        </row>
        <row r="1441">
          <cell r="D1441" t="str">
            <v>du</v>
          </cell>
          <cell r="E1441" t="str">
            <v>vendredi matin</v>
          </cell>
        </row>
        <row r="1442">
          <cell r="D1442" t="str">
            <v>du</v>
          </cell>
          <cell r="E1442" t="str">
            <v>vendredi matin</v>
          </cell>
        </row>
        <row r="1443">
          <cell r="D1443" t="str">
            <v>du</v>
          </cell>
          <cell r="E1443" t="str">
            <v>vendredi après-midi</v>
          </cell>
        </row>
        <row r="1444">
          <cell r="D1444" t="str">
            <v>du</v>
          </cell>
          <cell r="E1444" t="str">
            <v>vendredi après-midi</v>
          </cell>
        </row>
        <row r="1445">
          <cell r="D1445" t="str">
            <v>de la</v>
          </cell>
          <cell r="E1445" t="str">
            <v>modalité de la permanence</v>
          </cell>
          <cell r="F1445" t="str">
            <v>du</v>
          </cell>
          <cell r="G1445" t="str">
            <v>vendredi</v>
          </cell>
        </row>
        <row r="1446">
          <cell r="D1446" t="str">
            <v>de la</v>
          </cell>
          <cell r="E1446" t="str">
            <v>tournée</v>
          </cell>
          <cell r="F1446" t="str">
            <v>du</v>
          </cell>
          <cell r="G1446" t="str">
            <v>correspondant</v>
          </cell>
        </row>
        <row r="1447">
          <cell r="D1447" t="str">
            <v xml:space="preserve"> </v>
          </cell>
          <cell r="E1447" t="str">
            <v>DGA</v>
          </cell>
          <cell r="F1447" t="str">
            <v>de la</v>
          </cell>
          <cell r="G1447" t="str">
            <v>tournée</v>
          </cell>
        </row>
        <row r="1448">
          <cell r="D1448" t="str">
            <v>de la</v>
          </cell>
          <cell r="E1448" t="str">
            <v>tournée</v>
          </cell>
          <cell r="F1448" t="str">
            <v>du</v>
          </cell>
          <cell r="G1448" t="str">
            <v>correspondant</v>
          </cell>
        </row>
        <row r="1449">
          <cell r="D1449" t="str">
            <v>de la</v>
          </cell>
          <cell r="E1449" t="str">
            <v>tournée</v>
          </cell>
          <cell r="F1449" t="str">
            <v>du</v>
          </cell>
          <cell r="G1449" t="str">
            <v>correspondant</v>
          </cell>
        </row>
        <row r="1450">
          <cell r="C1450" t="str">
            <v>dernière image</v>
          </cell>
          <cell r="D1450" t="str">
            <v>de la</v>
          </cell>
          <cell r="E1450" t="str">
            <v>tournée</v>
          </cell>
          <cell r="F1450" t="str">
            <v>du</v>
          </cell>
          <cell r="G1450" t="str">
            <v>correspondant</v>
          </cell>
        </row>
        <row r="1451">
          <cell r="D1451" t="str">
            <v>de la</v>
          </cell>
          <cell r="E1451" t="str">
            <v>commune</v>
          </cell>
        </row>
        <row r="1452">
          <cell r="D1452" t="str">
            <v>de l'</v>
          </cell>
          <cell r="E1452" t="str">
            <v>état de la tournée</v>
          </cell>
        </row>
        <row r="1453">
          <cell r="D1453" t="str">
            <v>de l'</v>
          </cell>
          <cell r="E1453" t="str">
            <v>état de la tournée</v>
          </cell>
        </row>
        <row r="1454">
          <cell r="D1454" t="str">
            <v>de la</v>
          </cell>
          <cell r="E1454" t="str">
            <v>tournée</v>
          </cell>
        </row>
        <row r="1455">
          <cell r="C1455" t="str">
            <v>présence</v>
          </cell>
          <cell r="D1455" t="str">
            <v xml:space="preserve"> </v>
          </cell>
          <cell r="E1455" t="str">
            <v>lundi</v>
          </cell>
        </row>
        <row r="1456">
          <cell r="C1456" t="str">
            <v>présence</v>
          </cell>
          <cell r="D1456" t="str">
            <v xml:space="preserve"> </v>
          </cell>
          <cell r="E1456" t="str">
            <v>lundi</v>
          </cell>
        </row>
        <row r="1457">
          <cell r="C1457" t="str">
            <v>présence</v>
          </cell>
          <cell r="D1457" t="str">
            <v xml:space="preserve"> </v>
          </cell>
          <cell r="E1457" t="str">
            <v>mardi</v>
          </cell>
        </row>
        <row r="1458">
          <cell r="C1458" t="str">
            <v>présence</v>
          </cell>
          <cell r="D1458" t="str">
            <v xml:space="preserve"> </v>
          </cell>
          <cell r="E1458" t="str">
            <v>mardi</v>
          </cell>
        </row>
        <row r="1459">
          <cell r="C1459" t="str">
            <v>présence</v>
          </cell>
          <cell r="D1459" t="str">
            <v xml:space="preserve"> </v>
          </cell>
          <cell r="E1459" t="str">
            <v>mercredi</v>
          </cell>
        </row>
        <row r="1460">
          <cell r="C1460" t="str">
            <v>présence</v>
          </cell>
          <cell r="D1460" t="str">
            <v xml:space="preserve"> </v>
          </cell>
          <cell r="E1460" t="str">
            <v>mercredi</v>
          </cell>
        </row>
        <row r="1461">
          <cell r="C1461" t="str">
            <v>présence</v>
          </cell>
          <cell r="D1461" t="str">
            <v xml:space="preserve"> </v>
          </cell>
          <cell r="E1461" t="str">
            <v>jeudi</v>
          </cell>
        </row>
        <row r="1462">
          <cell r="C1462" t="str">
            <v>présence</v>
          </cell>
          <cell r="D1462" t="str">
            <v xml:space="preserve"> </v>
          </cell>
          <cell r="E1462" t="str">
            <v>jeudi</v>
          </cell>
        </row>
        <row r="1463">
          <cell r="C1463" t="str">
            <v>présence</v>
          </cell>
          <cell r="D1463" t="str">
            <v xml:space="preserve"> </v>
          </cell>
          <cell r="E1463" t="str">
            <v>vendredi</v>
          </cell>
        </row>
        <row r="1464">
          <cell r="C1464" t="str">
            <v>présence</v>
          </cell>
          <cell r="D1464" t="str">
            <v xml:space="preserve"> </v>
          </cell>
          <cell r="E1464" t="str">
            <v>vendredi</v>
          </cell>
        </row>
        <row r="1465">
          <cell r="C1465" t="str">
            <v>présence</v>
          </cell>
          <cell r="D1465" t="str">
            <v xml:space="preserve"> </v>
          </cell>
          <cell r="E1465" t="str">
            <v>samedi</v>
          </cell>
        </row>
        <row r="1466">
          <cell r="C1466" t="str">
            <v>présence</v>
          </cell>
          <cell r="D1466" t="str">
            <v xml:space="preserve"> </v>
          </cell>
          <cell r="E1466" t="str">
            <v>samedi</v>
          </cell>
        </row>
        <row r="1467">
          <cell r="C1467" t="str">
            <v>présence</v>
          </cell>
          <cell r="D1467" t="str">
            <v xml:space="preserve"> </v>
          </cell>
          <cell r="E1467" t="str">
            <v>dimanche</v>
          </cell>
        </row>
        <row r="1468">
          <cell r="C1468" t="str">
            <v>présence</v>
          </cell>
          <cell r="D1468" t="str">
            <v xml:space="preserve"> </v>
          </cell>
          <cell r="E1468" t="str">
            <v>dimanche</v>
          </cell>
        </row>
        <row r="1469">
          <cell r="D1469" t="str">
            <v>de la</v>
          </cell>
          <cell r="E1469" t="str">
            <v>condition de règlement</v>
          </cell>
          <cell r="F1469" t="str">
            <v>du</v>
          </cell>
          <cell r="G1469" t="str">
            <v>correspondant</v>
          </cell>
        </row>
        <row r="1470">
          <cell r="D1470" t="str">
            <v>de la</v>
          </cell>
          <cell r="E1470" t="str">
            <v>condition de règlement</v>
          </cell>
          <cell r="F1470" t="str">
            <v>du</v>
          </cell>
          <cell r="G1470" t="str">
            <v>correspondant</v>
          </cell>
        </row>
        <row r="1471">
          <cell r="D1471" t="str">
            <v>de la</v>
          </cell>
          <cell r="E1471" t="str">
            <v>condition de règlement</v>
          </cell>
          <cell r="F1471" t="str">
            <v>du</v>
          </cell>
          <cell r="G1471" t="str">
            <v>correspondant</v>
          </cell>
        </row>
        <row r="1472">
          <cell r="C1472" t="str">
            <v>dernière image</v>
          </cell>
          <cell r="D1472" t="str">
            <v>de la</v>
          </cell>
          <cell r="E1472" t="str">
            <v>condition de règlement</v>
          </cell>
          <cell r="F1472" t="str">
            <v>du</v>
          </cell>
          <cell r="G1472" t="str">
            <v>correspondant</v>
          </cell>
        </row>
        <row r="1473">
          <cell r="D1473" t="str">
            <v>de la</v>
          </cell>
          <cell r="E1473" t="str">
            <v>condition de règlement</v>
          </cell>
        </row>
        <row r="1474">
          <cell r="C1474" t="str">
            <v>état</v>
          </cell>
          <cell r="D1474" t="str">
            <v>de la</v>
          </cell>
          <cell r="E1474" t="str">
            <v>condition de règlement</v>
          </cell>
        </row>
        <row r="1475">
          <cell r="C1475" t="str">
            <v>état</v>
          </cell>
          <cell r="D1475" t="str">
            <v>de la</v>
          </cell>
          <cell r="E1475" t="str">
            <v>condition de règlement</v>
          </cell>
        </row>
        <row r="1476">
          <cell r="C1476" t="str">
            <v>défaut</v>
          </cell>
          <cell r="D1476" t="str">
            <v>de la</v>
          </cell>
          <cell r="E1476" t="str">
            <v>condition de règlement</v>
          </cell>
        </row>
        <row r="1477">
          <cell r="D1477" t="str">
            <v>de l'</v>
          </cell>
          <cell r="E1477" t="str">
            <v>objet</v>
          </cell>
          <cell r="F1477" t="str">
            <v>de la</v>
          </cell>
          <cell r="G1477" t="str">
            <v>condition de règlement</v>
          </cell>
        </row>
        <row r="1478">
          <cell r="D1478" t="str">
            <v>du</v>
          </cell>
          <cell r="E1478" t="str">
            <v>mode de règlement</v>
          </cell>
        </row>
        <row r="1479">
          <cell r="D1479" t="str">
            <v>du</v>
          </cell>
          <cell r="E1479" t="str">
            <v>mode de règlement</v>
          </cell>
        </row>
        <row r="1480">
          <cell r="D1480" t="str">
            <v>de la</v>
          </cell>
          <cell r="E1480" t="str">
            <v>destination du règlement</v>
          </cell>
        </row>
        <row r="1481">
          <cell r="D1481" t="str">
            <v>de la</v>
          </cell>
          <cell r="E1481" t="str">
            <v>destination du règlement</v>
          </cell>
        </row>
        <row r="1482">
          <cell r="C1482" t="str">
            <v>regroupement</v>
          </cell>
          <cell r="D1482" t="str">
            <v>du</v>
          </cell>
          <cell r="E1482" t="str">
            <v>règlement</v>
          </cell>
        </row>
        <row r="1483">
          <cell r="D1483" t="str">
            <v>du</v>
          </cell>
          <cell r="E1483" t="str">
            <v>type</v>
          </cell>
          <cell r="F1483" t="str">
            <v>de</v>
          </cell>
          <cell r="G1483" t="str">
            <v>règlement</v>
          </cell>
        </row>
        <row r="1484">
          <cell r="D1484" t="str">
            <v>du</v>
          </cell>
          <cell r="E1484" t="str">
            <v>type</v>
          </cell>
          <cell r="F1484" t="str">
            <v>de</v>
          </cell>
          <cell r="G1484" t="str">
            <v>règlement</v>
          </cell>
        </row>
        <row r="1485">
          <cell r="D1485" t="str">
            <v>de la</v>
          </cell>
          <cell r="E1485" t="str">
            <v>périodicité</v>
          </cell>
          <cell r="F1485" t="str">
            <v>de</v>
          </cell>
          <cell r="G1485" t="str">
            <v>règlement</v>
          </cell>
        </row>
        <row r="1486">
          <cell r="D1486" t="str">
            <v>de la</v>
          </cell>
          <cell r="E1486" t="str">
            <v>périodicité</v>
          </cell>
          <cell r="F1486" t="str">
            <v>de</v>
          </cell>
          <cell r="G1486" t="str">
            <v>règlement</v>
          </cell>
        </row>
        <row r="1487">
          <cell r="C1487" t="str">
            <v>jour</v>
          </cell>
          <cell r="D1487" t="str">
            <v>de la</v>
          </cell>
          <cell r="E1487" t="str">
            <v>périodicité</v>
          </cell>
          <cell r="F1487" t="str">
            <v>de</v>
          </cell>
          <cell r="G1487" t="str">
            <v>règlement</v>
          </cell>
        </row>
        <row r="1488">
          <cell r="C1488" t="str">
            <v>jour</v>
          </cell>
          <cell r="D1488" t="str">
            <v>de la</v>
          </cell>
          <cell r="E1488" t="str">
            <v>périodicité</v>
          </cell>
          <cell r="F1488" t="str">
            <v>de</v>
          </cell>
          <cell r="G1488" t="str">
            <v>règlement</v>
          </cell>
        </row>
        <row r="1489">
          <cell r="D1489" t="str">
            <v>de la</v>
          </cell>
          <cell r="E1489" t="str">
            <v>nature</v>
          </cell>
          <cell r="F1489" t="str">
            <v>du</v>
          </cell>
          <cell r="G1489" t="str">
            <v>bénéficiaire</v>
          </cell>
        </row>
        <row r="1490">
          <cell r="D1490" t="str">
            <v>de la</v>
          </cell>
          <cell r="E1490" t="str">
            <v>nature</v>
          </cell>
          <cell r="F1490" t="str">
            <v>du</v>
          </cell>
          <cell r="G1490" t="str">
            <v>bénéficiaire</v>
          </cell>
        </row>
        <row r="1491">
          <cell r="D1491" t="str">
            <v>du</v>
          </cell>
          <cell r="E1491" t="str">
            <v>bénéficiaire</v>
          </cell>
          <cell r="F1491" t="str">
            <v>du</v>
          </cell>
          <cell r="G1491" t="str">
            <v>règlement</v>
          </cell>
        </row>
        <row r="1492">
          <cell r="D1492" t="str">
            <v>de l'</v>
          </cell>
          <cell r="E1492" t="str">
            <v>établissement</v>
          </cell>
          <cell r="F1492" t="str">
            <v>de la</v>
          </cell>
          <cell r="G1492" t="str">
            <v>référence bancaire</v>
          </cell>
        </row>
        <row r="1493">
          <cell r="D1493" t="str">
            <v>du</v>
          </cell>
          <cell r="E1493" t="str">
            <v>guichet de l'établissement</v>
          </cell>
          <cell r="F1493" t="str">
            <v>de la</v>
          </cell>
          <cell r="G1493" t="str">
            <v>référence bancaire</v>
          </cell>
        </row>
        <row r="1494">
          <cell r="D1494" t="str">
            <v>de</v>
          </cell>
          <cell r="E1494" t="str">
            <v>compte</v>
          </cell>
          <cell r="F1494" t="str">
            <v>de la</v>
          </cell>
          <cell r="G1494" t="str">
            <v>référence bancaire</v>
          </cell>
        </row>
        <row r="1495">
          <cell r="D1495" t="str">
            <v>du</v>
          </cell>
          <cell r="E1495" t="str">
            <v>titulaire du compte bancaire</v>
          </cell>
        </row>
        <row r="1496">
          <cell r="D1496" t="str">
            <v>du</v>
          </cell>
          <cell r="E1496" t="str">
            <v>format</v>
          </cell>
          <cell r="F1496" t="str">
            <v>de la</v>
          </cell>
          <cell r="G1496" t="str">
            <v>référence bancaire</v>
          </cell>
        </row>
        <row r="1497">
          <cell r="D1497" t="str">
            <v>du</v>
          </cell>
          <cell r="E1497" t="str">
            <v>format</v>
          </cell>
          <cell r="F1497" t="str">
            <v>de la</v>
          </cell>
          <cell r="G1497" t="str">
            <v>référence bancaire</v>
          </cell>
        </row>
        <row r="1498">
          <cell r="D1498" t="str">
            <v>du</v>
          </cell>
          <cell r="E1498" t="str">
            <v>pays</v>
          </cell>
          <cell r="F1498" t="str">
            <v>de la</v>
          </cell>
          <cell r="G1498" t="str">
            <v>référence bancaire</v>
          </cell>
        </row>
        <row r="1499">
          <cell r="D1499" t="str">
            <v>de la</v>
          </cell>
          <cell r="E1499" t="str">
            <v>référence bancaire</v>
          </cell>
        </row>
        <row r="1500">
          <cell r="D1500" t="str">
            <v>de la</v>
          </cell>
          <cell r="E1500" t="str">
            <v>domiciliation bancaire</v>
          </cell>
        </row>
        <row r="1501">
          <cell r="D1501" t="str">
            <v>de la</v>
          </cell>
          <cell r="E1501" t="str">
            <v>devise</v>
          </cell>
          <cell r="F1501" t="str">
            <v>de la</v>
          </cell>
          <cell r="G1501" t="str">
            <v>domiciliation bancaire</v>
          </cell>
        </row>
        <row r="1502">
          <cell r="D1502" t="str">
            <v>de</v>
          </cell>
          <cell r="E1502" t="str">
            <v>compte</v>
          </cell>
          <cell r="F1502" t="str">
            <v>de la</v>
          </cell>
          <cell r="G1502" t="str">
            <v>domiciliation bancaire</v>
          </cell>
        </row>
        <row r="1503">
          <cell r="D1503" t="str">
            <v>du</v>
          </cell>
          <cell r="E1503" t="str">
            <v>type</v>
          </cell>
          <cell r="F1503" t="str">
            <v>de</v>
          </cell>
          <cell r="G1503" t="str">
            <v>frais OTE</v>
          </cell>
        </row>
        <row r="1504">
          <cell r="D1504" t="str">
            <v>du</v>
          </cell>
          <cell r="E1504" t="str">
            <v>type</v>
          </cell>
          <cell r="F1504" t="str">
            <v>de</v>
          </cell>
          <cell r="G1504" t="str">
            <v>frais OTE</v>
          </cell>
        </row>
        <row r="1505">
          <cell r="D1505" t="str">
            <v>du</v>
          </cell>
          <cell r="E1505" t="str">
            <v>type</v>
          </cell>
          <cell r="F1505" t="str">
            <v>de la</v>
          </cell>
          <cell r="G1505" t="str">
            <v>nature économique</v>
          </cell>
        </row>
        <row r="1506">
          <cell r="D1506" t="str">
            <v>du</v>
          </cell>
          <cell r="E1506" t="str">
            <v>type</v>
          </cell>
          <cell r="F1506" t="str">
            <v>de la</v>
          </cell>
          <cell r="G1506" t="str">
            <v>nature économique</v>
          </cell>
        </row>
        <row r="1507">
          <cell r="D1507" t="str">
            <v>de la</v>
          </cell>
          <cell r="E1507" t="str">
            <v>nature économique</v>
          </cell>
        </row>
        <row r="1508">
          <cell r="D1508" t="str">
            <v>de l'</v>
          </cell>
          <cell r="E1508" t="str">
            <v>adresse</v>
          </cell>
        </row>
        <row r="1509">
          <cell r="C1509" t="str">
            <v>pays</v>
          </cell>
          <cell r="D1509" t="str">
            <v>du</v>
          </cell>
          <cell r="E1509" t="str">
            <v>destinataire du règlement</v>
          </cell>
        </row>
        <row r="1510">
          <cell r="C1510" t="str">
            <v>postal</v>
          </cell>
          <cell r="D1510" t="str">
            <v>du</v>
          </cell>
          <cell r="E1510" t="str">
            <v>destinataire du règlement</v>
          </cell>
        </row>
        <row r="1511">
          <cell r="D1511" t="str">
            <v>de la</v>
          </cell>
          <cell r="E1511" t="str">
            <v>ville</v>
          </cell>
          <cell r="F1511" t="str">
            <v>du</v>
          </cell>
          <cell r="G1511" t="str">
            <v>destinataire du règlement</v>
          </cell>
        </row>
        <row r="1512">
          <cell r="C1512" t="str">
            <v>courrier</v>
          </cell>
          <cell r="D1512" t="str">
            <v>du</v>
          </cell>
          <cell r="E1512" t="str">
            <v>destinataire du règlement</v>
          </cell>
        </row>
        <row r="1513">
          <cell r="C1513" t="str">
            <v>courrier</v>
          </cell>
          <cell r="D1513" t="str">
            <v>du</v>
          </cell>
          <cell r="E1513" t="str">
            <v>destinataire du règlement</v>
          </cell>
        </row>
        <row r="1514">
          <cell r="C1514" t="str">
            <v>courrier</v>
          </cell>
          <cell r="D1514" t="str">
            <v>du</v>
          </cell>
          <cell r="E1514" t="str">
            <v>destinataire du règlement</v>
          </cell>
        </row>
        <row r="1515">
          <cell r="C1515" t="str">
            <v>courrier</v>
          </cell>
          <cell r="D1515" t="str">
            <v>du</v>
          </cell>
          <cell r="E1515" t="str">
            <v>destinataire du règlement</v>
          </cell>
        </row>
        <row r="1516">
          <cell r="C1516" t="str">
            <v>courrier</v>
          </cell>
          <cell r="D1516" t="str">
            <v>du</v>
          </cell>
          <cell r="E1516" t="str">
            <v>destinataire du règlement</v>
          </cell>
        </row>
        <row r="1517">
          <cell r="C1517" t="str">
            <v>courrier</v>
          </cell>
          <cell r="D1517" t="str">
            <v>du</v>
          </cell>
          <cell r="E1517" t="str">
            <v>destinataire du règlement</v>
          </cell>
        </row>
        <row r="1518">
          <cell r="D1518" t="str">
            <v>du</v>
          </cell>
          <cell r="E1518" t="str">
            <v>destinataire du règlement</v>
          </cell>
        </row>
        <row r="1519">
          <cell r="C1519" t="str">
            <v>indice</v>
          </cell>
          <cell r="D1519" t="str">
            <v>du</v>
          </cell>
          <cell r="E1519" t="str">
            <v>fax</v>
          </cell>
          <cell r="F1519" t="str">
            <v>du</v>
          </cell>
          <cell r="G1519" t="str">
            <v>destinataire du règlement</v>
          </cell>
        </row>
        <row r="1520">
          <cell r="D1520" t="str">
            <v>du</v>
          </cell>
          <cell r="E1520" t="str">
            <v>fax</v>
          </cell>
          <cell r="F1520" t="str">
            <v>du</v>
          </cell>
          <cell r="G1520" t="str">
            <v>destinataire du règlement</v>
          </cell>
        </row>
        <row r="1521">
          <cell r="C1521" t="str">
            <v>indice</v>
          </cell>
          <cell r="D1521" t="str">
            <v>de</v>
          </cell>
          <cell r="E1521" t="str">
            <v>Télex</v>
          </cell>
          <cell r="F1521" t="str">
            <v>du</v>
          </cell>
          <cell r="G1521" t="str">
            <v>destinataire du règlement</v>
          </cell>
        </row>
        <row r="1522">
          <cell r="D1522" t="str">
            <v>de</v>
          </cell>
          <cell r="E1522" t="str">
            <v>Télex</v>
          </cell>
          <cell r="F1522" t="str">
            <v>du</v>
          </cell>
          <cell r="G1522" t="str">
            <v>destinataire du règlement</v>
          </cell>
        </row>
        <row r="1523">
          <cell r="D1523" t="str">
            <v>du</v>
          </cell>
          <cell r="E1523" t="str">
            <v>routage justificatif</v>
          </cell>
        </row>
        <row r="1524">
          <cell r="D1524" t="str">
            <v>du</v>
          </cell>
          <cell r="E1524" t="str">
            <v>routage justificatif</v>
          </cell>
        </row>
        <row r="1525">
          <cell r="D1525" t="str">
            <v>du</v>
          </cell>
          <cell r="E1525" t="str">
            <v>type de message</v>
          </cell>
          <cell r="F1525" t="str">
            <v>du</v>
          </cell>
          <cell r="G1525" t="str">
            <v>justificatif</v>
          </cell>
        </row>
        <row r="1526">
          <cell r="D1526" t="str">
            <v>du</v>
          </cell>
          <cell r="E1526" t="str">
            <v>type de message</v>
          </cell>
          <cell r="F1526" t="str">
            <v>du</v>
          </cell>
          <cell r="G1526" t="str">
            <v>justificatif</v>
          </cell>
        </row>
        <row r="1527">
          <cell r="D1527" t="str">
            <v>du</v>
          </cell>
          <cell r="E1527" t="str">
            <v>titre courrier</v>
          </cell>
        </row>
        <row r="1528">
          <cell r="D1528" t="str">
            <v>de</v>
          </cell>
          <cell r="E1528" t="str">
            <v>distribution</v>
          </cell>
          <cell r="F1528" t="str">
            <v>du</v>
          </cell>
          <cell r="G1528" t="str">
            <v>justificatif</v>
          </cell>
        </row>
        <row r="1529">
          <cell r="D1529" t="str">
            <v>de</v>
          </cell>
          <cell r="E1529" t="str">
            <v>distribution</v>
          </cell>
          <cell r="F1529" t="str">
            <v>du</v>
          </cell>
          <cell r="G1529" t="str">
            <v>justificatif</v>
          </cell>
        </row>
        <row r="1530">
          <cell r="D1530" t="str">
            <v>de la</v>
          </cell>
          <cell r="E1530" t="str">
            <v>signature</v>
          </cell>
          <cell r="F1530" t="str">
            <v>à la</v>
          </cell>
          <cell r="G1530" t="str">
            <v>création</v>
          </cell>
        </row>
        <row r="1531">
          <cell r="D1531" t="str">
            <v>de la</v>
          </cell>
          <cell r="E1531" t="str">
            <v>signature</v>
          </cell>
          <cell r="F1531" t="str">
            <v>à la</v>
          </cell>
          <cell r="G1531" t="str">
            <v>modification</v>
          </cell>
        </row>
        <row r="1532">
          <cell r="D1532" t="str">
            <v>du</v>
          </cell>
          <cell r="E1532" t="str">
            <v>justificatif</v>
          </cell>
        </row>
        <row r="1533">
          <cell r="D1533" t="str">
            <v>de la</v>
          </cell>
          <cell r="E1533" t="str">
            <v>qualité</v>
          </cell>
          <cell r="F1533" t="str">
            <v>du</v>
          </cell>
          <cell r="G1533" t="str">
            <v>géocodage</v>
          </cell>
        </row>
        <row r="1534">
          <cell r="D1534" t="str">
            <v>de la</v>
          </cell>
          <cell r="E1534" t="str">
            <v>qualité</v>
          </cell>
          <cell r="F1534" t="str">
            <v>du</v>
          </cell>
          <cell r="G1534" t="str">
            <v>géocodage</v>
          </cell>
        </row>
        <row r="1535">
          <cell r="D1535" t="str">
            <v>du</v>
          </cell>
          <cell r="E1535" t="str">
            <v>pays</v>
          </cell>
          <cell r="F1535" t="str">
            <v>de l'</v>
          </cell>
          <cell r="G1535" t="str">
            <v>adresse courrier</v>
          </cell>
        </row>
        <row r="1536">
          <cell r="D1536" t="str">
            <v>du</v>
          </cell>
          <cell r="E1536" t="str">
            <v>pays favori</v>
          </cell>
        </row>
        <row r="1537">
          <cell r="D1537" t="str">
            <v>de la</v>
          </cell>
          <cell r="E1537" t="str">
            <v>langue favorite</v>
          </cell>
        </row>
        <row r="1538">
          <cell r="D1538" t="str">
            <v>de la</v>
          </cell>
          <cell r="E1538" t="str">
            <v>langue favorite</v>
          </cell>
        </row>
        <row r="1539">
          <cell r="D1539" t="str">
            <v>de</v>
          </cell>
          <cell r="E1539" t="str">
            <v>modalité de règlement</v>
          </cell>
        </row>
        <row r="1540">
          <cell r="D1540" t="str">
            <v>de</v>
          </cell>
          <cell r="E1540" t="str">
            <v>modalité de règlement</v>
          </cell>
        </row>
        <row r="1541">
          <cell r="D1541" t="str">
            <v>de</v>
          </cell>
          <cell r="E1541" t="str">
            <v>mode de règlement</v>
          </cell>
        </row>
        <row r="1542">
          <cell r="D1542" t="str">
            <v>de</v>
          </cell>
          <cell r="E1542" t="str">
            <v>mode de règlement</v>
          </cell>
        </row>
        <row r="1543">
          <cell r="D1543" t="str">
            <v>de la</v>
          </cell>
          <cell r="E1543" t="str">
            <v>devise</v>
          </cell>
        </row>
        <row r="1544">
          <cell r="D1544" t="str">
            <v>de la</v>
          </cell>
          <cell r="E1544" t="str">
            <v>devise</v>
          </cell>
        </row>
        <row r="1545">
          <cell r="D1545" t="str">
            <v>de</v>
          </cell>
          <cell r="E1545" t="str">
            <v>périodicité</v>
          </cell>
          <cell r="F1545" t="str">
            <v>de</v>
          </cell>
          <cell r="G1545" t="str">
            <v>règlement</v>
          </cell>
        </row>
        <row r="1546">
          <cell r="D1546" t="str">
            <v>de</v>
          </cell>
          <cell r="E1546" t="str">
            <v>périodicité</v>
          </cell>
          <cell r="F1546" t="str">
            <v>de</v>
          </cell>
          <cell r="G1546" t="str">
            <v>règlement</v>
          </cell>
        </row>
        <row r="1547">
          <cell r="D1547" t="str">
            <v>du</v>
          </cell>
          <cell r="E1547" t="str">
            <v>regroupement</v>
          </cell>
          <cell r="F1547" t="str">
            <v>par</v>
          </cell>
          <cell r="G1547" t="str">
            <v>périodicité</v>
          </cell>
        </row>
        <row r="1548">
          <cell r="D1548" t="str">
            <v>de</v>
          </cell>
          <cell r="E1548" t="str">
            <v>regroupement</v>
          </cell>
          <cell r="F1548" t="str">
            <v>par</v>
          </cell>
          <cell r="G1548" t="str">
            <v>périodicité</v>
          </cell>
        </row>
        <row r="1549">
          <cell r="D1549" t="str">
            <v>de</v>
          </cell>
          <cell r="E1549" t="str">
            <v>création</v>
          </cell>
        </row>
        <row r="1550">
          <cell r="D1550" t="str">
            <v>de</v>
          </cell>
          <cell r="E1550" t="str">
            <v>création</v>
          </cell>
        </row>
        <row r="1551">
          <cell r="D1551" t="str">
            <v>de</v>
          </cell>
          <cell r="E1551" t="str">
            <v>modification</v>
          </cell>
        </row>
        <row r="1552">
          <cell r="D1552" t="str">
            <v>de</v>
          </cell>
          <cell r="E1552" t="str">
            <v>modification</v>
          </cell>
        </row>
        <row r="1553">
          <cell r="D1553" t="str">
            <v>du</v>
          </cell>
          <cell r="E1553" t="str">
            <v>code postal</v>
          </cell>
        </row>
        <row r="1554">
          <cell r="D1554" t="str">
            <v>du</v>
          </cell>
          <cell r="E1554" t="str">
            <v>code postal</v>
          </cell>
        </row>
        <row r="1555">
          <cell r="D1555" t="str">
            <v>de la</v>
          </cell>
          <cell r="E1555" t="str">
            <v>commune</v>
          </cell>
        </row>
        <row r="1556">
          <cell r="D1556" t="str">
            <v>de la</v>
          </cell>
          <cell r="E1556" t="str">
            <v>commune</v>
          </cell>
        </row>
        <row r="1557">
          <cell r="D1557" t="str">
            <v>de</v>
          </cell>
          <cell r="E1557" t="str">
            <v>couverture</v>
          </cell>
          <cell r="F1557" t="str">
            <v>du</v>
          </cell>
          <cell r="G1557" t="str">
            <v>correspondant</v>
          </cell>
        </row>
        <row r="1558">
          <cell r="D1558" t="str">
            <v>du</v>
          </cell>
          <cell r="E1558" t="str">
            <v>correspondant</v>
          </cell>
        </row>
        <row r="1559">
          <cell r="D1559" t="str">
            <v>de la</v>
          </cell>
          <cell r="E1559" t="str">
            <v>type de structure</v>
          </cell>
          <cell r="F1559" t="str">
            <v>du</v>
          </cell>
          <cell r="G1559" t="str">
            <v>correspondant</v>
          </cell>
        </row>
        <row r="1560">
          <cell r="D1560" t="str">
            <v>de la</v>
          </cell>
          <cell r="E1560" t="str">
            <v>type de structure</v>
          </cell>
          <cell r="F1560" t="str">
            <v>du</v>
          </cell>
          <cell r="G1560" t="str">
            <v>correspondant</v>
          </cell>
        </row>
        <row r="1561">
          <cell r="D1561" t="str">
            <v>de la</v>
          </cell>
          <cell r="E1561" t="str">
            <v>structure</v>
          </cell>
          <cell r="F1561" t="str">
            <v>du</v>
          </cell>
          <cell r="G1561" t="str">
            <v>correspondant</v>
          </cell>
        </row>
        <row r="1562">
          <cell r="D1562" t="str">
            <v>de la</v>
          </cell>
          <cell r="E1562" t="str">
            <v>structure</v>
          </cell>
          <cell r="F1562" t="str">
            <v>du</v>
          </cell>
          <cell r="G1562" t="str">
            <v>correspondant</v>
          </cell>
        </row>
        <row r="1563">
          <cell r="D1563" t="str">
            <v>de</v>
          </cell>
          <cell r="E1563" t="str">
            <v>secteur d'activité</v>
          </cell>
          <cell r="F1563" t="str">
            <v>du</v>
          </cell>
          <cell r="G1563" t="str">
            <v>correspondant</v>
          </cell>
        </row>
        <row r="1564">
          <cell r="D1564" t="str">
            <v>de</v>
          </cell>
          <cell r="E1564" t="str">
            <v>secteur d'activité</v>
          </cell>
          <cell r="F1564" t="str">
            <v>du</v>
          </cell>
          <cell r="G1564" t="str">
            <v>correspondant</v>
          </cell>
        </row>
        <row r="1565">
          <cell r="D1565" t="str">
            <v>de la</v>
          </cell>
          <cell r="E1565" t="str">
            <v>Spécialité professionnelle</v>
          </cell>
          <cell r="F1565" t="str">
            <v>du</v>
          </cell>
          <cell r="G1565" t="str">
            <v>correspondant</v>
          </cell>
        </row>
        <row r="1566">
          <cell r="D1566" t="str">
            <v>de la</v>
          </cell>
          <cell r="E1566" t="str">
            <v>Spécialité professionnelle</v>
          </cell>
          <cell r="F1566" t="str">
            <v>du</v>
          </cell>
          <cell r="G1566" t="str">
            <v>correspondant</v>
          </cell>
        </row>
        <row r="1567">
          <cell r="D1567" t="str">
            <v>de</v>
          </cell>
          <cell r="E1567" t="str">
            <v>couverture</v>
          </cell>
          <cell r="F1567" t="str">
            <v>du</v>
          </cell>
          <cell r="G1567" t="str">
            <v>correspondant</v>
          </cell>
        </row>
        <row r="1568">
          <cell r="D1568" t="str">
            <v>de</v>
          </cell>
          <cell r="E1568" t="str">
            <v>couverture</v>
          </cell>
          <cell r="F1568" t="str">
            <v>du</v>
          </cell>
          <cell r="G1568" t="str">
            <v>correspondant</v>
          </cell>
        </row>
        <row r="1569">
          <cell r="D1569" t="str">
            <v>de</v>
          </cell>
          <cell r="E1569" t="str">
            <v>couverture</v>
          </cell>
          <cell r="F1569" t="str">
            <v>du</v>
          </cell>
          <cell r="G1569" t="str">
            <v>correspondant</v>
          </cell>
        </row>
        <row r="1570">
          <cell r="D1570" t="str">
            <v>du</v>
          </cell>
          <cell r="E1570" t="str">
            <v>type</v>
          </cell>
          <cell r="H1570" t="str">
            <v>de</v>
          </cell>
          <cell r="I1570" t="str">
            <v>couverture</v>
          </cell>
        </row>
        <row r="1571">
          <cell r="D1571" t="str">
            <v>du</v>
          </cell>
          <cell r="E1571" t="str">
            <v>type</v>
          </cell>
          <cell r="F1571" t="str">
            <v>de</v>
          </cell>
          <cell r="G1571" t="str">
            <v>couverture</v>
          </cell>
          <cell r="H1571" t="str">
            <v>du</v>
          </cell>
          <cell r="I1571" t="str">
            <v>correspondant</v>
          </cell>
        </row>
        <row r="1572">
          <cell r="D1572" t="str">
            <v>du</v>
          </cell>
          <cell r="E1572" t="str">
            <v>DGA</v>
          </cell>
          <cell r="F1572" t="str">
            <v>du</v>
          </cell>
          <cell r="G1572" t="str">
            <v>correspondant</v>
          </cell>
        </row>
        <row r="1573">
          <cell r="D1573" t="str">
            <v>du</v>
          </cell>
          <cell r="E1573" t="str">
            <v>type</v>
          </cell>
          <cell r="F1573" t="str">
            <v xml:space="preserve"> </v>
          </cell>
          <cell r="G1573" t="str">
            <v>découpage géographique</v>
          </cell>
        </row>
        <row r="1574">
          <cell r="D1574" t="str">
            <v>du</v>
          </cell>
          <cell r="E1574" t="str">
            <v>type</v>
          </cell>
          <cell r="G1574" t="str">
            <v>découpage géographique</v>
          </cell>
        </row>
        <row r="1575">
          <cell r="D1575" t="str">
            <v>du</v>
          </cell>
          <cell r="E1575" t="str">
            <v>découpage géographique</v>
          </cell>
        </row>
        <row r="1576">
          <cell r="D1576" t="str">
            <v>du</v>
          </cell>
          <cell r="E1576" t="str">
            <v>découpage géographique</v>
          </cell>
        </row>
        <row r="1577">
          <cell r="D1577" t="str">
            <v>de</v>
          </cell>
          <cell r="E1577" t="str">
            <v>rayon</v>
          </cell>
          <cell r="F1577" t="str">
            <v>du</v>
          </cell>
          <cell r="G1577" t="str">
            <v>correspondant</v>
          </cell>
        </row>
        <row r="1578">
          <cell r="D1578" t="str">
            <v>de la</v>
          </cell>
          <cell r="E1578" t="str">
            <v>couverture</v>
          </cell>
        </row>
        <row r="1579">
          <cell r="D1579" t="str">
            <v>de</v>
          </cell>
          <cell r="E1579" t="str">
            <v>création</v>
          </cell>
        </row>
        <row r="1580">
          <cell r="D1580" t="str">
            <v>de</v>
          </cell>
          <cell r="E1580" t="str">
            <v>modification</v>
          </cell>
        </row>
        <row r="1587">
          <cell r="D1587" t="str">
            <v>de la</v>
          </cell>
          <cell r="E1587" t="str">
            <v>Colonne</v>
          </cell>
          <cell r="F1587" t="str">
            <v>en</v>
          </cell>
          <cell r="G1587" t="str">
            <v>anomalie</v>
          </cell>
        </row>
        <row r="1588">
          <cell r="C1588" t="str">
            <v>actif</v>
          </cell>
          <cell r="D1588" t="str">
            <v>du</v>
          </cell>
          <cell r="E1588" t="str">
            <v>Contrôle</v>
          </cell>
          <cell r="F1588" t="str">
            <v>à</v>
          </cell>
          <cell r="G1588" t="str">
            <v>Effectuer</v>
          </cell>
        </row>
        <row r="1589">
          <cell r="D1589" t="str">
            <v>de la</v>
          </cell>
          <cell r="E1589" t="str">
            <v>Colonne</v>
          </cell>
          <cell r="F1589" t="str">
            <v>à</v>
          </cell>
          <cell r="G1589" t="str">
            <v>Contrôler</v>
          </cell>
        </row>
        <row r="1590">
          <cell r="D1590" t="str">
            <v>de la</v>
          </cell>
          <cell r="E1590" t="str">
            <v>Table</v>
          </cell>
          <cell r="F1590" t="str">
            <v>à</v>
          </cell>
          <cell r="G1590" t="str">
            <v>Contrôler</v>
          </cell>
        </row>
        <row r="1591">
          <cell r="D1591" t="str">
            <v>du</v>
          </cell>
          <cell r="E1591" t="str">
            <v>Contrôle</v>
          </cell>
          <cell r="F1591" t="str">
            <v>des</v>
          </cell>
          <cell r="G1591" t="str">
            <v>courtier</v>
          </cell>
        </row>
        <row r="1592">
          <cell r="D1592" t="str">
            <v>de</v>
          </cell>
          <cell r="E1592" t="str">
            <v>Contrôle</v>
          </cell>
          <cell r="F1592" t="str">
            <v>à</v>
          </cell>
          <cell r="G1592" t="str">
            <v>Effectuer</v>
          </cell>
        </row>
        <row r="1593">
          <cell r="D1593" t="str">
            <v>de la</v>
          </cell>
          <cell r="E1593" t="str">
            <v>Période calendaire</v>
          </cell>
          <cell r="F1593" t="str">
            <v>du</v>
          </cell>
          <cell r="G1593" t="str">
            <v>fichier</v>
          </cell>
        </row>
        <row r="1594">
          <cell r="D1594" t="str">
            <v>de la</v>
          </cell>
          <cell r="E1594" t="str">
            <v>Période calendaire</v>
          </cell>
          <cell r="F1594" t="str">
            <v>du</v>
          </cell>
          <cell r="G1594" t="str">
            <v>fichier</v>
          </cell>
        </row>
        <row r="1595">
          <cell r="C1595" t="str">
            <v>externe</v>
          </cell>
          <cell r="D1595" t="str">
            <v>du</v>
          </cell>
          <cell r="E1595" t="str">
            <v>Contrat</v>
          </cell>
        </row>
        <row r="1596">
          <cell r="D1596" t="str">
            <v>du</v>
          </cell>
          <cell r="E1596" t="str">
            <v>fichier</v>
          </cell>
        </row>
        <row r="1597">
          <cell r="D1597" t="str">
            <v>du</v>
          </cell>
          <cell r="E1597" t="str">
            <v>fichier</v>
          </cell>
        </row>
        <row r="1598">
          <cell r="D1598" t="str">
            <v>de l'</v>
          </cell>
          <cell r="E1598" t="str">
            <v>anomalie</v>
          </cell>
        </row>
        <row r="1599">
          <cell r="D1599" t="str">
            <v>de l'</v>
          </cell>
          <cell r="E1599" t="str">
            <v>anomalie</v>
          </cell>
        </row>
        <row r="1600">
          <cell r="D1600" t="str">
            <v>de l'</v>
          </cell>
          <cell r="E1600" t="str">
            <v>anomalie</v>
          </cell>
        </row>
        <row r="1601">
          <cell r="D1601" t="str">
            <v>du</v>
          </cell>
          <cell r="E1601" t="str">
            <v>courtier</v>
          </cell>
        </row>
        <row r="1602">
          <cell r="D1602" t="str">
            <v>du</v>
          </cell>
          <cell r="E1602" t="str">
            <v>courtier</v>
          </cell>
        </row>
        <row r="1603">
          <cell r="D1603" t="str">
            <v>du</v>
          </cell>
          <cell r="E1603" t="str">
            <v>fichier</v>
          </cell>
        </row>
        <row r="1604">
          <cell r="D1604" t="str">
            <v>de la</v>
          </cell>
          <cell r="E1604" t="str">
            <v>Référence Objet</v>
          </cell>
        </row>
        <row r="1605">
          <cell r="C1605" t="str">
            <v>colonne source</v>
          </cell>
          <cell r="D1605" t="str">
            <v>de l'</v>
          </cell>
          <cell r="E1605" t="str">
            <v>Identifiant fonctionnel</v>
          </cell>
          <cell r="F1605" t="str">
            <v>du</v>
          </cell>
          <cell r="G1605" t="str">
            <v>courtier</v>
          </cell>
        </row>
        <row r="1606">
          <cell r="C1606" t="str">
            <v>colonne source</v>
          </cell>
          <cell r="D1606" t="str">
            <v>de la</v>
          </cell>
          <cell r="E1606" t="str">
            <v>Date de création</v>
          </cell>
          <cell r="F1606" t="str">
            <v>du</v>
          </cell>
          <cell r="G1606" t="str">
            <v>fichier</v>
          </cell>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row>
        <row r="1610">
          <cell r="C1610" t="str">
            <v>colonne source</v>
          </cell>
          <cell r="D1610" t="str">
            <v>de l'</v>
          </cell>
          <cell r="E1610" t="str">
            <v>Identifiant fonctionnel</v>
          </cell>
          <cell r="F1610" t="str">
            <v>de la</v>
          </cell>
          <cell r="G1610" t="str">
            <v>Référence Objet</v>
          </cell>
        </row>
        <row r="1611">
          <cell r="D1611" t="str">
            <v>du</v>
          </cell>
          <cell r="E1611" t="str">
            <v>courtier</v>
          </cell>
        </row>
        <row r="1612">
          <cell r="D1612" t="str">
            <v>du</v>
          </cell>
          <cell r="E1612" t="str">
            <v>lien commercial</v>
          </cell>
          <cell r="F1612" t="str">
            <v>avec</v>
          </cell>
          <cell r="G1612" t="str">
            <v>courtier</v>
          </cell>
        </row>
        <row r="1613">
          <cell r="D1613" t="str">
            <v>du</v>
          </cell>
          <cell r="E1613" t="str">
            <v>lien commercial</v>
          </cell>
          <cell r="F1613" t="str">
            <v>avec</v>
          </cell>
          <cell r="G1613" t="str">
            <v>courtier</v>
          </cell>
        </row>
        <row r="1614">
          <cell r="D1614" t="str">
            <v>du</v>
          </cell>
          <cell r="E1614" t="str">
            <v>contrat</v>
          </cell>
          <cell r="F1614" t="str">
            <v>de</v>
          </cell>
          <cell r="G1614" t="str">
            <v>courtier</v>
          </cell>
        </row>
        <row r="1615">
          <cell r="D1615" t="str">
            <v>du</v>
          </cell>
          <cell r="E1615" t="str">
            <v>contrat</v>
          </cell>
        </row>
        <row r="1616">
          <cell r="C1616" t="str">
            <v>référence</v>
          </cell>
          <cell r="D1616" t="str">
            <v>du</v>
          </cell>
          <cell r="E1616" t="str">
            <v>contrat</v>
          </cell>
        </row>
        <row r="1617">
          <cell r="C1617" t="str">
            <v>référence</v>
          </cell>
          <cell r="D1617" t="str">
            <v>du</v>
          </cell>
          <cell r="E1617" t="str">
            <v>contrat</v>
          </cell>
          <cell r="F1617" t="str">
            <v>du</v>
          </cell>
          <cell r="G1617" t="str">
            <v>courtier</v>
          </cell>
        </row>
        <row r="1618">
          <cell r="D1618" t="str">
            <v>du</v>
          </cell>
          <cell r="E1618" t="str">
            <v>contrat</v>
          </cell>
          <cell r="F1618" t="str">
            <v>du</v>
          </cell>
          <cell r="G1618" t="str">
            <v>courtier</v>
          </cell>
        </row>
        <row r="1619">
          <cell r="D1619" t="str">
            <v>de la</v>
          </cell>
          <cell r="E1619" t="str">
            <v>commission d'apport</v>
          </cell>
        </row>
        <row r="1620">
          <cell r="D1620" t="str">
            <v>de la</v>
          </cell>
          <cell r="E1620" t="str">
            <v>commission de gestion</v>
          </cell>
        </row>
        <row r="1621">
          <cell r="D1621" t="str">
            <v xml:space="preserve"> </v>
          </cell>
          <cell r="E1621" t="str">
            <v>affaire</v>
          </cell>
        </row>
        <row r="1622">
          <cell r="D1622" t="str">
            <v>du</v>
          </cell>
          <cell r="E1622" t="str">
            <v>secteur d'activité</v>
          </cell>
        </row>
        <row r="1623">
          <cell r="D1623" t="str">
            <v>de la</v>
          </cell>
          <cell r="E1623" t="str">
            <v>norme</v>
          </cell>
        </row>
        <row r="1624">
          <cell r="D1624" t="str">
            <v xml:space="preserve"> </v>
          </cell>
          <cell r="E1624" t="str">
            <v>websin</v>
          </cell>
        </row>
        <row r="1625">
          <cell r="D1625" t="str">
            <v>de la</v>
          </cell>
          <cell r="E1625" t="str">
            <v>classification</v>
          </cell>
          <cell r="F1625" t="str">
            <v>du</v>
          </cell>
          <cell r="G1625" t="str">
            <v>contrat</v>
          </cell>
          <cell r="H1625" t="str">
            <v>du</v>
          </cell>
          <cell r="I1625" t="str">
            <v>courtier</v>
          </cell>
        </row>
        <row r="1626">
          <cell r="D1626" t="str">
            <v>d'</v>
          </cell>
          <cell r="E1626" t="str">
            <v>offre</v>
          </cell>
        </row>
        <row r="1627">
          <cell r="D1627" t="str">
            <v>du</v>
          </cell>
          <cell r="E1627" t="str">
            <v>contrat</v>
          </cell>
        </row>
        <row r="1628">
          <cell r="C1628" t="str">
            <v>principal</v>
          </cell>
          <cell r="D1628" t="str">
            <v>du</v>
          </cell>
          <cell r="E1628" t="str">
            <v>contrat</v>
          </cell>
        </row>
        <row r="1629">
          <cell r="D1629" t="str">
            <v>du</v>
          </cell>
          <cell r="E1629" t="str">
            <v>mode de fractionnement</v>
          </cell>
        </row>
        <row r="1630">
          <cell r="D1630" t="str">
            <v>de la</v>
          </cell>
          <cell r="E1630" t="str">
            <v>période liée</v>
          </cell>
          <cell r="F1630" t="str">
            <v>à la</v>
          </cell>
          <cell r="G1630" t="str">
            <v>prime</v>
          </cell>
        </row>
        <row r="1631">
          <cell r="D1631" t="str">
            <v>de la</v>
          </cell>
          <cell r="E1631" t="str">
            <v>période liée</v>
          </cell>
          <cell r="F1631" t="str">
            <v>à la</v>
          </cell>
          <cell r="G1631" t="str">
            <v>prime</v>
          </cell>
        </row>
        <row r="1632">
          <cell r="D1632" t="str">
            <v>de la</v>
          </cell>
          <cell r="E1632" t="str">
            <v>situation</v>
          </cell>
          <cell r="F1632" t="str">
            <v>du</v>
          </cell>
          <cell r="G1632" t="str">
            <v>contrat</v>
          </cell>
        </row>
        <row r="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row>
        <row r="1635">
          <cell r="D1635" t="str">
            <v>de la</v>
          </cell>
          <cell r="E1635" t="str">
            <v>police mère</v>
          </cell>
        </row>
        <row r="1636">
          <cell r="D1636" t="str">
            <v>du</v>
          </cell>
          <cell r="E1636" t="str">
            <v>produit associé</v>
          </cell>
          <cell r="F1636" t="str">
            <v>de la</v>
          </cell>
          <cell r="G1636" t="str">
            <v>police mère</v>
          </cell>
        </row>
        <row r="1637">
          <cell r="D1637" t="str">
            <v>du</v>
          </cell>
          <cell r="E1637" t="str">
            <v>type</v>
          </cell>
          <cell r="F1637" t="str">
            <v>d'</v>
          </cell>
          <cell r="G1637" t="str">
            <v>opération</v>
          </cell>
          <cell r="H1637" t="str">
            <v>sur le</v>
          </cell>
          <cell r="I1637" t="str">
            <v>contrat</v>
          </cell>
        </row>
        <row r="1638">
          <cell r="D1638" t="str">
            <v>du</v>
          </cell>
          <cell r="E1638" t="str">
            <v>contrat</v>
          </cell>
        </row>
        <row r="1639">
          <cell r="D1639" t="str">
            <v>du</v>
          </cell>
          <cell r="E1639" t="str">
            <v>contrat</v>
          </cell>
        </row>
        <row r="1640">
          <cell r="D1640" t="str">
            <v>de</v>
          </cell>
          <cell r="E1640" t="str">
            <v>renseignement complémentaire</v>
          </cell>
          <cell r="F1640" t="str">
            <v>sur l'</v>
          </cell>
          <cell r="G1640" t="str">
            <v>opération saisie</v>
          </cell>
        </row>
        <row r="1641">
          <cell r="D1641" t="str">
            <v>du</v>
          </cell>
          <cell r="E1641" t="str">
            <v>contrat</v>
          </cell>
        </row>
        <row r="1642">
          <cell r="D1642" t="str">
            <v>du</v>
          </cell>
          <cell r="E1642" t="str">
            <v>contrat</v>
          </cell>
        </row>
        <row r="1643">
          <cell r="D1643" t="str">
            <v>de</v>
          </cell>
          <cell r="E1643" t="str">
            <v>mise en demeure</v>
          </cell>
        </row>
        <row r="1644">
          <cell r="D1644" t="str">
            <v>de la</v>
          </cell>
          <cell r="E1644" t="str">
            <v>réduction commerciale</v>
          </cell>
        </row>
        <row r="1645">
          <cell r="D1645" t="str">
            <v>de la</v>
          </cell>
          <cell r="E1645" t="str">
            <v>réduction commerciale</v>
          </cell>
        </row>
        <row r="1646">
          <cell r="D1646" t="str">
            <v>de la</v>
          </cell>
          <cell r="E1646" t="str">
            <v>réduction commerciale</v>
          </cell>
        </row>
        <row r="1647">
          <cell r="D1647" t="str">
            <v>du</v>
          </cell>
          <cell r="E1647" t="str">
            <v>mode de règlement</v>
          </cell>
        </row>
        <row r="1648">
          <cell r="D1648" t="str">
            <v>du</v>
          </cell>
          <cell r="E1648" t="str">
            <v>CRM</v>
          </cell>
          <cell r="F1648" t="str">
            <v>de</v>
          </cell>
          <cell r="G1648" t="str">
            <v>tarification</v>
          </cell>
        </row>
        <row r="1649">
          <cell r="D1649" t="str">
            <v>de la</v>
          </cell>
          <cell r="E1649" t="str">
            <v>franchise de malus</v>
          </cell>
        </row>
        <row r="1650">
          <cell r="D1650" t="str">
            <v>de</v>
          </cell>
          <cell r="E1650" t="str">
            <v>majoration</v>
          </cell>
          <cell r="F1650" t="str">
            <v>en</v>
          </cell>
          <cell r="G1650" t="str">
            <v>risque aggravé</v>
          </cell>
        </row>
        <row r="1651">
          <cell r="D1651" t="str">
            <v>de</v>
          </cell>
          <cell r="E1651" t="str">
            <v>contrat</v>
          </cell>
          <cell r="F1651" t="str">
            <v xml:space="preserve"> </v>
          </cell>
          <cell r="G1651" t="str">
            <v>carence locative</v>
          </cell>
        </row>
        <row r="1652">
          <cell r="D1652" t="str">
            <v xml:space="preserve"> </v>
          </cell>
          <cell r="E1652" t="str">
            <v>pack insécable</v>
          </cell>
        </row>
        <row r="1653">
          <cell r="D1653" t="str">
            <v>de la</v>
          </cell>
          <cell r="E1653" t="str">
            <v>garantie</v>
          </cell>
          <cell r="F1653" t="str">
            <v>de</v>
          </cell>
          <cell r="G1653" t="str">
            <v>courtier</v>
          </cell>
        </row>
        <row r="1654">
          <cell r="D1654" t="str">
            <v>de la</v>
          </cell>
          <cell r="E1654" t="str">
            <v>garantie</v>
          </cell>
        </row>
        <row r="1655">
          <cell r="D1655" t="str">
            <v>de la</v>
          </cell>
          <cell r="E1655" t="str">
            <v>garantie</v>
          </cell>
        </row>
        <row r="1656">
          <cell r="D1656" t="str">
            <v>de la</v>
          </cell>
          <cell r="E1656" t="str">
            <v>garantie</v>
          </cell>
        </row>
        <row r="1657">
          <cell r="D1657" t="str">
            <v>de la</v>
          </cell>
          <cell r="E1657" t="str">
            <v>garantie</v>
          </cell>
        </row>
        <row r="1658">
          <cell r="D1658" t="str">
            <v>de la</v>
          </cell>
          <cell r="E1658" t="str">
            <v>prime</v>
          </cell>
          <cell r="F1658" t="str">
            <v>de</v>
          </cell>
          <cell r="G1658" t="str">
            <v>courtier</v>
          </cell>
        </row>
        <row r="1659">
          <cell r="D1659" t="str">
            <v>de la</v>
          </cell>
          <cell r="E1659" t="str">
            <v>prime</v>
          </cell>
        </row>
        <row r="1660">
          <cell r="C1660" t="str">
            <v>relation</v>
          </cell>
          <cell r="D1660" t="str">
            <v>entre</v>
          </cell>
          <cell r="E1660" t="str">
            <v>garantie</v>
          </cell>
          <cell r="F1660" t="str">
            <v>et</v>
          </cell>
          <cell r="G1660" t="str">
            <v>prime</v>
          </cell>
        </row>
        <row r="1661">
          <cell r="C1661" t="str">
            <v>relation</v>
          </cell>
          <cell r="D1661" t="str">
            <v>entre</v>
          </cell>
          <cell r="E1661" t="str">
            <v>garantie</v>
          </cell>
          <cell r="F1661" t="str">
            <v>et</v>
          </cell>
          <cell r="G1661" t="str">
            <v>prime</v>
          </cell>
        </row>
        <row r="1662">
          <cell r="D1662" t="str">
            <v>de la</v>
          </cell>
          <cell r="E1662" t="str">
            <v>couverture</v>
          </cell>
          <cell r="F1662" t="str">
            <v>de la</v>
          </cell>
          <cell r="G1662" t="str">
            <v>garantie</v>
          </cell>
        </row>
        <row r="1663">
          <cell r="D1663" t="str">
            <v>de la</v>
          </cell>
          <cell r="E1663" t="str">
            <v>couverture</v>
          </cell>
          <cell r="F1663" t="str">
            <v>de la</v>
          </cell>
          <cell r="G1663" t="str">
            <v>garantie</v>
          </cell>
        </row>
        <row r="1664">
          <cell r="C1664" t="str">
            <v>émission</v>
          </cell>
          <cell r="D1664" t="str">
            <v>de la</v>
          </cell>
          <cell r="E1664" t="str">
            <v>prime</v>
          </cell>
        </row>
        <row r="1665">
          <cell r="D1665" t="str">
            <v>de la</v>
          </cell>
          <cell r="E1665" t="str">
            <v>prime émise</v>
          </cell>
        </row>
        <row r="1666">
          <cell r="D1666" t="str">
            <v>de la</v>
          </cell>
          <cell r="E1666" t="str">
            <v>prime émise</v>
          </cell>
        </row>
        <row r="1667">
          <cell r="D1667" t="str">
            <v>du</v>
          </cell>
          <cell r="E1667" t="str">
            <v>coût de police</v>
          </cell>
          <cell r="F1667" t="str">
            <v>de la</v>
          </cell>
          <cell r="G1667" t="str">
            <v>prime émise</v>
          </cell>
        </row>
        <row r="1668">
          <cell r="D1668" t="str">
            <v>du</v>
          </cell>
          <cell r="E1668" t="str">
            <v>coût de police</v>
          </cell>
          <cell r="F1668" t="str">
            <v>de la</v>
          </cell>
          <cell r="G1668" t="str">
            <v>prime émise</v>
          </cell>
        </row>
        <row r="1669">
          <cell r="D1669" t="str">
            <v>de la</v>
          </cell>
          <cell r="E1669" t="str">
            <v>commission d'apport</v>
          </cell>
          <cell r="F1669" t="str">
            <v>de la</v>
          </cell>
          <cell r="G1669" t="str">
            <v>prime émise</v>
          </cell>
        </row>
        <row r="1670">
          <cell r="D1670" t="str">
            <v>de la</v>
          </cell>
          <cell r="E1670" t="str">
            <v>commission d'apport</v>
          </cell>
          <cell r="F1670" t="str">
            <v>de la</v>
          </cell>
          <cell r="G1670" t="str">
            <v>prime émise</v>
          </cell>
        </row>
        <row r="1671">
          <cell r="D1671" t="str">
            <v>de la</v>
          </cell>
          <cell r="E1671" t="str">
            <v>commission de gestion</v>
          </cell>
          <cell r="F1671" t="str">
            <v>de la</v>
          </cell>
          <cell r="G1671" t="str">
            <v>prime émise</v>
          </cell>
        </row>
        <row r="1672">
          <cell r="D1672" t="str">
            <v>de la</v>
          </cell>
          <cell r="E1672" t="str">
            <v>commission de gestion</v>
          </cell>
          <cell r="F1672" t="str">
            <v>de la</v>
          </cell>
          <cell r="G1672" t="str">
            <v>prime émise</v>
          </cell>
        </row>
        <row r="1673">
          <cell r="D1673" t="str">
            <v>de la</v>
          </cell>
          <cell r="E1673" t="str">
            <v>taxe</v>
          </cell>
          <cell r="F1673" t="str">
            <v>de la</v>
          </cell>
          <cell r="G1673" t="str">
            <v>prime émise</v>
          </cell>
        </row>
        <row r="1674">
          <cell r="D1674" t="str">
            <v>de la</v>
          </cell>
          <cell r="E1674" t="str">
            <v>taxe</v>
          </cell>
          <cell r="F1674" t="str">
            <v>de la</v>
          </cell>
          <cell r="G1674" t="str">
            <v>prime émise</v>
          </cell>
        </row>
        <row r="1675">
          <cell r="D1675" t="str">
            <v>de la</v>
          </cell>
          <cell r="E1675" t="str">
            <v>taxe</v>
          </cell>
          <cell r="F1675" t="str">
            <v>de la</v>
          </cell>
          <cell r="G1675" t="str">
            <v>prime émise</v>
          </cell>
        </row>
        <row r="1676">
          <cell r="D1676" t="str">
            <v>de</v>
          </cell>
          <cell r="E1676" t="str">
            <v>quittance</v>
          </cell>
        </row>
        <row r="1677">
          <cell r="C1677" t="str">
            <v>encaissement</v>
          </cell>
          <cell r="D1677" t="str">
            <v>de la</v>
          </cell>
          <cell r="E1677" t="str">
            <v>prime</v>
          </cell>
        </row>
        <row r="1678">
          <cell r="C1678" t="str">
            <v>encaissement</v>
          </cell>
          <cell r="D1678" t="str">
            <v>chez</v>
          </cell>
          <cell r="E1678" t="str">
            <v>Sérénis</v>
          </cell>
          <cell r="F1678" t="str">
            <v>de la</v>
          </cell>
          <cell r="G1678" t="str">
            <v>prime</v>
          </cell>
        </row>
        <row r="1679">
          <cell r="C1679" t="str">
            <v>TTC</v>
          </cell>
          <cell r="D1679" t="str">
            <v>de la</v>
          </cell>
          <cell r="E1679" t="str">
            <v>prime encaissée</v>
          </cell>
        </row>
        <row r="1680">
          <cell r="D1680" t="str">
            <v>de la</v>
          </cell>
          <cell r="E1680" t="str">
            <v>prime encaissée</v>
          </cell>
        </row>
        <row r="1681">
          <cell r="D1681" t="str">
            <v>du</v>
          </cell>
          <cell r="E1681" t="str">
            <v>coût de police</v>
          </cell>
          <cell r="F1681" t="str">
            <v>de la</v>
          </cell>
          <cell r="G1681" t="str">
            <v>prime encaissée</v>
          </cell>
        </row>
        <row r="1682">
          <cell r="D1682" t="str">
            <v>du</v>
          </cell>
          <cell r="E1682" t="str">
            <v>coût de police</v>
          </cell>
          <cell r="F1682" t="str">
            <v>de la</v>
          </cell>
          <cell r="G1682" t="str">
            <v>prime encaissée</v>
          </cell>
        </row>
        <row r="1683">
          <cell r="D1683" t="str">
            <v>de la</v>
          </cell>
          <cell r="E1683" t="str">
            <v>commission d'apport</v>
          </cell>
          <cell r="F1683" t="str">
            <v>de la</v>
          </cell>
          <cell r="G1683" t="str">
            <v>prime encaissée</v>
          </cell>
        </row>
        <row r="1684">
          <cell r="D1684" t="str">
            <v>de la</v>
          </cell>
          <cell r="E1684" t="str">
            <v>commission d'apport</v>
          </cell>
          <cell r="F1684" t="str">
            <v>de la</v>
          </cell>
          <cell r="G1684" t="str">
            <v>prime encaissée</v>
          </cell>
        </row>
        <row r="1685">
          <cell r="D1685" t="str">
            <v>de la</v>
          </cell>
          <cell r="E1685" t="str">
            <v>commission de gestion</v>
          </cell>
          <cell r="F1685" t="str">
            <v>de la</v>
          </cell>
          <cell r="G1685" t="str">
            <v>prime encaissée</v>
          </cell>
        </row>
        <row r="1686">
          <cell r="D1686" t="str">
            <v>de la</v>
          </cell>
          <cell r="E1686" t="str">
            <v>commission de gestion</v>
          </cell>
          <cell r="F1686" t="str">
            <v>de la</v>
          </cell>
          <cell r="G1686" t="str">
            <v>prime encaissée</v>
          </cell>
        </row>
        <row r="1687">
          <cell r="D1687" t="str">
            <v>de la</v>
          </cell>
          <cell r="E1687" t="str">
            <v>taxe</v>
          </cell>
          <cell r="F1687" t="str">
            <v>de la</v>
          </cell>
          <cell r="G1687" t="str">
            <v>prime encaissée</v>
          </cell>
        </row>
        <row r="1688">
          <cell r="D1688" t="str">
            <v>de la</v>
          </cell>
          <cell r="E1688" t="str">
            <v>taxe</v>
          </cell>
          <cell r="F1688" t="str">
            <v>de la</v>
          </cell>
          <cell r="G1688" t="str">
            <v>prime encaissée</v>
          </cell>
        </row>
        <row r="1689">
          <cell r="D1689" t="str">
            <v>de la</v>
          </cell>
          <cell r="E1689" t="str">
            <v>taxe</v>
          </cell>
          <cell r="F1689" t="str">
            <v>de la</v>
          </cell>
          <cell r="G1689" t="str">
            <v>prime encaissée</v>
          </cell>
        </row>
        <row r="1690">
          <cell r="D1690" t="str">
            <v>de</v>
          </cell>
          <cell r="E1690" t="str">
            <v>bordereau comptable</v>
          </cell>
        </row>
        <row r="1691">
          <cell r="D1691" t="str">
            <v>du</v>
          </cell>
          <cell r="E1691" t="str">
            <v>sinistre</v>
          </cell>
          <cell r="F1691" t="str">
            <v>de</v>
          </cell>
          <cell r="G1691" t="str">
            <v>courtier</v>
          </cell>
        </row>
        <row r="1692">
          <cell r="D1692" t="str">
            <v>du</v>
          </cell>
          <cell r="E1692" t="str">
            <v>sinistre</v>
          </cell>
          <cell r="F1692" t="str">
            <v>du</v>
          </cell>
          <cell r="G1692" t="str">
            <v>courtier</v>
          </cell>
        </row>
        <row r="1693">
          <cell r="D1693" t="str">
            <v>du</v>
          </cell>
          <cell r="E1693" t="str">
            <v>sinistre</v>
          </cell>
          <cell r="F1693" t="str">
            <v>de</v>
          </cell>
          <cell r="G1693" t="str">
            <v>Sérénis</v>
          </cell>
        </row>
        <row r="1694">
          <cell r="D1694" t="str">
            <v>du</v>
          </cell>
          <cell r="E1694" t="str">
            <v>gestionnaire</v>
          </cell>
          <cell r="F1694" t="str">
            <v>du</v>
          </cell>
          <cell r="G1694" t="str">
            <v>sinistre</v>
          </cell>
        </row>
        <row r="1695">
          <cell r="D1695" t="str">
            <v>de la</v>
          </cell>
          <cell r="E1695" t="str">
            <v>situation</v>
          </cell>
          <cell r="F1695" t="str">
            <v>du</v>
          </cell>
          <cell r="G1695" t="str">
            <v>sinistre</v>
          </cell>
        </row>
        <row r="1696">
          <cell r="D1696" t="str">
            <v>de la</v>
          </cell>
          <cell r="E1696" t="str">
            <v>nature</v>
          </cell>
          <cell r="F1696" t="str">
            <v>du</v>
          </cell>
          <cell r="G1696" t="str">
            <v>sinistre</v>
          </cell>
        </row>
        <row r="1697">
          <cell r="D1697" t="str">
            <v>de la</v>
          </cell>
          <cell r="E1697" t="str">
            <v>sous-nature</v>
          </cell>
          <cell r="F1697" t="str">
            <v>du</v>
          </cell>
          <cell r="G1697" t="str">
            <v>sinistre</v>
          </cell>
        </row>
        <row r="1698">
          <cell r="D1698" t="str">
            <v>du</v>
          </cell>
          <cell r="E1698" t="str">
            <v>sinistre</v>
          </cell>
        </row>
        <row r="1699">
          <cell r="D1699" t="str">
            <v>de l'</v>
          </cell>
          <cell r="E1699" t="str">
            <v>accord de gestion</v>
          </cell>
        </row>
        <row r="1700">
          <cell r="D1700" t="str">
            <v>du</v>
          </cell>
          <cell r="E1700" t="str">
            <v>type</v>
          </cell>
          <cell r="F1700" t="str">
            <v>d'</v>
          </cell>
          <cell r="G1700" t="str">
            <v>opération</v>
          </cell>
          <cell r="H1700" t="str">
            <v>sur le</v>
          </cell>
          <cell r="I1700" t="str">
            <v>sinistre</v>
          </cell>
        </row>
        <row r="1701">
          <cell r="D1701" t="str">
            <v>du</v>
          </cell>
          <cell r="E1701" t="str">
            <v>règlement</v>
          </cell>
          <cell r="F1701" t="str">
            <v>de</v>
          </cell>
          <cell r="G1701" t="str">
            <v>courtier</v>
          </cell>
        </row>
        <row r="1702">
          <cell r="D1702" t="str">
            <v>du</v>
          </cell>
          <cell r="E1702" t="str">
            <v>règlement</v>
          </cell>
        </row>
        <row r="1703">
          <cell r="D1703" t="str">
            <v>de</v>
          </cell>
          <cell r="E1703" t="str">
            <v>règlement</v>
          </cell>
        </row>
        <row r="1704">
          <cell r="D1704" t="str">
            <v>de la</v>
          </cell>
          <cell r="E1704" t="str">
            <v>catégorie</v>
          </cell>
          <cell r="F1704" t="str">
            <v>d'</v>
          </cell>
          <cell r="G1704" t="str">
            <v>expert concerné</v>
          </cell>
        </row>
        <row r="1705">
          <cell r="C1705" t="str">
            <v>ordre</v>
          </cell>
          <cell r="D1705" t="str">
            <v>de l'</v>
          </cell>
          <cell r="E1705" t="str">
            <v>opération saisie</v>
          </cell>
          <cell r="F1705" t="str">
            <v>par le</v>
          </cell>
          <cell r="G1705" t="str">
            <v>courtier</v>
          </cell>
        </row>
        <row r="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row>
        <row r="1708">
          <cell r="D1708" t="str">
            <v>du</v>
          </cell>
          <cell r="E1708" t="str">
            <v>règlement</v>
          </cell>
        </row>
        <row r="1709">
          <cell r="D1709" t="str">
            <v>du</v>
          </cell>
          <cell r="E1709" t="str">
            <v>règlement</v>
          </cell>
        </row>
        <row r="1710">
          <cell r="D1710" t="str">
            <v>de</v>
          </cell>
          <cell r="E1710" t="str">
            <v>provisionnement</v>
          </cell>
          <cell r="F1710" t="str">
            <v>du</v>
          </cell>
          <cell r="G1710" t="str">
            <v>sinistre</v>
          </cell>
        </row>
        <row r="1711">
          <cell r="D1711" t="str">
            <v>de</v>
          </cell>
          <cell r="E1711" t="str">
            <v>provisionnement</v>
          </cell>
          <cell r="F1711" t="str">
            <v>du</v>
          </cell>
          <cell r="G1711" t="str">
            <v>sinistre</v>
          </cell>
        </row>
        <row r="1712">
          <cell r="D1712" t="str">
            <v>de</v>
          </cell>
          <cell r="E1712" t="str">
            <v>franchise</v>
          </cell>
        </row>
        <row r="1713">
          <cell r="D1713" t="str">
            <v>de</v>
          </cell>
          <cell r="E1713" t="str">
            <v>franchise</v>
          </cell>
        </row>
        <row r="1714">
          <cell r="D1714" t="str">
            <v>des</v>
          </cell>
          <cell r="E1714" t="str">
            <v>honoraires expert</v>
          </cell>
        </row>
        <row r="1715">
          <cell r="D1715" t="str">
            <v>des</v>
          </cell>
          <cell r="E1715" t="str">
            <v>honoraires expert</v>
          </cell>
        </row>
        <row r="1716">
          <cell r="D1716" t="str">
            <v>des</v>
          </cell>
          <cell r="E1716" t="str">
            <v>frais experts</v>
          </cell>
        </row>
        <row r="1717">
          <cell r="D1717" t="str">
            <v>des</v>
          </cell>
          <cell r="E1717" t="str">
            <v>frais experts</v>
          </cell>
        </row>
        <row r="1718">
          <cell r="D1718" t="str">
            <v>de l'</v>
          </cell>
          <cell r="E1718" t="str">
            <v>objet assuré</v>
          </cell>
          <cell r="F1718" t="str">
            <v>de</v>
          </cell>
          <cell r="G1718" t="str">
            <v>courtier</v>
          </cell>
        </row>
        <row r="1719">
          <cell r="C1719" t="str">
            <v>référence</v>
          </cell>
          <cell r="D1719" t="str">
            <v>de l'</v>
          </cell>
          <cell r="E1719" t="str">
            <v>objet assuré</v>
          </cell>
        </row>
        <row r="1720">
          <cell r="D1720" t="str">
            <v>de l'</v>
          </cell>
          <cell r="E1720" t="str">
            <v>objet assuré</v>
          </cell>
        </row>
        <row r="1721">
          <cell r="D1721" t="str">
            <v>d'</v>
          </cell>
          <cell r="E1721" t="str">
            <v>exonération taxe</v>
          </cell>
          <cell r="F1721" t="str">
            <v>en</v>
          </cell>
          <cell r="G1721" t="str">
            <v>France</v>
          </cell>
        </row>
        <row r="1722">
          <cell r="D1722" t="str">
            <v>du</v>
          </cell>
          <cell r="E1722" t="str">
            <v>véhicule</v>
          </cell>
          <cell r="F1722" t="str">
            <v>de</v>
          </cell>
          <cell r="G1722" t="str">
            <v>courtier</v>
          </cell>
        </row>
        <row r="1723">
          <cell r="D1723" t="str">
            <v>du</v>
          </cell>
          <cell r="E1723" t="str">
            <v>véhicule</v>
          </cell>
        </row>
        <row r="1724">
          <cell r="D1724" t="str">
            <v>du</v>
          </cell>
          <cell r="E1724" t="str">
            <v>pays</v>
          </cell>
          <cell r="F1724" t="str">
            <v>d'</v>
          </cell>
          <cell r="G1724" t="str">
            <v>immatriculation</v>
          </cell>
          <cell r="H1724" t="str">
            <v>du</v>
          </cell>
          <cell r="I1724" t="str">
            <v>véhicule</v>
          </cell>
        </row>
        <row r="1725">
          <cell r="D1725" t="str">
            <v>de l'</v>
          </cell>
          <cell r="E1725" t="str">
            <v>immatriculation</v>
          </cell>
          <cell r="F1725" t="str">
            <v>du</v>
          </cell>
          <cell r="G1725" t="str">
            <v>véhicule</v>
          </cell>
        </row>
        <row r="1726">
          <cell r="C1726" t="str">
            <v>série</v>
          </cell>
          <cell r="D1726" t="str">
            <v>du</v>
          </cell>
          <cell r="E1726" t="str">
            <v>véhicule</v>
          </cell>
        </row>
        <row r="1727">
          <cell r="D1727" t="str">
            <v>de la</v>
          </cell>
          <cell r="E1727" t="str">
            <v>marque</v>
          </cell>
          <cell r="F1727" t="str">
            <v>du</v>
          </cell>
          <cell r="G1727" t="str">
            <v>véhicule</v>
          </cell>
        </row>
        <row r="1728">
          <cell r="D1728" t="str">
            <v>du</v>
          </cell>
          <cell r="E1728" t="str">
            <v>modèle</v>
          </cell>
          <cell r="F1728" t="str">
            <v>du</v>
          </cell>
          <cell r="G1728" t="str">
            <v>véhicule</v>
          </cell>
        </row>
        <row r="1729">
          <cell r="D1729" t="str">
            <v>de la</v>
          </cell>
          <cell r="E1729" t="str">
            <v>catégorie</v>
          </cell>
          <cell r="F1729" t="str">
            <v>du</v>
          </cell>
          <cell r="G1729" t="str">
            <v>véhicule</v>
          </cell>
        </row>
        <row r="1730">
          <cell r="D1730" t="str">
            <v>d'</v>
          </cell>
          <cell r="E1730" t="str">
            <v>identification SRA</v>
          </cell>
          <cell r="F1730" t="str">
            <v>du</v>
          </cell>
          <cell r="G1730" t="str">
            <v>véhicule</v>
          </cell>
        </row>
        <row r="1731">
          <cell r="D1731" t="str">
            <v>de la</v>
          </cell>
          <cell r="E1731" t="str">
            <v>classe</v>
          </cell>
          <cell r="F1731" t="str">
            <v>du</v>
          </cell>
          <cell r="G1731" t="str">
            <v>véhicule</v>
          </cell>
        </row>
        <row r="1732">
          <cell r="D1732" t="str">
            <v>du</v>
          </cell>
          <cell r="E1732" t="str">
            <v>groupe</v>
          </cell>
          <cell r="F1732" t="str">
            <v>de</v>
          </cell>
          <cell r="G1732" t="str">
            <v>véhicule</v>
          </cell>
        </row>
        <row r="1733">
          <cell r="D1733" t="str">
            <v>de la</v>
          </cell>
          <cell r="E1733" t="str">
            <v>CNIT</v>
          </cell>
          <cell r="F1733" t="str">
            <v>du</v>
          </cell>
          <cell r="G1733" t="str">
            <v>véhicule</v>
          </cell>
        </row>
        <row r="1734">
          <cell r="D1734" t="str">
            <v>du</v>
          </cell>
          <cell r="E1734" t="str">
            <v>genre</v>
          </cell>
          <cell r="F1734" t="str">
            <v>de</v>
          </cell>
          <cell r="G1734" t="str">
            <v>véhicule</v>
          </cell>
        </row>
        <row r="1735">
          <cell r="D1735" t="str">
            <v>de la</v>
          </cell>
          <cell r="E1735" t="str">
            <v>cylindrée</v>
          </cell>
          <cell r="F1735" t="str">
            <v>du</v>
          </cell>
          <cell r="G1735" t="str">
            <v>véhicule</v>
          </cell>
        </row>
        <row r="1736">
          <cell r="D1736" t="str">
            <v>du</v>
          </cell>
          <cell r="E1736" t="str">
            <v>PTAC</v>
          </cell>
          <cell r="F1736" t="str">
            <v>du</v>
          </cell>
          <cell r="G1736" t="str">
            <v>véhicule</v>
          </cell>
        </row>
        <row r="1737">
          <cell r="D1737" t="str">
            <v>de la</v>
          </cell>
          <cell r="E1737" t="str">
            <v>puissance fiscale</v>
          </cell>
          <cell r="F1737" t="str">
            <v>du</v>
          </cell>
          <cell r="G1737" t="str">
            <v>véhicule</v>
          </cell>
        </row>
        <row r="1738">
          <cell r="D1738" t="str">
            <v>de la</v>
          </cell>
          <cell r="E1738" t="str">
            <v>première mise en circulation</v>
          </cell>
          <cell r="F1738" t="str">
            <v>du</v>
          </cell>
          <cell r="G1738" t="str">
            <v>véhicule</v>
          </cell>
        </row>
        <row r="1739">
          <cell r="C1739" t="str">
            <v>acquisition</v>
          </cell>
          <cell r="D1739" t="str">
            <v>du</v>
          </cell>
          <cell r="E1739" t="str">
            <v>véhicule</v>
          </cell>
        </row>
        <row r="1740">
          <cell r="D1740" t="str">
            <v>de</v>
          </cell>
          <cell r="E1740" t="str">
            <v>valeur assurée</v>
          </cell>
          <cell r="F1740" t="str">
            <v>du</v>
          </cell>
          <cell r="G1740" t="str">
            <v>véhicule</v>
          </cell>
        </row>
        <row r="1741">
          <cell r="C1741" t="str">
            <v>assurée</v>
          </cell>
          <cell r="D1741" t="str">
            <v>du</v>
          </cell>
          <cell r="E1741" t="str">
            <v>véhicule</v>
          </cell>
        </row>
        <row r="1742">
          <cell r="D1742" t="str">
            <v>de</v>
          </cell>
          <cell r="E1742" t="str">
            <v>valeur assurée</v>
          </cell>
          <cell r="F1742" t="str">
            <v>du</v>
          </cell>
          <cell r="G1742" t="str">
            <v>véhicule</v>
          </cell>
        </row>
        <row r="1743">
          <cell r="D1743" t="str">
            <v>d'</v>
          </cell>
          <cell r="E1743" t="str">
            <v>usage</v>
          </cell>
          <cell r="F1743" t="str">
            <v>du</v>
          </cell>
          <cell r="G1743" t="str">
            <v>véhicule</v>
          </cell>
        </row>
        <row r="1744">
          <cell r="D1744" t="str">
            <v>de la</v>
          </cell>
          <cell r="E1744" t="str">
            <v>franchise garantie dommage mini</v>
          </cell>
          <cell r="F1744" t="str">
            <v>du</v>
          </cell>
          <cell r="G1744" t="str">
            <v>véhicule</v>
          </cell>
        </row>
        <row r="1745">
          <cell r="D1745" t="str">
            <v>de la</v>
          </cell>
          <cell r="E1745" t="str">
            <v>franchise garantie dommage mini</v>
          </cell>
          <cell r="F1745" t="str">
            <v>du</v>
          </cell>
          <cell r="G1745" t="str">
            <v>véhicule</v>
          </cell>
        </row>
        <row r="1746">
          <cell r="D1746" t="str">
            <v>de la</v>
          </cell>
          <cell r="E1746" t="str">
            <v>franchise garantie dommage maxi</v>
          </cell>
          <cell r="F1746" t="str">
            <v>du</v>
          </cell>
          <cell r="G1746" t="str">
            <v>véhicule</v>
          </cell>
        </row>
        <row r="1747">
          <cell r="D1747" t="str">
            <v>de la</v>
          </cell>
          <cell r="E1747" t="str">
            <v>franchise garantie dommage maxi</v>
          </cell>
          <cell r="F1747" t="str">
            <v>du</v>
          </cell>
          <cell r="G1747" t="str">
            <v>véhicule</v>
          </cell>
        </row>
        <row r="1748">
          <cell r="D1748" t="str">
            <v>de la</v>
          </cell>
          <cell r="E1748" t="str">
            <v>franchise</v>
          </cell>
          <cell r="F1748" t="str">
            <v>du</v>
          </cell>
          <cell r="G1748" t="str">
            <v>véhicule</v>
          </cell>
        </row>
        <row r="1749">
          <cell r="D1749" t="str">
            <v>de l'</v>
          </cell>
          <cell r="E1749" t="str">
            <v>kilomètre</v>
          </cell>
          <cell r="F1749" t="str">
            <v>du</v>
          </cell>
          <cell r="G1749" t="str">
            <v>véhicule</v>
          </cell>
        </row>
        <row r="1750">
          <cell r="D1750" t="str">
            <v>du</v>
          </cell>
          <cell r="E1750" t="str">
            <v>kilométrage au compteur</v>
          </cell>
          <cell r="F1750" t="str">
            <v>du</v>
          </cell>
          <cell r="G1750" t="str">
            <v>véhicule</v>
          </cell>
        </row>
        <row r="1751">
          <cell r="D1751" t="str">
            <v xml:space="preserve"> </v>
          </cell>
          <cell r="E1751" t="str">
            <v>protection vol</v>
          </cell>
          <cell r="F1751" t="str">
            <v>du</v>
          </cell>
          <cell r="G1751" t="str">
            <v>véhicule</v>
          </cell>
        </row>
        <row r="1752">
          <cell r="D1752" t="str">
            <v xml:space="preserve"> </v>
          </cell>
          <cell r="E1752" t="str">
            <v>véhicule ou embarcation connecté</v>
          </cell>
        </row>
        <row r="1753">
          <cell r="D1753" t="str">
            <v xml:space="preserve"> </v>
          </cell>
          <cell r="E1753" t="str">
            <v>véhicule en leasing</v>
          </cell>
        </row>
        <row r="1754">
          <cell r="D1754" t="str">
            <v>de</v>
          </cell>
          <cell r="E1754" t="str">
            <v>lieu de stockage</v>
          </cell>
          <cell r="F1754" t="str">
            <v>ou</v>
          </cell>
          <cell r="G1754" t="str">
            <v>port d'attache</v>
          </cell>
        </row>
        <row r="1755">
          <cell r="C1755" t="str">
            <v>postal</v>
          </cell>
          <cell r="D1755" t="str">
            <v>du</v>
          </cell>
          <cell r="E1755" t="str">
            <v>lieu de stockage</v>
          </cell>
          <cell r="F1755" t="str">
            <v>ou</v>
          </cell>
          <cell r="G1755" t="str">
            <v>port d'attache</v>
          </cell>
        </row>
        <row r="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row>
        <row r="1758">
          <cell r="D1758" t="str">
            <v xml:space="preserve"> </v>
          </cell>
          <cell r="E1758" t="str">
            <v>pays</v>
          </cell>
          <cell r="F1758" t="str">
            <v>du</v>
          </cell>
          <cell r="G1758" t="str">
            <v>lieu de stockage</v>
          </cell>
          <cell r="H1758" t="str">
            <v>ou</v>
          </cell>
          <cell r="I1758" t="str">
            <v>port d'attache</v>
          </cell>
        </row>
        <row r="1759">
          <cell r="D1759" t="str">
            <v>de</v>
          </cell>
          <cell r="E1759" t="str">
            <v>stockage</v>
          </cell>
          <cell r="F1759" t="str">
            <v>du</v>
          </cell>
          <cell r="G1759" t="str">
            <v>véhicule</v>
          </cell>
        </row>
        <row r="1760">
          <cell r="D1760" t="str">
            <v>de</v>
          </cell>
          <cell r="E1760" t="str">
            <v>carburant</v>
          </cell>
        </row>
        <row r="1761">
          <cell r="D1761" t="str">
            <v>de l'</v>
          </cell>
          <cell r="E1761" t="str">
            <v>embarcation</v>
          </cell>
        </row>
        <row r="1762">
          <cell r="C1762" t="str">
            <v>longueur</v>
          </cell>
          <cell r="D1762" t="str">
            <v>de la</v>
          </cell>
          <cell r="E1762" t="str">
            <v>coque</v>
          </cell>
        </row>
        <row r="1763">
          <cell r="C1763" t="str">
            <v>mesure</v>
          </cell>
          <cell r="D1763" t="str">
            <v>de la</v>
          </cell>
          <cell r="E1763" t="str">
            <v>longueur</v>
          </cell>
        </row>
        <row r="1764">
          <cell r="C1764" t="str">
            <v>largeur</v>
          </cell>
          <cell r="D1764" t="str">
            <v>de la</v>
          </cell>
          <cell r="E1764" t="str">
            <v>coque</v>
          </cell>
        </row>
        <row r="1765">
          <cell r="C1765" t="str">
            <v>mesure</v>
          </cell>
          <cell r="D1765" t="str">
            <v>de la</v>
          </cell>
          <cell r="E1765" t="str">
            <v>largeur</v>
          </cell>
        </row>
        <row r="1766">
          <cell r="D1766" t="str">
            <v>du</v>
          </cell>
          <cell r="E1766" t="str">
            <v>pavillon</v>
          </cell>
          <cell r="F1766" t="str">
            <v>de l'</v>
          </cell>
          <cell r="G1766" t="str">
            <v>embarcation</v>
          </cell>
        </row>
        <row r="1767">
          <cell r="D1767" t="str">
            <v>de l'</v>
          </cell>
          <cell r="E1767" t="str">
            <v>embarcation modifiée</v>
          </cell>
        </row>
        <row r="1768">
          <cell r="D1768" t="str">
            <v>de la</v>
          </cell>
          <cell r="E1768" t="str">
            <v>modification faite par un particulier</v>
          </cell>
        </row>
        <row r="1769">
          <cell r="D1769" t="str">
            <v>des</v>
          </cell>
          <cell r="E1769" t="str">
            <v>matériaux de construction</v>
          </cell>
        </row>
        <row r="1770">
          <cell r="D1770" t="str">
            <v>de la</v>
          </cell>
          <cell r="E1770" t="str">
            <v>catégorie de conception</v>
          </cell>
        </row>
        <row r="1771">
          <cell r="D1771" t="str">
            <v>de l'</v>
          </cell>
          <cell r="E1771" t="str">
            <v>année</v>
          </cell>
          <cell r="F1771" t="str">
            <v>de</v>
          </cell>
          <cell r="G1771" t="str">
            <v>construction</v>
          </cell>
        </row>
        <row r="1772">
          <cell r="C1772" t="str">
            <v>acquisition</v>
          </cell>
          <cell r="D1772" t="str">
            <v>de l'</v>
          </cell>
          <cell r="E1772" t="str">
            <v>embarcation</v>
          </cell>
        </row>
        <row r="1773">
          <cell r="D1773" t="str">
            <v>de</v>
          </cell>
          <cell r="E1773" t="str">
            <v>moteur</v>
          </cell>
          <cell r="F1773" t="str">
            <v>de l'</v>
          </cell>
          <cell r="G1773" t="str">
            <v>embarcation</v>
          </cell>
        </row>
        <row r="1774">
          <cell r="D1774" t="str">
            <v>de</v>
          </cell>
          <cell r="E1774" t="str">
            <v>moteur indoor</v>
          </cell>
          <cell r="F1774" t="str">
            <v>de l'</v>
          </cell>
          <cell r="G1774" t="str">
            <v>embarcation</v>
          </cell>
        </row>
        <row r="1775">
          <cell r="D1775" t="str">
            <v>de la</v>
          </cell>
          <cell r="E1775" t="str">
            <v>puissance globale</v>
          </cell>
          <cell r="F1775" t="str">
            <v>de l'</v>
          </cell>
          <cell r="G1775" t="str">
            <v>embarcation</v>
          </cell>
        </row>
        <row r="1776">
          <cell r="D1776" t="str">
            <v>de la</v>
          </cell>
          <cell r="E1776" t="str">
            <v>zone de navigation</v>
          </cell>
          <cell r="F1776" t="str">
            <v>de l'</v>
          </cell>
          <cell r="G1776" t="str">
            <v>embarcation</v>
          </cell>
        </row>
        <row r="1777">
          <cell r="D1777" t="str">
            <v>de l'</v>
          </cell>
          <cell r="E1777" t="str">
            <v>option côtière</v>
          </cell>
          <cell r="F1777" t="str">
            <v>de l'</v>
          </cell>
          <cell r="G1777" t="str">
            <v>embarcation</v>
          </cell>
        </row>
        <row r="1778">
          <cell r="D1778" t="str">
            <v>de l'</v>
          </cell>
          <cell r="E1778" t="str">
            <v>extension hauturière</v>
          </cell>
          <cell r="F1778" t="str">
            <v>de l'</v>
          </cell>
          <cell r="G1778" t="str">
            <v>embarcation</v>
          </cell>
        </row>
        <row r="1779">
          <cell r="D1779" t="str">
            <v>de l'</v>
          </cell>
          <cell r="E1779" t="str">
            <v>option eaux intérieures</v>
          </cell>
          <cell r="F1779" t="str">
            <v>de l'</v>
          </cell>
          <cell r="G1779" t="str">
            <v>embarcation</v>
          </cell>
        </row>
        <row r="1780">
          <cell r="D1780" t="str">
            <v>de l'</v>
          </cell>
          <cell r="E1780" t="str">
            <v>extension grande plaisance eaux intérieures</v>
          </cell>
          <cell r="F1780" t="str">
            <v>de l'</v>
          </cell>
          <cell r="G1780" t="str">
            <v>embarcation</v>
          </cell>
        </row>
        <row r="1781">
          <cell r="D1781" t="str">
            <v>du</v>
          </cell>
          <cell r="E1781" t="str">
            <v>bien immobilier</v>
          </cell>
        </row>
        <row r="1782">
          <cell r="D1782" t="str">
            <v>du</v>
          </cell>
          <cell r="E1782" t="str">
            <v>bien immobilier</v>
          </cell>
        </row>
        <row r="1783">
          <cell r="D1783" t="str">
            <v>de</v>
          </cell>
          <cell r="E1783" t="str">
            <v>bien immobilier</v>
          </cell>
        </row>
        <row r="1784">
          <cell r="D1784" t="str">
            <v>du</v>
          </cell>
          <cell r="E1784" t="str">
            <v>bien immobilier</v>
          </cell>
        </row>
        <row r="1785">
          <cell r="C1785" t="str">
            <v>postal</v>
          </cell>
          <cell r="D1785" t="str">
            <v>du</v>
          </cell>
          <cell r="E1785" t="str">
            <v>bien immobilier</v>
          </cell>
        </row>
        <row r="1786">
          <cell r="D1786" t="str">
            <v>de la</v>
          </cell>
          <cell r="E1786" t="str">
            <v>ville</v>
          </cell>
          <cell r="F1786" t="str">
            <v>du</v>
          </cell>
          <cell r="G1786" t="str">
            <v>bien immobilier</v>
          </cell>
        </row>
        <row r="1787">
          <cell r="C1787" t="str">
            <v>INSEE</v>
          </cell>
          <cell r="D1787" t="str">
            <v>du</v>
          </cell>
          <cell r="E1787" t="str">
            <v>bien immobilier</v>
          </cell>
        </row>
        <row r="1788">
          <cell r="D1788" t="str">
            <v>du</v>
          </cell>
          <cell r="E1788" t="str">
            <v>pays</v>
          </cell>
          <cell r="F1788" t="str">
            <v>du</v>
          </cell>
          <cell r="G1788" t="str">
            <v>bien immobilier</v>
          </cell>
        </row>
        <row r="1789">
          <cell r="D1789" t="str">
            <v>de</v>
          </cell>
          <cell r="E1789" t="str">
            <v>quittance</v>
          </cell>
          <cell r="F1789" t="str">
            <v>du</v>
          </cell>
          <cell r="G1789" t="str">
            <v>bien immobilier</v>
          </cell>
        </row>
        <row r="1790">
          <cell r="D1790" t="str">
            <v>de la</v>
          </cell>
          <cell r="E1790" t="str">
            <v>quittance</v>
          </cell>
          <cell r="F1790" t="str">
            <v>du</v>
          </cell>
          <cell r="G1790" t="str">
            <v>bien immobilier</v>
          </cell>
        </row>
        <row r="1791">
          <cell r="D1791" t="str">
            <v>du</v>
          </cell>
          <cell r="E1791" t="str">
            <v>prix de vente</v>
          </cell>
          <cell r="F1791" t="str">
            <v>du</v>
          </cell>
          <cell r="G1791" t="str">
            <v>bien immobilier</v>
          </cell>
        </row>
        <row r="1792">
          <cell r="D1792" t="str">
            <v>du</v>
          </cell>
          <cell r="E1792" t="str">
            <v>prix de vente</v>
          </cell>
          <cell r="F1792" t="str">
            <v>du</v>
          </cell>
          <cell r="G1792" t="str">
            <v>bien immobilier</v>
          </cell>
        </row>
        <row r="1793">
          <cell r="D1793" t="str">
            <v>de</v>
          </cell>
          <cell r="E1793" t="str">
            <v>pièce</v>
          </cell>
        </row>
        <row r="1794">
          <cell r="D1794" t="str">
            <v>du</v>
          </cell>
          <cell r="E1794" t="str">
            <v>bien immobilier</v>
          </cell>
        </row>
        <row r="1795">
          <cell r="D1795" t="str">
            <v>du</v>
          </cell>
          <cell r="E1795" t="str">
            <v>bien immobilier</v>
          </cell>
        </row>
        <row r="1796">
          <cell r="C1796" t="str">
            <v>dernière image</v>
          </cell>
          <cell r="D1796" t="str">
            <v>du</v>
          </cell>
          <cell r="E1796" t="str">
            <v>bien immobilier</v>
          </cell>
        </row>
        <row r="1797">
          <cell r="D1797" t="str">
            <v>du</v>
          </cell>
          <cell r="E1797" t="str">
            <v>bien immobilier</v>
          </cell>
        </row>
        <row r="1798">
          <cell r="D1798" t="str">
            <v>du</v>
          </cell>
          <cell r="E1798" t="str">
            <v>bien immobilier</v>
          </cell>
        </row>
        <row r="1799">
          <cell r="D1799" t="str">
            <v>de l'</v>
          </cell>
          <cell r="E1799" t="str">
            <v>acteur</v>
          </cell>
        </row>
        <row r="1800">
          <cell r="D1800" t="str">
            <v>de l'</v>
          </cell>
          <cell r="E1800" t="str">
            <v>acteur</v>
          </cell>
        </row>
        <row r="1801">
          <cell r="C1801" t="str">
            <v>relation</v>
          </cell>
          <cell r="D1801" t="str">
            <v>entre</v>
          </cell>
          <cell r="E1801" t="str">
            <v>contrat</v>
          </cell>
          <cell r="F1801" t="str">
            <v>et</v>
          </cell>
          <cell r="G1801" t="str">
            <v>tiers</v>
          </cell>
        </row>
        <row r="1802">
          <cell r="C1802" t="str">
            <v>relation</v>
          </cell>
          <cell r="D1802" t="str">
            <v>entre</v>
          </cell>
          <cell r="E1802" t="str">
            <v>contrat</v>
          </cell>
          <cell r="F1802" t="str">
            <v>et</v>
          </cell>
          <cell r="G1802" t="str">
            <v>tiers</v>
          </cell>
        </row>
        <row r="1803">
          <cell r="C1803" t="str">
            <v>référence</v>
          </cell>
          <cell r="D1803" t="str">
            <v>du</v>
          </cell>
          <cell r="E1803" t="str">
            <v>tiers</v>
          </cell>
        </row>
        <row r="1804">
          <cell r="D1804" t="str">
            <v>du</v>
          </cell>
          <cell r="E1804" t="str">
            <v>tiers</v>
          </cell>
        </row>
        <row r="1805">
          <cell r="D1805" t="str">
            <v>du</v>
          </cell>
          <cell r="E1805" t="str">
            <v>tiers</v>
          </cell>
        </row>
        <row r="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row>
        <row r="1808">
          <cell r="C1808" t="str">
            <v>relation</v>
          </cell>
          <cell r="D1808" t="str">
            <v>entre</v>
          </cell>
          <cell r="E1808" t="str">
            <v>objet assuré</v>
          </cell>
          <cell r="F1808" t="str">
            <v>et</v>
          </cell>
          <cell r="G1808" t="str">
            <v>tiers</v>
          </cell>
        </row>
        <row r="1809">
          <cell r="D1809" t="str">
            <v>de la</v>
          </cell>
          <cell r="E1809" t="str">
            <v>qualité</v>
          </cell>
          <cell r="F1809" t="str">
            <v>du</v>
          </cell>
          <cell r="G1809" t="str">
            <v>tiers</v>
          </cell>
        </row>
        <row r="1810">
          <cell r="D1810" t="str">
            <v>de la</v>
          </cell>
          <cell r="E1810" t="str">
            <v>nature</v>
          </cell>
          <cell r="F1810" t="str">
            <v>du</v>
          </cell>
          <cell r="G1810" t="str">
            <v>tiers</v>
          </cell>
        </row>
        <row r="1811">
          <cell r="C1811" t="str">
            <v>téléphone fixe</v>
          </cell>
          <cell r="D1811" t="str">
            <v>du</v>
          </cell>
          <cell r="E1811" t="str">
            <v>tiers</v>
          </cell>
        </row>
        <row r="1812">
          <cell r="C1812" t="str">
            <v>téléphone portable</v>
          </cell>
          <cell r="D1812" t="str">
            <v>du</v>
          </cell>
          <cell r="E1812" t="str">
            <v>tiers</v>
          </cell>
        </row>
        <row r="1813">
          <cell r="D1813" t="str">
            <v>du</v>
          </cell>
          <cell r="E1813" t="str">
            <v>tiers</v>
          </cell>
        </row>
        <row r="1814">
          <cell r="D1814" t="str">
            <v>du</v>
          </cell>
          <cell r="E1814" t="str">
            <v>tiers</v>
          </cell>
        </row>
        <row r="1815">
          <cell r="C1815" t="str">
            <v>postal</v>
          </cell>
          <cell r="D1815" t="str">
            <v>du</v>
          </cell>
          <cell r="E1815" t="str">
            <v>tiers</v>
          </cell>
        </row>
        <row r="1816">
          <cell r="D1816" t="str">
            <v>de la</v>
          </cell>
          <cell r="E1816" t="str">
            <v>ville</v>
          </cell>
          <cell r="F1816" t="str">
            <v>du</v>
          </cell>
          <cell r="G1816" t="str">
            <v>tiers</v>
          </cell>
        </row>
        <row r="1817">
          <cell r="C1817" t="str">
            <v>INSEE</v>
          </cell>
          <cell r="D1817" t="str">
            <v>de la</v>
          </cell>
          <cell r="E1817" t="str">
            <v>ville</v>
          </cell>
          <cell r="F1817" t="str">
            <v>du</v>
          </cell>
          <cell r="G1817" t="str">
            <v>tiers</v>
          </cell>
        </row>
        <row r="1818">
          <cell r="D1818" t="str">
            <v xml:space="preserve"> </v>
          </cell>
          <cell r="E1818" t="str">
            <v>pays</v>
          </cell>
          <cell r="F1818" t="str">
            <v>du</v>
          </cell>
          <cell r="G1818" t="str">
            <v>tiers</v>
          </cell>
        </row>
        <row r="1819">
          <cell r="D1819" t="str">
            <v>du</v>
          </cell>
          <cell r="E1819" t="str">
            <v>conducteur</v>
          </cell>
        </row>
        <row r="1820">
          <cell r="D1820" t="str">
            <v>du</v>
          </cell>
          <cell r="E1820" t="str">
            <v>permis de conduire</v>
          </cell>
        </row>
        <row r="1821">
          <cell r="D1821" t="str">
            <v>du</v>
          </cell>
          <cell r="E1821" t="str">
            <v>pays d'obtention du permis de conduire</v>
          </cell>
        </row>
        <row r="1822">
          <cell r="D1822" t="str">
            <v>de la</v>
          </cell>
          <cell r="E1822" t="str">
            <v>catégorie</v>
          </cell>
          <cell r="F1822" t="str">
            <v>du</v>
          </cell>
          <cell r="G1822" t="str">
            <v>permis de conduire</v>
          </cell>
        </row>
        <row r="1823">
          <cell r="D1823" t="str">
            <v>du</v>
          </cell>
          <cell r="E1823" t="str">
            <v>permis de conduire</v>
          </cell>
        </row>
        <row r="1824">
          <cell r="D1824" t="str">
            <v>du</v>
          </cell>
          <cell r="E1824" t="str">
            <v>CRM</v>
          </cell>
          <cell r="F1824" t="str">
            <v>du</v>
          </cell>
          <cell r="G1824" t="str">
            <v>conducteur</v>
          </cell>
        </row>
        <row r="1825">
          <cell r="D1825" t="str">
            <v>du</v>
          </cell>
          <cell r="E1825" t="str">
            <v>zonier auto</v>
          </cell>
        </row>
        <row r="1826">
          <cell r="D1826" t="str">
            <v>de</v>
          </cell>
          <cell r="E1826" t="str">
            <v>mois d'assurances</v>
          </cell>
          <cell r="F1826" t="str">
            <v>dans le</v>
          </cell>
          <cell r="G1826" t="str">
            <v>36 derniers mois</v>
          </cell>
        </row>
        <row r="1827">
          <cell r="D1827" t="str">
            <v>d'</v>
          </cell>
          <cell r="E1827" t="str">
            <v>indemnisation</v>
          </cell>
        </row>
        <row r="1828">
          <cell r="D1828" t="str">
            <v>d'</v>
          </cell>
          <cell r="E1828" t="str">
            <v>indemnisation</v>
          </cell>
        </row>
        <row r="1829">
          <cell r="D1829" t="str">
            <v>d'</v>
          </cell>
          <cell r="E1829" t="str">
            <v>indemnisation</v>
          </cell>
        </row>
        <row r="1830">
          <cell r="D1830" t="str">
            <v>de</v>
          </cell>
          <cell r="E1830" t="str">
            <v>responsabilité</v>
          </cell>
          <cell r="F1830" t="str">
            <v>du</v>
          </cell>
          <cell r="G1830" t="str">
            <v>conducteur</v>
          </cell>
        </row>
        <row r="1831">
          <cell r="D1831" t="str">
            <v>du</v>
          </cell>
          <cell r="E1831" t="str">
            <v>contrôle d'alcoolémie</v>
          </cell>
          <cell r="F1831" t="str">
            <v>du</v>
          </cell>
          <cell r="G1831" t="str">
            <v>conducteur</v>
          </cell>
        </row>
        <row r="1832">
          <cell r="D1832" t="str">
            <v>du</v>
          </cell>
          <cell r="E1832" t="str">
            <v>contrôle de stupéfiant</v>
          </cell>
          <cell r="F1832" t="str">
            <v>du</v>
          </cell>
          <cell r="G1832" t="str">
            <v>conducteur</v>
          </cell>
        </row>
        <row r="1833">
          <cell r="D1833" t="str">
            <v>d'</v>
          </cell>
          <cell r="E1833" t="str">
            <v>infraction</v>
          </cell>
        </row>
        <row r="1834">
          <cell r="D1834" t="str">
            <v>de l'</v>
          </cell>
          <cell r="E1834" t="str">
            <v>infraction</v>
          </cell>
        </row>
        <row r="1835">
          <cell r="D1835" t="str">
            <v xml:space="preserve"> </v>
          </cell>
          <cell r="E1835" t="str">
            <v>infraction</v>
          </cell>
          <cell r="F1835" t="str">
            <v>du</v>
          </cell>
          <cell r="G1835" t="str">
            <v>sinistre</v>
          </cell>
        </row>
        <row r="1836">
          <cell r="D1836" t="str">
            <v>d'</v>
          </cell>
          <cell r="E1836" t="str">
            <v>alcoolémie controlée</v>
          </cell>
        </row>
        <row r="1837">
          <cell r="D1837" t="str">
            <v>de la</v>
          </cell>
          <cell r="E1837" t="str">
            <v>vitesse relevée</v>
          </cell>
        </row>
        <row r="1838">
          <cell r="D1838" t="str">
            <v>de la</v>
          </cell>
          <cell r="E1838" t="str">
            <v>sanction</v>
          </cell>
        </row>
        <row r="1839">
          <cell r="D1839" t="str">
            <v>de la</v>
          </cell>
          <cell r="E1839" t="str">
            <v>sanction</v>
          </cell>
        </row>
        <row r="1840">
          <cell r="D1840" t="str">
            <v>de la</v>
          </cell>
          <cell r="E1840" t="str">
            <v>sanction</v>
          </cell>
        </row>
        <row r="1841">
          <cell r="D1841" t="str">
            <v>du</v>
          </cell>
          <cell r="E1841" t="str">
            <v>motif</v>
          </cell>
          <cell r="F1841" t="str">
            <v>de la</v>
          </cell>
          <cell r="G1841" t="str">
            <v>sanction</v>
          </cell>
        </row>
        <row r="1842">
          <cell r="D1842" t="str">
            <v xml:space="preserve"> </v>
          </cell>
          <cell r="E1842" t="str">
            <v>perte de points</v>
          </cell>
        </row>
        <row r="1843">
          <cell r="C1843" t="str">
            <v>résiliation</v>
          </cell>
          <cell r="D1843" t="str">
            <v>du</v>
          </cell>
          <cell r="E1843" t="str">
            <v>contrat précédent</v>
          </cell>
          <cell r="F1843" t="str">
            <v>par</v>
          </cell>
          <cell r="G1843" t="str">
            <v>assureur</v>
          </cell>
        </row>
        <row r="1844">
          <cell r="D1844" t="str">
            <v>de</v>
          </cell>
          <cell r="E1844" t="str">
            <v>résiliation</v>
          </cell>
          <cell r="F1844" t="str">
            <v>du</v>
          </cell>
          <cell r="G1844" t="str">
            <v>contrat</v>
          </cell>
        </row>
        <row r="1845">
          <cell r="D1845" t="str">
            <v>du</v>
          </cell>
          <cell r="E1845" t="str">
            <v>conducteur</v>
          </cell>
        </row>
        <row r="1846">
          <cell r="D1846" t="str">
            <v>du</v>
          </cell>
          <cell r="E1846" t="str">
            <v>conducteur</v>
          </cell>
        </row>
        <row r="1847">
          <cell r="D1847" t="str">
            <v>de l'</v>
          </cell>
          <cell r="E1847" t="str">
            <v>opération</v>
          </cell>
          <cell r="F1847" t="str">
            <v>par le</v>
          </cell>
          <cell r="G1847" t="str">
            <v>courtier</v>
          </cell>
        </row>
        <row r="1848">
          <cell r="D1848" t="str">
            <v>de l'</v>
          </cell>
          <cell r="E1848" t="str">
            <v>opération</v>
          </cell>
          <cell r="F1848" t="str">
            <v>par le</v>
          </cell>
          <cell r="G1848" t="str">
            <v>courtier</v>
          </cell>
        </row>
        <row r="1849">
          <cell r="D1849" t="str">
            <v>du</v>
          </cell>
          <cell r="E1849" t="str">
            <v>rédacteur courtier</v>
          </cell>
          <cell r="F1849" t="str">
            <v>de l'</v>
          </cell>
          <cell r="G1849" t="str">
            <v>opération saisie</v>
          </cell>
        </row>
        <row r="1850">
          <cell r="C1850" t="str">
            <v>suppression</v>
          </cell>
          <cell r="D1850" t="str">
            <v>chez</v>
          </cell>
          <cell r="E1850" t="str">
            <v>courtier</v>
          </cell>
        </row>
        <row r="1851">
          <cell r="C1851" t="str">
            <v>dernière image</v>
          </cell>
          <cell r="D1851" t="str">
            <v>du</v>
          </cell>
          <cell r="E1851" t="str">
            <v>conducteur</v>
          </cell>
        </row>
        <row r="1852">
          <cell r="D1852" t="str">
            <v>du</v>
          </cell>
          <cell r="E1852" t="str">
            <v>tiers personne morale</v>
          </cell>
        </row>
        <row r="1853">
          <cell r="C1853" t="str">
            <v>dernière image</v>
          </cell>
          <cell r="D1853" t="str">
            <v>du</v>
          </cell>
          <cell r="E1853" t="str">
            <v>tiers personne morale</v>
          </cell>
        </row>
        <row r="1854">
          <cell r="D1854" t="str">
            <v>du</v>
          </cell>
          <cell r="E1854" t="str">
            <v>tiers personne morale</v>
          </cell>
        </row>
        <row r="1855">
          <cell r="C1855" t="str">
            <v>suppression</v>
          </cell>
          <cell r="D1855" t="str">
            <v>chez</v>
          </cell>
          <cell r="E1855" t="str">
            <v>courtier</v>
          </cell>
          <cell r="F1855" t="str">
            <v>du</v>
          </cell>
          <cell r="G1855" t="str">
            <v>tiers personne morale</v>
          </cell>
        </row>
        <row r="1856">
          <cell r="D1856" t="str">
            <v>du</v>
          </cell>
          <cell r="E1856" t="str">
            <v>tiers personne morale</v>
          </cell>
        </row>
        <row r="1857">
          <cell r="D1857" t="str">
            <v>de la</v>
          </cell>
          <cell r="E1857" t="str">
            <v>raison sociale</v>
          </cell>
        </row>
        <row r="1858">
          <cell r="D1858" t="str">
            <v>de</v>
          </cell>
          <cell r="E1858" t="str">
            <v>SIRET</v>
          </cell>
        </row>
        <row r="1859">
          <cell r="D1859" t="str">
            <v xml:space="preserve"> </v>
          </cell>
          <cell r="E1859" t="str">
            <v>NAF</v>
          </cell>
        </row>
        <row r="1860">
          <cell r="D1860" t="str">
            <v>de</v>
          </cell>
          <cell r="E1860" t="str">
            <v>fondation</v>
          </cell>
        </row>
        <row r="1861">
          <cell r="D1861" t="str">
            <v>du</v>
          </cell>
          <cell r="E1861" t="str">
            <v>tiers personne physique</v>
          </cell>
        </row>
        <row r="1862">
          <cell r="C1862" t="str">
            <v>dernière image</v>
          </cell>
          <cell r="D1862" t="str">
            <v>du</v>
          </cell>
          <cell r="E1862" t="str">
            <v>tiers personne physique</v>
          </cell>
        </row>
        <row r="1863">
          <cell r="D1863" t="str">
            <v>du</v>
          </cell>
          <cell r="E1863" t="str">
            <v>tiers personne physique</v>
          </cell>
        </row>
        <row r="1864">
          <cell r="C1864" t="str">
            <v>suppression</v>
          </cell>
          <cell r="D1864" t="str">
            <v>chez</v>
          </cell>
          <cell r="E1864" t="str">
            <v>courtier</v>
          </cell>
          <cell r="F1864" t="str">
            <v>du</v>
          </cell>
          <cell r="G1864" t="str">
            <v>tiers personne physique</v>
          </cell>
        </row>
        <row r="1865">
          <cell r="D1865" t="str">
            <v>du</v>
          </cell>
          <cell r="E1865" t="str">
            <v>tiers personne physique</v>
          </cell>
        </row>
        <row r="1866">
          <cell r="D1866" t="str">
            <v>du</v>
          </cell>
          <cell r="E1866" t="str">
            <v>tiers</v>
          </cell>
        </row>
        <row r="1867">
          <cell r="D1867" t="str">
            <v>du</v>
          </cell>
          <cell r="E1867" t="str">
            <v>tiers</v>
          </cell>
        </row>
        <row r="1868">
          <cell r="D1868" t="str">
            <v>du</v>
          </cell>
          <cell r="E1868" t="str">
            <v>tiers</v>
          </cell>
        </row>
        <row r="1869">
          <cell r="D1869" t="str">
            <v>du</v>
          </cell>
          <cell r="E1869" t="str">
            <v>tiers</v>
          </cell>
        </row>
        <row r="1870">
          <cell r="C1870" t="str">
            <v>postal</v>
          </cell>
          <cell r="D1870" t="str">
            <v>de la</v>
          </cell>
          <cell r="E1870" t="str">
            <v>ville de naissance</v>
          </cell>
          <cell r="F1870" t="str">
            <v>du</v>
          </cell>
          <cell r="G1870" t="str">
            <v>tiers</v>
          </cell>
        </row>
        <row r="1871">
          <cell r="D1871" t="str">
            <v>de la</v>
          </cell>
          <cell r="E1871" t="str">
            <v>ville de naissance</v>
          </cell>
          <cell r="F1871" t="str">
            <v>du</v>
          </cell>
          <cell r="G1871" t="str">
            <v>tiers</v>
          </cell>
        </row>
        <row r="1872">
          <cell r="D1872" t="str">
            <v>du</v>
          </cell>
          <cell r="E1872" t="str">
            <v>pays de naissance</v>
          </cell>
          <cell r="F1872" t="str">
            <v>du</v>
          </cell>
          <cell r="G1872" t="str">
            <v>tiers</v>
          </cell>
        </row>
        <row r="1873">
          <cell r="C1873" t="str">
            <v>INSEE</v>
          </cell>
          <cell r="D1873" t="str">
            <v>de la</v>
          </cell>
          <cell r="E1873" t="str">
            <v>ville de naissance</v>
          </cell>
          <cell r="F1873" t="str">
            <v>du</v>
          </cell>
          <cell r="G1873" t="str">
            <v>tiers</v>
          </cell>
        </row>
        <row r="1874">
          <cell r="D1874" t="str">
            <v>du</v>
          </cell>
          <cell r="E1874" t="str">
            <v>sexe</v>
          </cell>
          <cell r="F1874" t="str">
            <v>du</v>
          </cell>
          <cell r="G1874" t="str">
            <v>tiers</v>
          </cell>
        </row>
        <row r="1875">
          <cell r="D1875" t="str">
            <v>de la</v>
          </cell>
          <cell r="E1875" t="str">
            <v>situation familiale</v>
          </cell>
          <cell r="F1875" t="str">
            <v>du</v>
          </cell>
          <cell r="G1875" t="str">
            <v>tiers</v>
          </cell>
        </row>
        <row r="1876">
          <cell r="D1876" t="str">
            <v>de l'</v>
          </cell>
          <cell r="E1876" t="str">
            <v>état</v>
          </cell>
          <cell r="F1876" t="str">
            <v>de l'</v>
          </cell>
          <cell r="G1876" t="str">
            <v>opération</v>
          </cell>
        </row>
        <row r="1877">
          <cell r="D1877" t="str">
            <v>de la</v>
          </cell>
          <cell r="E1877" t="str">
            <v>catégorie socio-professionnelle</v>
          </cell>
          <cell r="F1877" t="str">
            <v>du</v>
          </cell>
          <cell r="G1877" t="str">
            <v>tiers</v>
          </cell>
        </row>
        <row r="1878">
          <cell r="D1878" t="str">
            <v>de</v>
          </cell>
          <cell r="E1878" t="str">
            <v>conservation</v>
          </cell>
        </row>
        <row r="1879">
          <cell r="D1879" t="str">
            <v>d'</v>
          </cell>
          <cell r="E1879" t="str">
            <v>honoraires</v>
          </cell>
        </row>
        <row r="1880">
          <cell r="C1880" t="str">
            <v>recouvrement par voie d'huissier</v>
          </cell>
          <cell r="D1880" t="str">
            <v>de l'</v>
          </cell>
          <cell r="E1880" t="str">
            <v>événement de la dette</v>
          </cell>
        </row>
        <row r="1881">
          <cell r="D1881" t="str">
            <v>de l'</v>
          </cell>
          <cell r="E1881" t="str">
            <v>origine</v>
          </cell>
          <cell r="F1881" t="str">
            <v>de l'</v>
          </cell>
          <cell r="G1881" t="str">
            <v>augmentation</v>
          </cell>
          <cell r="H1881" t="str">
            <v>de l'</v>
          </cell>
          <cell r="I1881" t="str">
            <v>événement de la dette</v>
          </cell>
        </row>
        <row r="1882">
          <cell r="D1882" t="str">
            <v>de l'</v>
          </cell>
          <cell r="E1882" t="str">
            <v>origine</v>
          </cell>
          <cell r="F1882" t="str">
            <v>de l'</v>
          </cell>
          <cell r="G1882" t="str">
            <v>augmentation</v>
          </cell>
          <cell r="H1882" t="str">
            <v>de l'</v>
          </cell>
          <cell r="I1882" t="str">
            <v>événement de la dette</v>
          </cell>
        </row>
        <row r="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row>
        <row r="1885">
          <cell r="D1885" t="str">
            <v>de l'</v>
          </cell>
          <cell r="E1885" t="str">
            <v>Entité gestionnaire</v>
          </cell>
          <cell r="F1885" t="str">
            <v>du</v>
          </cell>
          <cell r="G1885" t="str">
            <v>contrat</v>
          </cell>
        </row>
        <row r="1886">
          <cell r="D1886" t="str">
            <v>de la</v>
          </cell>
          <cell r="E1886" t="str">
            <v>société apéritrice</v>
          </cell>
          <cell r="F1886" t="str">
            <v>du</v>
          </cell>
          <cell r="G1886" t="str">
            <v>contrat</v>
          </cell>
        </row>
        <row r="1887">
          <cell r="D1887" t="str">
            <v>de l'</v>
          </cell>
          <cell r="E1887" t="str">
            <v>Entité gestionnaire</v>
          </cell>
          <cell r="F1887" t="str">
            <v>du</v>
          </cell>
          <cell r="G1887" t="str">
            <v>contrat</v>
          </cell>
        </row>
        <row r="1888">
          <cell r="D1888" t="str">
            <v>du</v>
          </cell>
          <cell r="E1888" t="str">
            <v>programme informatique</v>
          </cell>
          <cell r="G1888" t="str">
            <v>Créateur de l'événement de la dette</v>
          </cell>
        </row>
        <row r="1889">
          <cell r="D1889" t="str">
            <v>de la</v>
          </cell>
          <cell r="E1889" t="str">
            <v>devise du montant</v>
          </cell>
          <cell r="F1889" t="str">
            <v>de la</v>
          </cell>
          <cell r="G1889" t="str">
            <v>dette</v>
          </cell>
        </row>
        <row r="1890">
          <cell r="D1890" t="str">
            <v>de</v>
          </cell>
          <cell r="E1890" t="str">
            <v>contrat</v>
          </cell>
          <cell r="F1890" t="str">
            <v>de la</v>
          </cell>
          <cell r="G1890" t="str">
            <v>dette</v>
          </cell>
        </row>
        <row r="1891">
          <cell r="D1891" t="str">
            <v>de l'</v>
          </cell>
          <cell r="E1891" t="str">
            <v>etat</v>
          </cell>
          <cell r="F1891" t="str">
            <v>de la</v>
          </cell>
          <cell r="G1891" t="str">
            <v>dette</v>
          </cell>
        </row>
        <row r="1892">
          <cell r="C1892" t="str">
            <v>actuel</v>
          </cell>
          <cell r="D1892" t="str">
            <v>de la</v>
          </cell>
          <cell r="E1892" t="str">
            <v>dette</v>
          </cell>
        </row>
        <row r="1893">
          <cell r="D1893" t="str">
            <v>du</v>
          </cell>
          <cell r="E1893" t="str">
            <v>Mode de règlement</v>
          </cell>
          <cell r="F1893" t="str">
            <v>de l'</v>
          </cell>
          <cell r="G1893" t="str">
            <v>événement de la dette</v>
          </cell>
        </row>
        <row r="1894">
          <cell r="D1894" t="str">
            <v>du</v>
          </cell>
          <cell r="E1894" t="str">
            <v>type de destinataire du règlement</v>
          </cell>
          <cell r="F1894" t="str">
            <v>de l'</v>
          </cell>
          <cell r="G1894" t="str">
            <v>événement de la dette</v>
          </cell>
        </row>
        <row r="1895">
          <cell r="D1895" t="str">
            <v>du</v>
          </cell>
          <cell r="E1895" t="str">
            <v>Type de recours encaissé</v>
          </cell>
          <cell r="F1895" t="str">
            <v>de l'</v>
          </cell>
          <cell r="G1895" t="str">
            <v>événement de la dette</v>
          </cell>
        </row>
        <row r="1896">
          <cell r="D1896" t="str">
            <v>du</v>
          </cell>
          <cell r="E1896" t="str">
            <v>type d'encaissement</v>
          </cell>
          <cell r="F1896" t="str">
            <v>de l'</v>
          </cell>
          <cell r="G1896" t="str">
            <v>événement de la dette</v>
          </cell>
        </row>
        <row r="1897">
          <cell r="D1897" t="str">
            <v>du</v>
          </cell>
          <cell r="E1897" t="str">
            <v>type de saisie SEN</v>
          </cell>
          <cell r="F1897" t="str">
            <v>de l'</v>
          </cell>
          <cell r="G1897" t="str">
            <v>événement de la dette</v>
          </cell>
        </row>
        <row r="1898">
          <cell r="D1898" t="str">
            <v>du</v>
          </cell>
          <cell r="E1898" t="str">
            <v>dépassement assurance</v>
          </cell>
          <cell r="F1898" t="str">
            <v>de l'</v>
          </cell>
          <cell r="G1898" t="str">
            <v>événement de la dette</v>
          </cell>
        </row>
        <row r="1899">
          <cell r="D1899" t="str">
            <v>de l'</v>
          </cell>
          <cell r="E1899" t="str">
            <v>opération</v>
          </cell>
          <cell r="F1899" t="str">
            <v>de l'</v>
          </cell>
          <cell r="G1899" t="str">
            <v>événement de la dette</v>
          </cell>
        </row>
        <row r="1900">
          <cell r="D1900" t="str">
            <v>de la</v>
          </cell>
          <cell r="E1900" t="str">
            <v>retenue positive</v>
          </cell>
          <cell r="F1900" t="str">
            <v>de l'</v>
          </cell>
          <cell r="G1900" t="str">
            <v>événement de la dette</v>
          </cell>
        </row>
        <row r="1901">
          <cell r="D1901" t="str">
            <v>de la</v>
          </cell>
          <cell r="E1901" t="str">
            <v>devise du montant</v>
          </cell>
          <cell r="F1901" t="str">
            <v>de l'</v>
          </cell>
          <cell r="G1901" t="str">
            <v>événement de la dette</v>
          </cell>
        </row>
        <row r="1902">
          <cell r="D1902" t="str">
            <v>de l'</v>
          </cell>
          <cell r="E1902" t="str">
            <v>opération effectuée</v>
          </cell>
          <cell r="F1902" t="str">
            <v>sur l'</v>
          </cell>
          <cell r="G1902" t="str">
            <v>événement de la dette</v>
          </cell>
        </row>
        <row r="1903">
          <cell r="D1903" t="str">
            <v>du</v>
          </cell>
          <cell r="E1903" t="str">
            <v>mode de règlement</v>
          </cell>
          <cell r="F1903" t="str">
            <v>de l'</v>
          </cell>
          <cell r="G1903" t="str">
            <v>événement de la dette</v>
          </cell>
        </row>
        <row r="1904">
          <cell r="D1904" t="str">
            <v>du</v>
          </cell>
          <cell r="E1904" t="str">
            <v>Mode de règlement</v>
          </cell>
          <cell r="F1904" t="str">
            <v>de l'</v>
          </cell>
          <cell r="G1904" t="str">
            <v>événement de la dette</v>
          </cell>
        </row>
        <row r="1905">
          <cell r="D1905" t="str">
            <v>du</v>
          </cell>
          <cell r="E1905" t="str">
            <v>type de destinataire du règlement</v>
          </cell>
          <cell r="F1905" t="str">
            <v>de l'</v>
          </cell>
          <cell r="G1905" t="str">
            <v>événement de la dette</v>
          </cell>
        </row>
        <row r="1906">
          <cell r="D1906" t="str">
            <v>du</v>
          </cell>
          <cell r="E1906" t="str">
            <v>type de destinataire du règlement</v>
          </cell>
          <cell r="F1906" t="str">
            <v>de l'</v>
          </cell>
          <cell r="G1906" t="str">
            <v>événement de la dette</v>
          </cell>
        </row>
        <row r="1907">
          <cell r="D1907" t="str">
            <v>du</v>
          </cell>
          <cell r="E1907" t="str">
            <v>Type de recours encaissé</v>
          </cell>
          <cell r="F1907" t="str">
            <v>de l'</v>
          </cell>
          <cell r="G1907" t="str">
            <v>événement de la dette</v>
          </cell>
        </row>
        <row r="1908">
          <cell r="D1908" t="str">
            <v>du</v>
          </cell>
          <cell r="E1908" t="str">
            <v>Type de recours encaissé</v>
          </cell>
          <cell r="F1908" t="str">
            <v>de l'</v>
          </cell>
          <cell r="G1908" t="str">
            <v>événement de la dette</v>
          </cell>
        </row>
        <row r="1909">
          <cell r="D1909" t="str">
            <v>du</v>
          </cell>
          <cell r="E1909" t="str">
            <v>type d'encaissement</v>
          </cell>
          <cell r="F1909" t="str">
            <v>de l'</v>
          </cell>
          <cell r="G1909" t="str">
            <v>événement de la dette</v>
          </cell>
        </row>
        <row r="1910">
          <cell r="D1910" t="str">
            <v>du</v>
          </cell>
          <cell r="E1910" t="str">
            <v>type d'encaissement</v>
          </cell>
          <cell r="F1910" t="str">
            <v>de l'</v>
          </cell>
          <cell r="G1910" t="str">
            <v>événement de la dette</v>
          </cell>
        </row>
        <row r="1911">
          <cell r="D1911" t="str">
            <v>de la</v>
          </cell>
          <cell r="E1911" t="str">
            <v>valeur de l'encaissement</v>
          </cell>
          <cell r="F1911" t="str">
            <v>de l'</v>
          </cell>
          <cell r="G1911" t="str">
            <v>événement de la dette</v>
          </cell>
        </row>
        <row r="1912">
          <cell r="D1912" t="str">
            <v>du</v>
          </cell>
          <cell r="E1912" t="str">
            <v>type de saisie SEN</v>
          </cell>
          <cell r="F1912" t="str">
            <v>de l'</v>
          </cell>
          <cell r="G1912" t="str">
            <v>événement de la dette</v>
          </cell>
        </row>
        <row r="1913">
          <cell r="D1913" t="str">
            <v>du</v>
          </cell>
          <cell r="E1913" t="str">
            <v>type de saisie SEN</v>
          </cell>
          <cell r="F1913" t="str">
            <v>de l'</v>
          </cell>
          <cell r="G1913" t="str">
            <v>événement de la dette</v>
          </cell>
        </row>
        <row r="1914">
          <cell r="D1914" t="str">
            <v>du</v>
          </cell>
          <cell r="E1914" t="str">
            <v>contrat source</v>
          </cell>
          <cell r="F1914" t="str">
            <v>de l'</v>
          </cell>
          <cell r="G1914" t="str">
            <v>événement de la dette</v>
          </cell>
        </row>
        <row r="1915">
          <cell r="D1915" t="str">
            <v>du</v>
          </cell>
          <cell r="E1915" t="str">
            <v>type de traitement</v>
          </cell>
          <cell r="F1915" t="str">
            <v>de l'</v>
          </cell>
          <cell r="G1915" t="str">
            <v>événement de la dette</v>
          </cell>
        </row>
        <row r="1916">
          <cell r="D1916" t="str">
            <v>du</v>
          </cell>
          <cell r="E1916" t="str">
            <v>contrat cible</v>
          </cell>
          <cell r="F1916" t="str">
            <v>de l'</v>
          </cell>
          <cell r="G1916" t="str">
            <v>événement de la dette</v>
          </cell>
        </row>
        <row r="1917">
          <cell r="D1917" t="str">
            <v>de la</v>
          </cell>
          <cell r="E1917" t="str">
            <v>condition de règlement utilisée</v>
          </cell>
          <cell r="F1917" t="str">
            <v>de l'</v>
          </cell>
          <cell r="G1917" t="str">
            <v>événement de la dette</v>
          </cell>
        </row>
        <row r="1918">
          <cell r="D1918" t="str">
            <v>de l'</v>
          </cell>
          <cell r="E1918" t="str">
            <v>opération</v>
          </cell>
          <cell r="F1918" t="str">
            <v>par</v>
          </cell>
          <cell r="G1918" t="str">
            <v>Ligne de soins</v>
          </cell>
        </row>
        <row r="1919">
          <cell r="D1919" t="str">
            <v>de la</v>
          </cell>
          <cell r="E1919" t="str">
            <v>devise du montant</v>
          </cell>
          <cell r="F1919" t="str">
            <v>de la</v>
          </cell>
          <cell r="G1919" t="str">
            <v>Ligne de soins</v>
          </cell>
        </row>
        <row r="1920">
          <cell r="D1920" t="str">
            <v>du</v>
          </cell>
          <cell r="E1920" t="str">
            <v>motif</v>
          </cell>
          <cell r="F1920" t="str">
            <v>de la</v>
          </cell>
          <cell r="G1920" t="str">
            <v>modification</v>
          </cell>
          <cell r="H1920" t="str">
            <v>de l'</v>
          </cell>
          <cell r="I1920" t="str">
            <v>événement de la dette</v>
          </cell>
        </row>
        <row r="1921">
          <cell r="D1921" t="str">
            <v>du</v>
          </cell>
          <cell r="E1921" t="str">
            <v>motif</v>
          </cell>
          <cell r="F1921" t="str">
            <v>de la</v>
          </cell>
          <cell r="G1921" t="str">
            <v>modification</v>
          </cell>
          <cell r="H1921" t="str">
            <v>de l'</v>
          </cell>
          <cell r="I1921" t="str">
            <v>événement de la dette</v>
          </cell>
        </row>
        <row r="1922">
          <cell r="D1922" t="str">
            <v>du</v>
          </cell>
          <cell r="E1922" t="str">
            <v>motif</v>
          </cell>
          <cell r="F1922" t="str">
            <v>de la</v>
          </cell>
          <cell r="G1922" t="str">
            <v>modification</v>
          </cell>
          <cell r="H1922" t="str">
            <v>de l'</v>
          </cell>
          <cell r="I1922" t="str">
            <v>événement de la dette</v>
          </cell>
        </row>
        <row r="1923">
          <cell r="D1923" t="str">
            <v>sur le</v>
          </cell>
          <cell r="E1923" t="str">
            <v>contrat collectif</v>
          </cell>
          <cell r="F1923" t="str">
            <v>de l'</v>
          </cell>
          <cell r="G1923" t="str">
            <v>opération</v>
          </cell>
        </row>
        <row r="1924">
          <cell r="D1924" t="str">
            <v>de la</v>
          </cell>
          <cell r="E1924" t="str">
            <v>branche IDW</v>
          </cell>
          <cell r="F1924" t="str">
            <v>du</v>
          </cell>
          <cell r="G1924" t="str">
            <v>produit cible</v>
          </cell>
        </row>
        <row r="1925">
          <cell r="D1925" t="str">
            <v>de la</v>
          </cell>
          <cell r="E1925" t="str">
            <v>branche IDW</v>
          </cell>
          <cell r="F1925" t="str">
            <v>du</v>
          </cell>
          <cell r="G1925" t="str">
            <v>Produit d'Assurance</v>
          </cell>
        </row>
        <row r="1926">
          <cell r="D1926" t="str">
            <v>de la</v>
          </cell>
          <cell r="E1926" t="str">
            <v>branche IDW</v>
          </cell>
          <cell r="F1926" t="str">
            <v>du</v>
          </cell>
          <cell r="G1926" t="str">
            <v>produit source</v>
          </cell>
        </row>
        <row r="1927">
          <cell r="D1927" t="str">
            <v>du</v>
          </cell>
          <cell r="E1927" t="str">
            <v>BBAN</v>
          </cell>
          <cell r="F1927" t="str">
            <v>du</v>
          </cell>
          <cell r="G1927" t="str">
            <v>règlement</v>
          </cell>
          <cell r="H1927" t="str">
            <v>de l'</v>
          </cell>
          <cell r="I1927" t="str">
            <v>événement de la dette</v>
          </cell>
        </row>
        <row r="1928">
          <cell r="D1928" t="str">
            <v>de la</v>
          </cell>
          <cell r="E1928" t="str">
            <v>ligne de soins</v>
          </cell>
        </row>
        <row r="1929">
          <cell r="D1929" t="str">
            <v>de la</v>
          </cell>
          <cell r="E1929" t="str">
            <v>dette</v>
          </cell>
        </row>
        <row r="1930">
          <cell r="D1930" t="str">
            <v>de l'</v>
          </cell>
          <cell r="E1930" t="str">
            <v>événement de la dette</v>
          </cell>
        </row>
        <row r="1931">
          <cell r="D1931" t="str">
            <v>du</v>
          </cell>
          <cell r="E1931" t="str">
            <v>Type d'événement de la dette</v>
          </cell>
        </row>
        <row r="1932">
          <cell r="D1932" t="str">
            <v>de la</v>
          </cell>
          <cell r="E1932" t="str">
            <v>nature de la dette</v>
          </cell>
        </row>
        <row r="1933">
          <cell r="D1933" t="str">
            <v>du</v>
          </cell>
          <cell r="E1933" t="str">
            <v>Type de destinataire de la dette</v>
          </cell>
        </row>
        <row r="1934">
          <cell r="D1934" t="str">
            <v>du</v>
          </cell>
          <cell r="E1934" t="str">
            <v>mode de récupération de la dette</v>
          </cell>
        </row>
        <row r="1935">
          <cell r="D1935" t="str">
            <v>de l'</v>
          </cell>
          <cell r="E1935" t="str">
            <v xml:space="preserve">événement rattaché de la dette </v>
          </cell>
        </row>
        <row r="1936">
          <cell r="D1936" t="str">
            <v>du</v>
          </cell>
          <cell r="E1936" t="str">
            <v>Règlement Assurance santé</v>
          </cell>
        </row>
        <row r="1937">
          <cell r="D1937" t="str">
            <v>du</v>
          </cell>
          <cell r="E1937" t="str">
            <v>Dernier événement de la dette</v>
          </cell>
        </row>
        <row r="1938">
          <cell r="D1938" t="str">
            <v>du</v>
          </cell>
          <cell r="E1938" t="str">
            <v>règlement</v>
          </cell>
        </row>
        <row r="1939">
          <cell r="D1939" t="str">
            <v>du</v>
          </cell>
          <cell r="E1939" t="str">
            <v>Destinataire du règlement</v>
          </cell>
        </row>
        <row r="1940">
          <cell r="D1940" t="str">
            <v>de l'</v>
          </cell>
          <cell r="E1940" t="str">
            <v>encaissement</v>
          </cell>
        </row>
        <row r="1941">
          <cell r="D1941" t="str">
            <v>du</v>
          </cell>
          <cell r="E1941" t="str">
            <v>contrat source</v>
          </cell>
        </row>
        <row r="1942">
          <cell r="D1942" t="str">
            <v>du</v>
          </cell>
          <cell r="E1942" t="str">
            <v>produit source</v>
          </cell>
        </row>
        <row r="1943">
          <cell r="D1943" t="str">
            <v>de la</v>
          </cell>
          <cell r="E1943" t="str">
            <v>dette transférée</v>
          </cell>
        </row>
        <row r="1944">
          <cell r="D1944" t="str">
            <v>du</v>
          </cell>
          <cell r="E1944" t="str">
            <v>contrat cible</v>
          </cell>
        </row>
        <row r="1945">
          <cell r="D1945" t="str">
            <v>du</v>
          </cell>
          <cell r="E1945" t="str">
            <v>produit cible</v>
          </cell>
        </row>
        <row r="1946">
          <cell r="D1946" t="str">
            <v>de la</v>
          </cell>
          <cell r="E1946" t="str">
            <v>dette</v>
          </cell>
        </row>
        <row r="1947">
          <cell r="D1947" t="str">
            <v>de la</v>
          </cell>
          <cell r="E1947" t="str">
            <v>dette</v>
          </cell>
        </row>
        <row r="1948">
          <cell r="D1948" t="str">
            <v>de la</v>
          </cell>
          <cell r="E1948" t="str">
            <v>dette</v>
          </cell>
        </row>
        <row r="1949">
          <cell r="D1949" t="str">
            <v>de l'</v>
          </cell>
          <cell r="E1949" t="str">
            <v>événement de la dette</v>
          </cell>
        </row>
        <row r="1950">
          <cell r="D1950" t="str">
            <v>de l'</v>
          </cell>
          <cell r="E1950" t="str">
            <v>événement de la dette</v>
          </cell>
        </row>
        <row r="1951">
          <cell r="D1951" t="str">
            <v>de l'</v>
          </cell>
          <cell r="E1951" t="str">
            <v>événement de la dette</v>
          </cell>
        </row>
        <row r="1952">
          <cell r="D1952" t="str">
            <v>de l'</v>
          </cell>
          <cell r="E1952" t="str">
            <v>événement de la dette</v>
          </cell>
        </row>
        <row r="1953">
          <cell r="D1953" t="str">
            <v>de l'</v>
          </cell>
          <cell r="E1953" t="str">
            <v>événement de la dette</v>
          </cell>
        </row>
        <row r="1954">
          <cell r="D1954" t="str">
            <v>d'</v>
          </cell>
          <cell r="E1954" t="str">
            <v>OPC</v>
          </cell>
        </row>
        <row r="1955">
          <cell r="D1955" t="str">
            <v>de la</v>
          </cell>
          <cell r="E1955" t="str">
            <v>dette</v>
          </cell>
        </row>
        <row r="1956">
          <cell r="D1956" t="str">
            <v>de l'</v>
          </cell>
          <cell r="E1956" t="str">
            <v>événement de la dette</v>
          </cell>
        </row>
        <row r="1957">
          <cell r="D1957" t="str">
            <v>du</v>
          </cell>
          <cell r="E1957" t="str">
            <v>Créateur de l'événement de la dette</v>
          </cell>
        </row>
        <row r="1958">
          <cell r="D1958" t="str">
            <v>du</v>
          </cell>
          <cell r="E1958" t="str">
            <v>Type d'événement de la dette</v>
          </cell>
        </row>
        <row r="1959">
          <cell r="D1959" t="str">
            <v>du</v>
          </cell>
          <cell r="E1959" t="str">
            <v>Type d'événement de la dette</v>
          </cell>
        </row>
        <row r="1960">
          <cell r="D1960" t="str">
            <v>de la</v>
          </cell>
          <cell r="E1960" t="str">
            <v>nature de la dette</v>
          </cell>
        </row>
        <row r="1961">
          <cell r="D1961" t="str">
            <v>de la</v>
          </cell>
          <cell r="E1961" t="str">
            <v>nature de la dette</v>
          </cell>
        </row>
        <row r="1962">
          <cell r="D1962" t="str">
            <v>du</v>
          </cell>
          <cell r="E1962" t="str">
            <v>Type de destinataire de la dette</v>
          </cell>
        </row>
        <row r="1963">
          <cell r="D1963" t="str">
            <v>du</v>
          </cell>
          <cell r="E1963" t="str">
            <v>Type de destinataire de la dette</v>
          </cell>
        </row>
        <row r="1964">
          <cell r="D1964" t="str">
            <v>du</v>
          </cell>
          <cell r="E1964" t="str">
            <v>mode de récupération de la dette</v>
          </cell>
        </row>
        <row r="1965">
          <cell r="D1965" t="str">
            <v>du</v>
          </cell>
          <cell r="E1965" t="str">
            <v>mode de récupération de la dette</v>
          </cell>
        </row>
        <row r="1966">
          <cell r="D1966" t="str">
            <v>de l'</v>
          </cell>
          <cell r="E1966" t="str">
            <v xml:space="preserve">événement rattaché de la dette </v>
          </cell>
        </row>
        <row r="1967">
          <cell r="D1967" t="str">
            <v>du</v>
          </cell>
          <cell r="E1967" t="str">
            <v>décompte santé</v>
          </cell>
        </row>
        <row r="1968">
          <cell r="D1968" t="str">
            <v>du</v>
          </cell>
          <cell r="E1968" t="str">
            <v>Règlement Assurance santé</v>
          </cell>
        </row>
        <row r="1969">
          <cell r="D1969" t="str">
            <v>du</v>
          </cell>
          <cell r="E1969" t="str">
            <v>règlement</v>
          </cell>
        </row>
        <row r="1970">
          <cell r="D1970" t="str">
            <v>du</v>
          </cell>
          <cell r="E1970" t="str">
            <v>Destinataire du règlement</v>
          </cell>
        </row>
        <row r="1971">
          <cell r="D1971" t="str">
            <v>de l'</v>
          </cell>
          <cell r="E1971" t="str">
            <v>encaissement</v>
          </cell>
        </row>
        <row r="1972">
          <cell r="C1972" t="str">
            <v>interne</v>
          </cell>
          <cell r="D1972" t="str">
            <v>du</v>
          </cell>
          <cell r="E1972" t="str">
            <v>contrat source</v>
          </cell>
        </row>
        <row r="1973">
          <cell r="C1973" t="str">
            <v>externe</v>
          </cell>
          <cell r="D1973" t="str">
            <v>du</v>
          </cell>
          <cell r="E1973" t="str">
            <v>contrat source</v>
          </cell>
        </row>
        <row r="1974">
          <cell r="D1974" t="str">
            <v>du</v>
          </cell>
          <cell r="E1974" t="str">
            <v>produit source</v>
          </cell>
        </row>
        <row r="1975">
          <cell r="C1975" t="str">
            <v>interne</v>
          </cell>
          <cell r="D1975" t="str">
            <v>du</v>
          </cell>
          <cell r="E1975" t="str">
            <v>contrat cible</v>
          </cell>
        </row>
        <row r="1976">
          <cell r="C1976" t="str">
            <v>externe</v>
          </cell>
          <cell r="D1976" t="str">
            <v>du</v>
          </cell>
          <cell r="E1976" t="str">
            <v>contrat cible</v>
          </cell>
        </row>
        <row r="1977">
          <cell r="D1977" t="str">
            <v>de la</v>
          </cell>
          <cell r="E1977" t="str">
            <v>dette transférée</v>
          </cell>
        </row>
        <row r="1978">
          <cell r="D1978" t="str">
            <v>du</v>
          </cell>
          <cell r="E1978" t="str">
            <v>produit cible</v>
          </cell>
        </row>
        <row r="1979">
          <cell r="C1979" t="str">
            <v>dernière image</v>
          </cell>
          <cell r="D1979" t="str">
            <v>de l'</v>
          </cell>
          <cell r="E1979" t="str">
            <v>employé de la DSN</v>
          </cell>
        </row>
        <row r="1980">
          <cell r="C1980" t="str">
            <v>dernière image</v>
          </cell>
          <cell r="D1980" t="str">
            <v>de l'</v>
          </cell>
          <cell r="E1980" t="str">
            <v>établissement de la DSN</v>
          </cell>
        </row>
        <row r="1981">
          <cell r="C1981" t="str">
            <v>téléphone</v>
          </cell>
          <cell r="D1981" t="str">
            <v>du</v>
          </cell>
          <cell r="E1981" t="str">
            <v>correspondant</v>
          </cell>
        </row>
        <row r="1982">
          <cell r="C1982" t="str">
            <v>ordre</v>
          </cell>
          <cell r="D1982" t="str">
            <v>de l'</v>
          </cell>
          <cell r="E1982" t="str">
            <v>établissement de la DSN</v>
          </cell>
        </row>
        <row r="1983">
          <cell r="C1983" t="str">
            <v>fractionnement</v>
          </cell>
          <cell r="D1983" t="str">
            <v>de l'</v>
          </cell>
          <cell r="E1983" t="str">
            <v>établissement de la DSN</v>
          </cell>
        </row>
        <row r="1984">
          <cell r="C1984" t="str">
            <v>version</v>
          </cell>
          <cell r="D1984" t="str">
            <v>du</v>
          </cell>
          <cell r="E1984" t="str">
            <v>logiciel de paie</v>
          </cell>
        </row>
        <row r="1985">
          <cell r="C1985" t="str">
            <v>reprise</v>
          </cell>
          <cell r="D1985" t="str">
            <v>de l'</v>
          </cell>
          <cell r="E1985" t="str">
            <v>employé de la DSN</v>
          </cell>
        </row>
        <row r="1986">
          <cell r="C1986" t="str">
            <v>arrêt</v>
          </cell>
          <cell r="D1986" t="str">
            <v>de l'</v>
          </cell>
          <cell r="E1986" t="str">
            <v>employé de la DSN</v>
          </cell>
        </row>
        <row r="1987">
          <cell r="C1987" t="str">
            <v>annuel</v>
          </cell>
          <cell r="D1987" t="str">
            <v>de l'</v>
          </cell>
          <cell r="E1987" t="str">
            <v>effectif</v>
          </cell>
          <cell r="F1987" t="str">
            <v>de l'</v>
          </cell>
          <cell r="G1987" t="str">
            <v>employeur</v>
          </cell>
        </row>
        <row r="1988">
          <cell r="C1988" t="str">
            <v>NIR</v>
          </cell>
          <cell r="D1988" t="str">
            <v>de l'</v>
          </cell>
          <cell r="E1988" t="str">
            <v>employé de la DSN</v>
          </cell>
        </row>
        <row r="1989">
          <cell r="C1989" t="str">
            <v>temporaire</v>
          </cell>
          <cell r="D1989" t="str">
            <v>de l'</v>
          </cell>
          <cell r="E1989" t="str">
            <v>employé de la DSN</v>
          </cell>
        </row>
        <row r="1990">
          <cell r="D1990" t="str">
            <v>de</v>
          </cell>
          <cell r="E1990" t="str">
            <v>SIRET</v>
          </cell>
          <cell r="F1990" t="str">
            <v>de l'</v>
          </cell>
          <cell r="G1990" t="str">
            <v>émetteur</v>
          </cell>
        </row>
        <row r="1991">
          <cell r="D1991" t="str">
            <v>de</v>
          </cell>
          <cell r="E1991" t="str">
            <v>subrogation</v>
          </cell>
        </row>
        <row r="1992">
          <cell r="D1992" t="str">
            <v>de l'</v>
          </cell>
          <cell r="E1992" t="str">
            <v>IBAN</v>
          </cell>
        </row>
        <row r="1993">
          <cell r="D1993" t="str">
            <v>de la</v>
          </cell>
          <cell r="E1993" t="str">
            <v>cotisaton à appliquer</v>
          </cell>
        </row>
        <row r="1994">
          <cell r="D1994" t="str">
            <v>de la</v>
          </cell>
          <cell r="E1994" t="str">
            <v>cotisation global brut calculé</v>
          </cell>
        </row>
        <row r="1995">
          <cell r="D1995" t="str">
            <v>de la</v>
          </cell>
          <cell r="E1995" t="str">
            <v>cotisation global brut</v>
          </cell>
        </row>
        <row r="1996">
          <cell r="D1996" t="str">
            <v>de la</v>
          </cell>
          <cell r="E1996" t="str">
            <v>rémunération</v>
          </cell>
        </row>
        <row r="1997">
          <cell r="D1997" t="str">
            <v>de la</v>
          </cell>
          <cell r="E1997" t="str">
            <v>cotisation</v>
          </cell>
        </row>
        <row r="1998">
          <cell r="D1998" t="str">
            <v>de la</v>
          </cell>
          <cell r="E1998" t="str">
            <v>cotisation</v>
          </cell>
        </row>
        <row r="1999">
          <cell r="D1999" t="str">
            <v>de</v>
          </cell>
          <cell r="E1999" t="str">
            <v>contrat</v>
          </cell>
        </row>
        <row r="2000">
          <cell r="D2000" t="str">
            <v>de</v>
          </cell>
          <cell r="E2000" t="str">
            <v>contrat</v>
          </cell>
        </row>
        <row r="2001">
          <cell r="D2001" t="str">
            <v>de</v>
          </cell>
          <cell r="E2001" t="str">
            <v>suspension du contrat</v>
          </cell>
        </row>
        <row r="2002">
          <cell r="D2002" t="str">
            <v>de</v>
          </cell>
          <cell r="E2002" t="str">
            <v>suspension du contrat</v>
          </cell>
        </row>
        <row r="2003">
          <cell r="D2003" t="str">
            <v>de</v>
          </cell>
          <cell r="E2003" t="str">
            <v>rémunération</v>
          </cell>
        </row>
        <row r="2004">
          <cell r="D2004" t="str">
            <v>de</v>
          </cell>
          <cell r="E2004" t="str">
            <v>rémunération</v>
          </cell>
        </row>
        <row r="2005">
          <cell r="D2005" t="str">
            <v>de</v>
          </cell>
          <cell r="E2005" t="str">
            <v>subrogation</v>
          </cell>
        </row>
        <row r="2006">
          <cell r="D2006" t="str">
            <v>de</v>
          </cell>
          <cell r="E2006" t="str">
            <v>subrogation</v>
          </cell>
        </row>
        <row r="2007">
          <cell r="D2007" t="str">
            <v>du</v>
          </cell>
          <cell r="E2007" t="str">
            <v>BIC</v>
          </cell>
        </row>
        <row r="2008">
          <cell r="D2008" t="str">
            <v>du</v>
          </cell>
          <cell r="E2008" t="str">
            <v>motif de fin de contrat</v>
          </cell>
        </row>
        <row r="2009">
          <cell r="D2009" t="str">
            <v>de</v>
          </cell>
          <cell r="E2009" t="str">
            <v>rémunération</v>
          </cell>
        </row>
        <row r="2010">
          <cell r="D2010" t="str">
            <v>du</v>
          </cell>
          <cell r="E2010" t="str">
            <v>motif de reprise</v>
          </cell>
        </row>
        <row r="2011">
          <cell r="D2011" t="str">
            <v>du</v>
          </cell>
          <cell r="E2011" t="str">
            <v>motif d'arrêt</v>
          </cell>
        </row>
        <row r="2012">
          <cell r="D2012" t="str">
            <v>du</v>
          </cell>
          <cell r="E2012" t="str">
            <v>motif de suspension</v>
          </cell>
        </row>
        <row r="2013">
          <cell r="D2013" t="str">
            <v>du</v>
          </cell>
          <cell r="E2013" t="str">
            <v>NIC</v>
          </cell>
          <cell r="F2013" t="str">
            <v>de l'</v>
          </cell>
          <cell r="G2013" t="str">
            <v>employeur</v>
          </cell>
        </row>
        <row r="2014">
          <cell r="D2014" t="str">
            <v>de l'</v>
          </cell>
          <cell r="E2014" t="str">
            <v>effectif</v>
          </cell>
          <cell r="F2014" t="str">
            <v>de l'</v>
          </cell>
          <cell r="G2014" t="str">
            <v>employeur</v>
          </cell>
        </row>
        <row r="2015">
          <cell r="D2015" t="str">
            <v>de</v>
          </cell>
          <cell r="E2015" t="str">
            <v>SIRET</v>
          </cell>
          <cell r="F2015" t="str">
            <v>de l'</v>
          </cell>
          <cell r="G2015" t="str">
            <v>employeur</v>
          </cell>
        </row>
        <row r="2016">
          <cell r="D2016" t="str">
            <v xml:space="preserve"> </v>
          </cell>
          <cell r="E2016" t="str">
            <v>APET</v>
          </cell>
          <cell r="F2016" t="str">
            <v>de l'</v>
          </cell>
          <cell r="G2016" t="str">
            <v>employeur</v>
          </cell>
        </row>
        <row r="2017">
          <cell r="D2017" t="str">
            <v xml:space="preserve"> </v>
          </cell>
          <cell r="E2017" t="str">
            <v>APEN</v>
          </cell>
          <cell r="F2017" t="str">
            <v>de l'</v>
          </cell>
          <cell r="G2017" t="str">
            <v>employeur</v>
          </cell>
        </row>
        <row r="2018">
          <cell r="D2018" t="str">
            <v>du</v>
          </cell>
          <cell r="E2018" t="str">
            <v>BIC</v>
          </cell>
          <cell r="F2018" t="str">
            <v>de l'</v>
          </cell>
          <cell r="G2018" t="str">
            <v>employeur</v>
          </cell>
        </row>
        <row r="2019">
          <cell r="D2019" t="str">
            <v>de la</v>
          </cell>
          <cell r="E2019" t="str">
            <v>nature juridique</v>
          </cell>
          <cell r="F2019" t="str">
            <v>de l'</v>
          </cell>
          <cell r="G2019" t="str">
            <v>employeur</v>
          </cell>
        </row>
        <row r="2020">
          <cell r="D2020" t="str">
            <v>de la</v>
          </cell>
          <cell r="E2020" t="str">
            <v>raison sociale</v>
          </cell>
          <cell r="F2020" t="str">
            <v>de l'</v>
          </cell>
          <cell r="G2020" t="str">
            <v>employeur</v>
          </cell>
        </row>
        <row r="2021">
          <cell r="C2021" t="str">
            <v>crypté</v>
          </cell>
          <cell r="D2021" t="str">
            <v>de la</v>
          </cell>
          <cell r="E2021" t="str">
            <v>cotisaton à appliquer</v>
          </cell>
        </row>
        <row r="2022">
          <cell r="C2022" t="str">
            <v>crypté</v>
          </cell>
          <cell r="D2022" t="str">
            <v>de la</v>
          </cell>
          <cell r="E2022" t="str">
            <v>cotisation global brut calculé</v>
          </cell>
        </row>
        <row r="2023">
          <cell r="C2023" t="str">
            <v>crypté</v>
          </cell>
          <cell r="D2023" t="str">
            <v>de la</v>
          </cell>
          <cell r="E2023" t="str">
            <v>cotisation global brut</v>
          </cell>
        </row>
        <row r="2024">
          <cell r="C2024" t="str">
            <v>estimé</v>
          </cell>
          <cell r="D2024" t="str">
            <v>de</v>
          </cell>
          <cell r="E2024" t="str">
            <v>cotisation</v>
          </cell>
        </row>
        <row r="2025">
          <cell r="D2025" t="str">
            <v>de l'</v>
          </cell>
          <cell r="E2025" t="str">
            <v>IBAN</v>
          </cell>
        </row>
        <row r="2026">
          <cell r="D2026" t="str">
            <v>du</v>
          </cell>
          <cell r="E2026" t="str">
            <v>versement</v>
          </cell>
        </row>
        <row r="2027">
          <cell r="D2027" t="str">
            <v>de</v>
          </cell>
          <cell r="E2027" t="str">
            <v>SIRET</v>
          </cell>
        </row>
        <row r="2028">
          <cell r="D2028" t="str">
            <v>du</v>
          </cell>
          <cell r="E2028" t="str">
            <v>versement</v>
          </cell>
        </row>
        <row r="2029">
          <cell r="D2029" t="str">
            <v>de la</v>
          </cell>
          <cell r="E2029" t="str">
            <v>déclaration</v>
          </cell>
        </row>
        <row r="2030">
          <cell r="D2030" t="str">
            <v>de la</v>
          </cell>
          <cell r="E2030" t="str">
            <v>déclaration</v>
          </cell>
        </row>
        <row r="2031">
          <cell r="D2031" t="str">
            <v>du</v>
          </cell>
          <cell r="E2031" t="str">
            <v>versement</v>
          </cell>
        </row>
        <row r="2032">
          <cell r="D2032" t="str">
            <v>du</v>
          </cell>
          <cell r="E2032" t="str">
            <v>BIC</v>
          </cell>
        </row>
        <row r="2033">
          <cell r="D2033" t="str">
            <v>de la</v>
          </cell>
          <cell r="E2033" t="str">
            <v>déclaration</v>
          </cell>
        </row>
        <row r="2034">
          <cell r="D2034" t="str">
            <v>du</v>
          </cell>
          <cell r="E2034" t="str">
            <v>versement</v>
          </cell>
        </row>
        <row r="2035">
          <cell r="D2035" t="str">
            <v>de l'</v>
          </cell>
          <cell r="E2035" t="str">
            <v>éditeur</v>
          </cell>
          <cell r="F2035" t="str">
            <v>du</v>
          </cell>
          <cell r="G2035" t="str">
            <v>logiciel de paie</v>
          </cell>
        </row>
        <row r="2036">
          <cell r="C2036" t="str">
            <v>interne</v>
          </cell>
          <cell r="D2036" t="str">
            <v>du</v>
          </cell>
          <cell r="E2036" t="str">
            <v>contrat collectif retraite</v>
          </cell>
        </row>
        <row r="2037">
          <cell r="C2037" t="str">
            <v>externe</v>
          </cell>
          <cell r="D2037" t="str">
            <v>du</v>
          </cell>
          <cell r="E2037" t="str">
            <v>contrat collectif retraite</v>
          </cell>
        </row>
        <row r="2038">
          <cell r="C2038" t="str">
            <v>interne</v>
          </cell>
          <cell r="D2038" t="str">
            <v>du</v>
          </cell>
          <cell r="E2038" t="str">
            <v>contrat collectif prévoyance</v>
          </cell>
        </row>
        <row r="2039">
          <cell r="C2039" t="str">
            <v>externe</v>
          </cell>
          <cell r="D2039" t="str">
            <v>du</v>
          </cell>
          <cell r="E2039" t="str">
            <v>contrat collectif prévoyance</v>
          </cell>
        </row>
        <row r="2040">
          <cell r="C2040" t="str">
            <v>interne</v>
          </cell>
          <cell r="D2040" t="str">
            <v>du</v>
          </cell>
          <cell r="E2040" t="str">
            <v>contrat collectif santé</v>
          </cell>
        </row>
        <row r="2041">
          <cell r="C2041" t="str">
            <v>externe</v>
          </cell>
          <cell r="D2041" t="str">
            <v>du</v>
          </cell>
          <cell r="E2041" t="str">
            <v>contrat collectif santé</v>
          </cell>
        </row>
        <row r="2042">
          <cell r="C2042" t="str">
            <v>interne</v>
          </cell>
          <cell r="D2042" t="str">
            <v>du</v>
          </cell>
          <cell r="E2042" t="str">
            <v>contrat collectif épargne</v>
          </cell>
        </row>
        <row r="2043">
          <cell r="C2043" t="str">
            <v>externe</v>
          </cell>
          <cell r="D2043" t="str">
            <v>du</v>
          </cell>
          <cell r="E2043" t="str">
            <v>contrat collectif épargne</v>
          </cell>
        </row>
        <row r="2044">
          <cell r="D2044" t="str">
            <v>du</v>
          </cell>
          <cell r="E2044" t="str">
            <v>produit santé</v>
          </cell>
        </row>
        <row r="2045">
          <cell r="D2045" t="str">
            <v>de l'</v>
          </cell>
          <cell r="E2045" t="str">
            <v>employé de la DSN</v>
          </cell>
        </row>
        <row r="2046">
          <cell r="D2046" t="str">
            <v>de l'</v>
          </cell>
          <cell r="E2046" t="str">
            <v>établissement de la DSN</v>
          </cell>
        </row>
        <row r="2047">
          <cell r="D2047" t="str">
            <v>de l'</v>
          </cell>
          <cell r="E2047" t="str">
            <v>entité gestionnaire</v>
          </cell>
        </row>
        <row r="2048">
          <cell r="D2048" t="str">
            <v>du</v>
          </cell>
          <cell r="E2048" t="str">
            <v>produit prévoyance</v>
          </cell>
        </row>
        <row r="2049">
          <cell r="D2049" t="str">
            <v>du</v>
          </cell>
          <cell r="E2049" t="str">
            <v>produit retraite</v>
          </cell>
        </row>
        <row r="2050">
          <cell r="C2050" t="str">
            <v>pays</v>
          </cell>
          <cell r="D2050" t="str">
            <v>de l'</v>
          </cell>
          <cell r="E2050" t="str">
            <v>entreprise</v>
          </cell>
        </row>
        <row r="2051">
          <cell r="C2051" t="str">
            <v>postal</v>
          </cell>
          <cell r="D2051" t="str">
            <v>de l'</v>
          </cell>
          <cell r="E2051" t="str">
            <v>entreprise</v>
          </cell>
        </row>
        <row r="2052">
          <cell r="D2052" t="str">
            <v>de l'</v>
          </cell>
          <cell r="E2052" t="str">
            <v>employé de la DSN</v>
          </cell>
        </row>
        <row r="2053">
          <cell r="D2053" t="str">
            <v>de l'</v>
          </cell>
          <cell r="E2053" t="str">
            <v>employé de la DSN</v>
          </cell>
        </row>
        <row r="2054">
          <cell r="D2054" t="str">
            <v>de l'</v>
          </cell>
          <cell r="E2054" t="str">
            <v>employé de la DSN</v>
          </cell>
        </row>
        <row r="2055">
          <cell r="D2055" t="str">
            <v>de l'</v>
          </cell>
          <cell r="E2055" t="str">
            <v>établissement de la DSN</v>
          </cell>
        </row>
        <row r="2056">
          <cell r="D2056" t="str">
            <v>de l'</v>
          </cell>
          <cell r="E2056" t="str">
            <v>établissement de la DSN</v>
          </cell>
        </row>
        <row r="2057">
          <cell r="D2057" t="str">
            <v>de l'</v>
          </cell>
          <cell r="E2057" t="str">
            <v>établissement de la DSN</v>
          </cell>
        </row>
        <row r="2058">
          <cell r="D2058" t="str">
            <v>de l'</v>
          </cell>
          <cell r="E2058" t="str">
            <v>établissement de la DSN</v>
          </cell>
        </row>
        <row r="2059">
          <cell r="D2059" t="str">
            <v>de l'</v>
          </cell>
          <cell r="E2059" t="str">
            <v>établissement de la DSN</v>
          </cell>
        </row>
        <row r="2060">
          <cell r="D2060" t="str">
            <v>du</v>
          </cell>
          <cell r="E2060" t="str">
            <v>guichet de l'établissement</v>
          </cell>
        </row>
        <row r="2061">
          <cell r="C2061" t="str">
            <v>pays</v>
          </cell>
          <cell r="D2061" t="str">
            <v>de</v>
          </cell>
          <cell r="E2061" t="str">
            <v>naissance</v>
          </cell>
          <cell r="F2061" t="str">
            <v>de l'</v>
          </cell>
          <cell r="G2061" t="str">
            <v>employé de la DSN</v>
          </cell>
        </row>
        <row r="2062">
          <cell r="C2062" t="str">
            <v>pays</v>
          </cell>
          <cell r="D2062" t="str">
            <v>de l'</v>
          </cell>
          <cell r="E2062" t="str">
            <v>employé de la DSN</v>
          </cell>
        </row>
        <row r="2063">
          <cell r="C2063" t="str">
            <v>postal</v>
          </cell>
          <cell r="D2063" t="str">
            <v>de l'</v>
          </cell>
          <cell r="E2063" t="str">
            <v>employé de la DSN</v>
          </cell>
        </row>
        <row r="2064">
          <cell r="C2064" t="str">
            <v>patronymique</v>
          </cell>
          <cell r="D2064" t="str">
            <v>de l'</v>
          </cell>
          <cell r="E2064" t="str">
            <v>employé de la DSN</v>
          </cell>
        </row>
        <row r="2065">
          <cell r="C2065" t="str">
            <v>sexe</v>
          </cell>
          <cell r="D2065" t="str">
            <v>de l'</v>
          </cell>
          <cell r="E2065" t="str">
            <v>employé de la DSN</v>
          </cell>
        </row>
        <row r="2066">
          <cell r="C2066" t="str">
            <v>ancienneté</v>
          </cell>
          <cell r="D2066" t="str">
            <v>de l'</v>
          </cell>
          <cell r="E2066" t="str">
            <v>employé de la DSN</v>
          </cell>
        </row>
        <row r="2067">
          <cell r="C2067" t="str">
            <v>ancienneté</v>
          </cell>
          <cell r="D2067" t="str">
            <v>de l'</v>
          </cell>
          <cell r="E2067" t="str">
            <v>employé de la DSN</v>
          </cell>
        </row>
        <row r="2068">
          <cell r="D2068" t="str">
            <v>du</v>
          </cell>
          <cell r="E2068" t="str">
            <v>correspondant</v>
          </cell>
        </row>
        <row r="2069">
          <cell r="D2069" t="str">
            <v>du</v>
          </cell>
          <cell r="E2069" t="str">
            <v>correspondant</v>
          </cell>
        </row>
        <row r="2070">
          <cell r="C2070" t="str">
            <v>pays</v>
          </cell>
          <cell r="D2070" t="str">
            <v>de l'</v>
          </cell>
          <cell r="E2070" t="str">
            <v>établissement de la DSN</v>
          </cell>
        </row>
        <row r="2071">
          <cell r="D2071" t="str">
            <v>du</v>
          </cell>
          <cell r="E2071" t="str">
            <v>correspondant</v>
          </cell>
        </row>
        <row r="2072">
          <cell r="D2072" t="str">
            <v>de</v>
          </cell>
          <cell r="E2072" t="str">
            <v>correspondant</v>
          </cell>
        </row>
        <row r="2073">
          <cell r="C2073" t="str">
            <v>postal</v>
          </cell>
          <cell r="D2073" t="str">
            <v>de l'</v>
          </cell>
          <cell r="E2073" t="str">
            <v>établissement de la DSN</v>
          </cell>
        </row>
        <row r="2074">
          <cell r="D2074" t="str">
            <v>de l'</v>
          </cell>
          <cell r="E2074" t="str">
            <v>établissement</v>
          </cell>
        </row>
        <row r="2075">
          <cell r="D2075" t="str">
            <v>de l'</v>
          </cell>
          <cell r="E2075" t="str">
            <v>entreprise</v>
          </cell>
        </row>
        <row r="2076">
          <cell r="D2076" t="str">
            <v>de l'</v>
          </cell>
          <cell r="E2076" t="str">
            <v>entreprise</v>
          </cell>
        </row>
        <row r="2077">
          <cell r="D2077" t="str">
            <v>de l'</v>
          </cell>
          <cell r="E2077" t="str">
            <v>entreprise</v>
          </cell>
        </row>
        <row r="2078">
          <cell r="D2078" t="str">
            <v>de l'</v>
          </cell>
          <cell r="E2078" t="str">
            <v>entreprise</v>
          </cell>
        </row>
        <row r="2079">
          <cell r="D2079" t="str">
            <v>de la</v>
          </cell>
          <cell r="E2079" t="str">
            <v>fédération</v>
          </cell>
        </row>
        <row r="2080">
          <cell r="D2080" t="str">
            <v>du</v>
          </cell>
          <cell r="E2080" t="str">
            <v>produit santé</v>
          </cell>
        </row>
        <row r="2081">
          <cell r="D2081" t="str">
            <v>de l'</v>
          </cell>
          <cell r="E2081" t="str">
            <v>employé de la DSN</v>
          </cell>
        </row>
        <row r="2082">
          <cell r="D2082" t="str">
            <v>de l'</v>
          </cell>
          <cell r="E2082" t="str">
            <v>employé de la DSN</v>
          </cell>
        </row>
        <row r="2083">
          <cell r="D2083" t="str">
            <v>de l'</v>
          </cell>
          <cell r="E2083" t="str">
            <v>employé de la DSN</v>
          </cell>
        </row>
        <row r="2084">
          <cell r="D2084" t="str">
            <v>de l'</v>
          </cell>
          <cell r="E2084" t="str">
            <v>employé de la DSN</v>
          </cell>
        </row>
        <row r="2085">
          <cell r="D2085" t="str">
            <v>de l'</v>
          </cell>
          <cell r="E2085" t="str">
            <v>employé de la DSN</v>
          </cell>
        </row>
        <row r="2086">
          <cell r="D2086" t="str">
            <v>de l'</v>
          </cell>
          <cell r="E2086" t="str">
            <v>employé de la DSN</v>
          </cell>
        </row>
        <row r="2087">
          <cell r="D2087" t="str">
            <v>de l'</v>
          </cell>
          <cell r="E2087" t="str">
            <v>employé de la DSN</v>
          </cell>
        </row>
        <row r="2088">
          <cell r="D2088" t="str">
            <v>de l'</v>
          </cell>
          <cell r="E2088" t="str">
            <v>employé de la DSN</v>
          </cell>
        </row>
        <row r="2089">
          <cell r="D2089" t="str">
            <v>de l'</v>
          </cell>
          <cell r="E2089" t="str">
            <v>employé de la DSN</v>
          </cell>
        </row>
        <row r="2090">
          <cell r="D2090" t="str">
            <v>de l'</v>
          </cell>
          <cell r="E2090" t="str">
            <v>établissement de la DSN</v>
          </cell>
        </row>
        <row r="2091">
          <cell r="D2091" t="str">
            <v>de l'</v>
          </cell>
          <cell r="E2091" t="str">
            <v>établissement de la DSN</v>
          </cell>
        </row>
        <row r="2092">
          <cell r="D2092" t="str">
            <v>de l'</v>
          </cell>
          <cell r="E2092" t="str">
            <v>établissement de la DSN</v>
          </cell>
        </row>
        <row r="2093">
          <cell r="D2093" t="str">
            <v>de l'</v>
          </cell>
          <cell r="E2093" t="str">
            <v>établissement de la DSN</v>
          </cell>
        </row>
        <row r="2094">
          <cell r="D2094" t="str">
            <v>de l'</v>
          </cell>
          <cell r="E2094" t="str">
            <v>établissement de la DSN</v>
          </cell>
        </row>
        <row r="2095">
          <cell r="D2095" t="str">
            <v>du</v>
          </cell>
          <cell r="E2095" t="str">
            <v>produit prévoyance</v>
          </cell>
        </row>
        <row r="2096">
          <cell r="D2096" t="str">
            <v>du</v>
          </cell>
          <cell r="E2096" t="str">
            <v>logiciel de paie</v>
          </cell>
        </row>
        <row r="2097">
          <cell r="D2097" t="str">
            <v>du</v>
          </cell>
          <cell r="E2097" t="str">
            <v>produit retraite</v>
          </cell>
        </row>
        <row r="2098">
          <cell r="D2098" t="str">
            <v>du</v>
          </cell>
          <cell r="E2098" t="str">
            <v>tiers personne morale</v>
          </cell>
        </row>
        <row r="2099">
          <cell r="D2099" t="str">
            <v>du</v>
          </cell>
          <cell r="E2099" t="str">
            <v>tiers personne physique</v>
          </cell>
        </row>
        <row r="2100">
          <cell r="C2100" t="str">
            <v>naissance</v>
          </cell>
          <cell r="D2100" t="str">
            <v>de l'</v>
          </cell>
          <cell r="E2100" t="str">
            <v>employé de la DSN</v>
          </cell>
        </row>
        <row r="2101">
          <cell r="C2101" t="str">
            <v>base</v>
          </cell>
          <cell r="D2101" t="str">
            <v>de la</v>
          </cell>
          <cell r="E2101" t="str">
            <v>cotisation</v>
          </cell>
        </row>
        <row r="2102">
          <cell r="C2102" t="str">
            <v>statut</v>
          </cell>
          <cell r="D2102" t="str">
            <v>de l'</v>
          </cell>
          <cell r="E2102" t="str">
            <v>employé de la DSN</v>
          </cell>
        </row>
        <row r="2103">
          <cell r="C2103" t="str">
            <v>origine</v>
          </cell>
          <cell r="D2103" t="str">
            <v>de l'</v>
          </cell>
          <cell r="E2103" t="str">
            <v>établissement de la DSN</v>
          </cell>
        </row>
        <row r="2104">
          <cell r="C2104" t="str">
            <v>affectation</v>
          </cell>
          <cell r="D2104" t="str">
            <v>du</v>
          </cell>
          <cell r="E2104" t="str">
            <v>versement</v>
          </cell>
        </row>
        <row r="2105">
          <cell r="D2105" t="str">
            <v>d'</v>
          </cell>
          <cell r="E2105" t="str">
            <v>enfant à charge</v>
          </cell>
        </row>
        <row r="2106">
          <cell r="D2106" t="str">
            <v>de la</v>
          </cell>
          <cell r="E2106" t="str">
            <v>nature</v>
          </cell>
          <cell r="F2106" t="str">
            <v>du</v>
          </cell>
          <cell r="G2106" t="str">
            <v>contrat de travail</v>
          </cell>
        </row>
        <row r="2107">
          <cell r="D2107" t="str">
            <v>du</v>
          </cell>
          <cell r="E2107" t="str">
            <v>contrat de travail</v>
          </cell>
        </row>
        <row r="2108">
          <cell r="D2108" t="str">
            <v>de la</v>
          </cell>
          <cell r="E2108" t="str">
            <v>convention collective applicable</v>
          </cell>
        </row>
        <row r="2109">
          <cell r="C2109" t="str">
            <v>prévisionnelle</v>
          </cell>
          <cell r="D2109" t="str">
            <v>d'</v>
          </cell>
          <cell r="E2109" t="str">
            <v>arrêt de travail</v>
          </cell>
        </row>
        <row r="2110">
          <cell r="D2110" t="str">
            <v>de l'</v>
          </cell>
          <cell r="E2110" t="str">
            <v>accident</v>
          </cell>
        </row>
        <row r="2111">
          <cell r="C2111" t="str">
            <v>affectation</v>
          </cell>
          <cell r="D2111" t="str">
            <v>du</v>
          </cell>
          <cell r="E2111" t="str">
            <v>versement</v>
          </cell>
        </row>
        <row r="2112">
          <cell r="C2112" t="str">
            <v>police</v>
          </cell>
          <cell r="D2112" t="str">
            <v>du</v>
          </cell>
          <cell r="E2112" t="str">
            <v>contrat</v>
          </cell>
        </row>
        <row r="2113">
          <cell r="D2113" t="str">
            <v>du</v>
          </cell>
          <cell r="E2113" t="str">
            <v>montant</v>
          </cell>
          <cell r="F2113" t="str">
            <v>du</v>
          </cell>
          <cell r="G2113" t="str">
            <v>contentieux</v>
          </cell>
        </row>
        <row r="2114">
          <cell r="D2114" t="str">
            <v>du</v>
          </cell>
          <cell r="E2114" t="str">
            <v>cycle de vie</v>
          </cell>
          <cell r="F2114" t="str">
            <v>du</v>
          </cell>
          <cell r="G2114" t="str">
            <v>contrat</v>
          </cell>
        </row>
        <row r="2115">
          <cell r="C2115" t="str">
            <v>TTC</v>
          </cell>
          <cell r="D2115" t="str">
            <v>de la</v>
          </cell>
          <cell r="E2115" t="str">
            <v>commission</v>
          </cell>
          <cell r="F2115" t="str">
            <v>du</v>
          </cell>
          <cell r="G2115" t="str">
            <v>solde du contrat</v>
          </cell>
        </row>
        <row r="2116">
          <cell r="C2116" t="str">
            <v>TTC</v>
          </cell>
          <cell r="D2116" t="str">
            <v>du</v>
          </cell>
          <cell r="E2116" t="str">
            <v>solde du contrat</v>
          </cell>
        </row>
        <row r="2117">
          <cell r="C2117" t="str">
            <v>TTC</v>
          </cell>
          <cell r="D2117" t="str">
            <v>de l'</v>
          </cell>
          <cell r="E2117" t="str">
            <v>événement</v>
          </cell>
        </row>
        <row r="2118">
          <cell r="C2118" t="str">
            <v>TTC</v>
          </cell>
          <cell r="D2118" t="str">
            <v>du</v>
          </cell>
          <cell r="E2118" t="str">
            <v>contentieux</v>
          </cell>
        </row>
        <row r="2119">
          <cell r="D2119" t="str">
            <v>de l'</v>
          </cell>
          <cell r="E2119" t="str">
            <v>événement</v>
          </cell>
        </row>
        <row r="2120">
          <cell r="D2120" t="str">
            <v>de</v>
          </cell>
          <cell r="E2120" t="str">
            <v>cotisation annuelle TTC</v>
          </cell>
        </row>
        <row r="2121">
          <cell r="D2121" t="str">
            <v>des</v>
          </cell>
          <cell r="E2121" t="str">
            <v>cotisation</v>
          </cell>
        </row>
        <row r="2122">
          <cell r="D2122" t="str">
            <v>d'</v>
          </cell>
          <cell r="E2122" t="str">
            <v>appel des cotisations</v>
          </cell>
        </row>
        <row r="2123">
          <cell r="D2123" t="str">
            <v>du</v>
          </cell>
          <cell r="E2123" t="str">
            <v>solde du contrat</v>
          </cell>
        </row>
        <row r="2124">
          <cell r="D2124" t="str">
            <v>du</v>
          </cell>
          <cell r="E2124" t="str">
            <v>solde du contrat</v>
          </cell>
        </row>
        <row r="2125">
          <cell r="D2125" t="str">
            <v>de l'</v>
          </cell>
          <cell r="E2125" t="str">
            <v>événement</v>
          </cell>
        </row>
        <row r="2126">
          <cell r="D2126" t="str">
            <v>de l'</v>
          </cell>
          <cell r="E2126" t="str">
            <v>événement</v>
          </cell>
        </row>
        <row r="2127">
          <cell r="D2127" t="str">
            <v>du</v>
          </cell>
          <cell r="E2127" t="str">
            <v>contentieux</v>
          </cell>
        </row>
        <row r="2128">
          <cell r="D2128" t="str">
            <v>du</v>
          </cell>
          <cell r="E2128" t="str">
            <v>précédent appel des cotisations</v>
          </cell>
        </row>
        <row r="2129">
          <cell r="C2129" t="str">
            <v>état</v>
          </cell>
          <cell r="D2129" t="str">
            <v>d'</v>
          </cell>
          <cell r="E2129" t="str">
            <v>appel des cotisations</v>
          </cell>
        </row>
        <row r="2130">
          <cell r="D2130" t="str">
            <v>du</v>
          </cell>
          <cell r="E2130" t="str">
            <v>solde du contrat</v>
          </cell>
        </row>
        <row r="2131">
          <cell r="D2131" t="str">
            <v>de l'</v>
          </cell>
          <cell r="E2131" t="str">
            <v>événement</v>
          </cell>
        </row>
        <row r="2132">
          <cell r="C2132" t="str">
            <v>état</v>
          </cell>
          <cell r="D2132" t="str">
            <v>du</v>
          </cell>
          <cell r="E2132" t="str">
            <v>contentieux</v>
          </cell>
        </row>
        <row r="2133">
          <cell r="D2133" t="str">
            <v>de l'</v>
          </cell>
          <cell r="E2133" t="str">
            <v>intermédiaire de gestion</v>
          </cell>
        </row>
        <row r="2134">
          <cell r="C2134" t="str">
            <v>motif</v>
          </cell>
          <cell r="D2134" t="str">
            <v>de l'</v>
          </cell>
          <cell r="E2134" t="str">
            <v>état</v>
          </cell>
          <cell r="F2134" t="str">
            <v>d'</v>
          </cell>
          <cell r="G2134" t="str">
            <v>appel des cotisations</v>
          </cell>
        </row>
        <row r="2135">
          <cell r="C2135" t="str">
            <v>validité</v>
          </cell>
          <cell r="D2135" t="str">
            <v>de l'</v>
          </cell>
          <cell r="E2135" t="str">
            <v>agregation des mouvements financiers</v>
          </cell>
        </row>
        <row r="2136">
          <cell r="D2136" t="str">
            <v>du</v>
          </cell>
          <cell r="E2136" t="str">
            <v>type de cumul</v>
          </cell>
          <cell r="F2136" t="str">
            <v>du</v>
          </cell>
          <cell r="G2136" t="str">
            <v>mouvement financier</v>
          </cell>
        </row>
        <row r="2137">
          <cell r="D2137" t="str">
            <v>de la</v>
          </cell>
          <cell r="E2137" t="str">
            <v>devise</v>
          </cell>
          <cell r="F2137" t="str">
            <v>du</v>
          </cell>
          <cell r="G2137" t="str">
            <v>mouvement financier</v>
          </cell>
        </row>
        <row r="2138">
          <cell r="D2138" t="str">
            <v>de la</v>
          </cell>
          <cell r="E2138" t="str">
            <v>Branche assurance</v>
          </cell>
          <cell r="F2138" t="str">
            <v>du</v>
          </cell>
          <cell r="G2138" t="str">
            <v>mouvement financier</v>
          </cell>
        </row>
        <row r="2139">
          <cell r="D2139" t="str">
            <v>de la</v>
          </cell>
          <cell r="E2139" t="str">
            <v>Société d'assurance</v>
          </cell>
          <cell r="F2139" t="str">
            <v>du</v>
          </cell>
          <cell r="G2139" t="str">
            <v>mouvement financier</v>
          </cell>
        </row>
        <row r="2140">
          <cell r="D2140" t="str">
            <v>du</v>
          </cell>
          <cell r="E2140" t="str">
            <v>produit d'assurance</v>
          </cell>
          <cell r="F2140" t="str">
            <v>du</v>
          </cell>
          <cell r="G2140" t="str">
            <v>mouvement financier</v>
          </cell>
        </row>
        <row r="2141">
          <cell r="D2141" t="str">
            <v>de la</v>
          </cell>
          <cell r="E2141" t="str">
            <v>nature</v>
          </cell>
          <cell r="F2141" t="str">
            <v>du</v>
          </cell>
          <cell r="G2141" t="str">
            <v>mouvement financier</v>
          </cell>
        </row>
        <row r="2142">
          <cell r="D2142" t="str">
            <v>du</v>
          </cell>
          <cell r="E2142" t="str">
            <v>type de traitement</v>
          </cell>
          <cell r="F2142" t="str">
            <v>du</v>
          </cell>
          <cell r="G2142" t="str">
            <v>mouvement financier</v>
          </cell>
        </row>
        <row r="2143">
          <cell r="D2143" t="str">
            <v>d'</v>
          </cell>
          <cell r="E2143" t="str">
            <v>opérations bancaires agrégées</v>
          </cell>
        </row>
        <row r="2144">
          <cell r="D2144" t="str">
            <v>du</v>
          </cell>
          <cell r="E2144" t="str">
            <v>mouvement financier</v>
          </cell>
        </row>
        <row r="2145">
          <cell r="D2145" t="str">
            <v>de l'</v>
          </cell>
          <cell r="E2145" t="str">
            <v>agrégation</v>
          </cell>
        </row>
        <row r="2146">
          <cell r="C2146" t="str">
            <v>IBAN</v>
          </cell>
          <cell r="D2146" t="str">
            <v>du</v>
          </cell>
          <cell r="E2146" t="str">
            <v>donneur d'ordre</v>
          </cell>
          <cell r="F2146" t="str">
            <v>du</v>
          </cell>
          <cell r="G2146" t="str">
            <v>mouvement financier</v>
          </cell>
        </row>
        <row r="2147">
          <cell r="D2147" t="str">
            <v>du</v>
          </cell>
          <cell r="E2147" t="str">
            <v>nom</v>
          </cell>
          <cell r="F2147" t="str">
            <v>de l'</v>
          </cell>
          <cell r="G2147" t="str">
            <v>association</v>
          </cell>
          <cell r="H2147" t="str">
            <v>du</v>
          </cell>
          <cell r="I2147" t="str">
            <v>mouvement financier</v>
          </cell>
        </row>
        <row r="2148">
          <cell r="D2148" t="str">
            <v>du</v>
          </cell>
          <cell r="E2148" t="str">
            <v>mouvement financier</v>
          </cell>
        </row>
        <row r="2149">
          <cell r="C2149" t="str">
            <v>BIP</v>
          </cell>
          <cell r="D2149" t="str">
            <v>de l'</v>
          </cell>
          <cell r="E2149" t="str">
            <v>Employé</v>
          </cell>
        </row>
        <row r="2150">
          <cell r="C2150" t="str">
            <v>matricule RH</v>
          </cell>
          <cell r="D2150" t="str">
            <v>de l'</v>
          </cell>
          <cell r="E2150" t="str">
            <v>Employé</v>
          </cell>
        </row>
        <row r="2151">
          <cell r="C2151" t="str">
            <v>téléphone</v>
          </cell>
          <cell r="D2151" t="str">
            <v>de l'</v>
          </cell>
          <cell r="E2151" t="str">
            <v>Employé</v>
          </cell>
        </row>
        <row r="2152">
          <cell r="C2152" t="str">
            <v>Dernière image</v>
          </cell>
          <cell r="D2152" t="str">
            <v>de la</v>
          </cell>
          <cell r="E2152" t="str">
            <v>Communauté</v>
          </cell>
          <cell r="F2152" t="str">
            <v>d'une</v>
          </cell>
          <cell r="G2152" t="str">
            <v>Communauté</v>
          </cell>
        </row>
        <row r="2153">
          <cell r="C2153" t="str">
            <v>Dernière image</v>
          </cell>
          <cell r="D2153" t="str">
            <v>entre</v>
          </cell>
          <cell r="E2153" t="str">
            <v>Employé</v>
          </cell>
          <cell r="F2153" t="str">
            <v>et</v>
          </cell>
          <cell r="G2153" t="str">
            <v>Communauté</v>
          </cell>
        </row>
        <row r="2154">
          <cell r="C2154" t="str">
            <v>Dernière image</v>
          </cell>
          <cell r="D2154" t="str">
            <v>de la</v>
          </cell>
          <cell r="E2154" t="str">
            <v>Communauté</v>
          </cell>
        </row>
        <row r="2155">
          <cell r="C2155" t="str">
            <v>Dernière image</v>
          </cell>
          <cell r="D2155" t="str">
            <v>du</v>
          </cell>
          <cell r="E2155" t="str">
            <v>Groupe informatique</v>
          </cell>
        </row>
        <row r="2156">
          <cell r="C2156" t="str">
            <v>Dernière image</v>
          </cell>
          <cell r="D2156" t="str">
            <v>de l'</v>
          </cell>
          <cell r="E2156" t="str">
            <v>Employé</v>
          </cell>
        </row>
        <row r="2157">
          <cell r="C2157" t="str">
            <v>manager</v>
          </cell>
          <cell r="D2157" t="str">
            <v>de l'</v>
          </cell>
          <cell r="E2157" t="str">
            <v>Employé</v>
          </cell>
        </row>
        <row r="2158">
          <cell r="C2158" t="str">
            <v>Dernière image</v>
          </cell>
          <cell r="D2158" t="str">
            <v>du</v>
          </cell>
          <cell r="E2158" t="str">
            <v>Groupe EQU</v>
          </cell>
        </row>
        <row r="2159">
          <cell r="C2159" t="str">
            <v>Dernière image</v>
          </cell>
          <cell r="D2159" t="str">
            <v>du</v>
          </cell>
          <cell r="E2159" t="str">
            <v>Groupe TRIBU</v>
          </cell>
        </row>
        <row r="2160">
          <cell r="C2160" t="str">
            <v>manager</v>
          </cell>
          <cell r="D2160" t="str">
            <v>de l'</v>
          </cell>
          <cell r="E2160" t="str">
            <v>Employé</v>
          </cell>
        </row>
        <row r="2161">
          <cell r="C2161" t="str">
            <v>activité</v>
          </cell>
          <cell r="D2161" t="str">
            <v>de l'</v>
          </cell>
          <cell r="E2161" t="str">
            <v>Employé</v>
          </cell>
        </row>
        <row r="2162">
          <cell r="D2162" t="str">
            <v>de la</v>
          </cell>
          <cell r="E2162" t="str">
            <v>Communauté</v>
          </cell>
          <cell r="F2162" t="str">
            <v>d'une</v>
          </cell>
          <cell r="G2162" t="str">
            <v>Communauté</v>
          </cell>
        </row>
        <row r="2163">
          <cell r="D2163" t="str">
            <v>entre</v>
          </cell>
          <cell r="E2163" t="str">
            <v>Employé</v>
          </cell>
          <cell r="F2163" t="str">
            <v>et</v>
          </cell>
          <cell r="G2163" t="str">
            <v>Communauté</v>
          </cell>
        </row>
        <row r="2164">
          <cell r="D2164" t="str">
            <v>de la</v>
          </cell>
          <cell r="E2164" t="str">
            <v>Communauté</v>
          </cell>
          <cell r="F2164" t="str">
            <v>d'une</v>
          </cell>
          <cell r="G2164" t="str">
            <v>Communauté</v>
          </cell>
        </row>
        <row r="2165">
          <cell r="D2165" t="str">
            <v>entre</v>
          </cell>
          <cell r="E2165" t="str">
            <v>Employé</v>
          </cell>
          <cell r="F2165" t="str">
            <v>et</v>
          </cell>
          <cell r="G2165" t="str">
            <v>Communauté</v>
          </cell>
        </row>
        <row r="2166">
          <cell r="D2166" t="str">
            <v>de l'</v>
          </cell>
          <cell r="E2166" t="str">
            <v>Application source</v>
          </cell>
          <cell r="F2166" t="str">
            <v>de la</v>
          </cell>
          <cell r="G2166" t="str">
            <v>Communauté</v>
          </cell>
        </row>
        <row r="2167">
          <cell r="D2167" t="str">
            <v>de la</v>
          </cell>
          <cell r="E2167" t="str">
            <v>Communauté</v>
          </cell>
          <cell r="F2167" t="str">
            <v>d'une</v>
          </cell>
          <cell r="G2167" t="str">
            <v>Communauté</v>
          </cell>
        </row>
        <row r="2168">
          <cell r="D2168" t="str">
            <v>de la</v>
          </cell>
          <cell r="E2168" t="str">
            <v>Communauté</v>
          </cell>
          <cell r="F2168" t="str">
            <v>d'une</v>
          </cell>
          <cell r="G2168" t="str">
            <v>Communauté</v>
          </cell>
        </row>
        <row r="2169">
          <cell r="D2169" t="str">
            <v>entre</v>
          </cell>
          <cell r="E2169" t="str">
            <v>Employé</v>
          </cell>
          <cell r="F2169" t="str">
            <v>et</v>
          </cell>
          <cell r="G2169" t="str">
            <v>Communauté</v>
          </cell>
        </row>
        <row r="2170">
          <cell r="D2170" t="str">
            <v>entre</v>
          </cell>
          <cell r="E2170" t="str">
            <v>Employé</v>
          </cell>
          <cell r="F2170" t="str">
            <v>et</v>
          </cell>
          <cell r="G2170" t="str">
            <v>Communauté</v>
          </cell>
        </row>
        <row r="2171">
          <cell r="D2171" t="str">
            <v>de la</v>
          </cell>
          <cell r="E2171" t="str">
            <v>Catégorie</v>
          </cell>
          <cell r="F2171" t="str">
            <v>de la</v>
          </cell>
          <cell r="G2171" t="str">
            <v>Communauté</v>
          </cell>
        </row>
        <row r="2172">
          <cell r="D2172" t="str">
            <v>d'</v>
          </cell>
          <cell r="E2172" t="str">
            <v>Association</v>
          </cell>
          <cell r="F2172" t="str">
            <v>de la</v>
          </cell>
          <cell r="G2172" t="str">
            <v>Communauté</v>
          </cell>
          <cell r="H2172" t="str">
            <v>d'une</v>
          </cell>
          <cell r="I2172" t="str">
            <v>Communauté</v>
          </cell>
        </row>
        <row r="2173">
          <cell r="D2173" t="str">
            <v>de la</v>
          </cell>
          <cell r="E2173" t="str">
            <v>Communauté</v>
          </cell>
          <cell r="F2173" t="str">
            <v>d'une</v>
          </cell>
          <cell r="G2173" t="str">
            <v>Communauté</v>
          </cell>
        </row>
        <row r="2174">
          <cell r="D2174" t="str">
            <v>entre</v>
          </cell>
          <cell r="E2174" t="str">
            <v>Employé</v>
          </cell>
          <cell r="F2174" t="str">
            <v>et</v>
          </cell>
          <cell r="G2174" t="str">
            <v>Communauté</v>
          </cell>
        </row>
        <row r="2175">
          <cell r="D2175" t="str">
            <v>de l'</v>
          </cell>
          <cell r="E2175" t="str">
            <v>Application source</v>
          </cell>
          <cell r="F2175" t="str">
            <v>de la</v>
          </cell>
          <cell r="G2175" t="str">
            <v>Communauté</v>
          </cell>
        </row>
        <row r="2176">
          <cell r="D2176" t="str">
            <v>du</v>
          </cell>
          <cell r="E2176" t="str">
            <v>Type</v>
          </cell>
          <cell r="F2176" t="str">
            <v>de la</v>
          </cell>
          <cell r="G2176" t="str">
            <v>Communauté</v>
          </cell>
        </row>
        <row r="2177">
          <cell r="D2177" t="str">
            <v>du</v>
          </cell>
          <cell r="E2177" t="str">
            <v>Message 1</v>
          </cell>
          <cell r="F2177" t="str">
            <v>de la</v>
          </cell>
          <cell r="G2177" t="str">
            <v>Console du gestionnaire</v>
          </cell>
          <cell r="H2177" t="str">
            <v>du</v>
          </cell>
          <cell r="I2177" t="str">
            <v>Groupe TRIBU</v>
          </cell>
        </row>
        <row r="2178">
          <cell r="D2178" t="str">
            <v>du</v>
          </cell>
          <cell r="E2178" t="str">
            <v>Message 2</v>
          </cell>
          <cell r="F2178" t="str">
            <v>de la</v>
          </cell>
          <cell r="G2178" t="str">
            <v>Console du gestionnaire</v>
          </cell>
          <cell r="H2178" t="str">
            <v>du</v>
          </cell>
          <cell r="I2178" t="str">
            <v>Groupe TRIBU</v>
          </cell>
        </row>
        <row r="2179">
          <cell r="D2179" t="str">
            <v>de la</v>
          </cell>
          <cell r="E2179" t="str">
            <v>Société d'assurance</v>
          </cell>
          <cell r="F2179" t="str">
            <v>de l'</v>
          </cell>
          <cell r="G2179" t="str">
            <v>Employé</v>
          </cell>
        </row>
        <row r="2180">
          <cell r="D2180" t="str">
            <v>de l'</v>
          </cell>
          <cell r="E2180" t="str">
            <v>Assurance de base</v>
          </cell>
          <cell r="F2180" t="str">
            <v>entre</v>
          </cell>
          <cell r="G2180" t="str">
            <v>Employé</v>
          </cell>
          <cell r="H2180" t="str">
            <v>et</v>
          </cell>
          <cell r="I2180" t="str">
            <v>Communauté</v>
          </cell>
        </row>
        <row r="2181">
          <cell r="D2181" t="str">
            <v>de l'</v>
          </cell>
          <cell r="E2181" t="str">
            <v>Assurance divers</v>
          </cell>
          <cell r="F2181" t="str">
            <v>entre</v>
          </cell>
          <cell r="G2181" t="str">
            <v>Employé</v>
          </cell>
          <cell r="H2181" t="str">
            <v>et</v>
          </cell>
          <cell r="I2181" t="str">
            <v>Communauté</v>
          </cell>
        </row>
        <row r="2182">
          <cell r="D2182" t="str">
            <v>de la</v>
          </cell>
          <cell r="E2182" t="str">
            <v>Localité</v>
          </cell>
          <cell r="F2182" t="str">
            <v>du</v>
          </cell>
          <cell r="G2182" t="str">
            <v>Groupe EQU</v>
          </cell>
        </row>
        <row r="2183">
          <cell r="D2183" t="str">
            <v>de la</v>
          </cell>
          <cell r="E2183" t="str">
            <v>Branche assurance</v>
          </cell>
          <cell r="F2183" t="str">
            <v>du</v>
          </cell>
          <cell r="G2183" t="str">
            <v>Groupe TRIBU</v>
          </cell>
        </row>
        <row r="2184">
          <cell r="D2184" t="str">
            <v>de la</v>
          </cell>
          <cell r="E2184" t="str">
            <v>Branche assurance</v>
          </cell>
          <cell r="F2184" t="str">
            <v>du</v>
          </cell>
          <cell r="G2184" t="str">
            <v>Groupe TRIBU</v>
          </cell>
        </row>
        <row r="2185">
          <cell r="D2185" t="str">
            <v>de la</v>
          </cell>
          <cell r="E2185" t="str">
            <v>Communauté</v>
          </cell>
        </row>
        <row r="2186">
          <cell r="D2186" t="str">
            <v>du</v>
          </cell>
          <cell r="E2186" t="str">
            <v>Groupe informatique</v>
          </cell>
        </row>
        <row r="2187">
          <cell r="C2187" t="str">
            <v>rédacteur</v>
          </cell>
          <cell r="D2187" t="str">
            <v>entre</v>
          </cell>
          <cell r="E2187" t="str">
            <v>Employé</v>
          </cell>
          <cell r="F2187" t="str">
            <v>et</v>
          </cell>
          <cell r="G2187" t="str">
            <v>Communauté</v>
          </cell>
        </row>
        <row r="2188">
          <cell r="D2188" t="str">
            <v>de l'</v>
          </cell>
          <cell r="E2188" t="str">
            <v>Employé</v>
          </cell>
        </row>
        <row r="2189">
          <cell r="D2189" t="str">
            <v>du</v>
          </cell>
          <cell r="E2189" t="str">
            <v>Groupe EQU</v>
          </cell>
        </row>
        <row r="2190">
          <cell r="D2190" t="str">
            <v>du</v>
          </cell>
          <cell r="E2190" t="str">
            <v>Groupe TRIBU</v>
          </cell>
        </row>
        <row r="2191">
          <cell r="D2191" t="str">
            <v>de la</v>
          </cell>
          <cell r="E2191" t="str">
            <v>Communauté</v>
          </cell>
        </row>
        <row r="2192">
          <cell r="D2192" t="str">
            <v>du</v>
          </cell>
          <cell r="E2192" t="str">
            <v>Groupe informatique</v>
          </cell>
        </row>
        <row r="2193">
          <cell r="D2193" t="str">
            <v>de l'</v>
          </cell>
          <cell r="E2193" t="str">
            <v>Employé</v>
          </cell>
        </row>
        <row r="2194">
          <cell r="D2194" t="str">
            <v>du</v>
          </cell>
          <cell r="E2194" t="str">
            <v>Groupe EQU</v>
          </cell>
        </row>
        <row r="2195">
          <cell r="D2195" t="str">
            <v>du</v>
          </cell>
          <cell r="E2195" t="str">
            <v>Groupe TRIBU</v>
          </cell>
        </row>
        <row r="2196">
          <cell r="C2196" t="str">
            <v>ordinateur</v>
          </cell>
          <cell r="D2196" t="str">
            <v>de l'</v>
          </cell>
          <cell r="E2196" t="str">
            <v>Employé</v>
          </cell>
        </row>
        <row r="2197">
          <cell r="C2197" t="str">
            <v>SAS</v>
          </cell>
          <cell r="D2197" t="str">
            <v>de l'</v>
          </cell>
          <cell r="E2197" t="str">
            <v>Employé</v>
          </cell>
        </row>
        <row r="2198">
          <cell r="D2198" t="str">
            <v>de la</v>
          </cell>
          <cell r="E2198" t="str">
            <v>Communauté</v>
          </cell>
        </row>
        <row r="2199">
          <cell r="D2199" t="str">
            <v>de la</v>
          </cell>
          <cell r="E2199" t="str">
            <v>Communauté</v>
          </cell>
        </row>
        <row r="2200">
          <cell r="D2200" t="str">
            <v>du</v>
          </cell>
          <cell r="E2200" t="str">
            <v>Groupe informatique</v>
          </cell>
        </row>
        <row r="2201">
          <cell r="D2201" t="str">
            <v>du</v>
          </cell>
          <cell r="E2201" t="str">
            <v>Groupe informatique</v>
          </cell>
        </row>
        <row r="2202">
          <cell r="D2202" t="str">
            <v>de l'</v>
          </cell>
          <cell r="E2202" t="str">
            <v>Employé</v>
          </cell>
        </row>
        <row r="2203">
          <cell r="D2203" t="str">
            <v>de l'</v>
          </cell>
          <cell r="E2203" t="str">
            <v>Employé</v>
          </cell>
        </row>
        <row r="2204">
          <cell r="D2204" t="str">
            <v>du</v>
          </cell>
          <cell r="E2204" t="str">
            <v>Groupe EQU</v>
          </cell>
        </row>
        <row r="2205">
          <cell r="D2205" t="str">
            <v>du</v>
          </cell>
          <cell r="E2205" t="str">
            <v>Groupe EQU</v>
          </cell>
        </row>
        <row r="2206">
          <cell r="D2206" t="str">
            <v>du</v>
          </cell>
          <cell r="E2206" t="str">
            <v>Groupe TRIBU</v>
          </cell>
        </row>
        <row r="2207">
          <cell r="D2207" t="str">
            <v>du</v>
          </cell>
          <cell r="E2207" t="str">
            <v>Groupe TRIBU</v>
          </cell>
        </row>
        <row r="2208">
          <cell r="D2208" t="str">
            <v>de la</v>
          </cell>
          <cell r="E2208" t="str">
            <v>Communauté</v>
          </cell>
        </row>
        <row r="2209">
          <cell r="D2209" t="str">
            <v>du</v>
          </cell>
          <cell r="E2209" t="str">
            <v>Groupe informatique</v>
          </cell>
        </row>
        <row r="2210">
          <cell r="D2210" t="str">
            <v>du</v>
          </cell>
          <cell r="E2210" t="str">
            <v>Groupe informatique</v>
          </cell>
        </row>
        <row r="2211">
          <cell r="D2211" t="str">
            <v>de l'</v>
          </cell>
          <cell r="E2211" t="str">
            <v>Employé</v>
          </cell>
        </row>
        <row r="2212">
          <cell r="D2212" t="str">
            <v>de l'</v>
          </cell>
          <cell r="E2212" t="str">
            <v>Employé</v>
          </cell>
        </row>
        <row r="2213">
          <cell r="D2213" t="str">
            <v>de l'</v>
          </cell>
          <cell r="E2213" t="str">
            <v>Employé</v>
          </cell>
        </row>
        <row r="2214">
          <cell r="D2214" t="str">
            <v>de l'</v>
          </cell>
          <cell r="E2214" t="str">
            <v>Employé</v>
          </cell>
        </row>
        <row r="2215">
          <cell r="D2215" t="str">
            <v>de l'</v>
          </cell>
          <cell r="E2215" t="str">
            <v>Employé</v>
          </cell>
        </row>
        <row r="2216">
          <cell r="D2216" t="str">
            <v>du</v>
          </cell>
          <cell r="E2216" t="str">
            <v>Groupe EQU</v>
          </cell>
        </row>
        <row r="2217">
          <cell r="D2217" t="str">
            <v>du</v>
          </cell>
          <cell r="E2217" t="str">
            <v>Groupe EQU</v>
          </cell>
        </row>
        <row r="2218">
          <cell r="D2218" t="str">
            <v>du</v>
          </cell>
          <cell r="E2218" t="str">
            <v>Groupe TRIBU</v>
          </cell>
        </row>
        <row r="2219">
          <cell r="D2219" t="str">
            <v>du</v>
          </cell>
          <cell r="E2219" t="str">
            <v>Groupe TRIBU</v>
          </cell>
        </row>
        <row r="2220">
          <cell r="C2220" t="str">
            <v>jour</v>
          </cell>
          <cell r="D2220" t="str">
            <v>de</v>
          </cell>
          <cell r="E2220" t="str">
            <v>Soins santé</v>
          </cell>
          <cell r="F2220" t="str">
            <v>de la</v>
          </cell>
          <cell r="G2220" t="str">
            <v>ligne de soins</v>
          </cell>
        </row>
        <row r="2221">
          <cell r="C2221" t="str">
            <v>naissance</v>
          </cell>
          <cell r="D2221" t="str">
            <v>de l'</v>
          </cell>
          <cell r="E2221" t="str">
            <v>Assuré Santé Sinistré</v>
          </cell>
          <cell r="F2221" t="str">
            <v>,</v>
          </cell>
          <cell r="G2221" t="str">
            <v>Non Référencé</v>
          </cell>
        </row>
        <row r="2222">
          <cell r="C2222" t="str">
            <v>naissance</v>
          </cell>
          <cell r="D2222" t="str">
            <v>de l'</v>
          </cell>
          <cell r="E2222" t="str">
            <v>Assuré Santé Sinistré</v>
          </cell>
          <cell r="F2222" t="str">
            <v>,</v>
          </cell>
          <cell r="G2222" t="str">
            <v>Non Référencé</v>
          </cell>
        </row>
        <row r="2223">
          <cell r="D2223" t="str">
            <v>d'</v>
          </cell>
          <cell r="E2223" t="str">
            <v>Année de rétention</v>
          </cell>
          <cell r="F2223" t="str">
            <v>de l'</v>
          </cell>
          <cell r="G2223" t="str">
            <v>acte de soins santé des ACM</v>
          </cell>
        </row>
        <row r="2224">
          <cell r="D2224" t="str">
            <v>de la</v>
          </cell>
          <cell r="E2224" t="str">
            <v>Catégorie</v>
          </cell>
          <cell r="F2224" t="str">
            <v>de l'</v>
          </cell>
          <cell r="G2224" t="str">
            <v>acte de soins santé des ACM</v>
          </cell>
        </row>
        <row r="2225">
          <cell r="D2225" t="str">
            <v>du</v>
          </cell>
          <cell r="E2225" t="str">
            <v>Contrôle double</v>
          </cell>
          <cell r="F2225" t="str">
            <v>de l'</v>
          </cell>
          <cell r="G2225" t="str">
            <v>acte de soins santé des ACM</v>
          </cell>
        </row>
        <row r="2226">
          <cell r="D2226" t="str">
            <v>du</v>
          </cell>
          <cell r="E2226" t="str">
            <v>Type de carence</v>
          </cell>
          <cell r="F2226" t="str">
            <v>de l'</v>
          </cell>
          <cell r="G2226" t="str">
            <v>acte de soins santé des ACM</v>
          </cell>
        </row>
        <row r="2227">
          <cell r="D2227" t="str">
            <v>du</v>
          </cell>
          <cell r="E2227" t="str">
            <v xml:space="preserve">Type d'exclusion </v>
          </cell>
          <cell r="F2227" t="str">
            <v>de l'</v>
          </cell>
          <cell r="G2227" t="str">
            <v>acte de soins santé des ACM</v>
          </cell>
        </row>
        <row r="2228">
          <cell r="D2228" t="str">
            <v>du</v>
          </cell>
          <cell r="E2228" t="str">
            <v>Type</v>
          </cell>
          <cell r="F2228" t="str">
            <v>de l'</v>
          </cell>
          <cell r="G2228" t="str">
            <v>acte de soins santé des ACM</v>
          </cell>
        </row>
        <row r="2229">
          <cell r="D2229" t="str">
            <v>de</v>
          </cell>
          <cell r="E2229" t="str">
            <v>Remboursement</v>
          </cell>
          <cell r="F2229" t="str">
            <v>de l'</v>
          </cell>
          <cell r="G2229" t="str">
            <v>acte de soins santé des ACM</v>
          </cell>
        </row>
        <row r="2230">
          <cell r="D2230" t="str">
            <v>de la</v>
          </cell>
          <cell r="E2230" t="str">
            <v>Catégorie</v>
          </cell>
          <cell r="F2230" t="str">
            <v>de l'</v>
          </cell>
          <cell r="G2230" t="str">
            <v>acte de soins santé des ACM</v>
          </cell>
        </row>
        <row r="2231">
          <cell r="D2231" t="str">
            <v>de la</v>
          </cell>
          <cell r="E2231" t="str">
            <v>Catégorie</v>
          </cell>
          <cell r="F2231" t="str">
            <v>de l'</v>
          </cell>
          <cell r="G2231" t="str">
            <v>acte de soins santé des ACM</v>
          </cell>
        </row>
        <row r="2232">
          <cell r="D2232" t="str">
            <v>du</v>
          </cell>
          <cell r="E2232" t="str">
            <v>Contrôle double</v>
          </cell>
          <cell r="F2232" t="str">
            <v>de l'</v>
          </cell>
          <cell r="G2232" t="str">
            <v>acte de soins santé des ACM</v>
          </cell>
        </row>
        <row r="2233">
          <cell r="D2233" t="str">
            <v>du</v>
          </cell>
          <cell r="E2233" t="str">
            <v>Contrôle double</v>
          </cell>
          <cell r="F2233" t="str">
            <v>de l'</v>
          </cell>
          <cell r="G2233" t="str">
            <v>acte de soins santé des ACM</v>
          </cell>
        </row>
        <row r="2234">
          <cell r="D2234" t="str">
            <v>du</v>
          </cell>
          <cell r="E2234" t="str">
            <v>Double règlement</v>
          </cell>
          <cell r="F2234" t="str">
            <v>de l'</v>
          </cell>
          <cell r="G2234" t="str">
            <v>acte de soins santé des ACM</v>
          </cell>
        </row>
        <row r="2235">
          <cell r="D2235" t="str">
            <v>du</v>
          </cell>
          <cell r="E2235" t="str">
            <v>Double règlement</v>
          </cell>
          <cell r="F2235" t="str">
            <v>de l'</v>
          </cell>
          <cell r="G2235" t="str">
            <v>acte de soins santé des ACM</v>
          </cell>
        </row>
        <row r="2236">
          <cell r="D2236" t="str">
            <v>du</v>
          </cell>
          <cell r="E2236" t="str">
            <v>Type de carence</v>
          </cell>
          <cell r="F2236" t="str">
            <v>de l'</v>
          </cell>
          <cell r="G2236" t="str">
            <v>acte de soins santé des ACM</v>
          </cell>
        </row>
        <row r="2237">
          <cell r="D2237" t="str">
            <v>du</v>
          </cell>
          <cell r="E2237" t="str">
            <v>Type de carence</v>
          </cell>
          <cell r="F2237" t="str">
            <v>de l'</v>
          </cell>
          <cell r="G2237" t="str">
            <v>acte de soins santé des ACM</v>
          </cell>
        </row>
        <row r="2238">
          <cell r="D2238" t="str">
            <v>du</v>
          </cell>
          <cell r="E2238" t="str">
            <v xml:space="preserve">Type d'exclusion </v>
          </cell>
          <cell r="F2238" t="str">
            <v>de l'</v>
          </cell>
          <cell r="G2238" t="str">
            <v>acte de soins santé des ACM</v>
          </cell>
        </row>
        <row r="2239">
          <cell r="D2239" t="str">
            <v>du</v>
          </cell>
          <cell r="E2239" t="str">
            <v xml:space="preserve">Type d'exclusion </v>
          </cell>
          <cell r="F2239" t="str">
            <v>de l'</v>
          </cell>
          <cell r="G2239" t="str">
            <v>acte de soins santé des ACM</v>
          </cell>
        </row>
        <row r="2240">
          <cell r="D2240" t="str">
            <v>de la</v>
          </cell>
          <cell r="E2240" t="str">
            <v>Famille</v>
          </cell>
          <cell r="F2240" t="str">
            <v>de l'</v>
          </cell>
          <cell r="G2240" t="str">
            <v>acte de soins santé des ACM</v>
          </cell>
        </row>
        <row r="2241">
          <cell r="D2241" t="str">
            <v>de la</v>
          </cell>
          <cell r="E2241" t="str">
            <v>Famille</v>
          </cell>
          <cell r="F2241" t="str">
            <v>de l'</v>
          </cell>
          <cell r="G2241" t="str">
            <v>acte de soins santé des ACM</v>
          </cell>
        </row>
        <row r="2242">
          <cell r="D2242" t="str">
            <v>de la</v>
          </cell>
          <cell r="E2242" t="str">
            <v>Nature</v>
          </cell>
          <cell r="F2242" t="str">
            <v>de l'</v>
          </cell>
          <cell r="G2242" t="str">
            <v>acte de soins santé des ACM</v>
          </cell>
        </row>
        <row r="2243">
          <cell r="D2243" t="str">
            <v>du</v>
          </cell>
          <cell r="E2243" t="str">
            <v>Type</v>
          </cell>
          <cell r="F2243" t="str">
            <v>de l'</v>
          </cell>
          <cell r="G2243" t="str">
            <v>acte de soins santé des ACM</v>
          </cell>
        </row>
        <row r="2244">
          <cell r="D2244" t="str">
            <v>du</v>
          </cell>
          <cell r="E2244" t="str">
            <v>Type</v>
          </cell>
          <cell r="F2244" t="str">
            <v>de l'</v>
          </cell>
          <cell r="G2244" t="str">
            <v>acte de soins santé des ACM</v>
          </cell>
        </row>
        <row r="2245">
          <cell r="D2245" t="str">
            <v>du</v>
          </cell>
          <cell r="E2245" t="str">
            <v>Type de référence</v>
          </cell>
          <cell r="F2245" t="str">
            <v>de l'</v>
          </cell>
          <cell r="G2245" t="str">
            <v>Assuré Santé Sinistré</v>
          </cell>
        </row>
        <row r="2246">
          <cell r="D2246" t="str">
            <v>de l'</v>
          </cell>
          <cell r="E2246" t="str">
            <v>Acteur santé</v>
          </cell>
          <cell r="F2246" t="str">
            <v>de l'</v>
          </cell>
          <cell r="G2246" t="str">
            <v>Assuré Santé Sinistré</v>
          </cell>
          <cell r="H2246" t="str">
            <v>,</v>
          </cell>
          <cell r="I2246" t="str">
            <v>Non Référencé</v>
          </cell>
        </row>
        <row r="2247">
          <cell r="D2247" t="str">
            <v>du</v>
          </cell>
          <cell r="E2247" t="str">
            <v>Remboursement effectif</v>
          </cell>
          <cell r="F2247" t="str">
            <v>à</v>
          </cell>
          <cell r="G2247" t="str">
            <v>Assuré Santé Sinistré</v>
          </cell>
          <cell r="H2247" t="str">
            <v>du</v>
          </cell>
          <cell r="I2247" t="str">
            <v>Décompte santé</v>
          </cell>
        </row>
        <row r="2248">
          <cell r="D2248" t="str">
            <v>du</v>
          </cell>
          <cell r="E2248" t="str">
            <v>Remboursement effectif</v>
          </cell>
          <cell r="F2248" t="str">
            <v>à</v>
          </cell>
          <cell r="G2248" t="str">
            <v>Assuré Santé Sinistré</v>
          </cell>
          <cell r="H2248" t="str">
            <v>de la</v>
          </cell>
          <cell r="I2248" t="str">
            <v>Ligne de soins</v>
          </cell>
        </row>
        <row r="2249">
          <cell r="D2249" t="str">
            <v>du</v>
          </cell>
          <cell r="E2249" t="str">
            <v>Remboursement effectif</v>
          </cell>
          <cell r="F2249" t="str">
            <v>à</v>
          </cell>
          <cell r="G2249" t="str">
            <v>Assuré Santé Sinistré</v>
          </cell>
          <cell r="H2249" t="str">
            <v>du</v>
          </cell>
          <cell r="I2249" t="str">
            <v>Règlement Assurance santé</v>
          </cell>
        </row>
        <row r="2250">
          <cell r="D2250" t="str">
            <v>de</v>
          </cell>
          <cell r="E2250" t="str">
            <v>INSEE de rattachement</v>
          </cell>
          <cell r="F2250" t="str">
            <v>de l'</v>
          </cell>
          <cell r="G2250" t="str">
            <v>Assuré Santé Sinistré</v>
          </cell>
        </row>
        <row r="2251">
          <cell r="D2251" t="str">
            <v>du</v>
          </cell>
          <cell r="E2251" t="str">
            <v>Type de référence</v>
          </cell>
          <cell r="F2251" t="str">
            <v>de l'</v>
          </cell>
          <cell r="G2251" t="str">
            <v>Assuré Santé Sinistré</v>
          </cell>
        </row>
        <row r="2252">
          <cell r="D2252" t="str">
            <v>de</v>
          </cell>
          <cell r="E2252" t="str">
            <v>INSEE de rattachement</v>
          </cell>
          <cell r="F2252" t="str">
            <v>de l'</v>
          </cell>
          <cell r="G2252" t="str">
            <v>Assuré Santé Sinistré</v>
          </cell>
          <cell r="H2252" t="str">
            <v>,</v>
          </cell>
          <cell r="I2252" t="str">
            <v>Non Référencé</v>
          </cell>
        </row>
        <row r="2253">
          <cell r="D2253" t="str">
            <v>de</v>
          </cell>
          <cell r="E2253" t="str">
            <v>Commune de résidence</v>
          </cell>
          <cell r="F2253" t="str">
            <v>de l'</v>
          </cell>
          <cell r="G2253" t="str">
            <v>Assuré Santé Sinistré</v>
          </cell>
          <cell r="H2253" t="str">
            <v>,</v>
          </cell>
          <cell r="I2253" t="str">
            <v>Non Référencé</v>
          </cell>
        </row>
        <row r="2254">
          <cell r="D2254" t="str">
            <v>de</v>
          </cell>
          <cell r="E2254" t="str">
            <v>localisation</v>
          </cell>
          <cell r="F2254" t="str">
            <v>de l'</v>
          </cell>
          <cell r="G2254" t="str">
            <v>audioprothèse</v>
          </cell>
        </row>
        <row r="2255">
          <cell r="D2255" t="str">
            <v>du</v>
          </cell>
          <cell r="E2255" t="str">
            <v>remboursement</v>
          </cell>
          <cell r="G2255" t="str">
            <v>autre complémentaire</v>
          </cell>
          <cell r="H2255" t="str">
            <v>de la</v>
          </cell>
          <cell r="I2255" t="str">
            <v>ligne de soins</v>
          </cell>
        </row>
        <row r="2256">
          <cell r="C2256" t="str">
            <v>tiers payant</v>
          </cell>
          <cell r="D2256" t="str">
            <v>de l'</v>
          </cell>
          <cell r="E2256" t="str">
            <v>acte de soins santé des ACM</v>
          </cell>
        </row>
        <row r="2257">
          <cell r="D2257" t="str">
            <v>de la</v>
          </cell>
          <cell r="E2257" t="str">
            <v>Famille</v>
          </cell>
          <cell r="F2257" t="str">
            <v>de la</v>
          </cell>
          <cell r="G2257" t="str">
            <v>Carte avance santé</v>
          </cell>
          <cell r="H2257" t="str">
            <v>de l'</v>
          </cell>
          <cell r="I2257" t="str">
            <v>acte de soins santé des ACM</v>
          </cell>
        </row>
        <row r="2258">
          <cell r="D2258" t="str">
            <v>de la</v>
          </cell>
          <cell r="E2258" t="str">
            <v>Famille</v>
          </cell>
          <cell r="F2258" t="str">
            <v>de la</v>
          </cell>
          <cell r="G2258" t="str">
            <v>Carte avance santé</v>
          </cell>
          <cell r="H2258" t="str">
            <v>de l'</v>
          </cell>
          <cell r="I2258" t="str">
            <v>acte de soins santé des ACM</v>
          </cell>
        </row>
        <row r="2259">
          <cell r="D2259" t="str">
            <v>,</v>
          </cell>
          <cell r="E2259" t="str">
            <v>FINESS</v>
          </cell>
          <cell r="F2259" t="str">
            <v>du</v>
          </cell>
          <cell r="G2259" t="str">
            <v>Correspondant ADELI</v>
          </cell>
        </row>
        <row r="2260">
          <cell r="D2260" t="str">
            <v>du</v>
          </cell>
          <cell r="E2260" t="str">
            <v>SIREN</v>
          </cell>
          <cell r="F2260" t="str">
            <v>du</v>
          </cell>
          <cell r="G2260" t="str">
            <v>Correspondant ADELI</v>
          </cell>
        </row>
        <row r="2261">
          <cell r="D2261" t="str">
            <v>du</v>
          </cell>
          <cell r="E2261" t="str">
            <v>SIRET</v>
          </cell>
          <cell r="F2261" t="str">
            <v>du</v>
          </cell>
          <cell r="G2261" t="str">
            <v>Correspondant ADELI</v>
          </cell>
        </row>
        <row r="2262">
          <cell r="D2262" t="str">
            <v>de l'</v>
          </cell>
          <cell r="E2262" t="str">
            <v>Enseigne commerciale</v>
          </cell>
          <cell r="F2262" t="str">
            <v>du</v>
          </cell>
          <cell r="G2262" t="str">
            <v>Correspondant ADELI</v>
          </cell>
        </row>
        <row r="2263">
          <cell r="D2263" t="str">
            <v>du</v>
          </cell>
          <cell r="E2263" t="str">
            <v>Pays</v>
          </cell>
          <cell r="F2263" t="str">
            <v>du</v>
          </cell>
          <cell r="G2263" t="str">
            <v>Correspondant ADELI</v>
          </cell>
        </row>
        <row r="2264">
          <cell r="D2264" t="str">
            <v>du</v>
          </cell>
          <cell r="E2264" t="str">
            <v>Département</v>
          </cell>
          <cell r="F2264" t="str">
            <v>du</v>
          </cell>
          <cell r="G2264" t="str">
            <v>Correspondant ADELI</v>
          </cell>
        </row>
        <row r="2265">
          <cell r="D2265" t="str">
            <v>du</v>
          </cell>
          <cell r="E2265" t="str">
            <v>Département</v>
          </cell>
          <cell r="F2265" t="str">
            <v>du</v>
          </cell>
          <cell r="G2265" t="str">
            <v>Correspondant ADELI</v>
          </cell>
        </row>
        <row r="2266">
          <cell r="D2266" t="str">
            <v>du</v>
          </cell>
          <cell r="E2266" t="str">
            <v>Savoir faire</v>
          </cell>
          <cell r="F2266" t="str">
            <v>du</v>
          </cell>
          <cell r="G2266" t="str">
            <v>Correspondant ADELI</v>
          </cell>
        </row>
        <row r="2267">
          <cell r="D2267" t="str">
            <v>du</v>
          </cell>
          <cell r="E2267" t="str">
            <v>Savoir faire</v>
          </cell>
          <cell r="F2267" t="str">
            <v>du</v>
          </cell>
          <cell r="G2267" t="str">
            <v>Correspondant ADELI</v>
          </cell>
        </row>
        <row r="2268">
          <cell r="D2268" t="str">
            <v>de la</v>
          </cell>
          <cell r="E2268" t="str">
            <v>Profession</v>
          </cell>
          <cell r="F2268" t="str">
            <v>du</v>
          </cell>
          <cell r="G2268" t="str">
            <v>Correspondant ADELI</v>
          </cell>
        </row>
        <row r="2269">
          <cell r="D2269" t="str">
            <v>de la</v>
          </cell>
          <cell r="E2269" t="str">
            <v>Profession</v>
          </cell>
          <cell r="F2269" t="str">
            <v>du</v>
          </cell>
          <cell r="G2269" t="str">
            <v>Correspondant ADELI</v>
          </cell>
        </row>
        <row r="2270">
          <cell r="D2270" t="str">
            <v>de la</v>
          </cell>
          <cell r="E2270" t="str">
            <v>Catégorie Professionnelle</v>
          </cell>
          <cell r="F2270" t="str">
            <v>du</v>
          </cell>
          <cell r="G2270" t="str">
            <v>Correspondant ADELI</v>
          </cell>
        </row>
        <row r="2271">
          <cell r="D2271" t="str">
            <v>de la</v>
          </cell>
          <cell r="E2271" t="str">
            <v>Catégorie Professionnelle</v>
          </cell>
          <cell r="F2271" t="str">
            <v>du</v>
          </cell>
          <cell r="G2271" t="str">
            <v>Correspondant ADELI</v>
          </cell>
        </row>
        <row r="2272">
          <cell r="D2272" t="str">
            <v>de la</v>
          </cell>
          <cell r="E2272" t="str">
            <v>Spécialité professionnelle</v>
          </cell>
          <cell r="F2272" t="str">
            <v>du</v>
          </cell>
          <cell r="G2272" t="str">
            <v>Correspondant ADELI</v>
          </cell>
        </row>
        <row r="2273">
          <cell r="D2273" t="str">
            <v>de la</v>
          </cell>
          <cell r="E2273" t="str">
            <v>Région</v>
          </cell>
          <cell r="F2273" t="str">
            <v>du</v>
          </cell>
          <cell r="G2273" t="str">
            <v>Correspondant ADELI</v>
          </cell>
        </row>
        <row r="2274">
          <cell r="D2274" t="str">
            <v>de la</v>
          </cell>
          <cell r="E2274" t="str">
            <v>Région</v>
          </cell>
          <cell r="F2274" t="str">
            <v>du</v>
          </cell>
          <cell r="G2274" t="str">
            <v>Correspondant ADELI</v>
          </cell>
        </row>
        <row r="2275">
          <cell r="D2275" t="str">
            <v>de la</v>
          </cell>
          <cell r="E2275" t="str">
            <v>Raison Sociale</v>
          </cell>
          <cell r="F2275" t="str">
            <v>du</v>
          </cell>
          <cell r="G2275" t="str">
            <v>Correspondant ADELI</v>
          </cell>
        </row>
        <row r="2276">
          <cell r="D2276" t="str">
            <v>de la</v>
          </cell>
          <cell r="E2276" t="str">
            <v>Commune</v>
          </cell>
          <cell r="F2276" t="str">
            <v>du</v>
          </cell>
          <cell r="G2276" t="str">
            <v>Correspondant ADELI</v>
          </cell>
        </row>
        <row r="2277">
          <cell r="D2277" t="str">
            <v>de la</v>
          </cell>
          <cell r="E2277" t="str">
            <v>Commune</v>
          </cell>
          <cell r="F2277" t="str">
            <v>du</v>
          </cell>
          <cell r="G2277" t="str">
            <v>Correspondant ADELI</v>
          </cell>
        </row>
        <row r="2278">
          <cell r="D2278" t="str">
            <v>du</v>
          </cell>
          <cell r="E2278" t="str">
            <v>Remboursement effectif</v>
          </cell>
          <cell r="F2278" t="str">
            <v>au</v>
          </cell>
          <cell r="G2278" t="str">
            <v>Correspondant GECOR</v>
          </cell>
          <cell r="H2278" t="str">
            <v>du</v>
          </cell>
          <cell r="I2278" t="str">
            <v>Décompte santé</v>
          </cell>
        </row>
        <row r="2279">
          <cell r="D2279" t="str">
            <v>du</v>
          </cell>
          <cell r="E2279" t="str">
            <v>Remboursement effectif</v>
          </cell>
          <cell r="F2279" t="str">
            <v>au</v>
          </cell>
          <cell r="G2279" t="str">
            <v>Correspondant GECOR</v>
          </cell>
          <cell r="H2279" t="str">
            <v>de la</v>
          </cell>
          <cell r="I2279" t="str">
            <v>Ligne de soins</v>
          </cell>
        </row>
        <row r="2280">
          <cell r="D2280" t="str">
            <v>du</v>
          </cell>
          <cell r="E2280" t="str">
            <v>Remboursement effectif</v>
          </cell>
          <cell r="F2280" t="str">
            <v>au</v>
          </cell>
          <cell r="G2280" t="str">
            <v>Correspondant GECOR</v>
          </cell>
          <cell r="H2280" t="str">
            <v>du</v>
          </cell>
          <cell r="I2280" t="str">
            <v>Règlement Assurance santé</v>
          </cell>
        </row>
        <row r="2281">
          <cell r="D2281" t="str">
            <v>du</v>
          </cell>
          <cell r="E2281" t="str">
            <v>Panier</v>
          </cell>
          <cell r="F2281" t="str">
            <v>du</v>
          </cell>
          <cell r="G2281" t="str">
            <v>décompte au contrôle</v>
          </cell>
        </row>
        <row r="2282">
          <cell r="D2282" t="str">
            <v>du</v>
          </cell>
          <cell r="E2282" t="str">
            <v>Mouvement</v>
          </cell>
          <cell r="F2282" t="str">
            <v>du</v>
          </cell>
          <cell r="G2282" t="str">
            <v>décompte au contrôle</v>
          </cell>
        </row>
        <row r="2283">
          <cell r="D2283" t="str">
            <v>du</v>
          </cell>
          <cell r="E2283" t="str">
            <v>Panier</v>
          </cell>
          <cell r="F2283" t="str">
            <v>du</v>
          </cell>
          <cell r="G2283" t="str">
            <v>décompte au contrôle</v>
          </cell>
        </row>
        <row r="2284">
          <cell r="D2284" t="str">
            <v>du</v>
          </cell>
          <cell r="E2284" t="str">
            <v>Panier</v>
          </cell>
          <cell r="F2284" t="str">
            <v>du</v>
          </cell>
          <cell r="G2284" t="str">
            <v>décompte au contrôle</v>
          </cell>
        </row>
        <row r="2285">
          <cell r="D2285" t="str">
            <v>du</v>
          </cell>
          <cell r="E2285" t="str">
            <v>Mouvement</v>
          </cell>
          <cell r="F2285" t="str">
            <v>du</v>
          </cell>
          <cell r="G2285" t="str">
            <v>décompte au contrôle</v>
          </cell>
        </row>
        <row r="2286">
          <cell r="D2286" t="str">
            <v>du</v>
          </cell>
          <cell r="E2286" t="str">
            <v>Mouvement</v>
          </cell>
          <cell r="F2286" t="str">
            <v>du</v>
          </cell>
          <cell r="G2286" t="str">
            <v>décompte au contrôle</v>
          </cell>
        </row>
        <row r="2287">
          <cell r="D2287" t="str">
            <v xml:space="preserve"> </v>
          </cell>
          <cell r="E2287" t="str">
            <v>optique solidaire</v>
          </cell>
          <cell r="F2287" t="str">
            <v>du</v>
          </cell>
          <cell r="G2287" t="str">
            <v>Décompte santé</v>
          </cell>
        </row>
        <row r="2288">
          <cell r="D2288" t="str">
            <v>de la</v>
          </cell>
          <cell r="E2288" t="str">
            <v>facture</v>
          </cell>
          <cell r="F2288" t="str">
            <v>du</v>
          </cell>
          <cell r="G2288" t="str">
            <v>Décompte santé</v>
          </cell>
        </row>
        <row r="2289">
          <cell r="D2289" t="str">
            <v>de la</v>
          </cell>
          <cell r="E2289" t="str">
            <v>CMU</v>
          </cell>
          <cell r="F2289" t="str">
            <v>du</v>
          </cell>
          <cell r="G2289" t="str">
            <v>Décompte santé</v>
          </cell>
        </row>
        <row r="2290">
          <cell r="D2290" t="str">
            <v>du</v>
          </cell>
          <cell r="E2290" t="str">
            <v>Mariage avance santé</v>
          </cell>
          <cell r="F2290" t="str">
            <v>du</v>
          </cell>
          <cell r="G2290" t="str">
            <v>Décompte santé</v>
          </cell>
        </row>
        <row r="2291">
          <cell r="D2291" t="str">
            <v>du</v>
          </cell>
          <cell r="E2291" t="str">
            <v>Pays des soins</v>
          </cell>
          <cell r="F2291" t="str">
            <v>du</v>
          </cell>
          <cell r="G2291" t="str">
            <v>Décompte santé</v>
          </cell>
        </row>
        <row r="2292">
          <cell r="D2292" t="str">
            <v>de l'</v>
          </cell>
          <cell r="E2292" t="str">
            <v>Assuré Santé Sinistré</v>
          </cell>
          <cell r="F2292" t="str">
            <v>du</v>
          </cell>
          <cell r="G2292" t="str">
            <v>Décompte santé</v>
          </cell>
        </row>
        <row r="2293">
          <cell r="D2293" t="str">
            <v>du</v>
          </cell>
          <cell r="E2293" t="str">
            <v>format d'origine</v>
          </cell>
          <cell r="F2293" t="str">
            <v>du</v>
          </cell>
          <cell r="G2293" t="str">
            <v>Décompte santé</v>
          </cell>
        </row>
        <row r="2294">
          <cell r="D2294" t="str">
            <v>de l'</v>
          </cell>
          <cell r="E2294" t="str">
            <v>émetteur d'origine</v>
          </cell>
          <cell r="F2294" t="str">
            <v>du</v>
          </cell>
          <cell r="G2294" t="str">
            <v>Décompte santé</v>
          </cell>
        </row>
        <row r="2295">
          <cell r="D2295" t="str">
            <v>de l'</v>
          </cell>
          <cell r="E2295" t="str">
            <v>état SID</v>
          </cell>
          <cell r="F2295" t="str">
            <v>du</v>
          </cell>
          <cell r="G2295" t="str">
            <v>Décompte santé</v>
          </cell>
        </row>
        <row r="2296">
          <cell r="D2296" t="str">
            <v>de l'</v>
          </cell>
          <cell r="E2296" t="str">
            <v>état SIO</v>
          </cell>
          <cell r="F2296" t="str">
            <v>du</v>
          </cell>
          <cell r="G2296" t="str">
            <v>Décompte santé</v>
          </cell>
        </row>
        <row r="2297">
          <cell r="D2297" t="str">
            <v>de la</v>
          </cell>
          <cell r="E2297" t="str">
            <v>Situation de stock</v>
          </cell>
          <cell r="F2297" t="str">
            <v>du</v>
          </cell>
          <cell r="G2297" t="str">
            <v>Décompte santé</v>
          </cell>
        </row>
        <row r="2298">
          <cell r="D2298" t="str">
            <v>du</v>
          </cell>
          <cell r="E2298" t="str">
            <v>Type</v>
          </cell>
          <cell r="F2298" t="str">
            <v>du</v>
          </cell>
          <cell r="G2298" t="str">
            <v>Décompte santé</v>
          </cell>
        </row>
        <row r="2299">
          <cell r="D2299" t="str">
            <v>du</v>
          </cell>
          <cell r="E2299" t="str">
            <v>Remboursement collectif</v>
          </cell>
          <cell r="F2299" t="str">
            <v>du</v>
          </cell>
          <cell r="G2299" t="str">
            <v>Décompte santé</v>
          </cell>
        </row>
        <row r="2300">
          <cell r="D2300" t="str">
            <v>des</v>
          </cell>
          <cell r="E2300" t="str">
            <v>Remboursement CPAM</v>
          </cell>
          <cell r="F2300" t="str">
            <v>du</v>
          </cell>
          <cell r="G2300" t="str">
            <v>Décompte santé</v>
          </cell>
        </row>
        <row r="2301">
          <cell r="D2301" t="str">
            <v>des</v>
          </cell>
          <cell r="E2301" t="str">
            <v>Frais réels</v>
          </cell>
          <cell r="F2301" t="str">
            <v>du</v>
          </cell>
          <cell r="G2301" t="str">
            <v>Décompte santé</v>
          </cell>
        </row>
        <row r="2302">
          <cell r="D2302" t="str">
            <v>du</v>
          </cell>
          <cell r="E2302" t="str">
            <v>Remboursement effectif</v>
          </cell>
          <cell r="F2302" t="str">
            <v>du</v>
          </cell>
          <cell r="G2302" t="str">
            <v>Décompte santé</v>
          </cell>
        </row>
        <row r="2303">
          <cell r="D2303" t="str">
            <v>du</v>
          </cell>
          <cell r="E2303" t="str">
            <v>Reste à charge</v>
          </cell>
          <cell r="F2303" t="str">
            <v>du</v>
          </cell>
          <cell r="G2303" t="str">
            <v>Décompte santé</v>
          </cell>
        </row>
        <row r="2304">
          <cell r="D2304" t="str">
            <v>des</v>
          </cell>
          <cell r="E2304" t="str">
            <v>Soins santé</v>
          </cell>
          <cell r="F2304" t="str">
            <v>du</v>
          </cell>
          <cell r="G2304" t="str">
            <v>Décompte santé</v>
          </cell>
        </row>
        <row r="2305">
          <cell r="D2305" t="str">
            <v>des</v>
          </cell>
          <cell r="E2305" t="str">
            <v>Soins santé</v>
          </cell>
          <cell r="F2305" t="str">
            <v>du</v>
          </cell>
          <cell r="G2305" t="str">
            <v>Décompte santé</v>
          </cell>
        </row>
        <row r="2306">
          <cell r="D2306" t="str">
            <v>de la</v>
          </cell>
          <cell r="E2306" t="str">
            <v>Situation de stock</v>
          </cell>
          <cell r="F2306" t="str">
            <v>du</v>
          </cell>
          <cell r="G2306" t="str">
            <v>Décompte santé</v>
          </cell>
        </row>
        <row r="2307">
          <cell r="D2307" t="str">
            <v>de la</v>
          </cell>
          <cell r="E2307" t="str">
            <v>Situation de stock</v>
          </cell>
          <cell r="F2307" t="str">
            <v>du</v>
          </cell>
          <cell r="G2307" t="str">
            <v>Décompte santé</v>
          </cell>
        </row>
        <row r="2308">
          <cell r="D2308" t="str">
            <v>du</v>
          </cell>
          <cell r="E2308" t="str">
            <v>lien d'archivage</v>
          </cell>
          <cell r="F2308" t="str">
            <v>du</v>
          </cell>
          <cell r="G2308" t="str">
            <v>Décompte santé</v>
          </cell>
        </row>
        <row r="2309">
          <cell r="D2309" t="str">
            <v>de la</v>
          </cell>
          <cell r="E2309" t="str">
            <v>Formule de la version commerciale</v>
          </cell>
          <cell r="F2309" t="str">
            <v>du</v>
          </cell>
          <cell r="G2309" t="str">
            <v>Décompte santé</v>
          </cell>
        </row>
        <row r="2310">
          <cell r="D2310" t="str">
            <v>de la</v>
          </cell>
          <cell r="E2310" t="str">
            <v>CMU</v>
          </cell>
          <cell r="F2310" t="str">
            <v>du</v>
          </cell>
          <cell r="G2310" t="str">
            <v>Décompte santé</v>
          </cell>
        </row>
        <row r="2311">
          <cell r="D2311" t="str">
            <v>de la</v>
          </cell>
          <cell r="E2311" t="str">
            <v>CMU</v>
          </cell>
          <cell r="F2311" t="str">
            <v>du</v>
          </cell>
          <cell r="G2311" t="str">
            <v>Décompte santé</v>
          </cell>
        </row>
        <row r="2312">
          <cell r="D2312" t="str">
            <v>de la</v>
          </cell>
          <cell r="E2312" t="str">
            <v>CMU</v>
          </cell>
          <cell r="F2312" t="str">
            <v>du</v>
          </cell>
          <cell r="G2312" t="str">
            <v>Décompte santé</v>
          </cell>
        </row>
        <row r="2313">
          <cell r="D2313" t="str">
            <v>de la</v>
          </cell>
          <cell r="E2313" t="str">
            <v>CMU</v>
          </cell>
          <cell r="F2313" t="str">
            <v>du</v>
          </cell>
          <cell r="G2313" t="str">
            <v>Décompte santé</v>
          </cell>
        </row>
        <row r="2314">
          <cell r="D2314" t="str">
            <v>du</v>
          </cell>
          <cell r="E2314" t="str">
            <v>Mariage avance santé</v>
          </cell>
          <cell r="F2314" t="str">
            <v>du</v>
          </cell>
          <cell r="G2314" t="str">
            <v>Décompte santé</v>
          </cell>
        </row>
        <row r="2315">
          <cell r="D2315" t="str">
            <v>du</v>
          </cell>
          <cell r="E2315" t="str">
            <v>Mariage avance santé</v>
          </cell>
          <cell r="F2315" t="str">
            <v>du</v>
          </cell>
          <cell r="G2315" t="str">
            <v>Décompte santé</v>
          </cell>
        </row>
        <row r="2316">
          <cell r="D2316" t="str">
            <v>du</v>
          </cell>
          <cell r="E2316" t="str">
            <v>Pays des soins</v>
          </cell>
          <cell r="F2316" t="str">
            <v>du</v>
          </cell>
          <cell r="G2316" t="str">
            <v>Décompte santé</v>
          </cell>
        </row>
        <row r="2317">
          <cell r="D2317" t="str">
            <v>du</v>
          </cell>
          <cell r="E2317" t="str">
            <v>Pays des soins</v>
          </cell>
          <cell r="F2317" t="str">
            <v>du</v>
          </cell>
          <cell r="G2317" t="str">
            <v>Décompte santé</v>
          </cell>
        </row>
        <row r="2318">
          <cell r="D2318" t="str">
            <v>du</v>
          </cell>
          <cell r="E2318" t="str">
            <v>bénéficiaire en assurance santé</v>
          </cell>
          <cell r="F2318" t="str">
            <v>du</v>
          </cell>
          <cell r="G2318" t="str">
            <v>Décompte santé</v>
          </cell>
        </row>
        <row r="2319">
          <cell r="D2319" t="str">
            <v>du</v>
          </cell>
          <cell r="E2319" t="str">
            <v>Produit d'Assurance</v>
          </cell>
          <cell r="F2319" t="str">
            <v>du</v>
          </cell>
          <cell r="G2319" t="str">
            <v>Décompte santé</v>
          </cell>
        </row>
        <row r="2320">
          <cell r="D2320" t="str">
            <v>de l'</v>
          </cell>
          <cell r="E2320" t="str">
            <v>Entité gestionnaire</v>
          </cell>
          <cell r="F2320" t="str">
            <v>du</v>
          </cell>
          <cell r="G2320" t="str">
            <v>Décompte santé</v>
          </cell>
        </row>
        <row r="2321">
          <cell r="D2321" t="str">
            <v>du</v>
          </cell>
          <cell r="E2321" t="str">
            <v>Format d'origne</v>
          </cell>
          <cell r="F2321" t="str">
            <v>du</v>
          </cell>
          <cell r="G2321" t="str">
            <v>Décompte santé</v>
          </cell>
        </row>
        <row r="2322">
          <cell r="D2322" t="str">
            <v>du</v>
          </cell>
          <cell r="E2322" t="str">
            <v>format d'origine</v>
          </cell>
          <cell r="F2322" t="str">
            <v>du</v>
          </cell>
          <cell r="G2322" t="str">
            <v>Décompte santé</v>
          </cell>
        </row>
        <row r="2323">
          <cell r="D2323" t="str">
            <v>du</v>
          </cell>
          <cell r="E2323" t="str">
            <v>Format d'origne</v>
          </cell>
          <cell r="F2323" t="str">
            <v>du</v>
          </cell>
          <cell r="G2323" t="str">
            <v>Décompte santé</v>
          </cell>
        </row>
        <row r="2324">
          <cell r="D2324" t="str">
            <v>du</v>
          </cell>
          <cell r="E2324" t="str">
            <v>format d'origine</v>
          </cell>
          <cell r="F2324" t="str">
            <v>du</v>
          </cell>
          <cell r="G2324" t="str">
            <v>Décompte santé</v>
          </cell>
        </row>
        <row r="2325">
          <cell r="D2325" t="str">
            <v>de l'</v>
          </cell>
          <cell r="E2325" t="str">
            <v>émetteur d'origine</v>
          </cell>
          <cell r="F2325" t="str">
            <v>du</v>
          </cell>
          <cell r="G2325" t="str">
            <v>Décompte santé</v>
          </cell>
        </row>
        <row r="2326">
          <cell r="D2326" t="str">
            <v>de l'</v>
          </cell>
          <cell r="E2326" t="str">
            <v>émetteur d'origine</v>
          </cell>
          <cell r="F2326" t="str">
            <v>du</v>
          </cell>
          <cell r="G2326" t="str">
            <v>Décompte santé</v>
          </cell>
        </row>
        <row r="2327">
          <cell r="D2327" t="str">
            <v>de l'</v>
          </cell>
          <cell r="E2327" t="str">
            <v>émetteur d'origine</v>
          </cell>
          <cell r="F2327" t="str">
            <v>du</v>
          </cell>
          <cell r="G2327" t="str">
            <v>Décompte santé</v>
          </cell>
        </row>
        <row r="2328">
          <cell r="D2328" t="str">
            <v>de l'</v>
          </cell>
          <cell r="E2328" t="str">
            <v>émetteur d'origine</v>
          </cell>
          <cell r="F2328" t="str">
            <v>du</v>
          </cell>
          <cell r="G2328" t="str">
            <v>Décompte santé</v>
          </cell>
        </row>
        <row r="2329">
          <cell r="D2329" t="str">
            <v>du</v>
          </cell>
          <cell r="E2329" t="str">
            <v>Destinataire du règlement</v>
          </cell>
          <cell r="F2329" t="str">
            <v>du</v>
          </cell>
          <cell r="G2329" t="str">
            <v>Décompte santé</v>
          </cell>
        </row>
        <row r="2330">
          <cell r="D2330" t="str">
            <v>de l'</v>
          </cell>
          <cell r="E2330" t="str">
            <v>état SID</v>
          </cell>
          <cell r="F2330" t="str">
            <v>du</v>
          </cell>
          <cell r="G2330" t="str">
            <v>Décompte santé</v>
          </cell>
        </row>
        <row r="2331">
          <cell r="D2331" t="str">
            <v>de l'</v>
          </cell>
          <cell r="E2331" t="str">
            <v>état SID</v>
          </cell>
          <cell r="F2331" t="str">
            <v>du</v>
          </cell>
          <cell r="G2331" t="str">
            <v>Décompte santé</v>
          </cell>
        </row>
        <row r="2332">
          <cell r="D2332" t="str">
            <v>de l'</v>
          </cell>
          <cell r="E2332" t="str">
            <v>état SIO</v>
          </cell>
          <cell r="F2332" t="str">
            <v>du</v>
          </cell>
          <cell r="G2332" t="str">
            <v>Décompte santé</v>
          </cell>
        </row>
        <row r="2333">
          <cell r="D2333" t="str">
            <v>de l'</v>
          </cell>
          <cell r="E2333" t="str">
            <v>état SIO</v>
          </cell>
          <cell r="F2333" t="str">
            <v>du</v>
          </cell>
          <cell r="G2333" t="str">
            <v>Décompte santé</v>
          </cell>
        </row>
        <row r="2334">
          <cell r="D2334" t="str">
            <v>de la</v>
          </cell>
          <cell r="E2334" t="str">
            <v>Situation de stock</v>
          </cell>
          <cell r="F2334" t="str">
            <v>du</v>
          </cell>
          <cell r="G2334" t="str">
            <v>Décompte santé</v>
          </cell>
        </row>
        <row r="2335">
          <cell r="D2335" t="str">
            <v>de la</v>
          </cell>
          <cell r="E2335" t="str">
            <v>Situation de stock</v>
          </cell>
          <cell r="F2335" t="str">
            <v>du</v>
          </cell>
          <cell r="G2335" t="str">
            <v>Décompte santé</v>
          </cell>
        </row>
        <row r="2336">
          <cell r="D2336" t="str">
            <v>du</v>
          </cell>
          <cell r="E2336" t="str">
            <v>Type</v>
          </cell>
          <cell r="F2336" t="str">
            <v>du</v>
          </cell>
          <cell r="G2336" t="str">
            <v>Décompte santé</v>
          </cell>
        </row>
        <row r="2337">
          <cell r="D2337" t="str">
            <v>du</v>
          </cell>
          <cell r="E2337" t="str">
            <v>Type</v>
          </cell>
          <cell r="F2337" t="str">
            <v>du</v>
          </cell>
          <cell r="G2337" t="str">
            <v>Décompte santé</v>
          </cell>
        </row>
        <row r="2338">
          <cell r="D2338" t="str">
            <v>du</v>
          </cell>
          <cell r="E2338" t="str">
            <v>type</v>
          </cell>
          <cell r="F2338" t="str">
            <v>d'</v>
          </cell>
          <cell r="G2338" t="str">
            <v>émetteur</v>
          </cell>
          <cell r="H2338" t="str">
            <v>de la</v>
          </cell>
          <cell r="I2338" t="str">
            <v>facture</v>
          </cell>
        </row>
        <row r="2339">
          <cell r="D2339" t="str">
            <v>du</v>
          </cell>
          <cell r="E2339" t="str">
            <v>type</v>
          </cell>
          <cell r="F2339" t="str">
            <v>d'</v>
          </cell>
          <cell r="G2339" t="str">
            <v>émetteur</v>
          </cell>
          <cell r="H2339" t="str">
            <v>de la</v>
          </cell>
          <cell r="I2339" t="str">
            <v>facture</v>
          </cell>
        </row>
        <row r="2340">
          <cell r="D2340" t="str">
            <v>,</v>
          </cell>
          <cell r="E2340" t="str">
            <v>FINESS</v>
          </cell>
          <cell r="F2340" t="str">
            <v>de l'</v>
          </cell>
          <cell r="G2340" t="str">
            <v>établissement juridique</v>
          </cell>
          <cell r="H2340" t="str">
            <v>du</v>
          </cell>
          <cell r="I2340" t="str">
            <v>Correspondant ADELI</v>
          </cell>
        </row>
        <row r="2341">
          <cell r="D2341" t="str">
            <v>du</v>
          </cell>
          <cell r="E2341" t="str">
            <v>Correspondant ADELI</v>
          </cell>
          <cell r="F2341" t="str">
            <v>de l'</v>
          </cell>
          <cell r="G2341" t="str">
            <v>Exécutant des soins</v>
          </cell>
          <cell r="H2341" t="str">
            <v>de la</v>
          </cell>
          <cell r="I2341" t="str">
            <v>Ligne de soins</v>
          </cell>
        </row>
        <row r="2342">
          <cell r="D2342" t="str">
            <v>de la</v>
          </cell>
          <cell r="E2342" t="str">
            <v>Spécialité professionnelle</v>
          </cell>
          <cell r="F2342" t="str">
            <v>de l'</v>
          </cell>
          <cell r="G2342" t="str">
            <v>Exécutant des soins</v>
          </cell>
          <cell r="H2342" t="str">
            <v>de la</v>
          </cell>
          <cell r="I2342" t="str">
            <v>Ligne de soins</v>
          </cell>
        </row>
        <row r="2343">
          <cell r="D2343" t="str">
            <v>de la</v>
          </cell>
          <cell r="E2343" t="str">
            <v>Spécialité professionnelle</v>
          </cell>
          <cell r="F2343" t="str">
            <v>de l'</v>
          </cell>
          <cell r="G2343" t="str">
            <v>Exécutant des soins</v>
          </cell>
          <cell r="H2343" t="str">
            <v>de la</v>
          </cell>
          <cell r="I2343" t="str">
            <v>Ligne de soins</v>
          </cell>
        </row>
        <row r="2344">
          <cell r="D2344" t="str">
            <v>de l'</v>
          </cell>
          <cell r="E2344" t="str">
            <v>acte CCAM</v>
          </cell>
          <cell r="F2344" t="str">
            <v>de la</v>
          </cell>
          <cell r="G2344" t="str">
            <v>ligne de soins</v>
          </cell>
        </row>
        <row r="2345">
          <cell r="D2345" t="str">
            <v>de l'</v>
          </cell>
          <cell r="E2345" t="str">
            <v>acte de prévention</v>
          </cell>
          <cell r="F2345" t="str">
            <v>de la</v>
          </cell>
          <cell r="G2345" t="str">
            <v>ligne de soins</v>
          </cell>
        </row>
        <row r="2346">
          <cell r="D2346" t="str">
            <v xml:space="preserve"> </v>
          </cell>
          <cell r="E2346" t="str">
            <v>TP RC télétransmis</v>
          </cell>
          <cell r="F2346" t="str">
            <v>de la</v>
          </cell>
          <cell r="G2346" t="str">
            <v>ligne de soins</v>
          </cell>
        </row>
        <row r="2347">
          <cell r="D2347" t="str">
            <v>de</v>
          </cell>
          <cell r="E2347" t="str">
            <v>dent</v>
          </cell>
          <cell r="F2347" t="str">
            <v>de la</v>
          </cell>
          <cell r="G2347" t="str">
            <v>ligne de soins</v>
          </cell>
        </row>
        <row r="2348">
          <cell r="D2348" t="str">
            <v>de</v>
          </cell>
          <cell r="E2348" t="str">
            <v>dent</v>
          </cell>
          <cell r="F2348" t="str">
            <v>de la</v>
          </cell>
          <cell r="G2348" t="str">
            <v>ligne de soins</v>
          </cell>
        </row>
        <row r="2349">
          <cell r="D2349" t="str">
            <v>de l'</v>
          </cell>
          <cell r="E2349" t="str">
            <v>Association</v>
          </cell>
          <cell r="F2349" t="str">
            <v>entre</v>
          </cell>
          <cell r="G2349" t="str">
            <v>Ligne de soins</v>
          </cell>
          <cell r="H2349" t="str">
            <v>et</v>
          </cell>
          <cell r="I2349" t="str">
            <v>Précision De Couverture</v>
          </cell>
        </row>
        <row r="2350">
          <cell r="D2350" t="str">
            <v>de l'</v>
          </cell>
          <cell r="E2350" t="str">
            <v>option de coordination</v>
          </cell>
          <cell r="F2350" t="str">
            <v>de la</v>
          </cell>
          <cell r="G2350" t="str">
            <v>ligne de soins</v>
          </cell>
        </row>
        <row r="2351">
          <cell r="D2351" t="str">
            <v>de l'</v>
          </cell>
          <cell r="E2351" t="str">
            <v>acte CCAM</v>
          </cell>
          <cell r="F2351" t="str">
            <v>de la</v>
          </cell>
          <cell r="G2351" t="str">
            <v>ligne de soins</v>
          </cell>
        </row>
        <row r="2352">
          <cell r="D2352" t="str">
            <v>du</v>
          </cell>
          <cell r="E2352" t="str">
            <v>Remboursement collectif</v>
          </cell>
          <cell r="F2352" t="str">
            <v>de la</v>
          </cell>
          <cell r="G2352" t="str">
            <v>Ligne de soins</v>
          </cell>
        </row>
        <row r="2353">
          <cell r="D2353" t="str">
            <v>des</v>
          </cell>
          <cell r="E2353" t="str">
            <v>Remboursement CPAM</v>
          </cell>
          <cell r="F2353" t="str">
            <v>de la</v>
          </cell>
          <cell r="G2353" t="str">
            <v>Ligne de soins</v>
          </cell>
        </row>
        <row r="2354">
          <cell r="D2354" t="str">
            <v>de la</v>
          </cell>
          <cell r="E2354" t="str">
            <v>majoration dentaire</v>
          </cell>
          <cell r="F2354" t="str">
            <v>de la</v>
          </cell>
          <cell r="G2354" t="str">
            <v>ligne de soins</v>
          </cell>
        </row>
        <row r="2355">
          <cell r="D2355" t="str">
            <v>de la</v>
          </cell>
          <cell r="E2355" t="str">
            <v>franchise de dépassement</v>
          </cell>
          <cell r="F2355" t="str">
            <v>de la</v>
          </cell>
          <cell r="G2355" t="str">
            <v>ligne de soins</v>
          </cell>
        </row>
        <row r="2356">
          <cell r="D2356" t="str">
            <v>du</v>
          </cell>
          <cell r="E2356" t="str">
            <v>dépassement du forfait</v>
          </cell>
          <cell r="F2356" t="str">
            <v>de la</v>
          </cell>
          <cell r="G2356" t="str">
            <v>ligne de soins</v>
          </cell>
        </row>
        <row r="2357">
          <cell r="D2357" t="str">
            <v>du</v>
          </cell>
          <cell r="E2357" t="str">
            <v>bonus optique</v>
          </cell>
          <cell r="F2357" t="str">
            <v>de la</v>
          </cell>
          <cell r="G2357" t="str">
            <v>ligne de soins</v>
          </cell>
        </row>
        <row r="2358">
          <cell r="D2358" t="str">
            <v>des</v>
          </cell>
          <cell r="E2358" t="str">
            <v>Frais réels</v>
          </cell>
          <cell r="F2358" t="str">
            <v>de la</v>
          </cell>
          <cell r="G2358" t="str">
            <v>Ligne de soins</v>
          </cell>
        </row>
        <row r="2359">
          <cell r="D2359" t="str">
            <v>du</v>
          </cell>
          <cell r="E2359" t="str">
            <v>tarif de responsabilité</v>
          </cell>
          <cell r="F2359" t="str">
            <v>de la</v>
          </cell>
          <cell r="G2359" t="str">
            <v>ligne de soins</v>
          </cell>
        </row>
        <row r="2360">
          <cell r="D2360" t="str">
            <v>du</v>
          </cell>
          <cell r="E2360" t="str">
            <v>Reste à charge</v>
          </cell>
          <cell r="F2360" t="str">
            <v>de la</v>
          </cell>
          <cell r="G2360" t="str">
            <v>Ligne de soins</v>
          </cell>
        </row>
        <row r="2361">
          <cell r="D2361" t="str">
            <v xml:space="preserve"> </v>
          </cell>
          <cell r="E2361" t="str">
            <v>TP RC télétransmis</v>
          </cell>
          <cell r="F2361" t="str">
            <v>de la</v>
          </cell>
          <cell r="G2361" t="str">
            <v>ligne de soins</v>
          </cell>
        </row>
        <row r="2362">
          <cell r="D2362" t="str">
            <v>du</v>
          </cell>
          <cell r="E2362" t="str">
            <v>ticket modérateur</v>
          </cell>
          <cell r="F2362" t="str">
            <v>de la</v>
          </cell>
          <cell r="G2362" t="str">
            <v>ligne de soins</v>
          </cell>
        </row>
        <row r="2363">
          <cell r="D2363" t="str">
            <v>de la</v>
          </cell>
          <cell r="E2363" t="str">
            <v>Destination analytique</v>
          </cell>
          <cell r="F2363" t="str">
            <v>de la</v>
          </cell>
          <cell r="G2363" t="str">
            <v>Ligne de soins</v>
          </cell>
        </row>
        <row r="2364">
          <cell r="D2364" t="str">
            <v>de l'</v>
          </cell>
          <cell r="E2364" t="str">
            <v>option de coordination</v>
          </cell>
          <cell r="F2364" t="str">
            <v>de la</v>
          </cell>
          <cell r="G2364" t="str">
            <v>ligne de soins</v>
          </cell>
        </row>
        <row r="2365">
          <cell r="D2365" t="str">
            <v>de l'</v>
          </cell>
          <cell r="E2365" t="str">
            <v>option de coordination</v>
          </cell>
          <cell r="F2365" t="str">
            <v>de la</v>
          </cell>
          <cell r="G2365" t="str">
            <v>ligne de soins</v>
          </cell>
        </row>
        <row r="2366">
          <cell r="D2366" t="str">
            <v>de l'</v>
          </cell>
          <cell r="E2366" t="str">
            <v>acte CCAM</v>
          </cell>
          <cell r="F2366" t="str">
            <v>de la</v>
          </cell>
          <cell r="G2366" t="str">
            <v>ligne de soins</v>
          </cell>
        </row>
        <row r="2367">
          <cell r="D2367" t="str">
            <v>de l'</v>
          </cell>
          <cell r="E2367" t="str">
            <v>acte CCAM</v>
          </cell>
          <cell r="F2367" t="str">
            <v>de la</v>
          </cell>
          <cell r="G2367" t="str">
            <v>ligne de soins</v>
          </cell>
        </row>
        <row r="2368">
          <cell r="D2368" t="str">
            <v>de l'</v>
          </cell>
          <cell r="E2368" t="str">
            <v>acte de soins santé de la CPAM</v>
          </cell>
          <cell r="F2368" t="str">
            <v>de</v>
          </cell>
          <cell r="G2368" t="str">
            <v>Ligne de soins</v>
          </cell>
        </row>
        <row r="2369">
          <cell r="D2369" t="str">
            <v>du</v>
          </cell>
          <cell r="E2369" t="str">
            <v>mouvement bancaire marié</v>
          </cell>
          <cell r="F2369" t="str">
            <v>de la</v>
          </cell>
          <cell r="G2369" t="str">
            <v>ligne de soins</v>
          </cell>
        </row>
        <row r="2370">
          <cell r="D2370" t="str">
            <v>de la</v>
          </cell>
          <cell r="E2370" t="str">
            <v>version de Garantie</v>
          </cell>
          <cell r="F2370" t="str">
            <v>de la</v>
          </cell>
          <cell r="G2370" t="str">
            <v>Ligne de soins</v>
          </cell>
        </row>
        <row r="2371">
          <cell r="D2371" t="str">
            <v>du</v>
          </cell>
          <cell r="E2371" t="str">
            <v>Type</v>
          </cell>
          <cell r="F2371" t="str">
            <v>de</v>
          </cell>
          <cell r="G2371" t="str">
            <v>Message de la Ligne de soins</v>
          </cell>
          <cell r="H2371" t="str">
            <v>et</v>
          </cell>
          <cell r="I2371" t="str">
            <v>Message du Décompte Santé</v>
          </cell>
        </row>
        <row r="2372">
          <cell r="D2372" t="str">
            <v>du</v>
          </cell>
          <cell r="E2372" t="str">
            <v>Type</v>
          </cell>
          <cell r="F2372" t="str">
            <v>de</v>
          </cell>
          <cell r="G2372" t="str">
            <v>Message de la Ligne de soins</v>
          </cell>
          <cell r="H2372" t="str">
            <v>et</v>
          </cell>
          <cell r="I2372" t="str">
            <v>Message du Décompte Santé</v>
          </cell>
        </row>
        <row r="2373">
          <cell r="D2373" t="str">
            <v>du</v>
          </cell>
          <cell r="E2373" t="str">
            <v>Type</v>
          </cell>
          <cell r="F2373" t="str">
            <v>de</v>
          </cell>
          <cell r="G2373" t="str">
            <v>Message de la Ligne de soins</v>
          </cell>
          <cell r="H2373" t="str">
            <v>et</v>
          </cell>
          <cell r="I2373" t="str">
            <v>Message du Décompte Santé</v>
          </cell>
        </row>
        <row r="2374">
          <cell r="D2374" t="str">
            <v>du</v>
          </cell>
          <cell r="E2374" t="str">
            <v>Type</v>
          </cell>
          <cell r="F2374" t="str">
            <v>du</v>
          </cell>
          <cell r="G2374" t="str">
            <v>Message de la Ligne de soins</v>
          </cell>
        </row>
        <row r="2375">
          <cell r="D2375" t="str">
            <v>du</v>
          </cell>
          <cell r="E2375" t="str">
            <v>Type</v>
          </cell>
          <cell r="F2375" t="str">
            <v>du</v>
          </cell>
          <cell r="G2375" t="str">
            <v>Message de la Ligne de soins</v>
          </cell>
        </row>
        <row r="2376">
          <cell r="D2376" t="str">
            <v>du</v>
          </cell>
          <cell r="E2376" t="str">
            <v>Type</v>
          </cell>
          <cell r="F2376" t="str">
            <v>du</v>
          </cell>
          <cell r="G2376" t="str">
            <v>Message du Décompte Santé</v>
          </cell>
        </row>
        <row r="2377">
          <cell r="D2377" t="str">
            <v>du</v>
          </cell>
          <cell r="E2377" t="str">
            <v>Type</v>
          </cell>
          <cell r="F2377" t="str">
            <v>du</v>
          </cell>
          <cell r="G2377" t="str">
            <v>Message du Décompte Santé</v>
          </cell>
        </row>
        <row r="2378">
          <cell r="D2378" t="str">
            <v>de l'</v>
          </cell>
          <cell r="E2378" t="str">
            <v>Assuré Santé Sinistré</v>
          </cell>
          <cell r="G2378" t="str">
            <v>Non Référencé</v>
          </cell>
        </row>
        <row r="2379">
          <cell r="D2379" t="str">
            <v>de l'</v>
          </cell>
          <cell r="E2379" t="str">
            <v>Assuré Santé Sinistré</v>
          </cell>
          <cell r="F2379" t="str">
            <v>,</v>
          </cell>
          <cell r="G2379" t="str">
            <v>Non Référencé</v>
          </cell>
        </row>
        <row r="2380">
          <cell r="D2380" t="str">
            <v>de l'</v>
          </cell>
          <cell r="E2380" t="str">
            <v>Assuré Santé Sinistré</v>
          </cell>
          <cell r="G2380" t="str">
            <v>Non Référencé</v>
          </cell>
        </row>
        <row r="2381">
          <cell r="D2381" t="str">
            <v>de l'</v>
          </cell>
          <cell r="E2381" t="str">
            <v>Assuré Santé Sinistré</v>
          </cell>
          <cell r="F2381" t="str">
            <v>,</v>
          </cell>
          <cell r="G2381" t="str">
            <v>Non Référencé</v>
          </cell>
        </row>
        <row r="2382">
          <cell r="D2382" t="str">
            <v>de l'</v>
          </cell>
          <cell r="E2382" t="str">
            <v>indicateur</v>
          </cell>
          <cell r="F2382" t="str">
            <v>du</v>
          </cell>
          <cell r="G2382" t="str">
            <v>panier de soins</v>
          </cell>
        </row>
        <row r="2383">
          <cell r="D2383" t="str">
            <v>de l'</v>
          </cell>
          <cell r="E2383" t="str">
            <v>indicateur</v>
          </cell>
          <cell r="F2383" t="str">
            <v>du</v>
          </cell>
          <cell r="G2383" t="str">
            <v>panier de soins</v>
          </cell>
        </row>
        <row r="2384">
          <cell r="D2384" t="str">
            <v>du</v>
          </cell>
          <cell r="E2384" t="str">
            <v>Correspondant ADELI</v>
          </cell>
          <cell r="F2384" t="str">
            <v>du</v>
          </cell>
          <cell r="G2384" t="str">
            <v>Prescripteur des soins</v>
          </cell>
          <cell r="H2384" t="str">
            <v>de la</v>
          </cell>
          <cell r="I2384" t="str">
            <v>Ligne de soins</v>
          </cell>
        </row>
        <row r="2385">
          <cell r="D2385" t="str">
            <v>de la</v>
          </cell>
          <cell r="E2385" t="str">
            <v>Spécialité professionnelle</v>
          </cell>
          <cell r="F2385" t="str">
            <v>du</v>
          </cell>
          <cell r="G2385" t="str">
            <v>Prescripteur des soins</v>
          </cell>
          <cell r="H2385" t="str">
            <v>de la</v>
          </cell>
          <cell r="I2385" t="str">
            <v>Ligne de soins</v>
          </cell>
        </row>
        <row r="2386">
          <cell r="D2386" t="str">
            <v>de la</v>
          </cell>
          <cell r="E2386" t="str">
            <v>Spécialité professionnelle</v>
          </cell>
          <cell r="F2386" t="str">
            <v>du</v>
          </cell>
          <cell r="G2386" t="str">
            <v>Prescripteur des soins</v>
          </cell>
          <cell r="H2386" t="str">
            <v>de la</v>
          </cell>
          <cell r="I2386" t="str">
            <v>Ligne de soins</v>
          </cell>
        </row>
        <row r="2387">
          <cell r="D2387" t="str">
            <v>du</v>
          </cell>
          <cell r="E2387" t="str">
            <v>remboursement</v>
          </cell>
          <cell r="G2387" t="str">
            <v>régime obligatoire</v>
          </cell>
          <cell r="H2387" t="str">
            <v>de la</v>
          </cell>
          <cell r="I2387" t="str">
            <v>ligne de soins</v>
          </cell>
        </row>
        <row r="2388">
          <cell r="D2388" t="str">
            <v>de l'</v>
          </cell>
          <cell r="E2388" t="str">
            <v>Assuré Santé Sinistré</v>
          </cell>
          <cell r="F2388" t="str">
            <v>du</v>
          </cell>
          <cell r="G2388" t="str">
            <v>Règlement Assurance santé</v>
          </cell>
        </row>
        <row r="2389">
          <cell r="D2389" t="str">
            <v>du</v>
          </cell>
          <cell r="E2389" t="str">
            <v>Mode de règlement</v>
          </cell>
          <cell r="F2389" t="str">
            <v>du</v>
          </cell>
          <cell r="G2389" t="str">
            <v>Règlement Assurance santé</v>
          </cell>
        </row>
        <row r="2390">
          <cell r="D2390" t="str">
            <v>de la</v>
          </cell>
          <cell r="E2390" t="str">
            <v>Situation de stock</v>
          </cell>
          <cell r="F2390" t="str">
            <v>du</v>
          </cell>
          <cell r="G2390" t="str">
            <v>Règlement Assurance santé</v>
          </cell>
        </row>
        <row r="2391">
          <cell r="D2391" t="str">
            <v>de l'</v>
          </cell>
          <cell r="E2391" t="str">
            <v>Etat</v>
          </cell>
          <cell r="F2391" t="str">
            <v>du</v>
          </cell>
          <cell r="G2391" t="str">
            <v>Règlement Assurance santé</v>
          </cell>
        </row>
        <row r="2392">
          <cell r="D2392" t="str">
            <v>du</v>
          </cell>
          <cell r="E2392" t="str">
            <v>Type</v>
          </cell>
          <cell r="F2392" t="str">
            <v>du</v>
          </cell>
          <cell r="G2392" t="str">
            <v>Règlement Assurance santé</v>
          </cell>
        </row>
        <row r="2393">
          <cell r="D2393" t="str">
            <v>de la</v>
          </cell>
          <cell r="E2393" t="str">
            <v>Dette équilibre</v>
          </cell>
          <cell r="F2393" t="str">
            <v>du</v>
          </cell>
          <cell r="G2393" t="str">
            <v>Règlement Assurance santé</v>
          </cell>
        </row>
        <row r="2394">
          <cell r="D2394" t="str">
            <v>du</v>
          </cell>
          <cell r="E2394" t="str">
            <v>Remboursement collectif</v>
          </cell>
          <cell r="F2394" t="str">
            <v>du</v>
          </cell>
          <cell r="G2394" t="str">
            <v>Règlement Assurance santé</v>
          </cell>
        </row>
        <row r="2395">
          <cell r="D2395" t="str">
            <v>de l'</v>
          </cell>
          <cell r="E2395" t="str">
            <v>Annulation</v>
          </cell>
          <cell r="F2395" t="str">
            <v>du</v>
          </cell>
          <cell r="G2395" t="str">
            <v>Règlement Assurance santé</v>
          </cell>
        </row>
        <row r="2396">
          <cell r="D2396" t="str">
            <v>des</v>
          </cell>
          <cell r="E2396" t="str">
            <v>Remboursement CPAM</v>
          </cell>
          <cell r="F2396" t="str">
            <v>du</v>
          </cell>
          <cell r="G2396" t="str">
            <v>Règlement Assurance santé</v>
          </cell>
        </row>
        <row r="2397">
          <cell r="D2397" t="str">
            <v>des</v>
          </cell>
          <cell r="E2397" t="str">
            <v>Frais réels</v>
          </cell>
          <cell r="F2397" t="str">
            <v>du</v>
          </cell>
          <cell r="G2397" t="str">
            <v>Règlement Assurance santé</v>
          </cell>
        </row>
        <row r="2398">
          <cell r="D2398" t="str">
            <v>du</v>
          </cell>
          <cell r="E2398" t="str">
            <v>Reste à charge</v>
          </cell>
          <cell r="F2398" t="str">
            <v>du</v>
          </cell>
          <cell r="G2398" t="str">
            <v>Règlement Assurance santé</v>
          </cell>
        </row>
        <row r="2399">
          <cell r="D2399" t="str">
            <v>d'</v>
          </cell>
          <cell r="E2399" t="str">
            <v>Edition effective</v>
          </cell>
          <cell r="F2399" t="str">
            <v>du</v>
          </cell>
          <cell r="G2399" t="str">
            <v>Règlement Assurance santé</v>
          </cell>
        </row>
        <row r="2400">
          <cell r="D2400" t="str">
            <v>de la</v>
          </cell>
          <cell r="E2400" t="str">
            <v>Situation de stock</v>
          </cell>
          <cell r="F2400" t="str">
            <v>du</v>
          </cell>
          <cell r="G2400" t="str">
            <v>Règlement Assurance santé</v>
          </cell>
        </row>
        <row r="2401">
          <cell r="D2401" t="str">
            <v>de la</v>
          </cell>
          <cell r="E2401" t="str">
            <v>Situation de stock</v>
          </cell>
          <cell r="F2401" t="str">
            <v>du</v>
          </cell>
          <cell r="G2401" t="str">
            <v>Règlement Assurance santé</v>
          </cell>
        </row>
        <row r="2402">
          <cell r="D2402" t="str">
            <v>du</v>
          </cell>
          <cell r="E2402" t="str">
            <v>BBAN</v>
          </cell>
          <cell r="F2402" t="str">
            <v>du</v>
          </cell>
          <cell r="G2402" t="str">
            <v>Règlement Assurance santé</v>
          </cell>
        </row>
        <row r="2403">
          <cell r="D2403" t="str">
            <v>de la</v>
          </cell>
          <cell r="E2403" t="str">
            <v>devise</v>
          </cell>
          <cell r="F2403" t="str">
            <v>du</v>
          </cell>
          <cell r="G2403" t="str">
            <v>Règlement Assurance santé</v>
          </cell>
        </row>
        <row r="2404">
          <cell r="D2404" t="str">
            <v>du</v>
          </cell>
          <cell r="E2404" t="str">
            <v>contrat groupe</v>
          </cell>
          <cell r="F2404" t="str">
            <v>du</v>
          </cell>
          <cell r="G2404" t="str">
            <v>Règlement Assurance santé</v>
          </cell>
        </row>
        <row r="2405">
          <cell r="D2405" t="str">
            <v>de la</v>
          </cell>
          <cell r="E2405" t="str">
            <v>Société d'assurance</v>
          </cell>
          <cell r="F2405" t="str">
            <v>du</v>
          </cell>
          <cell r="G2405" t="str">
            <v>Règlement Assurance santé</v>
          </cell>
        </row>
        <row r="2406">
          <cell r="D2406" t="str">
            <v>du</v>
          </cell>
          <cell r="E2406" t="str">
            <v>Dernier état</v>
          </cell>
          <cell r="F2406" t="str">
            <v>du</v>
          </cell>
          <cell r="G2406" t="str">
            <v>Règlement Assurance santé</v>
          </cell>
        </row>
        <row r="2407">
          <cell r="D2407" t="str">
            <v>du</v>
          </cell>
          <cell r="E2407" t="str">
            <v>Dernier état</v>
          </cell>
          <cell r="F2407" t="str">
            <v>du</v>
          </cell>
          <cell r="G2407" t="str">
            <v>Règlement Assurance santé</v>
          </cell>
        </row>
        <row r="2408">
          <cell r="D2408" t="str">
            <v>de l'</v>
          </cell>
          <cell r="E2408" t="str">
            <v>Equipe gestionnaire</v>
          </cell>
          <cell r="F2408" t="str">
            <v>du</v>
          </cell>
          <cell r="G2408" t="str">
            <v>Règlement Assurance santé</v>
          </cell>
        </row>
        <row r="2409">
          <cell r="D2409" t="str">
            <v>de l'</v>
          </cell>
          <cell r="E2409" t="str">
            <v>Entité gestionnaire</v>
          </cell>
          <cell r="F2409" t="str">
            <v>du</v>
          </cell>
          <cell r="G2409" t="str">
            <v>Règlement Assurance santé</v>
          </cell>
        </row>
        <row r="2410">
          <cell r="D2410" t="str">
            <v>du</v>
          </cell>
          <cell r="E2410" t="str">
            <v>Mode de règlement</v>
          </cell>
          <cell r="F2410" t="str">
            <v>du</v>
          </cell>
          <cell r="G2410" t="str">
            <v>Règlement Assurance santé</v>
          </cell>
        </row>
        <row r="2411">
          <cell r="D2411" t="str">
            <v>du</v>
          </cell>
          <cell r="E2411" t="str">
            <v>Mode de règlement</v>
          </cell>
          <cell r="F2411" t="str">
            <v>du</v>
          </cell>
          <cell r="G2411" t="str">
            <v>Règlement Assurance santé</v>
          </cell>
        </row>
        <row r="2412">
          <cell r="D2412" t="str">
            <v>de l'</v>
          </cell>
          <cell r="E2412" t="str">
            <v>Etat</v>
          </cell>
          <cell r="F2412" t="str">
            <v>du</v>
          </cell>
          <cell r="G2412" t="str">
            <v>Règlement Assurance santé</v>
          </cell>
        </row>
        <row r="2413">
          <cell r="D2413" t="str">
            <v>de l'</v>
          </cell>
          <cell r="E2413" t="str">
            <v>Etat</v>
          </cell>
          <cell r="F2413" t="str">
            <v>du</v>
          </cell>
          <cell r="G2413" t="str">
            <v>Règlement Assurance santé</v>
          </cell>
        </row>
        <row r="2414">
          <cell r="D2414" t="str">
            <v>du</v>
          </cell>
          <cell r="E2414" t="str">
            <v>Type</v>
          </cell>
          <cell r="F2414" t="str">
            <v>du</v>
          </cell>
          <cell r="G2414" t="str">
            <v>Règlement Assurance santé</v>
          </cell>
        </row>
        <row r="2415">
          <cell r="D2415" t="str">
            <v>du</v>
          </cell>
          <cell r="E2415" t="str">
            <v>Type</v>
          </cell>
          <cell r="F2415" t="str">
            <v>du</v>
          </cell>
          <cell r="G2415" t="str">
            <v>Règlement Assurance santé</v>
          </cell>
        </row>
        <row r="2416">
          <cell r="D2416" t="str">
            <v>de l'</v>
          </cell>
          <cell r="E2416" t="str">
            <v>indicateur</v>
          </cell>
          <cell r="F2416" t="str">
            <v>de</v>
          </cell>
          <cell r="G2416" t="str">
            <v>renouvellement anticipé</v>
          </cell>
        </row>
        <row r="2417">
          <cell r="D2417" t="str">
            <v>de l'</v>
          </cell>
          <cell r="E2417" t="str">
            <v>indicateur</v>
          </cell>
          <cell r="F2417" t="str">
            <v>de</v>
          </cell>
          <cell r="G2417" t="str">
            <v>renouvellement anticipé</v>
          </cell>
        </row>
        <row r="2418">
          <cell r="D2418" t="str">
            <v>du</v>
          </cell>
          <cell r="E2418" t="str">
            <v>Type</v>
          </cell>
          <cell r="F2418" t="str">
            <v>de</v>
          </cell>
          <cell r="G2418" t="str">
            <v>Savoir faire</v>
          </cell>
          <cell r="H2418" t="str">
            <v>du</v>
          </cell>
          <cell r="I2418" t="str">
            <v>Correspondant ADELI</v>
          </cell>
        </row>
        <row r="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row>
        <row r="2421">
          <cell r="D2421" t="str">
            <v>de la</v>
          </cell>
          <cell r="E2421" t="str">
            <v>majoration</v>
          </cell>
          <cell r="F2421" t="str">
            <v>du</v>
          </cell>
          <cell r="G2421" t="str">
            <v>ticket modérateur</v>
          </cell>
          <cell r="H2421" t="str">
            <v>de la</v>
          </cell>
          <cell r="I2421" t="str">
            <v>ligne de soins</v>
          </cell>
        </row>
        <row r="2422">
          <cell r="D2422" t="str">
            <v>du</v>
          </cell>
          <cell r="E2422" t="str">
            <v>prix limite</v>
          </cell>
          <cell r="F2422" t="str">
            <v>de</v>
          </cell>
          <cell r="G2422" t="str">
            <v>vente</v>
          </cell>
        </row>
        <row r="2423">
          <cell r="D2423" t="str">
            <v>du</v>
          </cell>
          <cell r="E2423" t="str">
            <v>Correspondant ADELI</v>
          </cell>
        </row>
        <row r="2424">
          <cell r="D2424" t="str">
            <v>du</v>
          </cell>
          <cell r="E2424" t="str">
            <v>Décompte santé</v>
          </cell>
        </row>
        <row r="2425">
          <cell r="D2425" t="str">
            <v>du</v>
          </cell>
          <cell r="E2425" t="str">
            <v>Message du Décompte Santé</v>
          </cell>
        </row>
        <row r="2426">
          <cell r="D2426" t="str">
            <v>de la</v>
          </cell>
          <cell r="E2426" t="str">
            <v>Ligne de soins</v>
          </cell>
        </row>
        <row r="2427">
          <cell r="D2427" t="str">
            <v>du</v>
          </cell>
          <cell r="E2427" t="str">
            <v>Message de la Ligne de soins</v>
          </cell>
        </row>
        <row r="2428">
          <cell r="D2428" t="str">
            <v>du</v>
          </cell>
          <cell r="E2428" t="str">
            <v>Règlement Assurance santé</v>
          </cell>
        </row>
        <row r="2429">
          <cell r="D2429" t="str">
            <v>du</v>
          </cell>
          <cell r="E2429" t="str">
            <v>Correspondant ADELI</v>
          </cell>
        </row>
        <row r="2430">
          <cell r="D2430" t="str">
            <v>du</v>
          </cell>
          <cell r="E2430" t="str">
            <v>Décompte santé</v>
          </cell>
        </row>
        <row r="2431">
          <cell r="D2431" t="str">
            <v>du</v>
          </cell>
          <cell r="E2431" t="str">
            <v>Message du Décompte Santé</v>
          </cell>
        </row>
        <row r="2432">
          <cell r="D2432" t="str">
            <v>de l'</v>
          </cell>
          <cell r="E2432" t="str">
            <v>acte de soins santé des ACM</v>
          </cell>
        </row>
        <row r="2433">
          <cell r="D2433" t="str">
            <v>de la</v>
          </cell>
          <cell r="E2433" t="str">
            <v>ligne de soins</v>
          </cell>
        </row>
        <row r="2434">
          <cell r="D2434" t="str">
            <v>du</v>
          </cell>
          <cell r="E2434" t="str">
            <v>Message de la Ligne de soins</v>
          </cell>
        </row>
        <row r="2435">
          <cell r="D2435" t="str">
            <v>de l'</v>
          </cell>
          <cell r="E2435" t="str">
            <v>Assuré Santé Sinistré</v>
          </cell>
        </row>
        <row r="2436">
          <cell r="D2436" t="str">
            <v>du</v>
          </cell>
          <cell r="E2436" t="str">
            <v>Règlement Assurance santé</v>
          </cell>
        </row>
        <row r="2437">
          <cell r="C2437" t="str">
            <v>interne</v>
          </cell>
          <cell r="D2437" t="str">
            <v>du</v>
          </cell>
          <cell r="E2437" t="str">
            <v>Contrat</v>
          </cell>
          <cell r="F2437" t="str">
            <v>du</v>
          </cell>
          <cell r="G2437" t="str">
            <v>Décompte santé</v>
          </cell>
        </row>
        <row r="2438">
          <cell r="C2438" t="str">
            <v>externe</v>
          </cell>
          <cell r="D2438" t="str">
            <v>du</v>
          </cell>
          <cell r="E2438" t="str">
            <v>Contrat</v>
          </cell>
          <cell r="F2438" t="str">
            <v>du</v>
          </cell>
          <cell r="G2438" t="str">
            <v>Décompte santé</v>
          </cell>
        </row>
        <row r="2439">
          <cell r="C2439" t="str">
            <v>sévérité</v>
          </cell>
          <cell r="D2439" t="str">
            <v>du</v>
          </cell>
          <cell r="E2439" t="str">
            <v>message</v>
          </cell>
          <cell r="F2439" t="str">
            <v>du</v>
          </cell>
          <cell r="G2439" t="str">
            <v>Décompte santé</v>
          </cell>
        </row>
        <row r="2440">
          <cell r="D2440" t="str">
            <v>du</v>
          </cell>
          <cell r="E2440" t="str">
            <v>Décompte santé</v>
          </cell>
        </row>
        <row r="2441">
          <cell r="D2441" t="str">
            <v>du</v>
          </cell>
          <cell r="E2441" t="str">
            <v>Décompte santé</v>
          </cell>
        </row>
        <row r="2442">
          <cell r="C2442" t="str">
            <v>GECOR</v>
          </cell>
          <cell r="D2442" t="str">
            <v>du</v>
          </cell>
          <cell r="E2442" t="str">
            <v>Destinataire du règlement</v>
          </cell>
          <cell r="F2442" t="str">
            <v>du</v>
          </cell>
          <cell r="G2442" t="str">
            <v>Décompte santé</v>
          </cell>
        </row>
        <row r="2443">
          <cell r="D2443" t="str">
            <v>de l'</v>
          </cell>
          <cell r="E2443" t="str">
            <v>acte de soins santé des ACM</v>
          </cell>
        </row>
        <row r="2444">
          <cell r="D2444" t="str">
            <v>du</v>
          </cell>
          <cell r="E2444" t="str">
            <v>Règlement Assurance santé</v>
          </cell>
        </row>
        <row r="2445">
          <cell r="D2445" t="str">
            <v>du</v>
          </cell>
          <cell r="E2445" t="str">
            <v>Règlement Assurance santé</v>
          </cell>
        </row>
        <row r="2446">
          <cell r="C2446" t="str">
            <v>sévérité</v>
          </cell>
          <cell r="D2446" t="str">
            <v>du</v>
          </cell>
          <cell r="E2446" t="str">
            <v>message</v>
          </cell>
          <cell r="F2446" t="str">
            <v>de la</v>
          </cell>
          <cell r="G2446" t="str">
            <v>Ligne de soins</v>
          </cell>
        </row>
        <row r="2447">
          <cell r="C2447" t="str">
            <v>interne</v>
          </cell>
          <cell r="D2447" t="str">
            <v>du</v>
          </cell>
          <cell r="E2447" t="str">
            <v>Contrat</v>
          </cell>
          <cell r="F2447" t="str">
            <v>du</v>
          </cell>
          <cell r="G2447" t="str">
            <v>Règlement Assurance santé</v>
          </cell>
        </row>
        <row r="2448">
          <cell r="C2448" t="str">
            <v>externe</v>
          </cell>
          <cell r="D2448" t="str">
            <v>du</v>
          </cell>
          <cell r="E2448" t="str">
            <v>Contrat</v>
          </cell>
          <cell r="F2448" t="str">
            <v>du</v>
          </cell>
          <cell r="G2448" t="str">
            <v>Règlement Assurance santé</v>
          </cell>
        </row>
        <row r="2449">
          <cell r="D2449" t="str">
            <v>du</v>
          </cell>
          <cell r="E2449" t="str">
            <v>Correspondant ADELI</v>
          </cell>
        </row>
        <row r="2450">
          <cell r="D2450" t="str">
            <v>du</v>
          </cell>
          <cell r="E2450" t="str">
            <v>Correspondant ADELI</v>
          </cell>
        </row>
        <row r="2451">
          <cell r="C2451" t="str">
            <v>postal</v>
          </cell>
          <cell r="D2451" t="str">
            <v>de l'</v>
          </cell>
          <cell r="E2451" t="str">
            <v>Assuré Santé Sinistré</v>
          </cell>
          <cell r="F2451" t="str">
            <v>,</v>
          </cell>
          <cell r="G2451" t="str">
            <v>Non Référencé</v>
          </cell>
        </row>
        <row r="2452">
          <cell r="C2452" t="str">
            <v>sexe</v>
          </cell>
          <cell r="D2452" t="str">
            <v>de l'</v>
          </cell>
          <cell r="E2452" t="str">
            <v>Assuré Santé Sinistré</v>
          </cell>
          <cell r="F2452" t="str">
            <v>,</v>
          </cell>
          <cell r="G2452" t="str">
            <v>Non Référencé</v>
          </cell>
        </row>
        <row r="2453">
          <cell r="D2453" t="str">
            <v>du</v>
          </cell>
          <cell r="E2453" t="str">
            <v>Décompte santé</v>
          </cell>
        </row>
        <row r="2454">
          <cell r="D2454" t="str">
            <v>du</v>
          </cell>
          <cell r="E2454" t="str">
            <v>Message du Décompte Santé</v>
          </cell>
        </row>
        <row r="2455">
          <cell r="D2455" t="str">
            <v>du</v>
          </cell>
          <cell r="E2455" t="str">
            <v>Message du Décompte Santé</v>
          </cell>
        </row>
        <row r="2456">
          <cell r="D2456" t="str">
            <v>de l'</v>
          </cell>
          <cell r="E2456" t="str">
            <v>acte de soins santé des ACM</v>
          </cell>
        </row>
        <row r="2457">
          <cell r="D2457" t="str">
            <v>de l'</v>
          </cell>
          <cell r="E2457" t="str">
            <v>acte de soins santé des ACM</v>
          </cell>
        </row>
        <row r="2458">
          <cell r="D2458" t="str">
            <v>de l'</v>
          </cell>
          <cell r="E2458" t="str">
            <v>acte de soins santé des ACM</v>
          </cell>
        </row>
        <row r="2459">
          <cell r="D2459" t="str">
            <v>de la</v>
          </cell>
          <cell r="E2459" t="str">
            <v>ligne de soins</v>
          </cell>
        </row>
        <row r="2460">
          <cell r="D2460" t="str">
            <v>du</v>
          </cell>
          <cell r="E2460" t="str">
            <v>Message de la Ligne de soins</v>
          </cell>
        </row>
        <row r="2461">
          <cell r="D2461" t="str">
            <v>du</v>
          </cell>
          <cell r="E2461" t="str">
            <v>Message de la Ligne de soins</v>
          </cell>
        </row>
        <row r="2462">
          <cell r="D2462" t="str">
            <v>du</v>
          </cell>
          <cell r="E2462" t="str">
            <v>Règlement Assurance santé</v>
          </cell>
        </row>
        <row r="2463">
          <cell r="D2463" t="str">
            <v>du</v>
          </cell>
          <cell r="E2463" t="str">
            <v>Décompte santé lié</v>
          </cell>
        </row>
        <row r="2464">
          <cell r="D2464" t="str">
            <v>du</v>
          </cell>
          <cell r="E2464" t="str">
            <v>Tiers</v>
          </cell>
        </row>
        <row r="2465">
          <cell r="D2465" t="str">
            <v>de l'</v>
          </cell>
          <cell r="E2465" t="str">
            <v>équipe</v>
          </cell>
          <cell r="F2465" t="str">
            <v>du</v>
          </cell>
          <cell r="G2465" t="str">
            <v>gestionnaire</v>
          </cell>
          <cell r="H2465" t="str">
            <v>du</v>
          </cell>
          <cell r="I2465" t="str">
            <v>Décompte santé</v>
          </cell>
        </row>
        <row r="2466">
          <cell r="D2466" t="str">
            <v>de</v>
          </cell>
          <cell r="E2466" t="str">
            <v>rédacteur de la saisie</v>
          </cell>
          <cell r="F2466" t="str">
            <v>du</v>
          </cell>
          <cell r="G2466" t="str">
            <v>décompte santé</v>
          </cell>
        </row>
        <row r="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row>
        <row r="2469">
          <cell r="C2469" t="str">
            <v>dernier</v>
          </cell>
          <cell r="D2469" t="str">
            <v xml:space="preserve"> </v>
          </cell>
          <cell r="E2469" t="str">
            <v>modification intrajournalière</v>
          </cell>
          <cell r="F2469" t="str">
            <v>du</v>
          </cell>
          <cell r="G2469" t="str">
            <v>décompte au contrôle</v>
          </cell>
        </row>
        <row r="2470">
          <cell r="C2470" t="str">
            <v>naissance</v>
          </cell>
          <cell r="D2470" t="str">
            <v>du</v>
          </cell>
          <cell r="E2470" t="str">
            <v>bénéficiaire du décompte</v>
          </cell>
        </row>
        <row r="2471">
          <cell r="C2471" t="str">
            <v>occurrence</v>
          </cell>
          <cell r="D2471" t="str">
            <v>de</v>
          </cell>
          <cell r="E2471" t="str">
            <v>message de contrôle</v>
          </cell>
          <cell r="F2471" t="str">
            <v>de la</v>
          </cell>
          <cell r="G2471" t="str">
            <v>ligne de soins</v>
          </cell>
        </row>
        <row r="2472">
          <cell r="C2472" t="str">
            <v>occurrence</v>
          </cell>
          <cell r="D2472" t="str">
            <v>de</v>
          </cell>
          <cell r="E2472" t="str">
            <v>message de contrôle</v>
          </cell>
          <cell r="F2472" t="str">
            <v>du</v>
          </cell>
          <cell r="G2472" t="str">
            <v>décompte santé</v>
          </cell>
        </row>
        <row r="2473">
          <cell r="D2473" t="str">
            <v>de</v>
          </cell>
          <cell r="E2473" t="str">
            <v>décompte au contrôle</v>
          </cell>
        </row>
        <row r="2474">
          <cell r="C2474" t="str">
            <v>jour</v>
          </cell>
          <cell r="D2474" t="str">
            <v>depuis</v>
          </cell>
          <cell r="E2474" t="str">
            <v>première entrée</v>
          </cell>
          <cell r="F2474" t="str">
            <v>du</v>
          </cell>
          <cell r="G2474" t="str">
            <v>décompte au contrôle</v>
          </cell>
        </row>
        <row r="2475">
          <cell r="C2475" t="str">
            <v>actif</v>
          </cell>
          <cell r="D2475" t="str">
            <v>du</v>
          </cell>
          <cell r="E2475" t="str">
            <v>décompte au contrôle</v>
          </cell>
        </row>
        <row r="2476">
          <cell r="D2476" t="str">
            <v xml:space="preserve"> </v>
          </cell>
          <cell r="E2476" t="str">
            <v>entrée</v>
          </cell>
          <cell r="F2476" t="str">
            <v>du</v>
          </cell>
          <cell r="G2476" t="str">
            <v>décompte au contrôle</v>
          </cell>
        </row>
        <row r="2477">
          <cell r="D2477" t="str">
            <v xml:space="preserve"> </v>
          </cell>
          <cell r="E2477" t="str">
            <v>sortie</v>
          </cell>
          <cell r="F2477" t="str">
            <v>du</v>
          </cell>
          <cell r="G2477" t="str">
            <v>décompte au contrôle</v>
          </cell>
        </row>
        <row r="2478">
          <cell r="D2478" t="str">
            <v xml:space="preserve"> </v>
          </cell>
          <cell r="E2478" t="str">
            <v>vérification saisie</v>
          </cell>
          <cell r="F2478" t="str">
            <v>du</v>
          </cell>
          <cell r="G2478" t="str">
            <v>décompte au contrôle</v>
          </cell>
        </row>
        <row r="2479">
          <cell r="D2479" t="str">
            <v>de la</v>
          </cell>
          <cell r="E2479" t="str">
            <v>modification intrajournalière</v>
          </cell>
          <cell r="F2479" t="str">
            <v>du</v>
          </cell>
          <cell r="G2479" t="str">
            <v>décompte au contrôle</v>
          </cell>
        </row>
        <row r="2480">
          <cell r="D2480" t="str">
            <v>de l'</v>
          </cell>
          <cell r="E2480" t="str">
            <v>action</v>
          </cell>
          <cell r="F2480" t="str">
            <v>sur le</v>
          </cell>
          <cell r="G2480" t="str">
            <v>décompte au contrôle</v>
          </cell>
        </row>
        <row r="2481">
          <cell r="D2481" t="str">
            <v>du</v>
          </cell>
          <cell r="E2481" t="str">
            <v>panier</v>
          </cell>
          <cell r="F2481" t="str">
            <v>de</v>
          </cell>
          <cell r="G2481" t="str">
            <v>décompte au contrôle</v>
          </cell>
        </row>
        <row r="2482">
          <cell r="D2482" t="str">
            <v>de la</v>
          </cell>
          <cell r="E2482" t="str">
            <v>CMU</v>
          </cell>
          <cell r="F2482" t="str">
            <v>du</v>
          </cell>
          <cell r="G2482" t="str">
            <v>décompte au contrôle</v>
          </cell>
        </row>
        <row r="2483">
          <cell r="D2483" t="str">
            <v>du</v>
          </cell>
          <cell r="E2483" t="str">
            <v>suivi journalier</v>
          </cell>
          <cell r="F2483" t="str">
            <v>du</v>
          </cell>
          <cell r="G2483" t="str">
            <v>décompte au contrôle</v>
          </cell>
        </row>
        <row r="2484">
          <cell r="D2484" t="str">
            <v>du</v>
          </cell>
          <cell r="E2484" t="str">
            <v>pays des soins</v>
          </cell>
          <cell r="F2484" t="str">
            <v>du</v>
          </cell>
          <cell r="G2484" t="str">
            <v>décompte au contrôle</v>
          </cell>
        </row>
        <row r="2485">
          <cell r="D2485" t="str">
            <v>du</v>
          </cell>
          <cell r="E2485" t="str">
            <v>suivi intrajournalier</v>
          </cell>
          <cell r="F2485" t="str">
            <v>du</v>
          </cell>
          <cell r="G2485" t="str">
            <v>décompte au contrôle</v>
          </cell>
        </row>
        <row r="2486">
          <cell r="D2486" t="str">
            <v>du</v>
          </cell>
          <cell r="E2486" t="str">
            <v>mouvement</v>
          </cell>
          <cell r="F2486" t="str">
            <v>du</v>
          </cell>
          <cell r="G2486" t="str">
            <v>décompte au contrôle</v>
          </cell>
        </row>
        <row r="2487">
          <cell r="D2487" t="str">
            <v>du</v>
          </cell>
          <cell r="E2487" t="str">
            <v>format d'origine</v>
          </cell>
          <cell r="F2487" t="str">
            <v>du</v>
          </cell>
          <cell r="G2487" t="str">
            <v>décompte au contrôle</v>
          </cell>
        </row>
        <row r="2488">
          <cell r="D2488" t="str">
            <v>de l'</v>
          </cell>
          <cell r="E2488" t="str">
            <v>émetteur d'origine</v>
          </cell>
          <cell r="F2488" t="str">
            <v>du</v>
          </cell>
          <cell r="G2488" t="str">
            <v>décompte au contrôle</v>
          </cell>
        </row>
        <row r="2489">
          <cell r="D2489" t="str">
            <v>de l'</v>
          </cell>
          <cell r="E2489" t="str">
            <v>état SID</v>
          </cell>
          <cell r="F2489" t="str">
            <v>du</v>
          </cell>
          <cell r="G2489" t="str">
            <v>décompte au contrôle</v>
          </cell>
        </row>
        <row r="2490">
          <cell r="D2490" t="str">
            <v>de l'</v>
          </cell>
          <cell r="E2490" t="str">
            <v>état SIO</v>
          </cell>
          <cell r="F2490" t="str">
            <v>du</v>
          </cell>
          <cell r="G2490" t="str">
            <v>décompte au contrôle</v>
          </cell>
        </row>
        <row r="2491">
          <cell r="D2491" t="str">
            <v>du</v>
          </cell>
          <cell r="E2491" t="str">
            <v>type</v>
          </cell>
          <cell r="F2491" t="str">
            <v>de</v>
          </cell>
          <cell r="G2491" t="str">
            <v>décompte au contrôle</v>
          </cell>
        </row>
        <row r="2492">
          <cell r="D2492" t="str">
            <v>dans le</v>
          </cell>
          <cell r="E2492" t="str">
            <v>panier</v>
          </cell>
          <cell r="F2492" t="str">
            <v>du</v>
          </cell>
          <cell r="G2492" t="str">
            <v>décompte au contrôle</v>
          </cell>
        </row>
        <row r="2493">
          <cell r="D2493" t="str">
            <v>de l'</v>
          </cell>
          <cell r="E2493" t="str">
            <v>action</v>
          </cell>
          <cell r="F2493" t="str">
            <v>sur le</v>
          </cell>
          <cell r="G2493" t="str">
            <v>décompte au contrôle</v>
          </cell>
        </row>
        <row r="2494">
          <cell r="D2494" t="str">
            <v>de l'</v>
          </cell>
          <cell r="E2494" t="str">
            <v>action</v>
          </cell>
          <cell r="F2494" t="str">
            <v>sur le</v>
          </cell>
          <cell r="G2494" t="str">
            <v>décompte au contrôle</v>
          </cell>
        </row>
        <row r="2495">
          <cell r="D2495" t="str">
            <v>du</v>
          </cell>
          <cell r="E2495" t="str">
            <v>panier</v>
          </cell>
          <cell r="F2495" t="str">
            <v>de</v>
          </cell>
          <cell r="G2495" t="str">
            <v>décompte au contrôle</v>
          </cell>
        </row>
        <row r="2496">
          <cell r="D2496" t="str">
            <v>du</v>
          </cell>
          <cell r="E2496" t="str">
            <v>panier</v>
          </cell>
          <cell r="F2496" t="str">
            <v>de</v>
          </cell>
          <cell r="G2496" t="str">
            <v>décompte au contrôle</v>
          </cell>
        </row>
        <row r="2497">
          <cell r="D2497" t="str">
            <v>de la</v>
          </cell>
          <cell r="E2497" t="str">
            <v>CMU</v>
          </cell>
          <cell r="F2497" t="str">
            <v>du</v>
          </cell>
          <cell r="G2497" t="str">
            <v>décompte au contrôle</v>
          </cell>
        </row>
        <row r="2498">
          <cell r="D2498" t="str">
            <v>de la</v>
          </cell>
          <cell r="E2498" t="str">
            <v>CMU</v>
          </cell>
          <cell r="F2498" t="str">
            <v>du</v>
          </cell>
          <cell r="G2498" t="str">
            <v>décompte au contrôle</v>
          </cell>
        </row>
        <row r="2499">
          <cell r="D2499" t="str">
            <v>du</v>
          </cell>
          <cell r="E2499" t="str">
            <v>pays des soins</v>
          </cell>
          <cell r="F2499" t="str">
            <v>du</v>
          </cell>
          <cell r="G2499" t="str">
            <v>décompte au contrôle</v>
          </cell>
        </row>
        <row r="2500">
          <cell r="D2500" t="str">
            <v>du</v>
          </cell>
          <cell r="E2500" t="str">
            <v>pays des soins</v>
          </cell>
          <cell r="F2500" t="str">
            <v>du</v>
          </cell>
          <cell r="G2500" t="str">
            <v>décompte au contrôle</v>
          </cell>
        </row>
        <row r="2501">
          <cell r="D2501" t="str">
            <v>du</v>
          </cell>
          <cell r="E2501" t="str">
            <v>mouvement</v>
          </cell>
          <cell r="F2501" t="str">
            <v>du</v>
          </cell>
          <cell r="G2501" t="str">
            <v>décompte au contrôle</v>
          </cell>
        </row>
        <row r="2502">
          <cell r="D2502" t="str">
            <v>du</v>
          </cell>
          <cell r="E2502" t="str">
            <v>mouvement</v>
          </cell>
          <cell r="F2502" t="str">
            <v>du</v>
          </cell>
          <cell r="G2502" t="str">
            <v>décompte au contrôle</v>
          </cell>
        </row>
        <row r="2503">
          <cell r="D2503" t="str">
            <v>du</v>
          </cell>
          <cell r="E2503" t="str">
            <v>format d'origine</v>
          </cell>
          <cell r="F2503" t="str">
            <v>du</v>
          </cell>
          <cell r="G2503" t="str">
            <v>décompte au contrôle</v>
          </cell>
        </row>
        <row r="2504">
          <cell r="D2504" t="str">
            <v>du</v>
          </cell>
          <cell r="E2504" t="str">
            <v>format d'origine</v>
          </cell>
          <cell r="F2504" t="str">
            <v>du</v>
          </cell>
          <cell r="G2504" t="str">
            <v>décompte au contrôle</v>
          </cell>
        </row>
        <row r="2505">
          <cell r="D2505" t="str">
            <v>de l'</v>
          </cell>
          <cell r="E2505" t="str">
            <v>émetteur d'origine</v>
          </cell>
          <cell r="F2505" t="str">
            <v>du</v>
          </cell>
          <cell r="G2505" t="str">
            <v>décompte au contrôle</v>
          </cell>
        </row>
        <row r="2506">
          <cell r="D2506" t="str">
            <v>de l'</v>
          </cell>
          <cell r="E2506" t="str">
            <v>émetteur d'origine</v>
          </cell>
          <cell r="F2506" t="str">
            <v>du</v>
          </cell>
          <cell r="G2506" t="str">
            <v>décompte au contrôle</v>
          </cell>
        </row>
        <row r="2507">
          <cell r="D2507" t="str">
            <v>de l'</v>
          </cell>
          <cell r="E2507" t="str">
            <v>état SID</v>
          </cell>
          <cell r="F2507" t="str">
            <v>du</v>
          </cell>
          <cell r="G2507" t="str">
            <v>décompte au contrôle</v>
          </cell>
        </row>
        <row r="2508">
          <cell r="D2508" t="str">
            <v>de l'</v>
          </cell>
          <cell r="E2508" t="str">
            <v>état SID</v>
          </cell>
          <cell r="F2508" t="str">
            <v>du</v>
          </cell>
          <cell r="G2508" t="str">
            <v>décompte au contrôle</v>
          </cell>
        </row>
        <row r="2509">
          <cell r="D2509" t="str">
            <v>de l'</v>
          </cell>
          <cell r="E2509" t="str">
            <v>état SIO</v>
          </cell>
          <cell r="F2509" t="str">
            <v>du</v>
          </cell>
          <cell r="G2509" t="str">
            <v>décompte au contrôle</v>
          </cell>
        </row>
        <row r="2510">
          <cell r="D2510" t="str">
            <v>de l'</v>
          </cell>
          <cell r="E2510" t="str">
            <v>état SIO</v>
          </cell>
          <cell r="F2510" t="str">
            <v>du</v>
          </cell>
          <cell r="G2510" t="str">
            <v>décompte au contrôle</v>
          </cell>
        </row>
        <row r="2511">
          <cell r="D2511" t="str">
            <v>du</v>
          </cell>
          <cell r="E2511" t="str">
            <v>type</v>
          </cell>
          <cell r="F2511" t="str">
            <v>de</v>
          </cell>
          <cell r="G2511" t="str">
            <v>décompte au contrôle</v>
          </cell>
        </row>
        <row r="2512">
          <cell r="D2512" t="str">
            <v>du</v>
          </cell>
          <cell r="E2512" t="str">
            <v>type</v>
          </cell>
          <cell r="F2512" t="str">
            <v>de</v>
          </cell>
          <cell r="G2512" t="str">
            <v>décompte au contrôle</v>
          </cell>
        </row>
        <row r="2513">
          <cell r="D2513" t="str">
            <v>de l'</v>
          </cell>
          <cell r="E2513" t="str">
            <v>action</v>
          </cell>
          <cell r="F2513" t="str">
            <v>du</v>
          </cell>
          <cell r="G2513" t="str">
            <v>rédacteur</v>
          </cell>
        </row>
        <row r="2514">
          <cell r="D2514" t="str">
            <v>du</v>
          </cell>
          <cell r="E2514" t="str">
            <v>rédacteur</v>
          </cell>
          <cell r="F2514" t="str">
            <v>de l'</v>
          </cell>
          <cell r="G2514" t="str">
            <v>action</v>
          </cell>
        </row>
        <row r="2515">
          <cell r="D2515" t="str">
            <v>de l'</v>
          </cell>
          <cell r="E2515" t="str">
            <v>équipe</v>
          </cell>
          <cell r="F2515" t="str">
            <v>du</v>
          </cell>
          <cell r="G2515" t="str">
            <v>rédacteur</v>
          </cell>
        </row>
        <row r="2516">
          <cell r="D2516" t="str">
            <v>de l'</v>
          </cell>
          <cell r="E2516" t="str">
            <v>action</v>
          </cell>
        </row>
        <row r="2517">
          <cell r="D2517" t="str">
            <v>de l'</v>
          </cell>
          <cell r="E2517" t="str">
            <v>action</v>
          </cell>
        </row>
        <row r="2518">
          <cell r="D2518" t="str">
            <v xml:space="preserve"> </v>
          </cell>
          <cell r="E2518" t="str">
            <v>sortie</v>
          </cell>
          <cell r="F2518" t="str">
            <v>de l'</v>
          </cell>
          <cell r="G2518" t="str">
            <v>action</v>
          </cell>
        </row>
        <row r="2519">
          <cell r="D2519" t="str">
            <v xml:space="preserve"> </v>
          </cell>
          <cell r="E2519" t="str">
            <v>ré-instruction</v>
          </cell>
          <cell r="F2519" t="str">
            <v>de l'</v>
          </cell>
          <cell r="G2519" t="str">
            <v>action</v>
          </cell>
        </row>
        <row r="2520">
          <cell r="D2520" t="str">
            <v xml:space="preserve"> </v>
          </cell>
          <cell r="E2520" t="str">
            <v>mise en attente</v>
          </cell>
          <cell r="F2520" t="str">
            <v>de l'</v>
          </cell>
          <cell r="G2520" t="str">
            <v>action</v>
          </cell>
        </row>
        <row r="2521">
          <cell r="D2521" t="str">
            <v xml:space="preserve"> </v>
          </cell>
          <cell r="E2521" t="str">
            <v>classement sans suite</v>
          </cell>
          <cell r="F2521" t="str">
            <v>de l'</v>
          </cell>
          <cell r="G2521" t="str">
            <v>action</v>
          </cell>
        </row>
        <row r="2522">
          <cell r="D2522" t="str">
            <v xml:space="preserve"> </v>
          </cell>
          <cell r="E2522" t="str">
            <v>réglé</v>
          </cell>
          <cell r="F2522" t="str">
            <v>de l'</v>
          </cell>
          <cell r="G2522" t="str">
            <v>action</v>
          </cell>
        </row>
        <row r="2523">
          <cell r="D2523" t="str">
            <v>de la</v>
          </cell>
          <cell r="E2523" t="str">
            <v>vérification saisie</v>
          </cell>
          <cell r="F2523" t="str">
            <v>du</v>
          </cell>
          <cell r="G2523" t="str">
            <v>décompte au contrôle</v>
          </cell>
        </row>
        <row r="2524">
          <cell r="D2524" t="str">
            <v>de l'</v>
          </cell>
          <cell r="E2524" t="str">
            <v>instruction</v>
          </cell>
          <cell r="F2524" t="str">
            <v>du</v>
          </cell>
          <cell r="G2524" t="str">
            <v>contrôle</v>
          </cell>
        </row>
        <row r="2525">
          <cell r="D2525" t="str">
            <v>de l'</v>
          </cell>
          <cell r="E2525" t="str">
            <v>imputation</v>
          </cell>
          <cell r="F2525" t="str">
            <v>du</v>
          </cell>
          <cell r="G2525" t="str">
            <v>contrôle</v>
          </cell>
        </row>
        <row r="2526">
          <cell r="C2526" t="str">
            <v>lot</v>
          </cell>
          <cell r="D2526" t="str">
            <v>des</v>
          </cell>
          <cell r="E2526" t="str">
            <v>décompte au contrôle</v>
          </cell>
        </row>
        <row r="2527">
          <cell r="C2527" t="str">
            <v>définitive</v>
          </cell>
          <cell r="D2527" t="str">
            <v>du</v>
          </cell>
          <cell r="E2527" t="str">
            <v>décompte au contrôle</v>
          </cell>
        </row>
        <row r="2528">
          <cell r="C2528" t="str">
            <v>jour</v>
          </cell>
          <cell r="D2528" t="str">
            <v>du</v>
          </cell>
          <cell r="E2528" t="str">
            <v>traitement</v>
          </cell>
          <cell r="F2528" t="str">
            <v>du</v>
          </cell>
          <cell r="G2528" t="str">
            <v>décompte au contrôle</v>
          </cell>
        </row>
        <row r="2529">
          <cell r="D2529" t="str">
            <v>des</v>
          </cell>
          <cell r="E2529" t="str">
            <v>frais réels</v>
          </cell>
          <cell r="F2529" t="str">
            <v>de la</v>
          </cell>
          <cell r="G2529" t="str">
            <v>ligne de soins</v>
          </cell>
        </row>
        <row r="2530">
          <cell r="D2530" t="str">
            <v>de</v>
          </cell>
          <cell r="E2530" t="str">
            <v>message de contrôle</v>
          </cell>
          <cell r="F2530" t="str">
            <v>de la</v>
          </cell>
          <cell r="G2530" t="str">
            <v>ligne de soins</v>
          </cell>
        </row>
        <row r="2531">
          <cell r="D2531" t="str">
            <v>de</v>
          </cell>
          <cell r="E2531" t="str">
            <v>message de contrôle</v>
          </cell>
          <cell r="F2531" t="str">
            <v>du</v>
          </cell>
          <cell r="G2531" t="str">
            <v>décompte santé</v>
          </cell>
        </row>
        <row r="2532">
          <cell r="D2532" t="str">
            <v>des</v>
          </cell>
          <cell r="E2532" t="str">
            <v>frais réels</v>
          </cell>
          <cell r="F2532" t="str">
            <v>de la</v>
          </cell>
          <cell r="G2532" t="str">
            <v>ligne de soins</v>
          </cell>
        </row>
        <row r="2533">
          <cell r="D2533" t="str">
            <v>de</v>
          </cell>
          <cell r="E2533" t="str">
            <v>situation de stock</v>
          </cell>
          <cell r="F2533" t="str">
            <v>de la</v>
          </cell>
          <cell r="G2533" t="str">
            <v>ligne de soins</v>
          </cell>
        </row>
        <row r="2534">
          <cell r="D2534" t="str">
            <v>du</v>
          </cell>
          <cell r="E2534" t="str">
            <v>type</v>
          </cell>
          <cell r="F2534" t="str">
            <v>du</v>
          </cell>
          <cell r="G2534" t="str">
            <v>message de contrôle</v>
          </cell>
        </row>
        <row r="2535">
          <cell r="D2535" t="str">
            <v>du</v>
          </cell>
          <cell r="E2535" t="str">
            <v>type</v>
          </cell>
          <cell r="F2535" t="str">
            <v>de</v>
          </cell>
          <cell r="G2535" t="str">
            <v>message de contrôle</v>
          </cell>
        </row>
        <row r="2536">
          <cell r="D2536" t="str">
            <v>du</v>
          </cell>
          <cell r="E2536" t="str">
            <v>type</v>
          </cell>
          <cell r="F2536" t="str">
            <v>de</v>
          </cell>
          <cell r="G2536" t="str">
            <v>message de contrôle</v>
          </cell>
        </row>
        <row r="2537">
          <cell r="D2537" t="str">
            <v>du</v>
          </cell>
          <cell r="E2537" t="str">
            <v>type</v>
          </cell>
          <cell r="F2537" t="str">
            <v>de</v>
          </cell>
          <cell r="G2537" t="str">
            <v>message de contrôle</v>
          </cell>
        </row>
        <row r="2538">
          <cell r="D2538" t="str">
            <v>du</v>
          </cell>
          <cell r="E2538" t="str">
            <v>remboursement forcé</v>
          </cell>
          <cell r="F2538" t="str">
            <v>de la</v>
          </cell>
          <cell r="G2538" t="str">
            <v>ligne de soins</v>
          </cell>
        </row>
        <row r="2539">
          <cell r="D2539" t="str">
            <v>du</v>
          </cell>
          <cell r="E2539" t="str">
            <v>dépassement de messages</v>
          </cell>
          <cell r="F2539" t="str">
            <v>de la</v>
          </cell>
          <cell r="G2539" t="str">
            <v>ligne de soins</v>
          </cell>
        </row>
        <row r="2540">
          <cell r="D2540" t="str">
            <v>du</v>
          </cell>
          <cell r="E2540" t="str">
            <v>dépassement de messages</v>
          </cell>
          <cell r="F2540" t="str">
            <v>du</v>
          </cell>
          <cell r="G2540" t="str">
            <v>décompte santé</v>
          </cell>
        </row>
        <row r="2541">
          <cell r="C2541" t="str">
            <v>forcé</v>
          </cell>
          <cell r="D2541" t="str">
            <v>du</v>
          </cell>
          <cell r="E2541" t="str">
            <v>taux de remboursement</v>
          </cell>
          <cell r="F2541" t="str">
            <v>de la</v>
          </cell>
          <cell r="G2541" t="str">
            <v>ligne de soins</v>
          </cell>
        </row>
        <row r="2542">
          <cell r="C2542" t="str">
            <v>forcé</v>
          </cell>
          <cell r="D2542" t="str">
            <v>du</v>
          </cell>
          <cell r="E2542" t="str">
            <v>taux de remboursement</v>
          </cell>
          <cell r="F2542" t="str">
            <v>du</v>
          </cell>
          <cell r="G2542" t="str">
            <v>décompte santé</v>
          </cell>
        </row>
        <row r="2543">
          <cell r="D2543" t="str">
            <v>du</v>
          </cell>
          <cell r="E2543" t="str">
            <v>remboursement forcé</v>
          </cell>
          <cell r="F2543" t="str">
            <v>de la</v>
          </cell>
          <cell r="G2543" t="str">
            <v>ligne de soins</v>
          </cell>
        </row>
        <row r="2544">
          <cell r="D2544" t="str">
            <v>du</v>
          </cell>
          <cell r="E2544" t="str">
            <v>remboursement forcé</v>
          </cell>
          <cell r="F2544" t="str">
            <v>du</v>
          </cell>
          <cell r="G2544" t="str">
            <v>décompte santé</v>
          </cell>
        </row>
        <row r="2545">
          <cell r="D2545" t="str">
            <v>de la</v>
          </cell>
          <cell r="E2545" t="str">
            <v>concaténation des identifiants des messages</v>
          </cell>
        </row>
        <row r="2546">
          <cell r="C2546" t="str">
            <v>SIO</v>
          </cell>
          <cell r="D2546" t="str">
            <v>du</v>
          </cell>
          <cell r="E2546" t="str">
            <v>contrat</v>
          </cell>
          <cell r="F2546" t="str">
            <v>du</v>
          </cell>
          <cell r="G2546" t="str">
            <v>décompte au contrôle</v>
          </cell>
        </row>
        <row r="2547">
          <cell r="D2547" t="str">
            <v>du</v>
          </cell>
          <cell r="E2547" t="str">
            <v>décompte au contrôle</v>
          </cell>
        </row>
        <row r="2548">
          <cell r="C2548" t="str">
            <v>lot</v>
          </cell>
          <cell r="D2548" t="str">
            <v>du</v>
          </cell>
          <cell r="E2548" t="str">
            <v>décompte au contrôle</v>
          </cell>
        </row>
        <row r="2549">
          <cell r="D2549" t="str">
            <v>du</v>
          </cell>
          <cell r="E2549" t="str">
            <v>rédacteur</v>
          </cell>
          <cell r="F2549" t="str">
            <v>pour</v>
          </cell>
          <cell r="G2549" t="str">
            <v>vérification saisie</v>
          </cell>
        </row>
        <row r="2550">
          <cell r="D2550" t="str">
            <v>de la</v>
          </cell>
          <cell r="E2550" t="str">
            <v>sélection audit</v>
          </cell>
          <cell r="F2550" t="str">
            <v>du</v>
          </cell>
          <cell r="G2550" t="str">
            <v>décompte au contrôle</v>
          </cell>
        </row>
        <row r="2551">
          <cell r="C2551" t="str">
            <v>sévérité</v>
          </cell>
          <cell r="D2551" t="str">
            <v>du</v>
          </cell>
          <cell r="E2551" t="str">
            <v>décompte au contrôle</v>
          </cell>
        </row>
        <row r="2552">
          <cell r="D2552" t="str">
            <v>de la</v>
          </cell>
          <cell r="E2552" t="str">
            <v>facture</v>
          </cell>
          <cell r="F2552" t="str">
            <v>du</v>
          </cell>
          <cell r="G2552" t="str">
            <v>décompte santé</v>
          </cell>
        </row>
        <row r="2553">
          <cell r="C2553" t="str">
            <v>alphanumérique</v>
          </cell>
          <cell r="D2553" t="str">
            <v>de la</v>
          </cell>
          <cell r="E2553" t="str">
            <v>facture</v>
          </cell>
          <cell r="F2553" t="str">
            <v>du</v>
          </cell>
          <cell r="G2553" t="str">
            <v>décompte santé</v>
          </cell>
        </row>
        <row r="2554">
          <cell r="C2554" t="str">
            <v>modifié</v>
          </cell>
          <cell r="D2554" t="str">
            <v>du</v>
          </cell>
          <cell r="E2554" t="str">
            <v>décompte au contrôle</v>
          </cell>
        </row>
        <row r="2555">
          <cell r="D2555" t="str">
            <v xml:space="preserve"> </v>
          </cell>
          <cell r="E2555" t="str">
            <v>médecin référent</v>
          </cell>
          <cell r="F2555" t="str">
            <v>du</v>
          </cell>
          <cell r="G2555" t="str">
            <v>décompte au contrôle</v>
          </cell>
        </row>
        <row r="2556">
          <cell r="D2556" t="str">
            <v>d'</v>
          </cell>
          <cell r="E2556" t="str">
            <v>adhésion</v>
          </cell>
        </row>
        <row r="2557">
          <cell r="D2557" t="str">
            <v xml:space="preserve"> </v>
          </cell>
          <cell r="E2557" t="str">
            <v>renouvellement anticipé</v>
          </cell>
        </row>
        <row r="2558">
          <cell r="C2558" t="str">
            <v>présence</v>
          </cell>
          <cell r="D2558" t="str">
            <v>d'</v>
          </cell>
          <cell r="E2558" t="str">
            <v>action</v>
          </cell>
          <cell r="F2558" t="str">
            <v>du</v>
          </cell>
          <cell r="G2558" t="str">
            <v>rédacteur</v>
          </cell>
        </row>
        <row r="2559">
          <cell r="C2559" t="str">
            <v>INSEE</v>
          </cell>
          <cell r="D2559" t="str">
            <v>du</v>
          </cell>
          <cell r="E2559" t="str">
            <v>bénéficiaire du décompte</v>
          </cell>
        </row>
        <row r="2560">
          <cell r="D2560" t="str">
            <v>du</v>
          </cell>
          <cell r="E2560" t="str">
            <v>messages génériques</v>
          </cell>
        </row>
        <row r="2561">
          <cell r="D2561" t="str">
            <v>du</v>
          </cell>
          <cell r="E2561" t="str">
            <v>messages génériques</v>
          </cell>
        </row>
        <row r="2562">
          <cell r="D2562" t="str">
            <v>du</v>
          </cell>
          <cell r="E2562" t="str">
            <v>messages génériques</v>
          </cell>
        </row>
        <row r="2563">
          <cell r="D2563" t="str">
            <v>de l'</v>
          </cell>
          <cell r="E2563" t="str">
            <v>identifiant du message</v>
          </cell>
        </row>
        <row r="2564">
          <cell r="D2564" t="str">
            <v>de l'</v>
          </cell>
          <cell r="E2564" t="str">
            <v>identifiant du message</v>
          </cell>
        </row>
        <row r="2565">
          <cell r="C2565" t="str">
            <v>actif</v>
          </cell>
          <cell r="D2565" t="str">
            <v>du</v>
          </cell>
          <cell r="E2565" t="str">
            <v>messages génériques</v>
          </cell>
        </row>
        <row r="2566">
          <cell r="C2566" t="str">
            <v>sévérité</v>
          </cell>
          <cell r="D2566" t="str">
            <v>du</v>
          </cell>
          <cell r="E2566" t="str">
            <v>message de contrôle</v>
          </cell>
        </row>
        <row r="2567">
          <cell r="D2567" t="str">
            <v>du</v>
          </cell>
          <cell r="E2567" t="str">
            <v>bénéficiaire du décompte</v>
          </cell>
        </row>
        <row r="2568">
          <cell r="D2568" t="str">
            <v>de la</v>
          </cell>
          <cell r="E2568" t="str">
            <v>ligne de soins</v>
          </cell>
          <cell r="F2568" t="str">
            <v>du</v>
          </cell>
          <cell r="G2568" t="str">
            <v>décompte au contrôle</v>
          </cell>
        </row>
        <row r="2569">
          <cell r="D2569" t="str">
            <v>du</v>
          </cell>
          <cell r="E2569" t="str">
            <v>bénéficiaire du décompte</v>
          </cell>
        </row>
        <row r="2570">
          <cell r="D2570" t="str">
            <v>du</v>
          </cell>
          <cell r="E2570" t="str">
            <v>décompte au contrôle</v>
          </cell>
        </row>
        <row r="2571">
          <cell r="C2571" t="str">
            <v>relation</v>
          </cell>
          <cell r="D2571" t="str">
            <v>du</v>
          </cell>
          <cell r="E2571" t="str">
            <v>bénéficiaire du décompte</v>
          </cell>
        </row>
        <row r="2572">
          <cell r="D2572" t="str">
            <v>du</v>
          </cell>
          <cell r="E2572" t="str">
            <v>message de contrôle</v>
          </cell>
        </row>
        <row r="2573">
          <cell r="D2573" t="str">
            <v>du</v>
          </cell>
          <cell r="E2573" t="str">
            <v>message de contrôle</v>
          </cell>
        </row>
        <row r="2574">
          <cell r="D2574" t="str">
            <v>du</v>
          </cell>
          <cell r="E2574" t="str">
            <v>décompte santé</v>
          </cell>
        </row>
        <row r="2575">
          <cell r="D2575" t="str">
            <v>du</v>
          </cell>
          <cell r="E2575" t="str">
            <v>décompte santé</v>
          </cell>
        </row>
        <row r="2576">
          <cell r="D2576" t="str">
            <v>du</v>
          </cell>
          <cell r="E2576" t="str">
            <v>bénéficiaire du décompte</v>
          </cell>
        </row>
        <row r="2577">
          <cell r="D2577" t="str">
            <v>du</v>
          </cell>
          <cell r="E2577" t="str">
            <v>bénéficiaire du décompte</v>
          </cell>
        </row>
        <row r="2578">
          <cell r="D2578" t="str">
            <v>de l'</v>
          </cell>
          <cell r="E2578" t="str">
            <v>acte de soins santé des ACM</v>
          </cell>
        </row>
        <row r="2579">
          <cell r="D2579" t="str">
            <v>du</v>
          </cell>
          <cell r="E2579" t="str">
            <v>décompte au contrôle</v>
          </cell>
        </row>
        <row r="2580">
          <cell r="D2580" t="str">
            <v>de la</v>
          </cell>
          <cell r="E2580" t="str">
            <v>ligne de soins</v>
          </cell>
          <cell r="F2580" t="str">
            <v>du</v>
          </cell>
          <cell r="G2580" t="str">
            <v>décompte au contrôle</v>
          </cell>
        </row>
        <row r="2581">
          <cell r="D2581" t="str">
            <v>du</v>
          </cell>
          <cell r="E2581" t="str">
            <v>rédacteur de la saisie</v>
          </cell>
          <cell r="F2581" t="str">
            <v>du</v>
          </cell>
          <cell r="G2581" t="str">
            <v>décompte santé</v>
          </cell>
        </row>
        <row r="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row>
        <row r="2584">
          <cell r="C2584" t="str">
            <v>gratuité</v>
          </cell>
          <cell r="D2584" t="str">
            <v>de la</v>
          </cell>
          <cell r="E2584" t="str">
            <v>prime émise</v>
          </cell>
        </row>
        <row r="2585">
          <cell r="C2585" t="str">
            <v>jour de couverture</v>
          </cell>
          <cell r="D2585" t="str">
            <v>de la</v>
          </cell>
          <cell r="E2585" t="str">
            <v>prime acquise</v>
          </cell>
        </row>
        <row r="2586">
          <cell r="C2586" t="str">
            <v>jour de couverture</v>
          </cell>
          <cell r="D2586" t="str">
            <v>de la</v>
          </cell>
          <cell r="E2586" t="str">
            <v>prime émise</v>
          </cell>
        </row>
        <row r="2587">
          <cell r="C2587" t="str">
            <v>jour de couverture</v>
          </cell>
          <cell r="D2587" t="str">
            <v>de la</v>
          </cell>
          <cell r="E2587" t="str">
            <v>prime émise non acquise</v>
          </cell>
          <cell r="G2587" t="str">
            <v>S1</v>
          </cell>
        </row>
        <row r="2588">
          <cell r="C2588" t="str">
            <v>comptable</v>
          </cell>
          <cell r="D2588" t="str">
            <v>de la</v>
          </cell>
          <cell r="E2588" t="str">
            <v>prime</v>
          </cell>
        </row>
        <row r="2589">
          <cell r="D2589" t="str">
            <v>de l'</v>
          </cell>
          <cell r="E2589" t="str">
            <v>opération</v>
          </cell>
          <cell r="F2589" t="str">
            <v>sur le</v>
          </cell>
          <cell r="G2589" t="str">
            <v>contrat</v>
          </cell>
        </row>
        <row r="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row>
        <row r="2592">
          <cell r="D2592" t="str">
            <v>de la</v>
          </cell>
          <cell r="E2592" t="str">
            <v>devise</v>
          </cell>
          <cell r="F2592" t="str">
            <v>de la</v>
          </cell>
          <cell r="G2592" t="str">
            <v>prime</v>
          </cell>
        </row>
        <row r="2593">
          <cell r="D2593" t="str">
            <v>de</v>
          </cell>
          <cell r="E2593" t="str">
            <v>période de couverture</v>
          </cell>
          <cell r="F2593" t="str">
            <v>de la</v>
          </cell>
          <cell r="G2593" t="str">
            <v>prime émise</v>
          </cell>
        </row>
        <row r="2594">
          <cell r="D2594" t="str">
            <v>de</v>
          </cell>
          <cell r="E2594" t="str">
            <v>période de couverture</v>
          </cell>
          <cell r="F2594" t="str">
            <v>de la</v>
          </cell>
          <cell r="G2594" t="str">
            <v>prime émise</v>
          </cell>
        </row>
        <row r="2595">
          <cell r="D2595" t="str">
            <v>du</v>
          </cell>
          <cell r="E2595" t="str">
            <v>contexte comptable</v>
          </cell>
          <cell r="F2595" t="str">
            <v>de la</v>
          </cell>
          <cell r="G2595" t="str">
            <v>prime émise</v>
          </cell>
        </row>
        <row r="2596">
          <cell r="D2596" t="str">
            <v>de</v>
          </cell>
          <cell r="E2596" t="str">
            <v>contexte comptable</v>
          </cell>
          <cell r="F2596" t="str">
            <v>de la</v>
          </cell>
          <cell r="G2596" t="str">
            <v>prime émise</v>
          </cell>
        </row>
        <row r="2597">
          <cell r="D2597" t="str">
            <v>de la</v>
          </cell>
          <cell r="E2597" t="str">
            <v>destination analytique</v>
          </cell>
          <cell r="F2597" t="str">
            <v>de la</v>
          </cell>
          <cell r="G2597" t="str">
            <v>prime émise</v>
          </cell>
        </row>
        <row r="2598">
          <cell r="D2598" t="str">
            <v>de la</v>
          </cell>
          <cell r="E2598" t="str">
            <v>famille identifiant</v>
          </cell>
          <cell r="F2598" t="str">
            <v>de la</v>
          </cell>
          <cell r="G2598" t="str">
            <v>prime émise</v>
          </cell>
        </row>
        <row r="2599">
          <cell r="D2599" t="str">
            <v>du</v>
          </cell>
          <cell r="E2599" t="str">
            <v>produit d'assurance</v>
          </cell>
          <cell r="F2599" t="str">
            <v>de la</v>
          </cell>
          <cell r="G2599" t="str">
            <v>prime émise</v>
          </cell>
        </row>
        <row r="2600">
          <cell r="D2600" t="str">
            <v>de la</v>
          </cell>
          <cell r="E2600" t="str">
            <v>société apéritrice</v>
          </cell>
          <cell r="F2600" t="str">
            <v>de la</v>
          </cell>
          <cell r="G2600" t="str">
            <v>prime émise</v>
          </cell>
        </row>
        <row r="2601">
          <cell r="D2601" t="str">
            <v>d'</v>
          </cell>
          <cell r="E2601" t="str">
            <v>entité</v>
          </cell>
          <cell r="F2601" t="str">
            <v>de la</v>
          </cell>
          <cell r="G2601" t="str">
            <v>prime émise</v>
          </cell>
        </row>
        <row r="2602">
          <cell r="D2602" t="str">
            <v>de l'</v>
          </cell>
          <cell r="E2602" t="str">
            <v>Entité gestionnaire</v>
          </cell>
          <cell r="F2602" t="str">
            <v>de la</v>
          </cell>
          <cell r="G2602" t="str">
            <v>prime émise</v>
          </cell>
        </row>
        <row r="2603">
          <cell r="D2603" t="str">
            <v>de la</v>
          </cell>
          <cell r="E2603" t="str">
            <v>référence objet</v>
          </cell>
          <cell r="F2603" t="str">
            <v>de la</v>
          </cell>
          <cell r="G2603" t="str">
            <v>prime émise</v>
          </cell>
        </row>
        <row r="2604">
          <cell r="D2604" t="str">
            <v>de la</v>
          </cell>
          <cell r="E2604" t="str">
            <v>garantie ERMES</v>
          </cell>
          <cell r="F2604" t="str">
            <v>de la</v>
          </cell>
          <cell r="G2604" t="str">
            <v>prime émise</v>
          </cell>
        </row>
        <row r="2605">
          <cell r="D2605" t="str">
            <v>de l'</v>
          </cell>
          <cell r="E2605" t="str">
            <v>etat</v>
          </cell>
          <cell r="F2605" t="str">
            <v>de la</v>
          </cell>
          <cell r="G2605" t="str">
            <v>prime émise</v>
          </cell>
        </row>
        <row r="2606">
          <cell r="D2606" t="str">
            <v>de la</v>
          </cell>
          <cell r="E2606" t="str">
            <v>Société de Gestion de la Garantie</v>
          </cell>
          <cell r="F2606" t="str">
            <v>de la</v>
          </cell>
          <cell r="G2606" t="str">
            <v>prime émise</v>
          </cell>
        </row>
        <row r="2607">
          <cell r="D2607" t="str">
            <v>de la</v>
          </cell>
          <cell r="E2607" t="str">
            <v>version de garantie</v>
          </cell>
          <cell r="F2607" t="str">
            <v>de la</v>
          </cell>
          <cell r="G2607" t="str">
            <v>prime émise</v>
          </cell>
        </row>
        <row r="2608">
          <cell r="D2608" t="str">
            <v>de la</v>
          </cell>
          <cell r="E2608" t="str">
            <v>formule</v>
          </cell>
          <cell r="F2608" t="str">
            <v>de</v>
          </cell>
          <cell r="G2608" t="str">
            <v>REGASA</v>
          </cell>
          <cell r="H2608" t="str">
            <v>de la</v>
          </cell>
          <cell r="I2608" t="str">
            <v>prime émise</v>
          </cell>
        </row>
        <row r="2609">
          <cell r="D2609" t="str">
            <v>de la</v>
          </cell>
          <cell r="E2609" t="str">
            <v>prime émise non acquise</v>
          </cell>
          <cell r="G2609" t="str">
            <v>S1</v>
          </cell>
        </row>
        <row r="2610">
          <cell r="D2610" t="str">
            <v>de</v>
          </cell>
          <cell r="E2610" t="str">
            <v>prime acquise</v>
          </cell>
          <cell r="G2610" t="str">
            <v>S1</v>
          </cell>
        </row>
        <row r="2611">
          <cell r="D2611" t="str">
            <v>de la</v>
          </cell>
          <cell r="E2611" t="str">
            <v>prime émise non acquise</v>
          </cell>
          <cell r="G2611" t="str">
            <v>S1</v>
          </cell>
        </row>
        <row r="2612">
          <cell r="D2612" t="str">
            <v>de la</v>
          </cell>
          <cell r="E2612" t="str">
            <v>prime</v>
          </cell>
        </row>
        <row r="2613">
          <cell r="D2613" t="str">
            <v>de la</v>
          </cell>
          <cell r="E2613" t="str">
            <v>prime émise</v>
          </cell>
        </row>
        <row r="2614">
          <cell r="D2614" t="str">
            <v>de</v>
          </cell>
          <cell r="E2614" t="str">
            <v>FAR</v>
          </cell>
        </row>
        <row r="2615">
          <cell r="D2615" t="str">
            <v>de la</v>
          </cell>
          <cell r="E2615" t="str">
            <v>prime émise</v>
          </cell>
        </row>
        <row r="2616">
          <cell r="D2616" t="str">
            <v>du</v>
          </cell>
          <cell r="E2616" t="str">
            <v>calcul des provisions</v>
          </cell>
        </row>
        <row r="2617">
          <cell r="C2617" t="str">
            <v>interne</v>
          </cell>
          <cell r="D2617" t="str">
            <v>du</v>
          </cell>
          <cell r="E2617" t="str">
            <v>contrat</v>
          </cell>
          <cell r="F2617" t="str">
            <v>de la</v>
          </cell>
          <cell r="G2617" t="str">
            <v>prime émise</v>
          </cell>
        </row>
        <row r="2618">
          <cell r="D2618" t="str">
            <v>de</v>
          </cell>
          <cell r="E2618" t="str">
            <v>montant</v>
          </cell>
        </row>
        <row r="2619">
          <cell r="D2619" t="str">
            <v>du</v>
          </cell>
          <cell r="E2619" t="str">
            <v>rachat</v>
          </cell>
        </row>
        <row r="2620">
          <cell r="D2620" t="str">
            <v>du</v>
          </cell>
          <cell r="E2620" t="str">
            <v>tiers</v>
          </cell>
        </row>
        <row r="2621">
          <cell r="D2621" t="str">
            <v>de la</v>
          </cell>
          <cell r="E2621" t="str">
            <v>spécificité</v>
          </cell>
          <cell r="F2621" t="str">
            <v>du</v>
          </cell>
          <cell r="G2621" t="str">
            <v>tiers</v>
          </cell>
        </row>
        <row r="2622">
          <cell r="D2622" t="str">
            <v>du</v>
          </cell>
          <cell r="E2622" t="str">
            <v>tiers</v>
          </cell>
        </row>
        <row r="2623">
          <cell r="D2623" t="str">
            <v>de la</v>
          </cell>
          <cell r="E2623" t="str">
            <v>société apéritrice</v>
          </cell>
        </row>
        <row r="2624">
          <cell r="D2624" t="str">
            <v>du</v>
          </cell>
          <cell r="E2624" t="str">
            <v>produit d'assurance</v>
          </cell>
        </row>
        <row r="2625">
          <cell r="D2625" t="str">
            <v>de l'</v>
          </cell>
          <cell r="E2625" t="str">
            <v>identifiant du montant</v>
          </cell>
        </row>
        <row r="2626">
          <cell r="D2626" t="str">
            <v>de</v>
          </cell>
          <cell r="E2626" t="str">
            <v>référence externe</v>
          </cell>
        </row>
        <row r="2627">
          <cell r="C2627" t="str">
            <v>externe</v>
          </cell>
          <cell r="D2627" t="str">
            <v>du</v>
          </cell>
          <cell r="E2627" t="str">
            <v>contrat d'assurance</v>
          </cell>
        </row>
        <row r="2628">
          <cell r="D2628" t="str">
            <v>de l'</v>
          </cell>
          <cell r="E2628" t="str">
            <v>identifiant du montant</v>
          </cell>
        </row>
        <row r="2629">
          <cell r="C2629" t="str">
            <v>interne</v>
          </cell>
          <cell r="D2629" t="str">
            <v>du</v>
          </cell>
          <cell r="E2629" t="str">
            <v>contrat d'assurance</v>
          </cell>
        </row>
        <row r="2630">
          <cell r="D2630" t="str">
            <v>de la</v>
          </cell>
          <cell r="E2630" t="str">
            <v>fédération</v>
          </cell>
        </row>
        <row r="2631">
          <cell r="D2631" t="str">
            <v>de l'</v>
          </cell>
          <cell r="E2631" t="str">
            <v>Entité gestionnaire</v>
          </cell>
        </row>
        <row r="2632">
          <cell r="D2632" t="str">
            <v>de l'</v>
          </cell>
          <cell r="E2632" t="str">
            <v>échéance</v>
          </cell>
        </row>
        <row r="2633">
          <cell r="D2633" t="str">
            <v>d'</v>
          </cell>
          <cell r="E2633" t="str">
            <v>effet</v>
          </cell>
        </row>
        <row r="2634">
          <cell r="D2634" t="str">
            <v>d'</v>
          </cell>
          <cell r="E2634" t="str">
            <v>ordre</v>
          </cell>
        </row>
        <row r="2635">
          <cell r="C2635" t="str">
            <v>famille</v>
          </cell>
          <cell r="D2635" t="str">
            <v>de l'</v>
          </cell>
          <cell r="E2635" t="str">
            <v>identifiant du montant</v>
          </cell>
        </row>
        <row r="2636">
          <cell r="D2636" t="str">
            <v>de l'</v>
          </cell>
          <cell r="E2636" t="str">
            <v>identifiant du montant</v>
          </cell>
        </row>
        <row r="2637">
          <cell r="D2637" t="str">
            <v>de l'</v>
          </cell>
          <cell r="E2637" t="str">
            <v>identifiant du montant</v>
          </cell>
        </row>
        <row r="2638">
          <cell r="C2638" t="str">
            <v>décimal</v>
          </cell>
          <cell r="D2638" t="str">
            <v>du</v>
          </cell>
          <cell r="E2638" t="str">
            <v>montant</v>
          </cell>
        </row>
        <row r="2639">
          <cell r="D2639" t="str">
            <v>du</v>
          </cell>
          <cell r="E2639" t="str">
            <v>montant</v>
          </cell>
        </row>
        <row r="2640">
          <cell r="D2640" t="str">
            <v>de l'</v>
          </cell>
          <cell r="E2640" t="str">
            <v>identifiant du montant</v>
          </cell>
        </row>
        <row r="2641">
          <cell r="C2641" t="str">
            <v>décimal</v>
          </cell>
          <cell r="D2641" t="str">
            <v>du</v>
          </cell>
          <cell r="E2641" t="str">
            <v>taux</v>
          </cell>
        </row>
        <row r="2642">
          <cell r="D2642" t="str">
            <v>de la</v>
          </cell>
          <cell r="E2642" t="str">
            <v>Société de Gestion de la Garantie</v>
          </cell>
        </row>
        <row r="2643">
          <cell r="D2643" t="str">
            <v>du</v>
          </cell>
          <cell r="E2643" t="str">
            <v>sens du montant</v>
          </cell>
        </row>
        <row r="2644">
          <cell r="C2644" t="str">
            <v>objet</v>
          </cell>
          <cell r="D2644" t="str">
            <v>de la</v>
          </cell>
          <cell r="E2644" t="str">
            <v>prime émise</v>
          </cell>
        </row>
        <row r="2645">
          <cell r="C2645" t="str">
            <v>dernière image</v>
          </cell>
          <cell r="D2645" t="str">
            <v>du</v>
          </cell>
          <cell r="E2645" t="str">
            <v>regroupement IDW</v>
          </cell>
          <cell r="F2645" t="str">
            <v>par</v>
          </cell>
          <cell r="G2645" t="str">
            <v>Produit d'Assurance</v>
          </cell>
        </row>
        <row r="2646">
          <cell r="C2646" t="str">
            <v>dernière image</v>
          </cell>
          <cell r="D2646" t="str">
            <v>du</v>
          </cell>
          <cell r="E2646" t="str">
            <v>Produit d'Assurance</v>
          </cell>
        </row>
        <row r="2647">
          <cell r="C2647" t="str">
            <v>Adhésion</v>
          </cell>
          <cell r="D2647" t="str">
            <v>à</v>
          </cell>
          <cell r="E2647" t="str">
            <v>Association</v>
          </cell>
        </row>
        <row r="2648">
          <cell r="C2648" t="str">
            <v>éligibilité</v>
          </cell>
          <cell r="D2648" t="str">
            <v>à</v>
          </cell>
          <cell r="E2648" t="str">
            <v>Loi Madelin</v>
          </cell>
        </row>
        <row r="2649">
          <cell r="D2649" t="str">
            <v>de l'</v>
          </cell>
          <cell r="E2649" t="str">
            <v>activité</v>
          </cell>
          <cell r="F2649" t="str">
            <v>du</v>
          </cell>
          <cell r="G2649" t="str">
            <v>Catalogue commercial</v>
          </cell>
        </row>
        <row r="2650">
          <cell r="D2650" t="str">
            <v>de l'</v>
          </cell>
          <cell r="E2650" t="str">
            <v>activité</v>
          </cell>
          <cell r="F2650" t="str">
            <v>du</v>
          </cell>
          <cell r="G2650" t="str">
            <v>Catalogue commercial</v>
          </cell>
        </row>
        <row r="2651">
          <cell r="D2651" t="str">
            <v>du</v>
          </cell>
          <cell r="E2651" t="str">
            <v>Produit commercial</v>
          </cell>
          <cell r="F2651" t="str">
            <v>du</v>
          </cell>
          <cell r="G2651" t="str">
            <v>Catalogue commercial</v>
          </cell>
        </row>
        <row r="2652">
          <cell r="D2652" t="str">
            <v>du</v>
          </cell>
          <cell r="E2652" t="str">
            <v>Produit commercial</v>
          </cell>
          <cell r="F2652" t="str">
            <v>du</v>
          </cell>
          <cell r="G2652" t="str">
            <v>Catalogue commercial</v>
          </cell>
        </row>
        <row r="2653">
          <cell r="D2653" t="str">
            <v>de la</v>
          </cell>
          <cell r="E2653" t="str">
            <v>Famille</v>
          </cell>
          <cell r="F2653" t="str">
            <v>du</v>
          </cell>
          <cell r="G2653" t="str">
            <v>Catalogue commercial</v>
          </cell>
        </row>
        <row r="2654">
          <cell r="D2654" t="str">
            <v>de la</v>
          </cell>
          <cell r="E2654" t="str">
            <v>Famille</v>
          </cell>
          <cell r="F2654" t="str">
            <v>du</v>
          </cell>
          <cell r="G2654" t="str">
            <v>Catalogue commercial</v>
          </cell>
        </row>
        <row r="2655">
          <cell r="D2655" t="str">
            <v>de la</v>
          </cell>
          <cell r="E2655" t="str">
            <v>sous-activité</v>
          </cell>
          <cell r="F2655" t="str">
            <v>du</v>
          </cell>
          <cell r="G2655" t="str">
            <v>Catalogue commercial</v>
          </cell>
        </row>
        <row r="2656">
          <cell r="D2656" t="str">
            <v>de la</v>
          </cell>
          <cell r="E2656" t="str">
            <v>sous-activité</v>
          </cell>
          <cell r="F2656" t="str">
            <v>du</v>
          </cell>
          <cell r="G2656" t="str">
            <v>Catalogue commercial</v>
          </cell>
        </row>
        <row r="2657">
          <cell r="D2657" t="str">
            <v>du</v>
          </cell>
          <cell r="E2657" t="str">
            <v>regroupement IDW</v>
          </cell>
          <cell r="F2657" t="str">
            <v>par</v>
          </cell>
          <cell r="G2657" t="str">
            <v>Produit d'Assurance</v>
          </cell>
        </row>
        <row r="2658">
          <cell r="D2658" t="str">
            <v>l'</v>
          </cell>
          <cell r="E2658" t="str">
            <v>Association</v>
          </cell>
          <cell r="F2658" t="str">
            <v>du</v>
          </cell>
          <cell r="G2658" t="str">
            <v>Produit d'Assurance</v>
          </cell>
        </row>
        <row r="2659">
          <cell r="D2659" t="str">
            <v>du</v>
          </cell>
          <cell r="E2659" t="str">
            <v>regroupement IDW</v>
          </cell>
          <cell r="F2659" t="str">
            <v>par</v>
          </cell>
          <cell r="G2659" t="str">
            <v>Produit d'Assurance</v>
          </cell>
        </row>
        <row r="2660">
          <cell r="D2660" t="str">
            <v>de la</v>
          </cell>
          <cell r="E2660" t="str">
            <v>Nature</v>
          </cell>
          <cell r="F2660" t="str">
            <v>du</v>
          </cell>
          <cell r="G2660" t="str">
            <v>Produit d'Assurance</v>
          </cell>
        </row>
        <row r="2661">
          <cell r="D2661" t="str">
            <v>du</v>
          </cell>
          <cell r="E2661" t="str">
            <v>regroupement IDW</v>
          </cell>
          <cell r="F2661" t="str">
            <v>par</v>
          </cell>
          <cell r="G2661" t="str">
            <v>Produit d'Assurance</v>
          </cell>
        </row>
        <row r="2662">
          <cell r="D2662" t="str">
            <v>du</v>
          </cell>
          <cell r="E2662" t="str">
            <v>regroupement IDW</v>
          </cell>
          <cell r="F2662" t="str">
            <v>par</v>
          </cell>
          <cell r="G2662" t="str">
            <v>Produit d'Assurance</v>
          </cell>
        </row>
        <row r="2663">
          <cell r="D2663" t="str">
            <v>de la</v>
          </cell>
          <cell r="E2663" t="str">
            <v>Nature</v>
          </cell>
          <cell r="F2663" t="str">
            <v>du</v>
          </cell>
          <cell r="G2663" t="str">
            <v>Produit d'Assurance</v>
          </cell>
        </row>
        <row r="2664">
          <cell r="D2664" t="str">
            <v>de la</v>
          </cell>
          <cell r="E2664" t="str">
            <v>Nature</v>
          </cell>
          <cell r="F2664" t="str">
            <v>du</v>
          </cell>
          <cell r="G2664" t="str">
            <v>Produit d'Assurance</v>
          </cell>
        </row>
        <row r="2665">
          <cell r="D2665" t="str">
            <v>du</v>
          </cell>
          <cell r="E2665" t="str">
            <v>Produit d'Assurance</v>
          </cell>
        </row>
        <row r="2666">
          <cell r="D2666" t="str">
            <v>de la</v>
          </cell>
          <cell r="E2666" t="str">
            <v>Branche IDW</v>
          </cell>
        </row>
        <row r="2667">
          <cell r="D2667" t="str">
            <v>de la</v>
          </cell>
          <cell r="E2667" t="str">
            <v>Sous-branche IDW</v>
          </cell>
        </row>
        <row r="2668">
          <cell r="D2668" t="str">
            <v>de la</v>
          </cell>
          <cell r="E2668" t="str">
            <v>Branche assurance</v>
          </cell>
        </row>
        <row r="2669">
          <cell r="D2669" t="str">
            <v>de la</v>
          </cell>
          <cell r="E2669" t="str">
            <v>Famille assurance</v>
          </cell>
        </row>
        <row r="2670">
          <cell r="D2670" t="str">
            <v>du</v>
          </cell>
          <cell r="E2670" t="str">
            <v>Produit d'Assurance</v>
          </cell>
        </row>
        <row r="2671">
          <cell r="D2671" t="str">
            <v>du</v>
          </cell>
          <cell r="E2671" t="str">
            <v>Produit d'Assurance</v>
          </cell>
        </row>
        <row r="2672">
          <cell r="D2672" t="str">
            <v>du</v>
          </cell>
          <cell r="E2672" t="str">
            <v>Produit d'Assurance</v>
          </cell>
        </row>
        <row r="2673">
          <cell r="D2673" t="str">
            <v>du</v>
          </cell>
          <cell r="E2673" t="str">
            <v>Produit d'Assurance</v>
          </cell>
        </row>
        <row r="2674">
          <cell r="D2674" t="str">
            <v>du</v>
          </cell>
          <cell r="E2674" t="str">
            <v>Produit d'Assurance</v>
          </cell>
        </row>
        <row r="2675">
          <cell r="C2675" t="str">
            <v>simplifié</v>
          </cell>
          <cell r="D2675" t="str">
            <v>du</v>
          </cell>
          <cell r="E2675" t="str">
            <v>Sous-produit d'assurance</v>
          </cell>
        </row>
        <row r="2676">
          <cell r="C2676" t="str">
            <v>principal</v>
          </cell>
          <cell r="D2676" t="str">
            <v>du</v>
          </cell>
          <cell r="E2676" t="str">
            <v>Produit d'Assurance</v>
          </cell>
        </row>
        <row r="2677">
          <cell r="D2677" t="str">
            <v>de l'</v>
          </cell>
          <cell r="E2677" t="str">
            <v>Association</v>
          </cell>
        </row>
        <row r="2678">
          <cell r="C2678" t="str">
            <v>secondaire</v>
          </cell>
          <cell r="D2678" t="str">
            <v>du</v>
          </cell>
          <cell r="E2678" t="str">
            <v>Produit d'Assurance</v>
          </cell>
        </row>
        <row r="2679">
          <cell r="C2679" t="str">
            <v>simplifié</v>
          </cell>
          <cell r="D2679" t="str">
            <v>du</v>
          </cell>
          <cell r="E2679" t="str">
            <v>Produit d'Assurance</v>
          </cell>
        </row>
        <row r="2680">
          <cell r="D2680" t="str">
            <v>de l'</v>
          </cell>
          <cell r="E2680" t="str">
            <v>Association</v>
          </cell>
        </row>
        <row r="2681">
          <cell r="D2681" t="str">
            <v>de l'</v>
          </cell>
          <cell r="E2681" t="str">
            <v>Association</v>
          </cell>
        </row>
        <row r="2682">
          <cell r="D2682" t="str">
            <v>de la</v>
          </cell>
          <cell r="E2682" t="str">
            <v>Branche IDW</v>
          </cell>
        </row>
        <row r="2683">
          <cell r="D2683" t="str">
            <v>de la</v>
          </cell>
          <cell r="E2683" t="str">
            <v>Branche IDW</v>
          </cell>
        </row>
        <row r="2684">
          <cell r="D2684" t="str">
            <v>de la</v>
          </cell>
          <cell r="E2684" t="str">
            <v>Sous-branche IDW</v>
          </cell>
        </row>
        <row r="2685">
          <cell r="D2685" t="str">
            <v>de la</v>
          </cell>
          <cell r="E2685" t="str">
            <v>Sous-branche IDW</v>
          </cell>
        </row>
        <row r="2686">
          <cell r="D2686" t="str">
            <v>de la</v>
          </cell>
          <cell r="E2686" t="str">
            <v>Branche Assurance</v>
          </cell>
        </row>
        <row r="2687">
          <cell r="D2687" t="str">
            <v>de la</v>
          </cell>
          <cell r="E2687" t="str">
            <v>Branche Assurance</v>
          </cell>
        </row>
        <row r="2688">
          <cell r="D2688" t="str">
            <v>de la</v>
          </cell>
          <cell r="E2688" t="str">
            <v>Famille assurance</v>
          </cell>
        </row>
        <row r="2689">
          <cell r="D2689" t="str">
            <v>de la</v>
          </cell>
          <cell r="E2689" t="str">
            <v>Famille assurance</v>
          </cell>
        </row>
        <row r="2690">
          <cell r="D2690" t="str">
            <v>du</v>
          </cell>
          <cell r="E2690" t="str">
            <v>Produit d'Assurance</v>
          </cell>
        </row>
        <row r="2691">
          <cell r="D2691" t="str">
            <v>du</v>
          </cell>
          <cell r="E2691" t="str">
            <v>Produit d'Assurance</v>
          </cell>
        </row>
        <row r="2692">
          <cell r="D2692" t="str">
            <v>du</v>
          </cell>
          <cell r="E2692" t="str">
            <v>produit externe</v>
          </cell>
        </row>
        <row r="2693">
          <cell r="C2693" t="str">
            <v>base</v>
          </cell>
          <cell r="D2693" t="str">
            <v>du</v>
          </cell>
          <cell r="E2693" t="str">
            <v>Produit d'Assurance</v>
          </cell>
        </row>
        <row r="2694">
          <cell r="C2694" t="str">
            <v>dernière image</v>
          </cell>
          <cell r="D2694" t="str">
            <v>du</v>
          </cell>
          <cell r="E2694" t="str">
            <v>Pivot Métier</v>
          </cell>
          <cell r="F2694" t="str">
            <v>de</v>
          </cell>
          <cell r="G2694" t="str">
            <v>REGASA</v>
          </cell>
        </row>
        <row r="2695">
          <cell r="C2695" t="str">
            <v>dernière image</v>
          </cell>
          <cell r="D2695" t="str">
            <v>de la</v>
          </cell>
          <cell r="E2695" t="str">
            <v>Version Commerciale</v>
          </cell>
          <cell r="F2695" t="str">
            <v>de</v>
          </cell>
          <cell r="G2695" t="str">
            <v>REGASA</v>
          </cell>
        </row>
        <row r="2696">
          <cell r="C2696" t="str">
            <v>dernière image</v>
          </cell>
          <cell r="D2696" t="str">
            <v>de la</v>
          </cell>
          <cell r="E2696" t="str">
            <v>Couverture</v>
          </cell>
          <cell r="F2696" t="str">
            <v>de</v>
          </cell>
          <cell r="G2696" t="str">
            <v>REGASA</v>
          </cell>
        </row>
        <row r="2697">
          <cell r="C2697" t="str">
            <v>dernière image</v>
          </cell>
          <cell r="D2697" t="str">
            <v>de la</v>
          </cell>
          <cell r="E2697" t="str">
            <v>Précision de Couverture</v>
          </cell>
          <cell r="F2697" t="str">
            <v>de</v>
          </cell>
          <cell r="G2697" t="str">
            <v>REGASA</v>
          </cell>
        </row>
        <row r="2698">
          <cell r="C2698" t="str">
            <v>dernière image</v>
          </cell>
          <cell r="D2698" t="str">
            <v>de la</v>
          </cell>
          <cell r="E2698" t="str">
            <v>formule</v>
          </cell>
          <cell r="F2698" t="str">
            <v>de</v>
          </cell>
          <cell r="G2698" t="str">
            <v>REGASA</v>
          </cell>
        </row>
        <row r="2699">
          <cell r="C2699" t="str">
            <v>dernière image</v>
          </cell>
          <cell r="D2699" t="str">
            <v>de la</v>
          </cell>
          <cell r="E2699" t="str">
            <v>Propriété</v>
          </cell>
          <cell r="F2699" t="str">
            <v>de</v>
          </cell>
          <cell r="G2699" t="str">
            <v>REGASA</v>
          </cell>
        </row>
        <row r="2700">
          <cell r="C2700" t="str">
            <v>dernière image</v>
          </cell>
          <cell r="D2700" t="str">
            <v>de la</v>
          </cell>
          <cell r="E2700" t="str">
            <v>garantie</v>
          </cell>
          <cell r="F2700" t="str">
            <v>de</v>
          </cell>
          <cell r="G2700" t="str">
            <v>REGASA</v>
          </cell>
        </row>
        <row r="2701">
          <cell r="C2701" t="str">
            <v>dernière image</v>
          </cell>
          <cell r="D2701" t="str">
            <v>de la</v>
          </cell>
          <cell r="E2701" t="str">
            <v>version de Garantie</v>
          </cell>
          <cell r="F2701" t="str">
            <v>de</v>
          </cell>
          <cell r="G2701" t="str">
            <v>REGASA</v>
          </cell>
        </row>
        <row r="2702">
          <cell r="D2702" t="str">
            <v>du</v>
          </cell>
          <cell r="E2702" t="str">
            <v>Pivot Métier</v>
          </cell>
          <cell r="F2702" t="str">
            <v>de la</v>
          </cell>
          <cell r="G2702" t="str">
            <v>formule</v>
          </cell>
          <cell r="H2702" t="str">
            <v>de</v>
          </cell>
          <cell r="I2702" t="str">
            <v>REGASA</v>
          </cell>
        </row>
        <row r="2703">
          <cell r="D2703" t="str">
            <v>du</v>
          </cell>
          <cell r="E2703" t="str">
            <v>Pivot Métier</v>
          </cell>
          <cell r="F2703" t="str">
            <v>de la</v>
          </cell>
          <cell r="G2703" t="str">
            <v>formule</v>
          </cell>
          <cell r="H2703" t="str">
            <v>de</v>
          </cell>
          <cell r="I2703" t="str">
            <v>REGASA</v>
          </cell>
        </row>
        <row r="2704">
          <cell r="D2704" t="str">
            <v>du</v>
          </cell>
          <cell r="E2704" t="str">
            <v>Pivot Métier</v>
          </cell>
          <cell r="F2704" t="str">
            <v>de la</v>
          </cell>
          <cell r="G2704" t="str">
            <v>formule</v>
          </cell>
          <cell r="H2704" t="str">
            <v>de</v>
          </cell>
          <cell r="I2704" t="str">
            <v>REGASA</v>
          </cell>
        </row>
        <row r="2705">
          <cell r="D2705" t="str">
            <v>de la</v>
          </cell>
          <cell r="E2705" t="str">
            <v>famille juridique</v>
          </cell>
          <cell r="F2705" t="str">
            <v>de la</v>
          </cell>
          <cell r="G2705" t="str">
            <v>garantie</v>
          </cell>
          <cell r="H2705" t="str">
            <v>de</v>
          </cell>
          <cell r="I2705" t="str">
            <v>REGASA</v>
          </cell>
        </row>
        <row r="2706">
          <cell r="D2706" t="str">
            <v>de la</v>
          </cell>
          <cell r="E2706" t="str">
            <v>famille produit</v>
          </cell>
          <cell r="F2706" t="str">
            <v>de la</v>
          </cell>
          <cell r="G2706" t="str">
            <v>garantie</v>
          </cell>
          <cell r="H2706" t="str">
            <v>de</v>
          </cell>
          <cell r="I2706" t="str">
            <v>REGASA</v>
          </cell>
        </row>
        <row r="2707">
          <cell r="D2707" t="str">
            <v>de la</v>
          </cell>
          <cell r="E2707" t="str">
            <v>famille sinistre</v>
          </cell>
          <cell r="F2707" t="str">
            <v>de la</v>
          </cell>
          <cell r="G2707" t="str">
            <v>garantie</v>
          </cell>
          <cell r="H2707" t="str">
            <v>de</v>
          </cell>
          <cell r="I2707" t="str">
            <v>REGASA</v>
          </cell>
        </row>
        <row r="2708">
          <cell r="D2708" t="str">
            <v>de</v>
          </cell>
          <cell r="E2708" t="str">
            <v>REGASA</v>
          </cell>
          <cell r="F2708" t="str">
            <v>des</v>
          </cell>
          <cell r="G2708" t="str">
            <v>garanties et services</v>
          </cell>
          <cell r="H2708" t="str">
            <v>avec</v>
          </cell>
          <cell r="I2708" t="str">
            <v>propriété</v>
          </cell>
        </row>
        <row r="2709">
          <cell r="D2709" t="str">
            <v>de</v>
          </cell>
          <cell r="E2709" t="str">
            <v>REGASA</v>
          </cell>
          <cell r="F2709" t="str">
            <v>des</v>
          </cell>
          <cell r="G2709" t="str">
            <v>garanties et services</v>
          </cell>
          <cell r="H2709" t="str">
            <v>avec</v>
          </cell>
          <cell r="I2709" t="str">
            <v>propriété</v>
          </cell>
        </row>
        <row r="2710">
          <cell r="D2710" t="str">
            <v>de</v>
          </cell>
          <cell r="E2710" t="str">
            <v>REGASA</v>
          </cell>
          <cell r="F2710" t="str">
            <v>des</v>
          </cell>
          <cell r="G2710" t="str">
            <v>garanties et services</v>
          </cell>
          <cell r="H2710" t="str">
            <v>avec</v>
          </cell>
          <cell r="I2710" t="str">
            <v>propriété</v>
          </cell>
        </row>
        <row r="2711">
          <cell r="D2711" t="str">
            <v>de la</v>
          </cell>
          <cell r="E2711" t="str">
            <v>génération</v>
          </cell>
          <cell r="F2711" t="str">
            <v>du</v>
          </cell>
          <cell r="G2711" t="str">
            <v>Produit d'Assurance</v>
          </cell>
        </row>
        <row r="2712">
          <cell r="D2712" t="str">
            <v>du</v>
          </cell>
          <cell r="E2712" t="str">
            <v>Pivot Métier</v>
          </cell>
          <cell r="F2712" t="str">
            <v>de</v>
          </cell>
          <cell r="G2712" t="str">
            <v>REGASA</v>
          </cell>
        </row>
        <row r="2713">
          <cell r="D2713" t="str">
            <v>de la</v>
          </cell>
          <cell r="E2713" t="str">
            <v>Version Commerciale</v>
          </cell>
          <cell r="F2713" t="str">
            <v>de</v>
          </cell>
          <cell r="G2713" t="str">
            <v>REGASA</v>
          </cell>
        </row>
        <row r="2714">
          <cell r="D2714" t="str">
            <v>de la</v>
          </cell>
          <cell r="E2714" t="str">
            <v>Couverture</v>
          </cell>
          <cell r="F2714" t="str">
            <v>de</v>
          </cell>
          <cell r="G2714" t="str">
            <v>REGASA</v>
          </cell>
        </row>
        <row r="2715">
          <cell r="D2715" t="str">
            <v>de la</v>
          </cell>
          <cell r="E2715" t="str">
            <v>Précision de Couverture</v>
          </cell>
          <cell r="F2715" t="str">
            <v>de</v>
          </cell>
          <cell r="G2715" t="str">
            <v>REGASA</v>
          </cell>
        </row>
        <row r="2716">
          <cell r="D2716" t="str">
            <v>de la</v>
          </cell>
          <cell r="E2716" t="str">
            <v>formule</v>
          </cell>
          <cell r="F2716" t="str">
            <v>de</v>
          </cell>
          <cell r="G2716" t="str">
            <v>REGASA</v>
          </cell>
        </row>
        <row r="2717">
          <cell r="D2717" t="str">
            <v>de la</v>
          </cell>
          <cell r="E2717" t="str">
            <v>Propriété</v>
          </cell>
          <cell r="F2717" t="str">
            <v>de</v>
          </cell>
          <cell r="G2717" t="str">
            <v>REGASA</v>
          </cell>
        </row>
        <row r="2718">
          <cell r="D2718" t="str">
            <v>de la</v>
          </cell>
          <cell r="E2718" t="str">
            <v>Garantie</v>
          </cell>
          <cell r="F2718" t="str">
            <v>de</v>
          </cell>
          <cell r="G2718" t="str">
            <v>REGASA</v>
          </cell>
        </row>
        <row r="2719">
          <cell r="D2719" t="str">
            <v>de la</v>
          </cell>
          <cell r="E2719" t="str">
            <v>version de Garantie</v>
          </cell>
          <cell r="F2719" t="str">
            <v>de</v>
          </cell>
          <cell r="G2719" t="str">
            <v>REGASA</v>
          </cell>
        </row>
        <row r="2720">
          <cell r="D2720" t="str">
            <v>de la</v>
          </cell>
          <cell r="E2720" t="str">
            <v>Propriété</v>
          </cell>
          <cell r="F2720" t="str">
            <v>de</v>
          </cell>
          <cell r="G2720" t="str">
            <v>REGASA</v>
          </cell>
        </row>
        <row r="2721">
          <cell r="D2721" t="str">
            <v>du</v>
          </cell>
          <cell r="E2721" t="str">
            <v>Pivot Métier</v>
          </cell>
          <cell r="F2721" t="str">
            <v>de</v>
          </cell>
          <cell r="G2721" t="str">
            <v>REGASA</v>
          </cell>
        </row>
        <row r="2722">
          <cell r="D2722" t="str">
            <v>de la</v>
          </cell>
          <cell r="E2722" t="str">
            <v>Version Commerciale</v>
          </cell>
          <cell r="F2722" t="str">
            <v>de</v>
          </cell>
          <cell r="G2722" t="str">
            <v>REGASA</v>
          </cell>
        </row>
        <row r="2723">
          <cell r="D2723" t="str">
            <v>de la</v>
          </cell>
          <cell r="E2723" t="str">
            <v>Couverture</v>
          </cell>
          <cell r="F2723" t="str">
            <v>de</v>
          </cell>
          <cell r="G2723" t="str">
            <v>REGASA</v>
          </cell>
        </row>
        <row r="2724">
          <cell r="D2724" t="str">
            <v>de la</v>
          </cell>
          <cell r="E2724" t="str">
            <v>Précision de Couverture</v>
          </cell>
          <cell r="F2724" t="str">
            <v>de</v>
          </cell>
          <cell r="G2724" t="str">
            <v>REGASA</v>
          </cell>
        </row>
        <row r="2725">
          <cell r="D2725" t="str">
            <v>de la</v>
          </cell>
          <cell r="E2725" t="str">
            <v>formule</v>
          </cell>
          <cell r="F2725" t="str">
            <v>de</v>
          </cell>
          <cell r="G2725" t="str">
            <v>REGASA</v>
          </cell>
        </row>
        <row r="2726">
          <cell r="D2726" t="str">
            <v>de la</v>
          </cell>
          <cell r="E2726" t="str">
            <v>Propriété</v>
          </cell>
          <cell r="F2726" t="str">
            <v>de</v>
          </cell>
          <cell r="G2726" t="str">
            <v>REGASA</v>
          </cell>
        </row>
        <row r="2727">
          <cell r="D2727" t="str">
            <v>de la</v>
          </cell>
          <cell r="E2727" t="str">
            <v>garantie</v>
          </cell>
          <cell r="F2727" t="str">
            <v>de</v>
          </cell>
          <cell r="G2727" t="str">
            <v>REGASA</v>
          </cell>
        </row>
        <row r="2728">
          <cell r="D2728" t="str">
            <v>des</v>
          </cell>
          <cell r="E2728" t="str">
            <v>garanties et services</v>
          </cell>
          <cell r="F2728" t="str">
            <v>de</v>
          </cell>
          <cell r="G2728" t="str">
            <v>REGASA</v>
          </cell>
        </row>
        <row r="2729">
          <cell r="D2729" t="str">
            <v>de la</v>
          </cell>
          <cell r="E2729" t="str">
            <v>version de Garantie</v>
          </cell>
          <cell r="F2729" t="str">
            <v>de</v>
          </cell>
          <cell r="G2729" t="str">
            <v>REGASA</v>
          </cell>
        </row>
        <row r="2730">
          <cell r="D2730" t="str">
            <v>du</v>
          </cell>
          <cell r="E2730" t="str">
            <v>Pivot Métier</v>
          </cell>
          <cell r="F2730" t="str">
            <v>de</v>
          </cell>
          <cell r="G2730" t="str">
            <v>REGASA</v>
          </cell>
        </row>
        <row r="2731">
          <cell r="D2731" t="str">
            <v>du</v>
          </cell>
          <cell r="E2731" t="str">
            <v>Pivot Métier</v>
          </cell>
          <cell r="F2731" t="str">
            <v>de</v>
          </cell>
          <cell r="G2731" t="str">
            <v>REGASA</v>
          </cell>
        </row>
        <row r="2732">
          <cell r="D2732" t="str">
            <v>de la</v>
          </cell>
          <cell r="E2732" t="str">
            <v>Version Commerciale</v>
          </cell>
          <cell r="F2732" t="str">
            <v>de</v>
          </cell>
          <cell r="G2732" t="str">
            <v>REGASA</v>
          </cell>
        </row>
        <row r="2733">
          <cell r="D2733" t="str">
            <v>de la</v>
          </cell>
          <cell r="E2733" t="str">
            <v>Version Commerciale</v>
          </cell>
          <cell r="F2733" t="str">
            <v>de</v>
          </cell>
          <cell r="G2733" t="str">
            <v>REGASA</v>
          </cell>
        </row>
        <row r="2734">
          <cell r="D2734" t="str">
            <v>de la</v>
          </cell>
          <cell r="E2734" t="str">
            <v>Version Commerciale</v>
          </cell>
          <cell r="F2734" t="str">
            <v>de</v>
          </cell>
          <cell r="G2734" t="str">
            <v>REGASA</v>
          </cell>
        </row>
        <row r="2735">
          <cell r="D2735" t="str">
            <v>de la</v>
          </cell>
          <cell r="E2735" t="str">
            <v>Version Commerciale</v>
          </cell>
          <cell r="F2735" t="str">
            <v>de</v>
          </cell>
          <cell r="G2735" t="str">
            <v>REGASA</v>
          </cell>
        </row>
        <row r="2736">
          <cell r="D2736" t="str">
            <v>de la</v>
          </cell>
          <cell r="E2736" t="str">
            <v>Couverture</v>
          </cell>
          <cell r="F2736" t="str">
            <v>de</v>
          </cell>
          <cell r="G2736" t="str">
            <v>REGASA</v>
          </cell>
        </row>
        <row r="2737">
          <cell r="D2737" t="str">
            <v>de la</v>
          </cell>
          <cell r="E2737" t="str">
            <v>Couverture</v>
          </cell>
          <cell r="F2737" t="str">
            <v>de</v>
          </cell>
          <cell r="G2737" t="str">
            <v>REGASA</v>
          </cell>
        </row>
        <row r="2738">
          <cell r="D2738" t="str">
            <v>de la</v>
          </cell>
          <cell r="E2738" t="str">
            <v>Précision de Couverture</v>
          </cell>
          <cell r="F2738" t="str">
            <v>de</v>
          </cell>
          <cell r="G2738" t="str">
            <v>REGASA</v>
          </cell>
        </row>
        <row r="2739">
          <cell r="D2739" t="str">
            <v>de la</v>
          </cell>
          <cell r="E2739" t="str">
            <v>Précision de Couverture</v>
          </cell>
          <cell r="F2739" t="str">
            <v>de</v>
          </cell>
          <cell r="G2739" t="str">
            <v>REGASA</v>
          </cell>
        </row>
        <row r="2740">
          <cell r="D2740" t="str">
            <v>de la</v>
          </cell>
          <cell r="E2740" t="str">
            <v>formule</v>
          </cell>
          <cell r="F2740" t="str">
            <v>de</v>
          </cell>
          <cell r="G2740" t="str">
            <v>REGASA</v>
          </cell>
        </row>
        <row r="2741">
          <cell r="D2741" t="str">
            <v>de la</v>
          </cell>
          <cell r="E2741" t="str">
            <v>formule</v>
          </cell>
          <cell r="F2741" t="str">
            <v>de</v>
          </cell>
          <cell r="G2741" t="str">
            <v>REGASA</v>
          </cell>
        </row>
        <row r="2742">
          <cell r="D2742" t="str">
            <v>de la</v>
          </cell>
          <cell r="E2742" t="str">
            <v>formule</v>
          </cell>
          <cell r="F2742" t="str">
            <v>de</v>
          </cell>
          <cell r="G2742" t="str">
            <v>REGASA</v>
          </cell>
        </row>
        <row r="2743">
          <cell r="D2743" t="str">
            <v>de la</v>
          </cell>
          <cell r="E2743" t="str">
            <v>formule</v>
          </cell>
          <cell r="F2743" t="str">
            <v>de</v>
          </cell>
          <cell r="G2743" t="str">
            <v>REGASA</v>
          </cell>
        </row>
        <row r="2744">
          <cell r="D2744" t="str">
            <v>de la</v>
          </cell>
          <cell r="E2744" t="str">
            <v>Propriété</v>
          </cell>
          <cell r="F2744" t="str">
            <v>de</v>
          </cell>
          <cell r="G2744" t="str">
            <v>REGASA</v>
          </cell>
        </row>
        <row r="2745">
          <cell r="D2745" t="str">
            <v>de la</v>
          </cell>
          <cell r="E2745" t="str">
            <v>Propriété</v>
          </cell>
          <cell r="F2745" t="str">
            <v>de</v>
          </cell>
          <cell r="G2745" t="str">
            <v>REGASA</v>
          </cell>
        </row>
        <row r="2746">
          <cell r="D2746" t="str">
            <v>de la</v>
          </cell>
          <cell r="E2746" t="str">
            <v>garantie</v>
          </cell>
          <cell r="F2746" t="str">
            <v>de</v>
          </cell>
          <cell r="G2746" t="str">
            <v>REGASA</v>
          </cell>
        </row>
        <row r="2747">
          <cell r="D2747" t="str">
            <v>de la</v>
          </cell>
          <cell r="E2747" t="str">
            <v>garantie</v>
          </cell>
          <cell r="F2747" t="str">
            <v>de</v>
          </cell>
          <cell r="G2747" t="str">
            <v>REGASA</v>
          </cell>
        </row>
        <row r="2748">
          <cell r="D2748" t="str">
            <v>de la</v>
          </cell>
          <cell r="E2748" t="str">
            <v>version de Garantie</v>
          </cell>
          <cell r="F2748" t="str">
            <v>de</v>
          </cell>
          <cell r="G2748" t="str">
            <v>REGASA</v>
          </cell>
        </row>
        <row r="2749">
          <cell r="D2749" t="str">
            <v>de la</v>
          </cell>
          <cell r="E2749" t="str">
            <v>version de Garantie</v>
          </cell>
          <cell r="F2749" t="str">
            <v>de</v>
          </cell>
          <cell r="G2749" t="str">
            <v>REGASA</v>
          </cell>
        </row>
        <row r="2750">
          <cell r="D2750" t="str">
            <v>du</v>
          </cell>
          <cell r="E2750" t="str">
            <v>Pivot Métier</v>
          </cell>
          <cell r="F2750" t="str">
            <v>de</v>
          </cell>
          <cell r="G2750" t="str">
            <v>REGASA</v>
          </cell>
        </row>
        <row r="2751">
          <cell r="D2751" t="str">
            <v>du</v>
          </cell>
          <cell r="E2751" t="str">
            <v>Pivot Métier</v>
          </cell>
          <cell r="F2751" t="str">
            <v>de</v>
          </cell>
          <cell r="G2751" t="str">
            <v>REGASA</v>
          </cell>
        </row>
        <row r="2752">
          <cell r="D2752" t="str">
            <v>du</v>
          </cell>
          <cell r="E2752" t="str">
            <v>Pivot Métier</v>
          </cell>
          <cell r="F2752" t="str">
            <v>de</v>
          </cell>
          <cell r="G2752" t="str">
            <v>REGASA</v>
          </cell>
        </row>
        <row r="2753">
          <cell r="D2753" t="str">
            <v>de la</v>
          </cell>
          <cell r="E2753" t="str">
            <v>Version Commerciale</v>
          </cell>
          <cell r="F2753" t="str">
            <v>de</v>
          </cell>
          <cell r="G2753" t="str">
            <v>REGASA</v>
          </cell>
        </row>
        <row r="2754">
          <cell r="D2754" t="str">
            <v>de la</v>
          </cell>
          <cell r="E2754" t="str">
            <v>Version Commerciale</v>
          </cell>
          <cell r="F2754" t="str">
            <v>de</v>
          </cell>
          <cell r="G2754" t="str">
            <v>REGASA</v>
          </cell>
        </row>
        <row r="2755">
          <cell r="D2755" t="str">
            <v>de la</v>
          </cell>
          <cell r="E2755" t="str">
            <v>Couverture</v>
          </cell>
          <cell r="F2755" t="str">
            <v>de</v>
          </cell>
          <cell r="G2755" t="str">
            <v>REGASA</v>
          </cell>
        </row>
        <row r="2756">
          <cell r="D2756" t="str">
            <v>de la</v>
          </cell>
          <cell r="E2756" t="str">
            <v>Couverture</v>
          </cell>
          <cell r="F2756" t="str">
            <v>de</v>
          </cell>
          <cell r="G2756" t="str">
            <v>REGASA</v>
          </cell>
        </row>
        <row r="2757">
          <cell r="D2757" t="str">
            <v>de la</v>
          </cell>
          <cell r="E2757" t="str">
            <v>Précision de Couverture</v>
          </cell>
          <cell r="F2757" t="str">
            <v>de</v>
          </cell>
          <cell r="G2757" t="str">
            <v>REGASA</v>
          </cell>
        </row>
        <row r="2758">
          <cell r="D2758" t="str">
            <v>de la</v>
          </cell>
          <cell r="E2758" t="str">
            <v>Précision de Couverture</v>
          </cell>
          <cell r="F2758" t="str">
            <v>de</v>
          </cell>
          <cell r="G2758" t="str">
            <v>REGASA</v>
          </cell>
        </row>
        <row r="2759">
          <cell r="D2759" t="str">
            <v>de la</v>
          </cell>
          <cell r="E2759" t="str">
            <v>formule</v>
          </cell>
          <cell r="F2759" t="str">
            <v>de</v>
          </cell>
          <cell r="G2759" t="str">
            <v>REGASA</v>
          </cell>
        </row>
        <row r="2760">
          <cell r="D2760" t="str">
            <v>de la</v>
          </cell>
          <cell r="E2760" t="str">
            <v>formule</v>
          </cell>
          <cell r="F2760" t="str">
            <v>de</v>
          </cell>
          <cell r="G2760" t="str">
            <v>REGASA</v>
          </cell>
        </row>
        <row r="2761">
          <cell r="D2761" t="str">
            <v>de la</v>
          </cell>
          <cell r="E2761" t="str">
            <v>Propriété</v>
          </cell>
          <cell r="F2761" t="str">
            <v>de</v>
          </cell>
          <cell r="G2761" t="str">
            <v>REGASA</v>
          </cell>
        </row>
        <row r="2762">
          <cell r="D2762" t="str">
            <v>de la</v>
          </cell>
          <cell r="E2762" t="str">
            <v>Propriété</v>
          </cell>
          <cell r="F2762" t="str">
            <v>de</v>
          </cell>
          <cell r="G2762" t="str">
            <v>REGASA</v>
          </cell>
        </row>
        <row r="2763">
          <cell r="D2763" t="str">
            <v>de la</v>
          </cell>
          <cell r="E2763" t="str">
            <v>Propriété</v>
          </cell>
          <cell r="F2763" t="str">
            <v>de</v>
          </cell>
          <cell r="G2763" t="str">
            <v>REGASA</v>
          </cell>
        </row>
        <row r="2764">
          <cell r="D2764" t="str">
            <v>de la</v>
          </cell>
          <cell r="E2764" t="str">
            <v>Garantie</v>
          </cell>
          <cell r="F2764" t="str">
            <v>de</v>
          </cell>
          <cell r="G2764" t="str">
            <v>REGASA</v>
          </cell>
        </row>
        <row r="2765">
          <cell r="D2765" t="str">
            <v>de la</v>
          </cell>
          <cell r="E2765" t="str">
            <v>garantie</v>
          </cell>
          <cell r="F2765" t="str">
            <v>de</v>
          </cell>
          <cell r="G2765" t="str">
            <v>REGASA</v>
          </cell>
        </row>
        <row r="2766">
          <cell r="D2766" t="str">
            <v>de la</v>
          </cell>
          <cell r="E2766" t="str">
            <v>version de Garantie</v>
          </cell>
          <cell r="F2766" t="str">
            <v>de</v>
          </cell>
          <cell r="G2766" t="str">
            <v>REGASA</v>
          </cell>
        </row>
        <row r="2767">
          <cell r="D2767" t="str">
            <v>de la</v>
          </cell>
          <cell r="E2767" t="str">
            <v>version de Garantie</v>
          </cell>
          <cell r="F2767" t="str">
            <v>de</v>
          </cell>
          <cell r="G2767" t="str">
            <v>REGASA</v>
          </cell>
        </row>
        <row r="2768">
          <cell r="D2768" t="str">
            <v>du</v>
          </cell>
          <cell r="E2768" t="str">
            <v>Pivot Métier</v>
          </cell>
          <cell r="F2768" t="str">
            <v>de la</v>
          </cell>
          <cell r="G2768" t="str">
            <v>version commerciale</v>
          </cell>
          <cell r="H2768" t="str">
            <v>de</v>
          </cell>
          <cell r="I2768" t="str">
            <v>REGASA</v>
          </cell>
        </row>
        <row r="2769">
          <cell r="D2769" t="str">
            <v>du</v>
          </cell>
          <cell r="E2769" t="str">
            <v>Pivot Métier</v>
          </cell>
          <cell r="F2769" t="str">
            <v>de la</v>
          </cell>
          <cell r="G2769" t="str">
            <v>version commerciale</v>
          </cell>
          <cell r="H2769" t="str">
            <v>de</v>
          </cell>
          <cell r="I2769" t="str">
            <v>REGASA</v>
          </cell>
        </row>
        <row r="2770">
          <cell r="D2770" t="str">
            <v>du</v>
          </cell>
          <cell r="E2770" t="str">
            <v>Pivot Métier</v>
          </cell>
          <cell r="F2770" t="str">
            <v>de la</v>
          </cell>
          <cell r="G2770" t="str">
            <v>version commerciale</v>
          </cell>
          <cell r="H2770" t="str">
            <v>de</v>
          </cell>
          <cell r="I2770" t="str">
            <v>REGASA</v>
          </cell>
        </row>
        <row r="2771">
          <cell r="D2771" t="str">
            <v>de l'</v>
          </cell>
          <cell r="E2771" t="str">
            <v>objet assuré</v>
          </cell>
          <cell r="F2771" t="str">
            <v xml:space="preserve"> </v>
          </cell>
        </row>
        <row r="2772">
          <cell r="D2772" t="str">
            <v>de la</v>
          </cell>
          <cell r="E2772" t="str">
            <v>profondeur</v>
          </cell>
          <cell r="F2772" t="str">
            <v>de la</v>
          </cell>
          <cell r="G2772" t="str">
            <v>référence</v>
          </cell>
          <cell r="H2772" t="str">
            <v>du</v>
          </cell>
          <cell r="I2772" t="str">
            <v>module</v>
          </cell>
        </row>
        <row r="2773">
          <cell r="D2773" t="str">
            <v>du</v>
          </cell>
          <cell r="E2773" t="str">
            <v>chemin</v>
          </cell>
          <cell r="F2773" t="str">
            <v xml:space="preserve"> </v>
          </cell>
        </row>
        <row r="2774">
          <cell r="D2774" t="str">
            <v>du</v>
          </cell>
          <cell r="E2774" t="str">
            <v>chemin</v>
          </cell>
          <cell r="F2774" t="str">
            <v>avec</v>
          </cell>
          <cell r="G2774" t="str">
            <v>module</v>
          </cell>
          <cell r="H2774" t="str">
            <v>et</v>
          </cell>
          <cell r="I2774" t="str">
            <v>événement</v>
          </cell>
        </row>
        <row r="2775">
          <cell r="D2775" t="str">
            <v>du</v>
          </cell>
          <cell r="E2775" t="str">
            <v>comportement</v>
          </cell>
          <cell r="F2775" t="str">
            <v>de la</v>
          </cell>
          <cell r="G2775" t="str">
            <v>propriété</v>
          </cell>
          <cell r="H2775" t="str">
            <v xml:space="preserve"> </v>
          </cell>
        </row>
        <row r="2776">
          <cell r="D2776" t="str">
            <v>du</v>
          </cell>
          <cell r="E2776" t="str">
            <v>module</v>
          </cell>
          <cell r="F2776" t="str">
            <v xml:space="preserve"> </v>
          </cell>
        </row>
        <row r="2777">
          <cell r="D2777" t="str">
            <v>du</v>
          </cell>
          <cell r="E2777" t="str">
            <v>niveau</v>
          </cell>
          <cell r="F2777" t="str">
            <v>d'</v>
          </cell>
          <cell r="G2777" t="str">
            <v>arrêt</v>
          </cell>
          <cell r="H2777" t="str">
            <v>dans l'</v>
          </cell>
          <cell r="I2777" t="str">
            <v>arborescence</v>
          </cell>
        </row>
        <row r="2778">
          <cell r="D2778" t="str">
            <v>du</v>
          </cell>
          <cell r="E2778" t="str">
            <v>niveau</v>
          </cell>
          <cell r="F2778" t="str">
            <v>du</v>
          </cell>
          <cell r="G2778" t="str">
            <v>composant</v>
          </cell>
          <cell r="H2778" t="str">
            <v>du</v>
          </cell>
          <cell r="I2778" t="str">
            <v>module</v>
          </cell>
        </row>
        <row r="2779">
          <cell r="D2779" t="str">
            <v>du</v>
          </cell>
          <cell r="E2779" t="str">
            <v>niveau standardisé</v>
          </cell>
          <cell r="F2779" t="str">
            <v>du</v>
          </cell>
          <cell r="G2779" t="str">
            <v>composant</v>
          </cell>
          <cell r="H2779" t="str">
            <v>du</v>
          </cell>
          <cell r="I2779" t="str">
            <v>module</v>
          </cell>
        </row>
        <row r="2780">
          <cell r="D2780" t="str">
            <v>du</v>
          </cell>
          <cell r="E2780" t="str">
            <v>typage</v>
          </cell>
          <cell r="F2780" t="str">
            <v>de la</v>
          </cell>
          <cell r="G2780" t="str">
            <v>propriété</v>
          </cell>
          <cell r="H2780" t="str">
            <v xml:space="preserve"> </v>
          </cell>
        </row>
        <row r="2781">
          <cell r="D2781" t="str">
            <v>du</v>
          </cell>
          <cell r="E2781" t="str">
            <v>type</v>
          </cell>
          <cell r="F2781" t="str">
            <v>de la</v>
          </cell>
          <cell r="G2781" t="str">
            <v>formule</v>
          </cell>
          <cell r="H2781" t="str">
            <v xml:space="preserve"> </v>
          </cell>
        </row>
        <row r="2782">
          <cell r="D2782" t="str">
            <v>de l'</v>
          </cell>
          <cell r="E2782" t="str">
            <v>événement</v>
          </cell>
          <cell r="F2782" t="str">
            <v xml:space="preserve"> </v>
          </cell>
        </row>
        <row r="2783">
          <cell r="D2783" t="str">
            <v>de la</v>
          </cell>
          <cell r="E2783" t="str">
            <v>formule</v>
          </cell>
          <cell r="F2783" t="str">
            <v xml:space="preserve"> </v>
          </cell>
        </row>
        <row r="2784">
          <cell r="D2784" t="str">
            <v>de la</v>
          </cell>
          <cell r="E2784" t="str">
            <v>formule fonctionnelle</v>
          </cell>
          <cell r="F2784" t="str">
            <v xml:space="preserve"> </v>
          </cell>
        </row>
        <row r="2785">
          <cell r="D2785" t="str">
            <v>de la</v>
          </cell>
          <cell r="E2785" t="str">
            <v>garantie usuelle</v>
          </cell>
          <cell r="F2785" t="str">
            <v xml:space="preserve"> </v>
          </cell>
        </row>
        <row r="2786">
          <cell r="D2786" t="str">
            <v>du</v>
          </cell>
          <cell r="E2786" t="str">
            <v>composant</v>
          </cell>
          <cell r="F2786" t="str">
            <v xml:space="preserve"> </v>
          </cell>
          <cell r="G2786" t="str">
            <v>initial</v>
          </cell>
        </row>
        <row r="2787">
          <cell r="D2787" t="str">
            <v>du</v>
          </cell>
          <cell r="E2787" t="str">
            <v>niveau</v>
          </cell>
          <cell r="F2787" t="str">
            <v>de la</v>
          </cell>
          <cell r="G2787" t="str">
            <v>formule</v>
          </cell>
        </row>
        <row r="2788">
          <cell r="D2788" t="str">
            <v>de l'</v>
          </cell>
          <cell r="E2788" t="str">
            <v>objet assuré</v>
          </cell>
          <cell r="F2788" t="str">
            <v xml:space="preserve"> </v>
          </cell>
        </row>
        <row r="2789">
          <cell r="D2789" t="str">
            <v>de la</v>
          </cell>
          <cell r="E2789" t="str">
            <v>profondeur</v>
          </cell>
          <cell r="F2789" t="str">
            <v>de la</v>
          </cell>
          <cell r="G2789" t="str">
            <v>référence</v>
          </cell>
          <cell r="H2789" t="str">
            <v>du</v>
          </cell>
          <cell r="I2789" t="str">
            <v>module</v>
          </cell>
        </row>
        <row r="2790">
          <cell r="D2790" t="str">
            <v>du</v>
          </cell>
          <cell r="E2790" t="str">
            <v>chemin</v>
          </cell>
          <cell r="F2790" t="str">
            <v xml:space="preserve"> </v>
          </cell>
        </row>
        <row r="2791">
          <cell r="D2791" t="str">
            <v>du</v>
          </cell>
          <cell r="E2791" t="str">
            <v>chemin</v>
          </cell>
          <cell r="F2791" t="str">
            <v>avec</v>
          </cell>
          <cell r="G2791" t="str">
            <v>module</v>
          </cell>
          <cell r="H2791" t="str">
            <v>et</v>
          </cell>
          <cell r="I2791" t="str">
            <v>événement</v>
          </cell>
        </row>
        <row r="2792">
          <cell r="D2792" t="str">
            <v>du</v>
          </cell>
          <cell r="E2792" t="str">
            <v>module</v>
          </cell>
          <cell r="F2792" t="str">
            <v xml:space="preserve"> </v>
          </cell>
        </row>
        <row r="2793">
          <cell r="D2793" t="str">
            <v>du</v>
          </cell>
          <cell r="E2793" t="str">
            <v>niveau</v>
          </cell>
          <cell r="F2793" t="str">
            <v>d'</v>
          </cell>
          <cell r="G2793" t="str">
            <v>arrêt</v>
          </cell>
          <cell r="H2793" t="str">
            <v>dans l'</v>
          </cell>
          <cell r="I2793" t="str">
            <v>arborescence</v>
          </cell>
        </row>
        <row r="2794">
          <cell r="D2794" t="str">
            <v>du</v>
          </cell>
          <cell r="E2794" t="str">
            <v>niveau</v>
          </cell>
          <cell r="F2794" t="str">
            <v>du</v>
          </cell>
          <cell r="G2794" t="str">
            <v>composant</v>
          </cell>
          <cell r="H2794" t="str">
            <v>du</v>
          </cell>
          <cell r="I2794" t="str">
            <v>module</v>
          </cell>
        </row>
        <row r="2795">
          <cell r="D2795" t="str">
            <v>du</v>
          </cell>
          <cell r="E2795" t="str">
            <v>niveau standardisé</v>
          </cell>
          <cell r="F2795" t="str">
            <v>du</v>
          </cell>
          <cell r="G2795" t="str">
            <v>composant</v>
          </cell>
          <cell r="H2795" t="str">
            <v>du</v>
          </cell>
          <cell r="I2795" t="str">
            <v>module</v>
          </cell>
        </row>
        <row r="2796">
          <cell r="D2796" t="str">
            <v>du</v>
          </cell>
          <cell r="E2796" t="str">
            <v>type</v>
          </cell>
          <cell r="F2796" t="str">
            <v>de la</v>
          </cell>
          <cell r="G2796" t="str">
            <v>formule</v>
          </cell>
          <cell r="H2796" t="str">
            <v xml:space="preserve"> </v>
          </cell>
        </row>
        <row r="2797">
          <cell r="D2797" t="str">
            <v>de l'</v>
          </cell>
          <cell r="E2797" t="str">
            <v>événement</v>
          </cell>
          <cell r="F2797" t="str">
            <v xml:space="preserve"> </v>
          </cell>
        </row>
        <row r="2798">
          <cell r="D2798" t="str">
            <v>de la</v>
          </cell>
          <cell r="E2798" t="str">
            <v>formule</v>
          </cell>
          <cell r="F2798" t="str">
            <v xml:space="preserve"> </v>
          </cell>
        </row>
        <row r="2799">
          <cell r="D2799" t="str">
            <v>de la</v>
          </cell>
          <cell r="E2799" t="str">
            <v>formule fonctionnelle</v>
          </cell>
          <cell r="F2799" t="str">
            <v xml:space="preserve"> </v>
          </cell>
        </row>
        <row r="2800">
          <cell r="D2800" t="str">
            <v>de la</v>
          </cell>
          <cell r="E2800" t="str">
            <v>garantie usuelle</v>
          </cell>
          <cell r="F2800" t="str">
            <v xml:space="preserve"> </v>
          </cell>
        </row>
        <row r="2801">
          <cell r="D2801" t="str">
            <v>du</v>
          </cell>
          <cell r="E2801" t="str">
            <v>composant</v>
          </cell>
          <cell r="F2801" t="str">
            <v xml:space="preserve"> </v>
          </cell>
          <cell r="G2801" t="str">
            <v>initial</v>
          </cell>
        </row>
        <row r="2802">
          <cell r="D2802" t="str">
            <v>du</v>
          </cell>
          <cell r="E2802" t="str">
            <v>niveau</v>
          </cell>
          <cell r="F2802" t="str">
            <v>de la</v>
          </cell>
          <cell r="G2802" t="str">
            <v>formule</v>
          </cell>
        </row>
        <row r="2803">
          <cell r="D2803" t="str">
            <v>du</v>
          </cell>
          <cell r="E2803" t="str">
            <v>comportement</v>
          </cell>
          <cell r="F2803" t="str">
            <v>de la</v>
          </cell>
          <cell r="G2803" t="str">
            <v>propriété</v>
          </cell>
          <cell r="H2803" t="str">
            <v xml:space="preserve"> </v>
          </cell>
        </row>
        <row r="2804">
          <cell r="D2804" t="str">
            <v>du</v>
          </cell>
          <cell r="E2804" t="str">
            <v>typage</v>
          </cell>
          <cell r="F2804" t="str">
            <v>de la</v>
          </cell>
          <cell r="G2804" t="str">
            <v>propriété</v>
          </cell>
          <cell r="H2804" t="str">
            <v xml:space="preserve"> </v>
          </cell>
        </row>
        <row r="2805">
          <cell r="D2805" t="str">
            <v>de l'</v>
          </cell>
          <cell r="E2805" t="str">
            <v>objet assuré</v>
          </cell>
          <cell r="F2805" t="str">
            <v xml:space="preserve"> </v>
          </cell>
        </row>
        <row r="2806">
          <cell r="D2806" t="str">
            <v>de la</v>
          </cell>
          <cell r="E2806" t="str">
            <v>profondeur</v>
          </cell>
          <cell r="F2806" t="str">
            <v>de la</v>
          </cell>
          <cell r="G2806" t="str">
            <v>référence</v>
          </cell>
          <cell r="H2806" t="str">
            <v>du</v>
          </cell>
          <cell r="I2806" t="str">
            <v>module</v>
          </cell>
        </row>
        <row r="2807">
          <cell r="D2807" t="str">
            <v>du</v>
          </cell>
          <cell r="E2807" t="str">
            <v>chemin</v>
          </cell>
          <cell r="F2807" t="str">
            <v xml:space="preserve"> </v>
          </cell>
        </row>
        <row r="2808">
          <cell r="D2808" t="str">
            <v>du</v>
          </cell>
          <cell r="E2808" t="str">
            <v>chemin</v>
          </cell>
          <cell r="F2808" t="str">
            <v>avec</v>
          </cell>
          <cell r="G2808" t="str">
            <v>propriété</v>
          </cell>
          <cell r="H2808" t="str">
            <v>,</v>
          </cell>
          <cell r="I2808" t="str">
            <v>module</v>
          </cell>
        </row>
        <row r="2809">
          <cell r="D2809" t="str">
            <v>du</v>
          </cell>
          <cell r="E2809" t="str">
            <v>chemin</v>
          </cell>
          <cell r="F2809" t="str">
            <v>avec</v>
          </cell>
          <cell r="G2809" t="str">
            <v>module</v>
          </cell>
          <cell r="H2809" t="str">
            <v>et</v>
          </cell>
          <cell r="I2809" t="str">
            <v>événement</v>
          </cell>
        </row>
        <row r="2810">
          <cell r="D2810" t="str">
            <v>du</v>
          </cell>
          <cell r="E2810" t="str">
            <v>chemin</v>
          </cell>
          <cell r="F2810" t="str">
            <v>avec</v>
          </cell>
          <cell r="G2810" t="str">
            <v>propriété</v>
          </cell>
          <cell r="H2810" t="str">
            <v xml:space="preserve"> </v>
          </cell>
        </row>
        <row r="2811">
          <cell r="D2811" t="str">
            <v>du</v>
          </cell>
          <cell r="E2811" t="str">
            <v>comportement</v>
          </cell>
          <cell r="F2811" t="str">
            <v>de la</v>
          </cell>
          <cell r="G2811" t="str">
            <v>propriété</v>
          </cell>
          <cell r="H2811" t="str">
            <v xml:space="preserve"> </v>
          </cell>
        </row>
        <row r="2812">
          <cell r="D2812" t="str">
            <v>du</v>
          </cell>
          <cell r="E2812" t="str">
            <v>module</v>
          </cell>
          <cell r="F2812" t="str">
            <v xml:space="preserve"> </v>
          </cell>
        </row>
        <row r="2813">
          <cell r="D2813" t="str">
            <v>du</v>
          </cell>
          <cell r="E2813" t="str">
            <v>niveau</v>
          </cell>
          <cell r="F2813" t="str">
            <v>d'</v>
          </cell>
          <cell r="G2813" t="str">
            <v>arrêt</v>
          </cell>
          <cell r="H2813" t="str">
            <v>dans l'</v>
          </cell>
          <cell r="I2813" t="str">
            <v>arborescence</v>
          </cell>
        </row>
        <row r="2814">
          <cell r="D2814" t="str">
            <v>du</v>
          </cell>
          <cell r="E2814" t="str">
            <v>niveau</v>
          </cell>
          <cell r="F2814" t="str">
            <v>du</v>
          </cell>
          <cell r="G2814" t="str">
            <v>composant</v>
          </cell>
          <cell r="H2814" t="str">
            <v>du</v>
          </cell>
          <cell r="I2814" t="str">
            <v>module</v>
          </cell>
        </row>
        <row r="2815">
          <cell r="D2815" t="str">
            <v>du</v>
          </cell>
          <cell r="E2815" t="str">
            <v>niveau standardisé</v>
          </cell>
          <cell r="F2815" t="str">
            <v>du</v>
          </cell>
          <cell r="G2815" t="str">
            <v>composant</v>
          </cell>
          <cell r="H2815" t="str">
            <v>du</v>
          </cell>
          <cell r="I2815" t="str">
            <v>module</v>
          </cell>
        </row>
        <row r="2816">
          <cell r="D2816" t="str">
            <v>du</v>
          </cell>
          <cell r="E2816" t="str">
            <v>typage</v>
          </cell>
          <cell r="F2816" t="str">
            <v>de la</v>
          </cell>
          <cell r="G2816" t="str">
            <v>propriété</v>
          </cell>
          <cell r="H2816" t="str">
            <v xml:space="preserve"> </v>
          </cell>
        </row>
        <row r="2817">
          <cell r="D2817" t="str">
            <v>du</v>
          </cell>
          <cell r="E2817" t="str">
            <v>type</v>
          </cell>
          <cell r="F2817" t="str">
            <v>de la</v>
          </cell>
          <cell r="G2817" t="str">
            <v>formule</v>
          </cell>
          <cell r="H2817" t="str">
            <v xml:space="preserve"> </v>
          </cell>
        </row>
        <row r="2818">
          <cell r="D2818" t="str">
            <v>de l'</v>
          </cell>
          <cell r="E2818" t="str">
            <v>événement</v>
          </cell>
          <cell r="F2818" t="str">
            <v xml:space="preserve"> </v>
          </cell>
        </row>
        <row r="2819">
          <cell r="D2819" t="str">
            <v>de la</v>
          </cell>
          <cell r="E2819" t="str">
            <v>formule</v>
          </cell>
          <cell r="F2819" t="str">
            <v xml:space="preserve"> </v>
          </cell>
        </row>
        <row r="2820">
          <cell r="D2820" t="str">
            <v>de la</v>
          </cell>
          <cell r="E2820" t="str">
            <v>formule fonctionnelle</v>
          </cell>
          <cell r="F2820" t="str">
            <v xml:space="preserve"> </v>
          </cell>
        </row>
        <row r="2821">
          <cell r="D2821" t="str">
            <v>de la</v>
          </cell>
          <cell r="E2821" t="str">
            <v>garantie usuelle</v>
          </cell>
          <cell r="F2821" t="str">
            <v xml:space="preserve"> </v>
          </cell>
        </row>
        <row r="2822">
          <cell r="D2822" t="str">
            <v>du</v>
          </cell>
          <cell r="E2822" t="str">
            <v>composant</v>
          </cell>
          <cell r="F2822" t="str">
            <v xml:space="preserve"> </v>
          </cell>
          <cell r="G2822" t="str">
            <v>initial</v>
          </cell>
        </row>
        <row r="2823">
          <cell r="D2823" t="str">
            <v>du</v>
          </cell>
          <cell r="E2823" t="str">
            <v>niveau</v>
          </cell>
          <cell r="F2823" t="str">
            <v>de la</v>
          </cell>
          <cell r="G2823" t="str">
            <v>formule</v>
          </cell>
        </row>
        <row r="2824">
          <cell r="D2824" t="str">
            <v>de l'</v>
          </cell>
          <cell r="E2824" t="str">
            <v>objet assuré</v>
          </cell>
          <cell r="F2824" t="str">
            <v xml:space="preserve"> </v>
          </cell>
        </row>
        <row r="2825">
          <cell r="D2825" t="str">
            <v>de la</v>
          </cell>
          <cell r="E2825" t="str">
            <v>profondeur</v>
          </cell>
          <cell r="F2825" t="str">
            <v>de la</v>
          </cell>
          <cell r="G2825" t="str">
            <v>référence</v>
          </cell>
          <cell r="H2825" t="str">
            <v>du</v>
          </cell>
          <cell r="I2825" t="str">
            <v>module</v>
          </cell>
        </row>
        <row r="2826">
          <cell r="D2826" t="str">
            <v>du</v>
          </cell>
          <cell r="E2826" t="str">
            <v>chemin</v>
          </cell>
          <cell r="F2826" t="str">
            <v xml:space="preserve"> </v>
          </cell>
        </row>
        <row r="2827">
          <cell r="D2827" t="str">
            <v>du</v>
          </cell>
          <cell r="E2827" t="str">
            <v>chemin</v>
          </cell>
          <cell r="F2827" t="str">
            <v>avec</v>
          </cell>
          <cell r="G2827" t="str">
            <v>propriété</v>
          </cell>
          <cell r="H2827" t="str">
            <v>,</v>
          </cell>
          <cell r="I2827" t="str">
            <v>module</v>
          </cell>
        </row>
        <row r="2828">
          <cell r="D2828" t="str">
            <v>du</v>
          </cell>
          <cell r="E2828" t="str">
            <v>chemin</v>
          </cell>
          <cell r="F2828" t="str">
            <v>avec</v>
          </cell>
          <cell r="G2828" t="str">
            <v>module</v>
          </cell>
          <cell r="H2828" t="str">
            <v>et</v>
          </cell>
          <cell r="I2828" t="str">
            <v>événement</v>
          </cell>
        </row>
        <row r="2829">
          <cell r="D2829" t="str">
            <v>du</v>
          </cell>
          <cell r="E2829" t="str">
            <v>chemin</v>
          </cell>
          <cell r="F2829" t="str">
            <v>avec</v>
          </cell>
          <cell r="G2829" t="str">
            <v>propriété</v>
          </cell>
          <cell r="H2829" t="str">
            <v xml:space="preserve"> </v>
          </cell>
        </row>
        <row r="2830">
          <cell r="D2830" t="str">
            <v>du</v>
          </cell>
          <cell r="E2830" t="str">
            <v>module</v>
          </cell>
          <cell r="F2830" t="str">
            <v xml:space="preserve"> </v>
          </cell>
        </row>
        <row r="2831">
          <cell r="D2831" t="str">
            <v>du</v>
          </cell>
          <cell r="E2831" t="str">
            <v>niveau</v>
          </cell>
          <cell r="F2831" t="str">
            <v>d'</v>
          </cell>
          <cell r="G2831" t="str">
            <v>arrêt</v>
          </cell>
          <cell r="H2831" t="str">
            <v>dans l'</v>
          </cell>
          <cell r="I2831" t="str">
            <v>arborescence</v>
          </cell>
        </row>
        <row r="2832">
          <cell r="D2832" t="str">
            <v>du</v>
          </cell>
          <cell r="E2832" t="str">
            <v>niveau</v>
          </cell>
          <cell r="F2832" t="str">
            <v>du</v>
          </cell>
          <cell r="G2832" t="str">
            <v>composant</v>
          </cell>
          <cell r="H2832" t="str">
            <v>du</v>
          </cell>
          <cell r="I2832" t="str">
            <v>module</v>
          </cell>
        </row>
        <row r="2833">
          <cell r="D2833" t="str">
            <v>du</v>
          </cell>
          <cell r="E2833" t="str">
            <v>niveau standardisé</v>
          </cell>
          <cell r="F2833" t="str">
            <v>du</v>
          </cell>
          <cell r="G2833" t="str">
            <v>composant</v>
          </cell>
          <cell r="H2833" t="str">
            <v>du</v>
          </cell>
          <cell r="I2833" t="str">
            <v>module</v>
          </cell>
        </row>
        <row r="2834">
          <cell r="D2834" t="str">
            <v>du</v>
          </cell>
          <cell r="E2834" t="str">
            <v>type</v>
          </cell>
          <cell r="F2834" t="str">
            <v>de la</v>
          </cell>
          <cell r="G2834" t="str">
            <v>formule</v>
          </cell>
          <cell r="H2834" t="str">
            <v xml:space="preserve"> </v>
          </cell>
        </row>
        <row r="2835">
          <cell r="D2835" t="str">
            <v>de l'</v>
          </cell>
          <cell r="E2835" t="str">
            <v>événement</v>
          </cell>
          <cell r="F2835" t="str">
            <v xml:space="preserve"> </v>
          </cell>
        </row>
        <row r="2836">
          <cell r="D2836" t="str">
            <v>de la</v>
          </cell>
          <cell r="E2836" t="str">
            <v>formule</v>
          </cell>
          <cell r="F2836" t="str">
            <v xml:space="preserve"> </v>
          </cell>
        </row>
        <row r="2837">
          <cell r="D2837" t="str">
            <v>de la</v>
          </cell>
          <cell r="E2837" t="str">
            <v>formule fonctionnelle</v>
          </cell>
          <cell r="F2837" t="str">
            <v xml:space="preserve"> </v>
          </cell>
        </row>
        <row r="2838">
          <cell r="D2838" t="str">
            <v>de la</v>
          </cell>
          <cell r="E2838" t="str">
            <v>garantie usuelle</v>
          </cell>
          <cell r="F2838" t="str">
            <v xml:space="preserve"> </v>
          </cell>
        </row>
        <row r="2839">
          <cell r="D2839" t="str">
            <v>du</v>
          </cell>
          <cell r="E2839" t="str">
            <v>composant</v>
          </cell>
          <cell r="F2839" t="str">
            <v xml:space="preserve"> </v>
          </cell>
          <cell r="G2839" t="str">
            <v>initial</v>
          </cell>
        </row>
        <row r="2840">
          <cell r="D2840" t="str">
            <v>de la</v>
          </cell>
          <cell r="E2840" t="str">
            <v>couverture</v>
          </cell>
          <cell r="F2840" t="str">
            <v xml:space="preserve"> </v>
          </cell>
        </row>
        <row r="2841">
          <cell r="D2841" t="str">
            <v>du</v>
          </cell>
          <cell r="E2841" t="str">
            <v>niveau</v>
          </cell>
          <cell r="F2841" t="str">
            <v>de la</v>
          </cell>
          <cell r="G2841" t="str">
            <v>formule</v>
          </cell>
        </row>
        <row r="2842">
          <cell r="D2842" t="str">
            <v>du</v>
          </cell>
          <cell r="E2842" t="str">
            <v>comportement</v>
          </cell>
          <cell r="F2842" t="str">
            <v>de la</v>
          </cell>
          <cell r="G2842" t="str">
            <v>propriété</v>
          </cell>
          <cell r="H2842" t="str">
            <v xml:space="preserve"> </v>
          </cell>
        </row>
        <row r="2843">
          <cell r="D2843" t="str">
            <v>du</v>
          </cell>
          <cell r="E2843" t="str">
            <v>typage</v>
          </cell>
          <cell r="F2843" t="str">
            <v>de la</v>
          </cell>
          <cell r="G2843" t="str">
            <v>propriété</v>
          </cell>
          <cell r="H2843" t="str">
            <v xml:space="preserve"> </v>
          </cell>
        </row>
        <row r="2844">
          <cell r="D2844" t="str">
            <v>de</v>
          </cell>
          <cell r="E2844" t="str">
            <v>dernière image</v>
          </cell>
          <cell r="F2844" t="str">
            <v>du</v>
          </cell>
          <cell r="G2844" t="str">
            <v>code ACTE</v>
          </cell>
          <cell r="H2844" t="str">
            <v xml:space="preserve"> </v>
          </cell>
        </row>
        <row r="2845">
          <cell r="D2845" t="str">
            <v>du</v>
          </cell>
          <cell r="E2845" t="str">
            <v>code ACTE</v>
          </cell>
          <cell r="F2845" t="str">
            <v xml:space="preserve"> </v>
          </cell>
        </row>
        <row r="2846">
          <cell r="D2846" t="str">
            <v>du</v>
          </cell>
          <cell r="E2846" t="str">
            <v>comportement</v>
          </cell>
          <cell r="F2846" t="str">
            <v>de la</v>
          </cell>
          <cell r="G2846" t="str">
            <v>Précision De Couverture</v>
          </cell>
          <cell r="H2846" t="str">
            <v xml:space="preserve"> </v>
          </cell>
        </row>
        <row r="2847">
          <cell r="D2847" t="str">
            <v>de</v>
          </cell>
          <cell r="E2847" t="str">
            <v>Derniere image de l'identifiant unique</v>
          </cell>
          <cell r="F2847" t="str">
            <v>du</v>
          </cell>
          <cell r="G2847" t="str">
            <v>code ACTE</v>
          </cell>
        </row>
        <row r="2848">
          <cell r="D2848" t="str">
            <v>de la</v>
          </cell>
          <cell r="E2848" t="str">
            <v>formule</v>
          </cell>
          <cell r="F2848" t="str">
            <v xml:space="preserve"> </v>
          </cell>
        </row>
        <row r="2849">
          <cell r="D2849" t="str">
            <v>du</v>
          </cell>
          <cell r="E2849" t="str">
            <v>code ACTE</v>
          </cell>
          <cell r="F2849" t="str">
            <v xml:space="preserve"> </v>
          </cell>
        </row>
        <row r="2850">
          <cell r="D2850" t="str">
            <v>du</v>
          </cell>
          <cell r="E2850" t="str">
            <v>code ACTE</v>
          </cell>
          <cell r="F2850" t="str">
            <v xml:space="preserve"> </v>
          </cell>
        </row>
        <row r="2851">
          <cell r="D2851" t="str">
            <v>du</v>
          </cell>
          <cell r="E2851" t="str">
            <v>code ACTE</v>
          </cell>
          <cell r="F2851" t="str">
            <v xml:space="preserve"> </v>
          </cell>
        </row>
        <row r="2852">
          <cell r="D2852" t="str">
            <v>du</v>
          </cell>
          <cell r="E2852" t="str">
            <v>code ACTE</v>
          </cell>
          <cell r="F2852" t="str">
            <v xml:space="preserve"> </v>
          </cell>
        </row>
        <row r="2853">
          <cell r="D2853" t="str">
            <v>de</v>
          </cell>
          <cell r="E2853" t="str">
            <v>Derniere image de l'identifiant unique</v>
          </cell>
          <cell r="F2853" t="str">
            <v>de l'</v>
          </cell>
          <cell r="G2853" t="str">
            <v>événement</v>
          </cell>
        </row>
        <row r="2854">
          <cell r="D2854" t="str">
            <v>de</v>
          </cell>
          <cell r="E2854" t="str">
            <v>dernière image</v>
          </cell>
          <cell r="F2854" t="str">
            <v>de l'</v>
          </cell>
          <cell r="G2854" t="str">
            <v>événement</v>
          </cell>
          <cell r="H2854" t="str">
            <v xml:space="preserve"> </v>
          </cell>
        </row>
        <row r="2855">
          <cell r="D2855" t="str">
            <v>de la</v>
          </cell>
          <cell r="E2855" t="str">
            <v>branche</v>
          </cell>
          <cell r="F2855" t="str">
            <v xml:space="preserve"> </v>
          </cell>
          <cell r="G2855" t="str">
            <v>Produit d'Assurance</v>
          </cell>
          <cell r="H2855" t="str">
            <v xml:space="preserve"> </v>
          </cell>
        </row>
        <row r="2856">
          <cell r="D2856" t="str">
            <v>de l'</v>
          </cell>
          <cell r="E2856" t="str">
            <v>événement</v>
          </cell>
          <cell r="F2856" t="str">
            <v xml:space="preserve"> </v>
          </cell>
        </row>
        <row r="2857">
          <cell r="D2857" t="str">
            <v>de l'</v>
          </cell>
          <cell r="E2857" t="str">
            <v>événement</v>
          </cell>
          <cell r="F2857" t="str">
            <v xml:space="preserve"> </v>
          </cell>
        </row>
        <row r="2858">
          <cell r="D2858" t="str">
            <v>de l'</v>
          </cell>
          <cell r="E2858" t="str">
            <v>événement</v>
          </cell>
          <cell r="F2858" t="str">
            <v xml:space="preserve"> </v>
          </cell>
        </row>
        <row r="2859">
          <cell r="D2859" t="str">
            <v>de l'</v>
          </cell>
          <cell r="E2859" t="str">
            <v>événement</v>
          </cell>
          <cell r="F2859" t="str">
            <v xml:space="preserve"> </v>
          </cell>
        </row>
        <row r="2860">
          <cell r="D2860" t="str">
            <v>de l'</v>
          </cell>
          <cell r="E2860" t="str">
            <v>événement</v>
          </cell>
          <cell r="F2860" t="str">
            <v xml:space="preserve"> </v>
          </cell>
        </row>
        <row r="2861">
          <cell r="D2861" t="str">
            <v>de l'</v>
          </cell>
          <cell r="E2861" t="str">
            <v>événement</v>
          </cell>
          <cell r="F2861" t="str">
            <v xml:space="preserve"> </v>
          </cell>
        </row>
        <row r="2862">
          <cell r="D2862" t="str">
            <v>du</v>
          </cell>
          <cell r="E2862" t="str">
            <v>niveau</v>
          </cell>
          <cell r="F2862" t="str">
            <v>de la</v>
          </cell>
          <cell r="G2862" t="str">
            <v>formule</v>
          </cell>
          <cell r="H2862" t="str">
            <v xml:space="preserve"> </v>
          </cell>
        </row>
        <row r="2863">
          <cell r="D2863" t="str">
            <v>de la</v>
          </cell>
          <cell r="E2863" t="str">
            <v>formule fonctionnelle</v>
          </cell>
          <cell r="F2863" t="str">
            <v xml:space="preserve"> </v>
          </cell>
        </row>
        <row r="2864">
          <cell r="D2864" t="str">
            <v>du</v>
          </cell>
          <cell r="E2864" t="str">
            <v>socle</v>
          </cell>
          <cell r="F2864" t="str">
            <v xml:space="preserve"> </v>
          </cell>
          <cell r="G2864" t="str">
            <v>ACM</v>
          </cell>
          <cell r="H2864" t="str">
            <v>de la</v>
          </cell>
          <cell r="I2864" t="str">
            <v>formule</v>
          </cell>
        </row>
        <row r="2865">
          <cell r="D2865" t="str">
            <v>de la</v>
          </cell>
          <cell r="E2865" t="str">
            <v>formule fonctionnelle</v>
          </cell>
          <cell r="F2865" t="str">
            <v xml:space="preserve"> </v>
          </cell>
        </row>
        <row r="2866">
          <cell r="D2866" t="str">
            <v>du</v>
          </cell>
          <cell r="E2866" t="str">
            <v>socle</v>
          </cell>
          <cell r="F2866" t="str">
            <v xml:space="preserve"> </v>
          </cell>
          <cell r="G2866" t="str">
            <v>CCN</v>
          </cell>
          <cell r="H2866" t="str">
            <v>de la</v>
          </cell>
          <cell r="I2866" t="str">
            <v>formule</v>
          </cell>
        </row>
        <row r="2867">
          <cell r="D2867" t="str">
            <v>du</v>
          </cell>
          <cell r="E2867" t="str">
            <v>niveau standardisé</v>
          </cell>
          <cell r="F2867" t="str">
            <v>de la</v>
          </cell>
          <cell r="G2867" t="str">
            <v>formule</v>
          </cell>
          <cell r="H2867" t="str">
            <v xml:space="preserve"> </v>
          </cell>
        </row>
        <row r="2868">
          <cell r="D2868" t="str">
            <v>du</v>
          </cell>
          <cell r="E2868" t="str">
            <v>type</v>
          </cell>
          <cell r="F2868" t="str">
            <v>de la</v>
          </cell>
          <cell r="G2868" t="str">
            <v>formule</v>
          </cell>
          <cell r="H2868" t="str">
            <v xml:space="preserve"> </v>
          </cell>
        </row>
        <row r="2869">
          <cell r="D2869" t="str">
            <v>de la</v>
          </cell>
          <cell r="E2869" t="str">
            <v>version</v>
          </cell>
          <cell r="F2869" t="str">
            <v>de</v>
          </cell>
          <cell r="G2869" t="str">
            <v>construction</v>
          </cell>
          <cell r="H2869" t="str">
            <v>de la</v>
          </cell>
          <cell r="I2869" t="str">
            <v>formule</v>
          </cell>
        </row>
        <row r="2870">
          <cell r="D2870" t="str">
            <v>de la</v>
          </cell>
          <cell r="E2870" t="str">
            <v>formule</v>
          </cell>
          <cell r="F2870" t="str">
            <v xml:space="preserve"> </v>
          </cell>
        </row>
        <row r="2871">
          <cell r="D2871" t="str">
            <v>du</v>
          </cell>
          <cell r="E2871" t="str">
            <v>statut</v>
          </cell>
          <cell r="F2871" t="str">
            <v>de</v>
          </cell>
          <cell r="G2871" t="str">
            <v>diffusion</v>
          </cell>
        </row>
        <row r="2872">
          <cell r="D2872" t="str">
            <v>du</v>
          </cell>
          <cell r="E2872" t="str">
            <v>typage</v>
          </cell>
          <cell r="F2872" t="str">
            <v>de la</v>
          </cell>
          <cell r="G2872" t="str">
            <v>propriété</v>
          </cell>
          <cell r="H2872" t="str">
            <v xml:space="preserve"> </v>
          </cell>
        </row>
        <row r="2873">
          <cell r="D2873" t="str">
            <v>du</v>
          </cell>
          <cell r="E2873" t="str">
            <v>garantie usuelle</v>
          </cell>
          <cell r="F2873" t="str">
            <v xml:space="preserve"> </v>
          </cell>
        </row>
        <row r="2874">
          <cell r="D2874" t="str">
            <v>de la</v>
          </cell>
          <cell r="E2874" t="str">
            <v>garantie usuelle</v>
          </cell>
          <cell r="F2874" t="str">
            <v xml:space="preserve"> </v>
          </cell>
        </row>
        <row r="2875">
          <cell r="D2875" t="str">
            <v>de</v>
          </cell>
          <cell r="E2875" t="str">
            <v>Derniere image de l'identifiant unique</v>
          </cell>
          <cell r="F2875" t="str">
            <v>des</v>
          </cell>
          <cell r="G2875" t="str">
            <v>garantie</v>
          </cell>
          <cell r="H2875" t="str">
            <v>et</v>
          </cell>
          <cell r="I2875" t="str">
            <v>service</v>
          </cell>
        </row>
        <row r="2876">
          <cell r="D2876" t="str">
            <v>de l'</v>
          </cell>
          <cell r="E2876" t="str">
            <v>objet assuré</v>
          </cell>
          <cell r="F2876" t="str">
            <v xml:space="preserve"> </v>
          </cell>
        </row>
        <row r="2877">
          <cell r="D2877" t="str">
            <v>de la</v>
          </cell>
          <cell r="E2877" t="str">
            <v>profondeur</v>
          </cell>
          <cell r="F2877" t="str">
            <v>de la</v>
          </cell>
          <cell r="G2877" t="str">
            <v>référence</v>
          </cell>
          <cell r="H2877" t="str">
            <v>du</v>
          </cell>
          <cell r="I2877" t="str">
            <v>module</v>
          </cell>
        </row>
        <row r="2878">
          <cell r="D2878" t="str">
            <v>du</v>
          </cell>
          <cell r="E2878" t="str">
            <v>chemin</v>
          </cell>
          <cell r="F2878" t="str">
            <v xml:space="preserve"> </v>
          </cell>
        </row>
        <row r="2879">
          <cell r="D2879" t="str">
            <v>du</v>
          </cell>
          <cell r="E2879" t="str">
            <v>chemin</v>
          </cell>
          <cell r="F2879" t="str">
            <v>avec</v>
          </cell>
          <cell r="G2879" t="str">
            <v>module</v>
          </cell>
          <cell r="H2879" t="str">
            <v>et</v>
          </cell>
          <cell r="I2879" t="str">
            <v>événement</v>
          </cell>
        </row>
        <row r="2880">
          <cell r="D2880" t="str">
            <v>du</v>
          </cell>
          <cell r="E2880" t="str">
            <v>module</v>
          </cell>
          <cell r="F2880" t="str">
            <v xml:space="preserve"> </v>
          </cell>
        </row>
        <row r="2881">
          <cell r="D2881" t="str">
            <v>du</v>
          </cell>
          <cell r="E2881" t="str">
            <v>niveau</v>
          </cell>
          <cell r="F2881" t="str">
            <v>d'</v>
          </cell>
          <cell r="G2881" t="str">
            <v>arrêt</v>
          </cell>
          <cell r="H2881" t="str">
            <v>dans l'</v>
          </cell>
          <cell r="I2881" t="str">
            <v>arborescence</v>
          </cell>
        </row>
        <row r="2882">
          <cell r="D2882" t="str">
            <v>du</v>
          </cell>
          <cell r="E2882" t="str">
            <v>niveau</v>
          </cell>
          <cell r="F2882" t="str">
            <v>du</v>
          </cell>
          <cell r="G2882" t="str">
            <v>composant</v>
          </cell>
          <cell r="H2882" t="str">
            <v>du</v>
          </cell>
          <cell r="I2882" t="str">
            <v>module</v>
          </cell>
        </row>
        <row r="2883">
          <cell r="D2883" t="str">
            <v>du</v>
          </cell>
          <cell r="E2883" t="str">
            <v>niveau standardisé</v>
          </cell>
          <cell r="F2883" t="str">
            <v>du</v>
          </cell>
          <cell r="G2883" t="str">
            <v>composant</v>
          </cell>
          <cell r="H2883" t="str">
            <v>du</v>
          </cell>
          <cell r="I2883" t="str">
            <v>module</v>
          </cell>
        </row>
        <row r="2884">
          <cell r="D2884" t="str">
            <v>de l'</v>
          </cell>
          <cell r="E2884" t="str">
            <v>événement</v>
          </cell>
          <cell r="F2884" t="str">
            <v xml:space="preserve"> </v>
          </cell>
        </row>
        <row r="2885">
          <cell r="D2885" t="str">
            <v>du</v>
          </cell>
          <cell r="E2885" t="str">
            <v>composant</v>
          </cell>
          <cell r="F2885" t="str">
            <v xml:space="preserve"> </v>
          </cell>
          <cell r="G2885" t="str">
            <v>initial</v>
          </cell>
        </row>
        <row r="2886">
          <cell r="D2886" t="str">
            <v>du</v>
          </cell>
          <cell r="E2886" t="str">
            <v>chemin</v>
          </cell>
          <cell r="F2886" t="str">
            <v>avec</v>
          </cell>
          <cell r="G2886" t="str">
            <v>propriété</v>
          </cell>
          <cell r="H2886" t="str">
            <v>,</v>
          </cell>
          <cell r="I2886" t="str">
            <v>module</v>
          </cell>
        </row>
        <row r="2887">
          <cell r="D2887" t="str">
            <v>du</v>
          </cell>
          <cell r="E2887" t="str">
            <v>chemin</v>
          </cell>
          <cell r="F2887" t="str">
            <v>avec</v>
          </cell>
          <cell r="G2887" t="str">
            <v>propriété</v>
          </cell>
          <cell r="H2887" t="str">
            <v xml:space="preserve"> </v>
          </cell>
        </row>
        <row r="2888">
          <cell r="D2888" t="str">
            <v>de</v>
          </cell>
          <cell r="E2888" t="str">
            <v>Derniere image de l'identifiant unique</v>
          </cell>
          <cell r="F2888" t="str">
            <v>des</v>
          </cell>
          <cell r="G2888" t="str">
            <v>garantie</v>
          </cell>
          <cell r="H2888" t="str">
            <v>et</v>
          </cell>
          <cell r="I2888" t="str">
            <v>service</v>
          </cell>
        </row>
        <row r="2889">
          <cell r="D2889" t="str">
            <v>de l'</v>
          </cell>
          <cell r="E2889" t="str">
            <v>objet assuré</v>
          </cell>
          <cell r="F2889" t="str">
            <v xml:space="preserve"> </v>
          </cell>
        </row>
        <row r="2890">
          <cell r="D2890" t="str">
            <v>de la</v>
          </cell>
          <cell r="E2890" t="str">
            <v>profondeur</v>
          </cell>
          <cell r="F2890" t="str">
            <v>de la</v>
          </cell>
          <cell r="G2890" t="str">
            <v>référence</v>
          </cell>
          <cell r="H2890" t="str">
            <v>du</v>
          </cell>
          <cell r="I2890" t="str">
            <v>module</v>
          </cell>
        </row>
        <row r="2891">
          <cell r="D2891" t="str">
            <v>du</v>
          </cell>
          <cell r="E2891" t="str">
            <v>chemin</v>
          </cell>
          <cell r="F2891" t="str">
            <v xml:space="preserve"> </v>
          </cell>
        </row>
        <row r="2892">
          <cell r="D2892" t="str">
            <v>du</v>
          </cell>
          <cell r="E2892" t="str">
            <v>chemin</v>
          </cell>
          <cell r="F2892" t="str">
            <v>avec</v>
          </cell>
          <cell r="G2892" t="str">
            <v>module</v>
          </cell>
          <cell r="H2892" t="str">
            <v>et</v>
          </cell>
          <cell r="I2892" t="str">
            <v>événement</v>
          </cell>
        </row>
        <row r="2893">
          <cell r="D2893" t="str">
            <v>du</v>
          </cell>
          <cell r="E2893" t="str">
            <v>module</v>
          </cell>
          <cell r="F2893" t="str">
            <v xml:space="preserve"> </v>
          </cell>
        </row>
        <row r="2894">
          <cell r="D2894" t="str">
            <v>du</v>
          </cell>
          <cell r="E2894" t="str">
            <v>niveau</v>
          </cell>
          <cell r="F2894" t="str">
            <v>d'</v>
          </cell>
          <cell r="G2894" t="str">
            <v>arrêt</v>
          </cell>
          <cell r="H2894" t="str">
            <v>dans l'</v>
          </cell>
          <cell r="I2894" t="str">
            <v>arborescence</v>
          </cell>
        </row>
        <row r="2895">
          <cell r="D2895" t="str">
            <v>du</v>
          </cell>
          <cell r="E2895" t="str">
            <v>niveau</v>
          </cell>
          <cell r="F2895" t="str">
            <v>du</v>
          </cell>
          <cell r="G2895" t="str">
            <v>composant</v>
          </cell>
          <cell r="H2895" t="str">
            <v>du</v>
          </cell>
          <cell r="I2895" t="str">
            <v>module</v>
          </cell>
        </row>
        <row r="2896">
          <cell r="D2896" t="str">
            <v>du</v>
          </cell>
          <cell r="E2896" t="str">
            <v>niveau standardisé</v>
          </cell>
          <cell r="F2896" t="str">
            <v>du</v>
          </cell>
          <cell r="G2896" t="str">
            <v>composant</v>
          </cell>
          <cell r="H2896" t="str">
            <v>du</v>
          </cell>
          <cell r="I2896" t="str">
            <v>module</v>
          </cell>
        </row>
        <row r="2897">
          <cell r="D2897" t="str">
            <v>de l'</v>
          </cell>
          <cell r="E2897" t="str">
            <v>événement</v>
          </cell>
          <cell r="F2897" t="str">
            <v xml:space="preserve"> </v>
          </cell>
        </row>
        <row r="2898">
          <cell r="D2898" t="str">
            <v>du</v>
          </cell>
          <cell r="E2898" t="str">
            <v>composant</v>
          </cell>
          <cell r="F2898" t="str">
            <v xml:space="preserve"> </v>
          </cell>
          <cell r="G2898" t="str">
            <v>initial</v>
          </cell>
        </row>
        <row r="2899">
          <cell r="D2899" t="str">
            <v>des</v>
          </cell>
          <cell r="E2899" t="str">
            <v>garanties et services</v>
          </cell>
        </row>
        <row r="2900">
          <cell r="D2900" t="str">
            <v>des</v>
          </cell>
          <cell r="E2900" t="str">
            <v>garanties et services</v>
          </cell>
        </row>
        <row r="2901">
          <cell r="D2901" t="str">
            <v>des</v>
          </cell>
          <cell r="E2901" t="str">
            <v>garanties et services</v>
          </cell>
        </row>
        <row r="2902">
          <cell r="D2902" t="str">
            <v>de la</v>
          </cell>
          <cell r="E2902" t="str">
            <v>garantie usuelle</v>
          </cell>
          <cell r="F2902" t="str">
            <v xml:space="preserve"> </v>
          </cell>
        </row>
        <row r="2903">
          <cell r="D2903" t="str">
            <v>du</v>
          </cell>
          <cell r="E2903" t="str">
            <v>type</v>
          </cell>
          <cell r="F2903" t="str">
            <v>de la</v>
          </cell>
          <cell r="G2903" t="str">
            <v>propriété</v>
          </cell>
          <cell r="H2903" t="str">
            <v xml:space="preserve"> </v>
          </cell>
        </row>
        <row r="2904">
          <cell r="D2904" t="str">
            <v>du</v>
          </cell>
          <cell r="E2904" t="str">
            <v>chemin</v>
          </cell>
          <cell r="F2904" t="str">
            <v>de</v>
          </cell>
          <cell r="G2904" t="str">
            <v>regroupement</v>
          </cell>
          <cell r="H2904" t="str">
            <v xml:space="preserve"> </v>
          </cell>
          <cell r="I2904" t="str">
            <v>prise en charge</v>
          </cell>
        </row>
        <row r="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row>
        <row r="2907">
          <cell r="D2907" t="str">
            <v>de la</v>
          </cell>
          <cell r="E2907" t="str">
            <v>fédération</v>
          </cell>
          <cell r="F2907" t="str">
            <v>de la</v>
          </cell>
          <cell r="G2907" t="str">
            <v>société apéritrice</v>
          </cell>
        </row>
        <row r="2908">
          <cell r="D2908" t="str">
            <v>de l'</v>
          </cell>
          <cell r="E2908" t="str">
            <v>entité gestionnaire</v>
          </cell>
          <cell r="F2908" t="str">
            <v>de la</v>
          </cell>
          <cell r="G2908" t="str">
            <v>société apéritrice</v>
          </cell>
        </row>
        <row r="2909">
          <cell r="D2909" t="str">
            <v>de la</v>
          </cell>
          <cell r="E2909" t="str">
            <v>fédération</v>
          </cell>
          <cell r="F2909" t="str">
            <v>de la</v>
          </cell>
          <cell r="G2909" t="str">
            <v>Société d'assurance</v>
          </cell>
        </row>
        <row r="2910">
          <cell r="D2910" t="str">
            <v>de l'</v>
          </cell>
          <cell r="E2910" t="str">
            <v>entité gestionnaire</v>
          </cell>
          <cell r="F2910" t="str">
            <v>de la</v>
          </cell>
          <cell r="G2910" t="str">
            <v>Société d'assurance</v>
          </cell>
        </row>
        <row r="2911">
          <cell r="D2911" t="str">
            <v>de la</v>
          </cell>
          <cell r="E2911" t="str">
            <v>fédération</v>
          </cell>
          <cell r="F2911" t="str">
            <v>de la</v>
          </cell>
          <cell r="G2911" t="str">
            <v>Société de Gestion de la Garantie</v>
          </cell>
        </row>
        <row r="2912">
          <cell r="D2912" t="str">
            <v>de l'</v>
          </cell>
          <cell r="E2912" t="str">
            <v>entité gestionnaire</v>
          </cell>
          <cell r="F2912" t="str">
            <v>de la</v>
          </cell>
          <cell r="G2912" t="str">
            <v>Société de Gestion de la Garantie</v>
          </cell>
        </row>
        <row r="2913">
          <cell r="D2913" t="str">
            <v>de la</v>
          </cell>
          <cell r="E2913" t="str">
            <v>Société d'assurance</v>
          </cell>
        </row>
        <row r="2914">
          <cell r="D2914" t="str">
            <v>de la</v>
          </cell>
          <cell r="E2914" t="str">
            <v>société apéritrice</v>
          </cell>
        </row>
        <row r="2915">
          <cell r="D2915" t="str">
            <v>de la</v>
          </cell>
          <cell r="E2915" t="str">
            <v>Société de Gestion de la Garantie</v>
          </cell>
        </row>
        <row r="2916">
          <cell r="D2916" t="str">
            <v>de la</v>
          </cell>
          <cell r="E2916" t="str">
            <v>Société d'assurance</v>
          </cell>
        </row>
        <row r="2917">
          <cell r="D2917" t="str">
            <v>de la</v>
          </cell>
          <cell r="E2917" t="str">
            <v>Société d'assurance</v>
          </cell>
        </row>
        <row r="2918">
          <cell r="D2918" t="str">
            <v>de la</v>
          </cell>
          <cell r="E2918" t="str">
            <v>Société d'assurance</v>
          </cell>
        </row>
        <row r="2919">
          <cell r="D2919" t="str">
            <v>de la</v>
          </cell>
          <cell r="E2919" t="str">
            <v>société apéritrice</v>
          </cell>
        </row>
        <row r="2920">
          <cell r="D2920" t="str">
            <v>de la</v>
          </cell>
          <cell r="E2920" t="str">
            <v>société apéritrice</v>
          </cell>
        </row>
        <row r="2921">
          <cell r="D2921" t="str">
            <v>de la</v>
          </cell>
          <cell r="E2921" t="str">
            <v>société apéritrice</v>
          </cell>
        </row>
        <row r="2922">
          <cell r="D2922" t="str">
            <v>de la</v>
          </cell>
          <cell r="E2922" t="str">
            <v>Société de Gestion de la Garantie</v>
          </cell>
        </row>
        <row r="2923">
          <cell r="D2923" t="str">
            <v>de la</v>
          </cell>
          <cell r="E2923" t="str">
            <v>Société de Gestion de la Garantie</v>
          </cell>
        </row>
        <row r="2924">
          <cell r="D2924" t="str">
            <v>de la</v>
          </cell>
          <cell r="E2924" t="str">
            <v>Société de Gestion de la Garantie</v>
          </cell>
        </row>
        <row r="2925">
          <cell r="C2925" t="str">
            <v>Comptable</v>
          </cell>
          <cell r="D2925" t="str">
            <v>de la</v>
          </cell>
          <cell r="E2925" t="str">
            <v>Société d'assurance</v>
          </cell>
        </row>
        <row r="2926">
          <cell r="C2926" t="str">
            <v>Comptable</v>
          </cell>
          <cell r="D2926" t="str">
            <v>de la</v>
          </cell>
          <cell r="E2926" t="str">
            <v>société apéritrice</v>
          </cell>
        </row>
        <row r="2927">
          <cell r="D2927" t="str">
            <v>de la</v>
          </cell>
          <cell r="E2927" t="str">
            <v>Société d'assurance</v>
          </cell>
        </row>
        <row r="2928">
          <cell r="D2928" t="str">
            <v>de la</v>
          </cell>
          <cell r="E2928" t="str">
            <v>Société d'assurance</v>
          </cell>
        </row>
        <row r="2929">
          <cell r="D2929" t="str">
            <v>de la</v>
          </cell>
          <cell r="E2929" t="str">
            <v>société apéritrice</v>
          </cell>
        </row>
        <row r="2930">
          <cell r="D2930" t="str">
            <v>de la</v>
          </cell>
          <cell r="E2930" t="str">
            <v>société apéritrice</v>
          </cell>
        </row>
        <row r="2931">
          <cell r="C2931" t="str">
            <v>Comptable</v>
          </cell>
          <cell r="D2931" t="str">
            <v>de la</v>
          </cell>
          <cell r="E2931" t="str">
            <v>Société de Gestion de la Garantie</v>
          </cell>
        </row>
        <row r="2932">
          <cell r="D2932" t="str">
            <v>de la</v>
          </cell>
          <cell r="E2932" t="str">
            <v>Société de Gestion de la Garantie</v>
          </cell>
        </row>
        <row r="2933">
          <cell r="D2933" t="str">
            <v>de la</v>
          </cell>
          <cell r="E2933" t="str">
            <v>Société de Gestion de la Garantie</v>
          </cell>
        </row>
        <row r="2934">
          <cell r="C2934" t="str">
            <v>jour</v>
          </cell>
          <cell r="D2934" t="str">
            <v>dans l'</v>
          </cell>
          <cell r="E2934" t="str">
            <v>année glissante</v>
          </cell>
          <cell r="F2934" t="str">
            <v>suivant la</v>
          </cell>
          <cell r="G2934" t="str">
            <v>date d'arreté</v>
          </cell>
        </row>
        <row r="2935">
          <cell r="C2935" t="str">
            <v>jour de couverture</v>
          </cell>
          <cell r="D2935" t="str">
            <v>de la</v>
          </cell>
          <cell r="E2935" t="str">
            <v>FP existing</v>
          </cell>
        </row>
        <row r="2936">
          <cell r="C2936" t="str">
            <v>jour</v>
          </cell>
          <cell r="D2936" t="str">
            <v>dans l'</v>
          </cell>
          <cell r="E2936" t="str">
            <v>année glissante</v>
          </cell>
          <cell r="F2936" t="str">
            <v>de la</v>
          </cell>
          <cell r="G2936" t="str">
            <v>FP existing</v>
          </cell>
        </row>
        <row r="2937">
          <cell r="C2937" t="str">
            <v>jour de couverture</v>
          </cell>
          <cell r="D2937" t="str">
            <v>de la</v>
          </cell>
          <cell r="E2937" t="str">
            <v>prime future</v>
          </cell>
        </row>
        <row r="2938">
          <cell r="C2938" t="str">
            <v>jour de couverture</v>
          </cell>
          <cell r="D2938" t="str">
            <v>de la</v>
          </cell>
          <cell r="E2938" t="str">
            <v>provision S2</v>
          </cell>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row>
        <row r="2941">
          <cell r="C2941" t="str">
            <v>Dernière image</v>
          </cell>
          <cell r="D2941" t="str">
            <v>de la</v>
          </cell>
          <cell r="E2941" t="str">
            <v>tarification global garantie</v>
          </cell>
        </row>
        <row r="2942">
          <cell r="C2942" t="str">
            <v>Dernière image</v>
          </cell>
          <cell r="D2942" t="str">
            <v>de la</v>
          </cell>
          <cell r="E2942" t="str">
            <v>tarification données spéciales</v>
          </cell>
        </row>
        <row r="2943">
          <cell r="C2943" t="str">
            <v>référence</v>
          </cell>
          <cell r="D2943" t="str">
            <v>de la</v>
          </cell>
          <cell r="E2943" t="str">
            <v>tarification global garantie</v>
          </cell>
        </row>
        <row r="2944">
          <cell r="C2944" t="str">
            <v>fractionnement</v>
          </cell>
          <cell r="D2944" t="str">
            <v>du</v>
          </cell>
          <cell r="E2944" t="str">
            <v>contrat</v>
          </cell>
        </row>
        <row r="2945">
          <cell r="C2945" t="str">
            <v>regroupement</v>
          </cell>
          <cell r="D2945" t="str">
            <v>de l'</v>
          </cell>
          <cell r="E2945" t="str">
            <v>ajustement</v>
          </cell>
          <cell r="F2945" t="str">
            <v>sur la</v>
          </cell>
          <cell r="G2945" t="str">
            <v>tarification global garantie</v>
          </cell>
        </row>
        <row r="2946">
          <cell r="C2946" t="str">
            <v>numéro</v>
          </cell>
          <cell r="D2946" t="str">
            <v>de la</v>
          </cell>
          <cell r="E2946" t="str">
            <v>version de garantie</v>
          </cell>
          <cell r="F2946" t="str">
            <v>de la</v>
          </cell>
          <cell r="G2946" t="str">
            <v>tarification global garantie</v>
          </cell>
        </row>
        <row r="2947">
          <cell r="D2947" t="str">
            <v>du</v>
          </cell>
          <cell r="E2947" t="str">
            <v>choix manuel par défaut</v>
          </cell>
          <cell r="F2947" t="str">
            <v>de l'</v>
          </cell>
          <cell r="G2947" t="str">
            <v>ajustement tarifaire</v>
          </cell>
        </row>
        <row r="2948">
          <cell r="D2948" t="str">
            <v>du</v>
          </cell>
          <cell r="E2948" t="str">
            <v>type de cumul</v>
          </cell>
          <cell r="F2948" t="str">
            <v>de l'</v>
          </cell>
          <cell r="G2948" t="str">
            <v>ajustement tarifaire</v>
          </cell>
        </row>
        <row r="2949">
          <cell r="D2949" t="str">
            <v>du</v>
          </cell>
          <cell r="E2949" t="str">
            <v>motif d'accord</v>
          </cell>
          <cell r="F2949" t="str">
            <v>de l'</v>
          </cell>
          <cell r="G2949" t="str">
            <v>ajustement tarifaire</v>
          </cell>
        </row>
        <row r="2950">
          <cell r="D2950" t="str">
            <v>du</v>
          </cell>
          <cell r="E2950" t="str">
            <v>créateur</v>
          </cell>
          <cell r="F2950" t="str">
            <v>de l'</v>
          </cell>
          <cell r="G2950" t="str">
            <v>ajustement tarifaire</v>
          </cell>
        </row>
        <row r="2951">
          <cell r="D2951" t="str">
            <v>du</v>
          </cell>
          <cell r="E2951" t="str">
            <v>domaine fonctionnel</v>
          </cell>
          <cell r="F2951" t="str">
            <v>de l'</v>
          </cell>
          <cell r="G2951" t="str">
            <v>ajustement tarifaire</v>
          </cell>
        </row>
        <row r="2952">
          <cell r="D2952" t="str">
            <v>du</v>
          </cell>
          <cell r="E2952" t="str">
            <v>type d'application</v>
          </cell>
          <cell r="F2952" t="str">
            <v>de l'</v>
          </cell>
          <cell r="G2952" t="str">
            <v>ajustement tarifaire</v>
          </cell>
        </row>
        <row r="2953">
          <cell r="D2953" t="str">
            <v>de la</v>
          </cell>
          <cell r="E2953" t="str">
            <v>famille produit</v>
          </cell>
          <cell r="F2953" t="str">
            <v>de l'</v>
          </cell>
          <cell r="G2953" t="str">
            <v>ajustement tarifaire</v>
          </cell>
        </row>
        <row r="2954">
          <cell r="D2954" t="str">
            <v>de</v>
          </cell>
          <cell r="E2954" t="str">
            <v>mise à jour</v>
          </cell>
          <cell r="F2954" t="str">
            <v>de l'</v>
          </cell>
          <cell r="G2954" t="str">
            <v>ajustement tarifaire</v>
          </cell>
        </row>
        <row r="2955">
          <cell r="D2955" t="str">
            <v>de la</v>
          </cell>
          <cell r="E2955" t="str">
            <v>forme de la valeur</v>
          </cell>
          <cell r="F2955" t="str">
            <v>de l'</v>
          </cell>
          <cell r="G2955" t="str">
            <v>ajustement tarifaire</v>
          </cell>
        </row>
        <row r="2956">
          <cell r="C2956" t="str">
            <v>actif</v>
          </cell>
          <cell r="D2956" t="str">
            <v>de l'</v>
          </cell>
          <cell r="E2956" t="str">
            <v>ajustement tarifaire</v>
          </cell>
        </row>
        <row r="2957">
          <cell r="D2957" t="str">
            <v>de la</v>
          </cell>
          <cell r="E2957" t="str">
            <v>prime théorique de référence</v>
          </cell>
          <cell r="F2957" t="str">
            <v>pour le</v>
          </cell>
          <cell r="G2957" t="str">
            <v>calcul de la prime future</v>
          </cell>
        </row>
        <row r="2958">
          <cell r="D2958" t="str">
            <v>du</v>
          </cell>
          <cell r="E2958" t="str">
            <v>produit d'assurance</v>
          </cell>
          <cell r="F2958" t="str">
            <v>du</v>
          </cell>
          <cell r="G2958" t="str">
            <v>contrat</v>
          </cell>
          <cell r="H2958" t="str">
            <v>de la</v>
          </cell>
          <cell r="I2958" t="str">
            <v>prime émise non acquise</v>
          </cell>
        </row>
        <row r="2959">
          <cell r="D2959" t="str">
            <v>de l'</v>
          </cell>
          <cell r="E2959" t="str">
            <v>Entité gestionnaire</v>
          </cell>
          <cell r="F2959" t="str">
            <v>du</v>
          </cell>
          <cell r="G2959" t="str">
            <v>contrat</v>
          </cell>
          <cell r="H2959" t="str">
            <v>de la</v>
          </cell>
          <cell r="I2959" t="str">
            <v>prime émise non acquise</v>
          </cell>
        </row>
        <row r="2960">
          <cell r="D2960" t="str">
            <v>de la</v>
          </cell>
          <cell r="E2960" t="str">
            <v>situation</v>
          </cell>
          <cell r="F2960" t="str">
            <v>du</v>
          </cell>
          <cell r="G2960" t="str">
            <v>contrat</v>
          </cell>
          <cell r="H2960" t="str">
            <v>de la</v>
          </cell>
          <cell r="I2960" t="str">
            <v>prime émise non acquise</v>
          </cell>
        </row>
        <row r="2961">
          <cell r="D2961" t="str">
            <v>de la</v>
          </cell>
          <cell r="E2961" t="str">
            <v>prime</v>
          </cell>
          <cell r="F2961" t="str">
            <v>du</v>
          </cell>
          <cell r="G2961" t="str">
            <v>contrat effet futur</v>
          </cell>
        </row>
        <row r="2962">
          <cell r="C2962" t="str">
            <v>TTC</v>
          </cell>
          <cell r="D2962" t="str">
            <v xml:space="preserve"> </v>
          </cell>
          <cell r="E2962" t="str">
            <v>après CRM</v>
          </cell>
          <cell r="F2962" t="str">
            <v>de la</v>
          </cell>
          <cell r="G2962" t="str">
            <v>tarification global contrat</v>
          </cell>
        </row>
        <row r="2963">
          <cell r="C2963" t="str">
            <v>TTC</v>
          </cell>
          <cell r="D2963" t="str">
            <v xml:space="preserve"> </v>
          </cell>
          <cell r="E2963" t="str">
            <v>après CRM légal</v>
          </cell>
          <cell r="F2963" t="str">
            <v>de la</v>
          </cell>
          <cell r="G2963" t="str">
            <v>tarification global contrat</v>
          </cell>
        </row>
        <row r="2964">
          <cell r="C2964" t="str">
            <v>hors taxe</v>
          </cell>
          <cell r="D2964" t="str">
            <v>de la</v>
          </cell>
          <cell r="E2964" t="str">
            <v>cotisation</v>
          </cell>
          <cell r="F2964" t="str">
            <v>de la</v>
          </cell>
          <cell r="G2964" t="str">
            <v>tarification global contrat</v>
          </cell>
        </row>
        <row r="2965">
          <cell r="C2965" t="str">
            <v>TTC</v>
          </cell>
          <cell r="D2965" t="str">
            <v>de la</v>
          </cell>
          <cell r="E2965" t="str">
            <v>cotisation</v>
          </cell>
          <cell r="F2965" t="str">
            <v>de la</v>
          </cell>
          <cell r="G2965" t="str">
            <v>tarification global contrat</v>
          </cell>
        </row>
        <row r="2966">
          <cell r="C2966" t="str">
            <v>TTC</v>
          </cell>
          <cell r="D2966" t="str">
            <v>des</v>
          </cell>
          <cell r="E2966" t="str">
            <v>frais</v>
          </cell>
          <cell r="F2966" t="str">
            <v>de la</v>
          </cell>
          <cell r="G2966" t="str">
            <v>tarification global contrat</v>
          </cell>
        </row>
        <row r="2967">
          <cell r="C2967" t="str">
            <v>TTC</v>
          </cell>
          <cell r="D2967" t="str">
            <v>avec</v>
          </cell>
          <cell r="E2967" t="str">
            <v>frais inclus</v>
          </cell>
          <cell r="F2967" t="str">
            <v>de la</v>
          </cell>
          <cell r="G2967" t="str">
            <v>tarification global contrat</v>
          </cell>
        </row>
        <row r="2968">
          <cell r="C2968" t="str">
            <v>TTC</v>
          </cell>
          <cell r="D2968" t="str">
            <v>de la</v>
          </cell>
          <cell r="E2968" t="str">
            <v>cotisation légale</v>
          </cell>
          <cell r="F2968" t="str">
            <v>de la</v>
          </cell>
          <cell r="G2968" t="str">
            <v>tarification global contrat</v>
          </cell>
        </row>
        <row r="2969">
          <cell r="C2969" t="str">
            <v>TTC</v>
          </cell>
          <cell r="D2969" t="str">
            <v>de la</v>
          </cell>
          <cell r="E2969" t="str">
            <v>cotisation de référence</v>
          </cell>
          <cell r="F2969" t="str">
            <v>de la</v>
          </cell>
          <cell r="G2969" t="str">
            <v>tarification global contrat</v>
          </cell>
        </row>
        <row r="2970">
          <cell r="C2970" t="str">
            <v>TTC</v>
          </cell>
          <cell r="D2970" t="str">
            <v>des</v>
          </cell>
          <cell r="E2970" t="str">
            <v>garanties non soumises au CRM</v>
          </cell>
          <cell r="F2970" t="str">
            <v>de la</v>
          </cell>
          <cell r="G2970" t="str">
            <v>tarification global contrat</v>
          </cell>
        </row>
        <row r="2971">
          <cell r="C2971" t="str">
            <v>calculé</v>
          </cell>
          <cell r="D2971" t="str">
            <v>de l'</v>
          </cell>
          <cell r="E2971" t="str">
            <v>ajustement</v>
          </cell>
          <cell r="F2971" t="str">
            <v>sur la</v>
          </cell>
          <cell r="G2971" t="str">
            <v>tarification global garantie</v>
          </cell>
        </row>
        <row r="2972">
          <cell r="C2972" t="str">
            <v>hors taxe</v>
          </cell>
          <cell r="D2972" t="str">
            <v>de</v>
          </cell>
          <cell r="E2972" t="str">
            <v>garantie</v>
          </cell>
          <cell r="F2972" t="str">
            <v>de la</v>
          </cell>
          <cell r="G2972" t="str">
            <v>tarification global garantie</v>
          </cell>
        </row>
        <row r="2973">
          <cell r="C2973" t="str">
            <v>TTC</v>
          </cell>
          <cell r="D2973" t="str">
            <v>de</v>
          </cell>
          <cell r="E2973" t="str">
            <v>garantie</v>
          </cell>
          <cell r="F2973" t="str">
            <v>de la</v>
          </cell>
          <cell r="G2973" t="str">
            <v>tarification global garantie</v>
          </cell>
        </row>
        <row r="2974">
          <cell r="D2974" t="str">
            <v>de la</v>
          </cell>
          <cell r="E2974" t="str">
            <v>prime théorique de référence</v>
          </cell>
          <cell r="F2974" t="str">
            <v>de la</v>
          </cell>
          <cell r="G2974" t="str">
            <v>FP existing</v>
          </cell>
        </row>
        <row r="2975">
          <cell r="D2975" t="str">
            <v>de</v>
          </cell>
          <cell r="E2975" t="str">
            <v>destination analytique</v>
          </cell>
          <cell r="F2975" t="str">
            <v>de la</v>
          </cell>
          <cell r="G2975" t="str">
            <v>prime émise</v>
          </cell>
        </row>
        <row r="2976">
          <cell r="D2976" t="str">
            <v>du</v>
          </cell>
          <cell r="E2976" t="str">
            <v>contrat</v>
          </cell>
          <cell r="F2976" t="str">
            <v>de la</v>
          </cell>
          <cell r="G2976" t="str">
            <v>prime émise non acquise</v>
          </cell>
          <cell r="H2976" t="str">
            <v>de</v>
          </cell>
          <cell r="I2976" t="str">
            <v>S2</v>
          </cell>
        </row>
        <row r="2977">
          <cell r="D2977" t="str">
            <v>du</v>
          </cell>
          <cell r="E2977" t="str">
            <v>contrat</v>
          </cell>
          <cell r="F2977" t="str">
            <v>de la</v>
          </cell>
          <cell r="G2977" t="str">
            <v>prime émise non acquise</v>
          </cell>
          <cell r="H2977" t="str">
            <v>de</v>
          </cell>
          <cell r="I2977" t="str">
            <v>S2</v>
          </cell>
        </row>
        <row r="2978">
          <cell r="D2978" t="str">
            <v>de la</v>
          </cell>
          <cell r="E2978" t="str">
            <v>tarification</v>
          </cell>
          <cell r="F2978" t="str">
            <v>de la</v>
          </cell>
          <cell r="G2978" t="str">
            <v>prime émise non acquise</v>
          </cell>
          <cell r="H2978" t="str">
            <v>de</v>
          </cell>
          <cell r="I2978" t="str">
            <v>S2</v>
          </cell>
        </row>
        <row r="2979">
          <cell r="D2979" t="str">
            <v>de la</v>
          </cell>
          <cell r="E2979" t="str">
            <v>tarification</v>
          </cell>
          <cell r="F2979" t="str">
            <v>de la</v>
          </cell>
          <cell r="G2979" t="str">
            <v>prime émise non acquise</v>
          </cell>
          <cell r="H2979" t="str">
            <v>de</v>
          </cell>
          <cell r="I2979" t="str">
            <v>S2</v>
          </cell>
        </row>
        <row r="2980">
          <cell r="D2980" t="str">
            <v>du</v>
          </cell>
          <cell r="E2980" t="str">
            <v>calcul des provisions</v>
          </cell>
          <cell r="F2980" t="str">
            <v>de la</v>
          </cell>
          <cell r="G2980" t="str">
            <v>prime émise non acquise</v>
          </cell>
          <cell r="H2980" t="str">
            <v>de</v>
          </cell>
          <cell r="I2980" t="str">
            <v>S2</v>
          </cell>
        </row>
        <row r="2981">
          <cell r="D2981" t="str">
            <v>de la</v>
          </cell>
          <cell r="E2981" t="str">
            <v>Société d'assurance</v>
          </cell>
          <cell r="F2981" t="str">
            <v>de la</v>
          </cell>
          <cell r="G2981" t="str">
            <v>prime émise non acquise</v>
          </cell>
          <cell r="H2981" t="str">
            <v>de</v>
          </cell>
          <cell r="I2981" t="str">
            <v>S2</v>
          </cell>
        </row>
        <row r="2982">
          <cell r="D2982" t="str">
            <v>de la</v>
          </cell>
          <cell r="E2982" t="str">
            <v>Société de Gestion de la Garantie</v>
          </cell>
          <cell r="F2982" t="str">
            <v>de la</v>
          </cell>
          <cell r="G2982" t="str">
            <v>prime émise non acquise</v>
          </cell>
          <cell r="H2982" t="str">
            <v>de</v>
          </cell>
          <cell r="I2982" t="str">
            <v>S2</v>
          </cell>
        </row>
        <row r="2983">
          <cell r="D2983" t="str">
            <v>de la</v>
          </cell>
          <cell r="E2983" t="str">
            <v>version de garantie</v>
          </cell>
          <cell r="F2983" t="str">
            <v>de la</v>
          </cell>
          <cell r="G2983" t="str">
            <v>prime émise non acquise</v>
          </cell>
          <cell r="H2983" t="str">
            <v>de</v>
          </cell>
          <cell r="I2983" t="str">
            <v>S2</v>
          </cell>
        </row>
        <row r="2984">
          <cell r="D2984" t="str">
            <v>de la</v>
          </cell>
          <cell r="E2984" t="str">
            <v>génération</v>
          </cell>
          <cell r="F2984" t="str">
            <v>du</v>
          </cell>
          <cell r="G2984" t="str">
            <v>Produit d'Assurance</v>
          </cell>
          <cell r="H2984" t="str">
            <v>de la</v>
          </cell>
          <cell r="I2984" t="str">
            <v>tarification global contrat</v>
          </cell>
        </row>
        <row r="2985">
          <cell r="D2985" t="str">
            <v>de la</v>
          </cell>
          <cell r="E2985" t="str">
            <v>prime théorique de référence</v>
          </cell>
          <cell r="F2985" t="str">
            <v>de</v>
          </cell>
          <cell r="G2985" t="str">
            <v>provision S2</v>
          </cell>
        </row>
        <row r="2986">
          <cell r="C2986" t="str">
            <v>légal</v>
          </cell>
          <cell r="D2986" t="str">
            <v>du</v>
          </cell>
          <cell r="E2986" t="str">
            <v>taux de taxe</v>
          </cell>
        </row>
        <row r="2987">
          <cell r="C2987" t="str">
            <v>légal</v>
          </cell>
          <cell r="D2987" t="str">
            <v>du</v>
          </cell>
          <cell r="E2987" t="str">
            <v>taux de taxe</v>
          </cell>
        </row>
        <row r="2988">
          <cell r="D2988" t="str">
            <v>de la</v>
          </cell>
          <cell r="E2988" t="str">
            <v>devise</v>
          </cell>
          <cell r="F2988" t="str">
            <v>de la</v>
          </cell>
          <cell r="G2988" t="str">
            <v>tarification</v>
          </cell>
          <cell r="H2988" t="str">
            <v>de la</v>
          </cell>
          <cell r="I2988" t="str">
            <v>prime émise non acquise</v>
          </cell>
        </row>
        <row r="2989">
          <cell r="D2989" t="str">
            <v>des</v>
          </cell>
          <cell r="E2989" t="str">
            <v>données spéciales</v>
          </cell>
          <cell r="F2989" t="str">
            <v>de la</v>
          </cell>
          <cell r="G2989" t="str">
            <v>tarification données spéciales</v>
          </cell>
        </row>
        <row r="2990">
          <cell r="D2990" t="str">
            <v xml:space="preserve"> </v>
          </cell>
          <cell r="E2990" t="str">
            <v>tarif actif</v>
          </cell>
          <cell r="F2990" t="str">
            <v>de la</v>
          </cell>
          <cell r="G2990" t="str">
            <v>tarification global contrat</v>
          </cell>
        </row>
        <row r="2991">
          <cell r="D2991" t="str">
            <v>de la</v>
          </cell>
          <cell r="E2991" t="str">
            <v>commission appliquée</v>
          </cell>
          <cell r="F2991" t="str">
            <v>de la</v>
          </cell>
          <cell r="G2991" t="str">
            <v>tarification global contrat</v>
          </cell>
        </row>
        <row r="2992">
          <cell r="D2992" t="str">
            <v>du</v>
          </cell>
          <cell r="E2992" t="str">
            <v>discriminant</v>
          </cell>
          <cell r="F2992" t="str">
            <v>de la</v>
          </cell>
          <cell r="G2992" t="str">
            <v>tarification global contrat</v>
          </cell>
        </row>
        <row r="2993">
          <cell r="D2993" t="str">
            <v>de la</v>
          </cell>
          <cell r="E2993" t="str">
            <v>version de tarification</v>
          </cell>
          <cell r="F2993" t="str">
            <v>de la</v>
          </cell>
          <cell r="G2993" t="str">
            <v>tarification global contrat</v>
          </cell>
        </row>
        <row r="2994">
          <cell r="D2994" t="str">
            <v>de la</v>
          </cell>
          <cell r="E2994" t="str">
            <v>commission sur tarif appliqué</v>
          </cell>
          <cell r="F2994" t="str">
            <v>de la</v>
          </cell>
          <cell r="G2994" t="str">
            <v>tarification global contrat</v>
          </cell>
        </row>
        <row r="2995">
          <cell r="D2995" t="str">
            <v>du</v>
          </cell>
          <cell r="E2995" t="str">
            <v>barème général</v>
          </cell>
          <cell r="F2995" t="str">
            <v>de la</v>
          </cell>
          <cell r="G2995" t="str">
            <v>tarification global contrat</v>
          </cell>
        </row>
        <row r="2996">
          <cell r="D2996" t="str">
            <v>du</v>
          </cell>
          <cell r="E2996" t="str">
            <v>barème tarification</v>
          </cell>
          <cell r="F2996" t="str">
            <v>de la</v>
          </cell>
          <cell r="G2996" t="str">
            <v>tarification global contrat</v>
          </cell>
        </row>
        <row r="2997">
          <cell r="D2997" t="str">
            <v>de la</v>
          </cell>
          <cell r="E2997" t="str">
            <v>période</v>
          </cell>
          <cell r="F2997" t="str">
            <v>de la</v>
          </cell>
          <cell r="G2997" t="str">
            <v>tarification global contrat</v>
          </cell>
        </row>
        <row r="2998">
          <cell r="D2998" t="str">
            <v>de la</v>
          </cell>
          <cell r="E2998" t="str">
            <v>période</v>
          </cell>
          <cell r="F2998" t="str">
            <v>de la</v>
          </cell>
          <cell r="G2998" t="str">
            <v>tarification global contrat</v>
          </cell>
        </row>
        <row r="2999">
          <cell r="D2999" t="str">
            <v>de l'</v>
          </cell>
          <cell r="E2999" t="str">
            <v>échéance</v>
          </cell>
          <cell r="F2999" t="str">
            <v>de la</v>
          </cell>
          <cell r="G2999" t="str">
            <v>tarification global contrat</v>
          </cell>
        </row>
        <row r="3000">
          <cell r="D3000" t="str">
            <v>du</v>
          </cell>
          <cell r="E3000" t="str">
            <v>cadre fiscal</v>
          </cell>
          <cell r="F3000" t="str">
            <v>de la</v>
          </cell>
          <cell r="G3000" t="str">
            <v>tarification global contrat</v>
          </cell>
        </row>
        <row r="3001">
          <cell r="D3001" t="str">
            <v>de</v>
          </cell>
          <cell r="E3001" t="str">
            <v>référence objet</v>
          </cell>
          <cell r="F3001" t="str">
            <v>de la</v>
          </cell>
          <cell r="G3001" t="str">
            <v>tarification global contrat</v>
          </cell>
        </row>
        <row r="3002">
          <cell r="D3002" t="str">
            <v>du</v>
          </cell>
          <cell r="E3002" t="str">
            <v>type d'opération</v>
          </cell>
          <cell r="F3002" t="str">
            <v>sur la</v>
          </cell>
          <cell r="G3002" t="str">
            <v>tarification global contrat</v>
          </cell>
        </row>
        <row r="3003">
          <cell r="D3003" t="str">
            <v>du</v>
          </cell>
          <cell r="E3003" t="str">
            <v>CRM</v>
          </cell>
          <cell r="F3003" t="str">
            <v>de la</v>
          </cell>
          <cell r="G3003" t="str">
            <v>tarification global garantie</v>
          </cell>
        </row>
        <row r="3004">
          <cell r="D3004" t="str">
            <v>d'</v>
          </cell>
          <cell r="E3004" t="str">
            <v>exonération taxe</v>
          </cell>
          <cell r="F3004" t="str">
            <v>de la</v>
          </cell>
          <cell r="G3004" t="str">
            <v>tarification global garantie</v>
          </cell>
        </row>
        <row r="3005">
          <cell r="D3005" t="str">
            <v>d'</v>
          </cell>
          <cell r="E3005" t="str">
            <v>ajustement</v>
          </cell>
          <cell r="F3005" t="str">
            <v>sur la</v>
          </cell>
          <cell r="G3005" t="str">
            <v>tarification global garantie</v>
          </cell>
        </row>
        <row r="3006">
          <cell r="D3006" t="str">
            <v>de la</v>
          </cell>
          <cell r="E3006" t="str">
            <v>dégressivité</v>
          </cell>
          <cell r="F3006" t="str">
            <v>sur la</v>
          </cell>
          <cell r="G3006" t="str">
            <v>tarification global garantie</v>
          </cell>
        </row>
        <row r="3007">
          <cell r="D3007" t="str">
            <v>de la</v>
          </cell>
          <cell r="E3007" t="str">
            <v>commission interne</v>
          </cell>
          <cell r="F3007" t="str">
            <v>de la</v>
          </cell>
          <cell r="G3007" t="str">
            <v>tarification global garantie</v>
          </cell>
        </row>
        <row r="3008">
          <cell r="D3008" t="str">
            <v>de la</v>
          </cell>
          <cell r="E3008" t="str">
            <v>commission externe</v>
          </cell>
          <cell r="F3008" t="str">
            <v>de la</v>
          </cell>
          <cell r="G3008" t="str">
            <v>tarification global garantie</v>
          </cell>
        </row>
        <row r="3009">
          <cell r="D3009" t="str">
            <v>d'</v>
          </cell>
          <cell r="E3009" t="str">
            <v>ajustement</v>
          </cell>
          <cell r="F3009" t="str">
            <v>sur la</v>
          </cell>
          <cell r="G3009" t="str">
            <v>tarification global garantie</v>
          </cell>
        </row>
        <row r="3010">
          <cell r="D3010" t="str">
            <v>de</v>
          </cell>
          <cell r="E3010" t="str">
            <v>taxe</v>
          </cell>
          <cell r="F3010" t="str">
            <v>sur la</v>
          </cell>
          <cell r="G3010" t="str">
            <v>tarification global garantie</v>
          </cell>
        </row>
        <row r="3011">
          <cell r="D3011" t="str">
            <v xml:space="preserve"> </v>
          </cell>
          <cell r="E3011" t="str">
            <v>après chargement</v>
          </cell>
          <cell r="F3011" t="str">
            <v>de la</v>
          </cell>
          <cell r="G3011" t="str">
            <v>tarification global garantie</v>
          </cell>
        </row>
        <row r="3012">
          <cell r="D3012" t="str">
            <v>de la</v>
          </cell>
          <cell r="E3012" t="str">
            <v>commission calculée</v>
          </cell>
          <cell r="F3012" t="str">
            <v>de la</v>
          </cell>
          <cell r="G3012" t="str">
            <v>tarification global garantie</v>
          </cell>
        </row>
        <row r="3013">
          <cell r="D3013" t="str">
            <v xml:space="preserve"> </v>
          </cell>
          <cell r="E3013" t="str">
            <v>issu du barème</v>
          </cell>
          <cell r="F3013" t="str">
            <v>de la</v>
          </cell>
          <cell r="G3013" t="str">
            <v>tarification global garantie</v>
          </cell>
        </row>
        <row r="3014">
          <cell r="D3014" t="str">
            <v>de la</v>
          </cell>
          <cell r="E3014" t="str">
            <v>taxe</v>
          </cell>
          <cell r="F3014" t="str">
            <v>de la</v>
          </cell>
          <cell r="G3014" t="str">
            <v>tarification global garantie</v>
          </cell>
        </row>
        <row r="3015">
          <cell r="D3015" t="str">
            <v>de</v>
          </cell>
          <cell r="E3015" t="str">
            <v>taxe</v>
          </cell>
          <cell r="F3015" t="str">
            <v>de la</v>
          </cell>
          <cell r="G3015" t="str">
            <v>tarification global garantie</v>
          </cell>
        </row>
        <row r="3016">
          <cell r="D3016" t="str">
            <v>de l'</v>
          </cell>
          <cell r="E3016" t="str">
            <v>ajustement</v>
          </cell>
          <cell r="F3016" t="str">
            <v>sur la</v>
          </cell>
          <cell r="G3016" t="str">
            <v>tarification global garantie</v>
          </cell>
        </row>
        <row r="3017">
          <cell r="D3017" t="str">
            <v>de l'</v>
          </cell>
          <cell r="E3017" t="str">
            <v>ajustement</v>
          </cell>
          <cell r="F3017" t="str">
            <v>sur la</v>
          </cell>
          <cell r="G3017" t="str">
            <v>tarification global garantie</v>
          </cell>
        </row>
        <row r="3018">
          <cell r="D3018" t="str">
            <v>de l'</v>
          </cell>
          <cell r="E3018" t="str">
            <v>ajustement</v>
          </cell>
          <cell r="F3018" t="str">
            <v>sur la</v>
          </cell>
          <cell r="G3018" t="str">
            <v>tarification global garantie</v>
          </cell>
        </row>
        <row r="3019">
          <cell r="D3019" t="str">
            <v>de la</v>
          </cell>
          <cell r="E3019" t="str">
            <v>concaténation des références d'ajustement</v>
          </cell>
          <cell r="F3019" t="str">
            <v>sur la</v>
          </cell>
          <cell r="G3019" t="str">
            <v>tarification global garantie</v>
          </cell>
        </row>
        <row r="3020">
          <cell r="D3020" t="str">
            <v>de la</v>
          </cell>
          <cell r="E3020" t="str">
            <v>concaténation des identifiants de taxe</v>
          </cell>
          <cell r="F3020" t="str">
            <v>de la</v>
          </cell>
          <cell r="G3020" t="str">
            <v>tarification global garantie</v>
          </cell>
        </row>
        <row r="3021">
          <cell r="D3021" t="str">
            <v>du</v>
          </cell>
          <cell r="E3021" t="str">
            <v>taux de taxe</v>
          </cell>
          <cell r="F3021" t="str">
            <v>de la</v>
          </cell>
          <cell r="G3021" t="str">
            <v>tarification global garantie</v>
          </cell>
        </row>
        <row r="3022">
          <cell r="D3022" t="str">
            <v>du</v>
          </cell>
          <cell r="E3022" t="str">
            <v>type de référence</v>
          </cell>
          <cell r="F3022" t="str">
            <v>de la</v>
          </cell>
          <cell r="G3022" t="str">
            <v>tarification global garantie</v>
          </cell>
        </row>
        <row r="3023">
          <cell r="D3023" t="str">
            <v>de la</v>
          </cell>
          <cell r="E3023" t="str">
            <v>taxe</v>
          </cell>
          <cell r="F3023" t="str">
            <v>de la</v>
          </cell>
          <cell r="G3023" t="str">
            <v>tarification global garantie</v>
          </cell>
        </row>
        <row r="3024">
          <cell r="D3024" t="str">
            <v>de la</v>
          </cell>
          <cell r="E3024" t="str">
            <v>garantie</v>
          </cell>
          <cell r="F3024" t="str">
            <v>de la</v>
          </cell>
          <cell r="G3024" t="str">
            <v>tarification global garantie</v>
          </cell>
        </row>
        <row r="3025">
          <cell r="D3025" t="str">
            <v>de la</v>
          </cell>
          <cell r="E3025" t="str">
            <v>version de garantie</v>
          </cell>
          <cell r="F3025" t="str">
            <v>de la</v>
          </cell>
          <cell r="G3025" t="str">
            <v>tarification global garantie</v>
          </cell>
        </row>
        <row r="3026">
          <cell r="D3026" t="str">
            <v xml:space="preserve"> </v>
          </cell>
          <cell r="E3026" t="str">
            <v>ER</v>
          </cell>
          <cell r="F3026" t="str">
            <v>du</v>
          </cell>
          <cell r="G3026" t="str">
            <v>taux de taxe</v>
          </cell>
        </row>
        <row r="3027">
          <cell r="D3027" t="str">
            <v>de la</v>
          </cell>
          <cell r="E3027" t="str">
            <v>tarification global contrat</v>
          </cell>
        </row>
        <row r="3028">
          <cell r="D3028" t="str">
            <v>de la</v>
          </cell>
          <cell r="E3028" t="str">
            <v>tarification global garantie</v>
          </cell>
        </row>
        <row r="3029">
          <cell r="D3029" t="str">
            <v>de la</v>
          </cell>
          <cell r="E3029" t="str">
            <v>tarification données spéciales</v>
          </cell>
        </row>
        <row r="3030">
          <cell r="D3030" t="str">
            <v>de la</v>
          </cell>
          <cell r="E3030" t="str">
            <v>taxe</v>
          </cell>
        </row>
        <row r="3031">
          <cell r="D3031" t="str">
            <v>de la</v>
          </cell>
          <cell r="E3031" t="str">
            <v>tarification global contrat</v>
          </cell>
        </row>
        <row r="3032">
          <cell r="D3032" t="str">
            <v>de la</v>
          </cell>
          <cell r="E3032" t="str">
            <v>tarification global garantie</v>
          </cell>
        </row>
        <row r="3033">
          <cell r="D3033" t="str">
            <v>de l'</v>
          </cell>
          <cell r="E3033" t="str">
            <v>ajustement tarifaire</v>
          </cell>
        </row>
        <row r="3034">
          <cell r="D3034" t="str">
            <v>de la</v>
          </cell>
          <cell r="E3034" t="str">
            <v>tarification données spéciales</v>
          </cell>
        </row>
        <row r="3035">
          <cell r="D3035" t="str">
            <v>de la</v>
          </cell>
          <cell r="E3035" t="str">
            <v>taxe</v>
          </cell>
        </row>
        <row r="3036">
          <cell r="D3036" t="str">
            <v>de la</v>
          </cell>
          <cell r="E3036" t="str">
            <v>FP existing</v>
          </cell>
        </row>
        <row r="3037">
          <cell r="D3037" t="str">
            <v>des</v>
          </cell>
          <cell r="E3037" t="str">
            <v>provision S2</v>
          </cell>
        </row>
        <row r="3038">
          <cell r="D3038" t="str">
            <v>de la</v>
          </cell>
          <cell r="E3038" t="str">
            <v>tarification données spéciales</v>
          </cell>
        </row>
        <row r="3039">
          <cell r="C3039" t="str">
            <v>objet</v>
          </cell>
          <cell r="D3039" t="str">
            <v>de la</v>
          </cell>
          <cell r="E3039" t="str">
            <v>tarification global contrat</v>
          </cell>
        </row>
        <row r="3040">
          <cell r="D3040" t="str">
            <v>de la</v>
          </cell>
          <cell r="E3040" t="str">
            <v>tarification global contrat</v>
          </cell>
        </row>
        <row r="3041">
          <cell r="D3041" t="str">
            <v>de la</v>
          </cell>
          <cell r="E3041" t="str">
            <v>tarification global contrat</v>
          </cell>
        </row>
        <row r="3042">
          <cell r="D3042" t="str">
            <v>de la</v>
          </cell>
          <cell r="E3042" t="str">
            <v>tarification global garantie</v>
          </cell>
        </row>
        <row r="3043">
          <cell r="D3043" t="str">
            <v>de la</v>
          </cell>
          <cell r="E3043" t="str">
            <v>tarification global garantie</v>
          </cell>
        </row>
        <row r="3044">
          <cell r="D3044" t="str">
            <v>de l'</v>
          </cell>
          <cell r="E3044" t="str">
            <v>ajustement tarifaire</v>
          </cell>
        </row>
        <row r="3045">
          <cell r="D3045" t="str">
            <v>de l'</v>
          </cell>
          <cell r="E3045" t="str">
            <v>ajustement tarifaire</v>
          </cell>
        </row>
        <row r="3046">
          <cell r="D3046" t="str">
            <v>du</v>
          </cell>
          <cell r="E3046" t="str">
            <v>taux de taxe</v>
          </cell>
        </row>
        <row r="3047">
          <cell r="D3047" t="str">
            <v>du</v>
          </cell>
          <cell r="E3047" t="str">
            <v>taux de taxe</v>
          </cell>
        </row>
        <row r="3048">
          <cell r="D3048" t="str">
            <v>de la</v>
          </cell>
          <cell r="E3048" t="str">
            <v>tarification données spéciales</v>
          </cell>
        </row>
        <row r="3049">
          <cell r="D3049" t="str">
            <v>de la</v>
          </cell>
          <cell r="E3049" t="str">
            <v>tarification données spéciales</v>
          </cell>
        </row>
        <row r="3050">
          <cell r="D3050" t="str">
            <v>du</v>
          </cell>
          <cell r="E3050" t="str">
            <v>LOB</v>
          </cell>
        </row>
        <row r="3051">
          <cell r="D3051" t="str">
            <v>de l'</v>
          </cell>
          <cell r="E3051" t="str">
            <v>ajustement tarifaire</v>
          </cell>
        </row>
        <row r="3052">
          <cell r="D3052" t="str">
            <v>du</v>
          </cell>
          <cell r="E3052" t="str">
            <v>taux de taxe</v>
          </cell>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D3056" t="str">
            <v>du</v>
          </cell>
          <cell r="E3056" t="str">
            <v>sous LOB</v>
          </cell>
        </row>
        <row r="3057">
          <cell r="D3057" t="str">
            <v>du</v>
          </cell>
          <cell r="E3057" t="str">
            <v>type</v>
          </cell>
          <cell r="F3057" t="str">
            <v>de</v>
          </cell>
          <cell r="G3057" t="str">
            <v>cotisation</v>
          </cell>
        </row>
        <row r="3058">
          <cell r="D3058" t="str">
            <v>de la</v>
          </cell>
          <cell r="E3058" t="str">
            <v>taxe</v>
          </cell>
        </row>
        <row r="3059">
          <cell r="D3059" t="str">
            <v>de</v>
          </cell>
          <cell r="E3059" t="str">
            <v>Date de fin</v>
          </cell>
          <cell r="F3059" t="str">
            <v>de l'</v>
          </cell>
          <cell r="G3059" t="str">
            <v>Année</v>
          </cell>
        </row>
        <row r="3060">
          <cell r="D3060" t="str">
            <v>de</v>
          </cell>
          <cell r="E3060" t="str">
            <v>Date de début</v>
          </cell>
          <cell r="F3060" t="str">
            <v>de l'</v>
          </cell>
          <cell r="G3060" t="str">
            <v>Année</v>
          </cell>
        </row>
        <row r="3061">
          <cell r="D3061" t="str">
            <v>du</v>
          </cell>
          <cell r="E3061" t="str">
            <v>Jour</v>
          </cell>
          <cell r="F3061" t="str">
            <v>de l'</v>
          </cell>
          <cell r="G3061" t="str">
            <v>année</v>
          </cell>
        </row>
        <row r="3062">
          <cell r="D3062" t="str">
            <v>de</v>
          </cell>
          <cell r="E3062" t="str">
            <v>Jours restant</v>
          </cell>
          <cell r="F3062" t="str">
            <v>de l'</v>
          </cell>
          <cell r="G3062" t="str">
            <v>Année</v>
          </cell>
        </row>
        <row r="3063">
          <cell r="D3063" t="str">
            <v>de la</v>
          </cell>
          <cell r="E3063" t="str">
            <v>Période calendaire</v>
          </cell>
          <cell r="F3063" t="str">
            <v>de l'</v>
          </cell>
          <cell r="G3063" t="str">
            <v>Année précédente</v>
          </cell>
        </row>
        <row r="3064">
          <cell r="D3064" t="str">
            <v>de la</v>
          </cell>
          <cell r="E3064" t="str">
            <v>Période calendaire</v>
          </cell>
          <cell r="F3064" t="str">
            <v>de l'</v>
          </cell>
          <cell r="G3064" t="str">
            <v>Année précédente</v>
          </cell>
        </row>
        <row r="3065">
          <cell r="D3065" t="str">
            <v>de la</v>
          </cell>
          <cell r="E3065" t="str">
            <v>Période calendaire</v>
          </cell>
          <cell r="F3065" t="str">
            <v>de l'</v>
          </cell>
          <cell r="G3065" t="str">
            <v>Année précédente</v>
          </cell>
        </row>
        <row r="3066">
          <cell r="D3066" t="str">
            <v>de la</v>
          </cell>
          <cell r="E3066" t="str">
            <v>Période calendaire</v>
          </cell>
          <cell r="F3066" t="str">
            <v>de l'</v>
          </cell>
          <cell r="G3066" t="str">
            <v>Année suivante</v>
          </cell>
        </row>
        <row r="3067">
          <cell r="D3067" t="str">
            <v>de la</v>
          </cell>
          <cell r="E3067" t="str">
            <v>Période calendaire</v>
          </cell>
          <cell r="F3067" t="str">
            <v>de l'</v>
          </cell>
          <cell r="G3067" t="str">
            <v>Année suivante</v>
          </cell>
        </row>
        <row r="3068">
          <cell r="D3068" t="str">
            <v>de la</v>
          </cell>
          <cell r="E3068" t="str">
            <v>Période calendaire</v>
          </cell>
          <cell r="F3068" t="str">
            <v>de l'</v>
          </cell>
          <cell r="G3068" t="str">
            <v>Année suivante</v>
          </cell>
        </row>
        <row r="3069">
          <cell r="C3069" t="str">
            <v>jour férié</v>
          </cell>
          <cell r="D3069" t="str">
            <v>de la</v>
          </cell>
          <cell r="E3069" t="str">
            <v xml:space="preserve">Date </v>
          </cell>
        </row>
        <row r="3070">
          <cell r="C3070" t="str">
            <v>jour ouvré</v>
          </cell>
          <cell r="D3070" t="str">
            <v>de la</v>
          </cell>
          <cell r="E3070" t="str">
            <v xml:space="preserve">Date </v>
          </cell>
        </row>
        <row r="3071">
          <cell r="C3071" t="str">
            <v>jour ouvrable</v>
          </cell>
          <cell r="D3071" t="str">
            <v>de la</v>
          </cell>
          <cell r="E3071" t="str">
            <v xml:space="preserve">Date </v>
          </cell>
        </row>
        <row r="3072">
          <cell r="C3072" t="str">
            <v>Fin</v>
          </cell>
          <cell r="D3072" t="str">
            <v>du</v>
          </cell>
          <cell r="E3072" t="str">
            <v>mois</v>
          </cell>
          <cell r="F3072" t="str">
            <v>de la</v>
          </cell>
          <cell r="G3072" t="str">
            <v>Période calendaire</v>
          </cell>
        </row>
        <row r="3073">
          <cell r="C3073" t="str">
            <v>Fin</v>
          </cell>
          <cell r="D3073" t="str">
            <v>du</v>
          </cell>
          <cell r="E3073" t="str">
            <v>Trimestre</v>
          </cell>
          <cell r="F3073" t="str">
            <v>de la</v>
          </cell>
          <cell r="G3073" t="str">
            <v>Période calendaire</v>
          </cell>
        </row>
        <row r="3074">
          <cell r="C3074" t="str">
            <v>Fin</v>
          </cell>
          <cell r="D3074" t="str">
            <v>du</v>
          </cell>
          <cell r="E3074" t="str">
            <v>semestre</v>
          </cell>
          <cell r="F3074" t="str">
            <v>de la</v>
          </cell>
          <cell r="G3074" t="str">
            <v>Période calendaire</v>
          </cell>
        </row>
        <row r="3075">
          <cell r="C3075" t="str">
            <v>Fin</v>
          </cell>
          <cell r="D3075" t="str">
            <v>de la</v>
          </cell>
          <cell r="E3075" t="str">
            <v>semaine</v>
          </cell>
          <cell r="F3075" t="str">
            <v>de la</v>
          </cell>
          <cell r="G3075" t="str">
            <v>Période calendaire</v>
          </cell>
        </row>
        <row r="3076">
          <cell r="C3076" t="str">
            <v>Fin</v>
          </cell>
          <cell r="D3076" t="str">
            <v>de l'</v>
          </cell>
          <cell r="E3076" t="str">
            <v>année</v>
          </cell>
          <cell r="F3076" t="str">
            <v>de la</v>
          </cell>
          <cell r="G3076" t="str">
            <v>Période calendaire</v>
          </cell>
        </row>
        <row r="3077">
          <cell r="C3077" t="str">
            <v>ISO</v>
          </cell>
          <cell r="D3077" t="str">
            <v>du</v>
          </cell>
          <cell r="E3077" t="str">
            <v>Jour</v>
          </cell>
        </row>
        <row r="3078">
          <cell r="C3078" t="str">
            <v>ISO</v>
          </cell>
          <cell r="D3078" t="str">
            <v>de la</v>
          </cell>
          <cell r="E3078" t="str">
            <v>semaine</v>
          </cell>
        </row>
        <row r="3079">
          <cell r="C3079" t="str">
            <v>SAS</v>
          </cell>
          <cell r="D3079" t="str">
            <v>de la</v>
          </cell>
          <cell r="E3079" t="str">
            <v>semaine</v>
          </cell>
        </row>
        <row r="3080">
          <cell r="C3080" t="str">
            <v>ISO</v>
          </cell>
          <cell r="D3080" t="str">
            <v>de</v>
          </cell>
          <cell r="E3080" t="str">
            <v>Année</v>
          </cell>
          <cell r="G3080" t="str">
            <v>mois</v>
          </cell>
        </row>
        <row r="3081">
          <cell r="C3081" t="str">
            <v>ISO</v>
          </cell>
          <cell r="D3081" t="str">
            <v>de la</v>
          </cell>
          <cell r="E3081" t="str">
            <v>semaine</v>
          </cell>
          <cell r="F3081" t="str">
            <v>et</v>
          </cell>
          <cell r="G3081" t="str">
            <v>année</v>
          </cell>
        </row>
        <row r="3082">
          <cell r="D3082" t="str">
            <v>de</v>
          </cell>
          <cell r="E3082" t="str">
            <v>Date de fin</v>
          </cell>
          <cell r="F3082" t="str">
            <v>du</v>
          </cell>
          <cell r="G3082" t="str">
            <v>mois</v>
          </cell>
        </row>
        <row r="3083">
          <cell r="D3083" t="str">
            <v>de</v>
          </cell>
          <cell r="E3083" t="str">
            <v>Date de début</v>
          </cell>
          <cell r="F3083" t="str">
            <v>du</v>
          </cell>
          <cell r="G3083" t="str">
            <v>mois</v>
          </cell>
        </row>
        <row r="3084">
          <cell r="D3084" t="str">
            <v>du</v>
          </cell>
          <cell r="E3084" t="str">
            <v>Jour</v>
          </cell>
          <cell r="F3084" t="str">
            <v>du</v>
          </cell>
          <cell r="G3084" t="str">
            <v>mois</v>
          </cell>
        </row>
        <row r="3085">
          <cell r="D3085" t="str">
            <v>de</v>
          </cell>
          <cell r="E3085" t="str">
            <v>Jours restant</v>
          </cell>
          <cell r="F3085" t="str">
            <v>du</v>
          </cell>
          <cell r="G3085" t="str">
            <v>mois</v>
          </cell>
        </row>
        <row r="3086">
          <cell r="D3086" t="str">
            <v>de</v>
          </cell>
          <cell r="E3086" t="str">
            <v>Année</v>
          </cell>
          <cell r="G3086" t="str">
            <v>mois</v>
          </cell>
        </row>
        <row r="3087">
          <cell r="D3087" t="str">
            <v>de</v>
          </cell>
          <cell r="E3087" t="str">
            <v>Jour</v>
          </cell>
          <cell r="F3087" t="str">
            <v>de la</v>
          </cell>
          <cell r="G3087" t="str">
            <v>Période calendaire</v>
          </cell>
        </row>
        <row r="3088">
          <cell r="D3088" t="str">
            <v>du</v>
          </cell>
          <cell r="E3088" t="str">
            <v>mois</v>
          </cell>
          <cell r="F3088" t="str">
            <v>de la</v>
          </cell>
          <cell r="G3088" t="str">
            <v>Période calendaire</v>
          </cell>
        </row>
        <row r="3089">
          <cell r="D3089" t="str">
            <v>du</v>
          </cell>
          <cell r="E3089" t="str">
            <v>Trimestre</v>
          </cell>
          <cell r="F3089" t="str">
            <v>de la</v>
          </cell>
          <cell r="G3089" t="str">
            <v>Période calendaire</v>
          </cell>
        </row>
        <row r="3090">
          <cell r="D3090" t="str">
            <v>du</v>
          </cell>
          <cell r="E3090" t="str">
            <v>semestre</v>
          </cell>
          <cell r="F3090" t="str">
            <v>de la</v>
          </cell>
          <cell r="G3090" t="str">
            <v>Période calendaire</v>
          </cell>
        </row>
        <row r="3091">
          <cell r="D3091" t="str">
            <v>de la</v>
          </cell>
          <cell r="E3091" t="str">
            <v>semaine</v>
          </cell>
          <cell r="F3091" t="str">
            <v>de la</v>
          </cell>
          <cell r="G3091" t="str">
            <v>Période calendaire</v>
          </cell>
        </row>
        <row r="3092">
          <cell r="D3092" t="str">
            <v>de l'</v>
          </cell>
          <cell r="E3092" t="str">
            <v>année</v>
          </cell>
          <cell r="F3092" t="str">
            <v>de la</v>
          </cell>
          <cell r="G3092" t="str">
            <v>Période calendaire</v>
          </cell>
        </row>
        <row r="3093">
          <cell r="D3093" t="str">
            <v>de</v>
          </cell>
          <cell r="E3093" t="str">
            <v>Date de fin</v>
          </cell>
          <cell r="F3093" t="str">
            <v>de</v>
          </cell>
          <cell r="G3093" t="str">
            <v>semaine</v>
          </cell>
        </row>
        <row r="3094">
          <cell r="D3094" t="str">
            <v>de</v>
          </cell>
          <cell r="E3094" t="str">
            <v>Date de début</v>
          </cell>
          <cell r="F3094" t="str">
            <v>de</v>
          </cell>
          <cell r="G3094" t="str">
            <v>semaine</v>
          </cell>
        </row>
        <row r="3095">
          <cell r="D3095" t="str">
            <v>du</v>
          </cell>
          <cell r="E3095" t="str">
            <v>Jour</v>
          </cell>
          <cell r="F3095" t="str">
            <v>de la</v>
          </cell>
          <cell r="G3095" t="str">
            <v>semaine</v>
          </cell>
        </row>
        <row r="3096">
          <cell r="D3096" t="str">
            <v>de</v>
          </cell>
          <cell r="E3096" t="str">
            <v>Date de fin</v>
          </cell>
          <cell r="F3096" t="str">
            <v>du</v>
          </cell>
          <cell r="G3096" t="str">
            <v>Semestre</v>
          </cell>
        </row>
        <row r="3097">
          <cell r="D3097" t="str">
            <v>de</v>
          </cell>
          <cell r="E3097" t="str">
            <v>Date de début</v>
          </cell>
          <cell r="F3097" t="str">
            <v>du</v>
          </cell>
          <cell r="G3097" t="str">
            <v>Semestre</v>
          </cell>
        </row>
        <row r="3098">
          <cell r="D3098" t="str">
            <v>de</v>
          </cell>
          <cell r="E3098" t="str">
            <v>Date de fin</v>
          </cell>
          <cell r="F3098" t="str">
            <v>du</v>
          </cell>
          <cell r="G3098" t="str">
            <v>Trimestre</v>
          </cell>
        </row>
        <row r="3099">
          <cell r="D3099" t="str">
            <v>de</v>
          </cell>
          <cell r="E3099" t="str">
            <v>Date de début</v>
          </cell>
          <cell r="F3099" t="str">
            <v>du</v>
          </cell>
          <cell r="G3099" t="str">
            <v>Trimestre</v>
          </cell>
        </row>
        <row r="3100">
          <cell r="D3100" t="str">
            <v>de la</v>
          </cell>
          <cell r="E3100" t="str">
            <v xml:space="preserve">Date </v>
          </cell>
        </row>
        <row r="3101">
          <cell r="D3101" t="str">
            <v>de la</v>
          </cell>
          <cell r="E3101" t="str">
            <v xml:space="preserve">Date </v>
          </cell>
        </row>
        <row r="3102">
          <cell r="D3102" t="str">
            <v>de la</v>
          </cell>
          <cell r="E3102" t="str">
            <v>Demi-journée</v>
          </cell>
        </row>
        <row r="3103">
          <cell r="D3103" t="str">
            <v>de la</v>
          </cell>
          <cell r="E3103" t="str">
            <v>Demi heure</v>
          </cell>
        </row>
        <row r="3104">
          <cell r="D3104" t="str">
            <v>de l'</v>
          </cell>
          <cell r="E3104" t="str">
            <v>Heure</v>
          </cell>
        </row>
        <row r="3105">
          <cell r="D3105" t="str">
            <v>des</v>
          </cell>
          <cell r="E3105" t="str">
            <v>Minute</v>
          </cell>
        </row>
        <row r="3106">
          <cell r="D3106" t="str">
            <v>du</v>
          </cell>
          <cell r="E3106" t="str">
            <v>mois</v>
          </cell>
        </row>
        <row r="3107">
          <cell r="D3107" t="str">
            <v>du</v>
          </cell>
          <cell r="E3107" t="str">
            <v>Jour suivant</v>
          </cell>
        </row>
        <row r="3108">
          <cell r="D3108" t="str">
            <v>du</v>
          </cell>
          <cell r="E3108" t="str">
            <v>Jour suivant</v>
          </cell>
        </row>
        <row r="3109">
          <cell r="D3109" t="str">
            <v>du</v>
          </cell>
          <cell r="E3109" t="str">
            <v>Jour précédent</v>
          </cell>
        </row>
        <row r="3110">
          <cell r="D3110" t="str">
            <v>du</v>
          </cell>
          <cell r="E3110" t="str">
            <v>Jour précédent</v>
          </cell>
        </row>
        <row r="3111">
          <cell r="D3111" t="str">
            <v>du</v>
          </cell>
          <cell r="E3111" t="str">
            <v>trimestre</v>
          </cell>
        </row>
        <row r="3112">
          <cell r="D3112" t="str">
            <v>du</v>
          </cell>
          <cell r="E3112" t="str">
            <v>Quart de journée</v>
          </cell>
        </row>
        <row r="3113">
          <cell r="D3113" t="str">
            <v>du</v>
          </cell>
          <cell r="E3113" t="str">
            <v>Quart d'heure</v>
          </cell>
        </row>
        <row r="3114">
          <cell r="D3114" t="str">
            <v>du</v>
          </cell>
          <cell r="E3114" t="str">
            <v>semestre</v>
          </cell>
        </row>
        <row r="3115">
          <cell r="D3115" t="str">
            <v>de la</v>
          </cell>
          <cell r="E3115" t="str">
            <v>semaine</v>
          </cell>
        </row>
        <row r="3116">
          <cell r="D3116" t="str">
            <v>de l'</v>
          </cell>
          <cell r="E3116" t="str">
            <v>Année</v>
          </cell>
        </row>
        <row r="3117">
          <cell r="D3117" t="str">
            <v>du</v>
          </cell>
          <cell r="E3117" t="str">
            <v>Calendrier</v>
          </cell>
        </row>
        <row r="3118">
          <cell r="D3118" t="str">
            <v>de la</v>
          </cell>
          <cell r="E3118" t="str">
            <v xml:space="preserve">Date </v>
          </cell>
        </row>
        <row r="3119">
          <cell r="D3119" t="str">
            <v>de la</v>
          </cell>
          <cell r="E3119" t="str">
            <v>Période calendaire</v>
          </cell>
        </row>
        <row r="3120">
          <cell r="D3120" t="str">
            <v>de la</v>
          </cell>
          <cell r="E3120" t="str">
            <v>période calendaire suivante</v>
          </cell>
        </row>
        <row r="3121">
          <cell r="D3121" t="str">
            <v>de la</v>
          </cell>
          <cell r="E3121" t="str">
            <v>période calendaire précédente</v>
          </cell>
        </row>
        <row r="3122">
          <cell r="D3122" t="str">
            <v>de la</v>
          </cell>
          <cell r="E3122" t="str">
            <v xml:space="preserve">Date </v>
          </cell>
        </row>
        <row r="3123">
          <cell r="D3123" t="str">
            <v>de la</v>
          </cell>
          <cell r="E3123" t="str">
            <v>Période calendaire</v>
          </cell>
        </row>
        <row r="3124">
          <cell r="D3124" t="str">
            <v>de la</v>
          </cell>
          <cell r="E3124" t="str">
            <v>Période calendaire</v>
          </cell>
        </row>
        <row r="3125">
          <cell r="D3125" t="str">
            <v>du</v>
          </cell>
          <cell r="E3125" t="str">
            <v>mois</v>
          </cell>
        </row>
        <row r="3126">
          <cell r="D3126" t="str">
            <v>du</v>
          </cell>
          <cell r="E3126" t="str">
            <v>mois</v>
          </cell>
        </row>
        <row r="3127">
          <cell r="D3127" t="str">
            <v>de la</v>
          </cell>
          <cell r="E3127" t="str">
            <v>période calendaire suivante</v>
          </cell>
        </row>
        <row r="3128">
          <cell r="D3128" t="str">
            <v>de la</v>
          </cell>
          <cell r="E3128" t="str">
            <v>période calendaire suivante</v>
          </cell>
        </row>
        <row r="3129">
          <cell r="D3129" t="str">
            <v>du</v>
          </cell>
          <cell r="E3129" t="str">
            <v>Jour suivant</v>
          </cell>
        </row>
        <row r="3130">
          <cell r="D3130" t="str">
            <v>du</v>
          </cell>
          <cell r="E3130" t="str">
            <v>mois suivant</v>
          </cell>
        </row>
        <row r="3131">
          <cell r="D3131" t="str">
            <v>de la</v>
          </cell>
          <cell r="E3131" t="str">
            <v>semaine suivante</v>
          </cell>
        </row>
        <row r="3132">
          <cell r="D3132" t="str">
            <v>de l'</v>
          </cell>
          <cell r="E3132" t="str">
            <v>Année suivante</v>
          </cell>
        </row>
        <row r="3133">
          <cell r="D3133" t="str">
            <v>de la</v>
          </cell>
          <cell r="E3133" t="str">
            <v>période calendaire précédente</v>
          </cell>
        </row>
        <row r="3134">
          <cell r="D3134" t="str">
            <v>de la</v>
          </cell>
          <cell r="E3134" t="str">
            <v>période calendaire précédente</v>
          </cell>
        </row>
        <row r="3135">
          <cell r="D3135" t="str">
            <v>du</v>
          </cell>
          <cell r="E3135" t="str">
            <v>Jour précédent</v>
          </cell>
        </row>
        <row r="3136">
          <cell r="D3136" t="str">
            <v>du</v>
          </cell>
          <cell r="E3136" t="str">
            <v>mois précédent</v>
          </cell>
        </row>
        <row r="3137">
          <cell r="D3137" t="str">
            <v>du</v>
          </cell>
          <cell r="E3137" t="str">
            <v>mois précédent</v>
          </cell>
        </row>
        <row r="3138">
          <cell r="D3138" t="str">
            <v>du</v>
          </cell>
          <cell r="E3138" t="str">
            <v>mois précédent</v>
          </cell>
        </row>
        <row r="3139">
          <cell r="D3139" t="str">
            <v>du</v>
          </cell>
          <cell r="E3139" t="str">
            <v>trimestre précédent</v>
          </cell>
        </row>
        <row r="3140">
          <cell r="D3140" t="str">
            <v>du</v>
          </cell>
          <cell r="E3140" t="str">
            <v>trimestre précédent</v>
          </cell>
        </row>
        <row r="3141">
          <cell r="D3141" t="str">
            <v>du</v>
          </cell>
          <cell r="E3141" t="str">
            <v>semestre précédent</v>
          </cell>
        </row>
        <row r="3142">
          <cell r="D3142" t="str">
            <v>du</v>
          </cell>
          <cell r="E3142" t="str">
            <v>semestre précédent</v>
          </cell>
        </row>
        <row r="3143">
          <cell r="D3143" t="str">
            <v>de la</v>
          </cell>
          <cell r="E3143" t="str">
            <v>semaine précédente</v>
          </cell>
        </row>
        <row r="3144">
          <cell r="D3144" t="str">
            <v>de l'</v>
          </cell>
          <cell r="E3144" t="str">
            <v>Année précédente</v>
          </cell>
        </row>
        <row r="3145">
          <cell r="D3145" t="str">
            <v>de l'</v>
          </cell>
          <cell r="E3145" t="str">
            <v>Horaire</v>
          </cell>
        </row>
        <row r="3146">
          <cell r="D3146" t="str">
            <v>de la</v>
          </cell>
          <cell r="E3146" t="str">
            <v>semaine</v>
          </cell>
        </row>
        <row r="3147">
          <cell r="D3147" t="str">
            <v>de la</v>
          </cell>
          <cell r="E3147" t="str">
            <v>semaine</v>
          </cell>
        </row>
        <row r="3148">
          <cell r="D3148" t="str">
            <v>du</v>
          </cell>
          <cell r="E3148" t="str">
            <v>Calendrier</v>
          </cell>
        </row>
        <row r="3149">
          <cell r="D3149" t="str">
            <v>du</v>
          </cell>
          <cell r="E3149" t="str">
            <v>Calendrier</v>
          </cell>
        </row>
        <row r="3150">
          <cell r="D3150" t="str">
            <v>du</v>
          </cell>
          <cell r="E3150" t="str">
            <v>Pays</v>
          </cell>
        </row>
        <row r="3151">
          <cell r="D3151" t="str">
            <v>de la</v>
          </cell>
          <cell r="E3151" t="str">
            <v>Période calendaire</v>
          </cell>
        </row>
        <row r="3152">
          <cell r="D3152" t="str">
            <v>de la</v>
          </cell>
          <cell r="E3152" t="str">
            <v>Période calendaire</v>
          </cell>
        </row>
        <row r="3153">
          <cell r="D3153" t="str">
            <v>de la</v>
          </cell>
          <cell r="E3153" t="str">
            <v>Période calendaire</v>
          </cell>
        </row>
        <row r="3154">
          <cell r="D3154" t="str">
            <v>de</v>
          </cell>
          <cell r="E3154" t="str">
            <v>Regroupement de la période calendaire</v>
          </cell>
        </row>
        <row r="3155">
          <cell r="D3155" t="str">
            <v>du</v>
          </cell>
          <cell r="E3155" t="str">
            <v>Jour férié</v>
          </cell>
        </row>
        <row r="3156">
          <cell r="C3156" t="str">
            <v>Dernière image</v>
          </cell>
          <cell r="D3156" t="str">
            <v>de la</v>
          </cell>
          <cell r="E3156" t="str">
            <v>relation entre tiers</v>
          </cell>
        </row>
        <row r="3157">
          <cell r="C3157" t="str">
            <v>Dernière image</v>
          </cell>
          <cell r="D3157" t="str">
            <v>du</v>
          </cell>
          <cell r="E3157" t="str">
            <v>tiers</v>
          </cell>
        </row>
        <row r="3158">
          <cell r="C3158" t="str">
            <v>Dernière image</v>
          </cell>
          <cell r="D3158" t="str">
            <v>des</v>
          </cell>
          <cell r="E3158" t="str">
            <v>données personnelles</v>
          </cell>
          <cell r="F3158" t="str">
            <v>du</v>
          </cell>
          <cell r="G3158" t="str">
            <v>tiers</v>
          </cell>
        </row>
        <row r="3159">
          <cell r="C3159" t="str">
            <v>Dernière image</v>
          </cell>
          <cell r="D3159" t="str">
            <v>du</v>
          </cell>
          <cell r="E3159" t="str">
            <v>tiers personne morale</v>
          </cell>
        </row>
        <row r="3160">
          <cell r="C3160" t="str">
            <v>Dernière image</v>
          </cell>
          <cell r="D3160" t="str">
            <v>du</v>
          </cell>
          <cell r="E3160" t="str">
            <v>tiers personne physique</v>
          </cell>
        </row>
        <row r="3161">
          <cell r="C3161" t="str">
            <v>Dernière image</v>
          </cell>
          <cell r="D3161" t="str">
            <v>des</v>
          </cell>
          <cell r="E3161" t="str">
            <v>données personnelles</v>
          </cell>
          <cell r="F3161" t="str">
            <v>du</v>
          </cell>
          <cell r="G3161" t="str">
            <v>tiers personne physique</v>
          </cell>
        </row>
        <row r="3162">
          <cell r="C3162" t="str">
            <v>guichet</v>
          </cell>
          <cell r="D3162" t="str">
            <v>de la</v>
          </cell>
          <cell r="E3162" t="str">
            <v>relation commerciale</v>
          </cell>
        </row>
        <row r="3163">
          <cell r="C3163" t="str">
            <v>bureau</v>
          </cell>
          <cell r="D3163" t="str">
            <v>de la</v>
          </cell>
          <cell r="E3163" t="str">
            <v>relation commerciale</v>
          </cell>
        </row>
        <row r="3164">
          <cell r="C3164" t="str">
            <v>première affectation</v>
          </cell>
          <cell r="D3164" t="str">
            <v>à un</v>
          </cell>
          <cell r="E3164" t="str">
            <v>portefeuille</v>
          </cell>
          <cell r="F3164" t="str">
            <v>de la</v>
          </cell>
          <cell r="G3164" t="str">
            <v>fédération</v>
          </cell>
        </row>
        <row r="3165">
          <cell r="C3165" t="str">
            <v>pays</v>
          </cell>
          <cell r="D3165" t="str">
            <v>de l'</v>
          </cell>
          <cell r="E3165" t="str">
            <v>adresse</v>
          </cell>
        </row>
        <row r="3166">
          <cell r="C3166" t="str">
            <v>pays</v>
          </cell>
          <cell r="D3166" t="str">
            <v>de</v>
          </cell>
          <cell r="E3166" t="str">
            <v>travailleur frontalier</v>
          </cell>
        </row>
        <row r="3167">
          <cell r="C3167" t="str">
            <v>pays</v>
          </cell>
          <cell r="D3167" t="str">
            <v>du</v>
          </cell>
          <cell r="E3167" t="str">
            <v>contrat</v>
          </cell>
        </row>
        <row r="3168">
          <cell r="C3168" t="str">
            <v>langue</v>
          </cell>
          <cell r="D3168" t="str">
            <v>du</v>
          </cell>
          <cell r="E3168" t="str">
            <v>contrat</v>
          </cell>
        </row>
        <row r="3169">
          <cell r="C3169" t="str">
            <v>certification</v>
          </cell>
          <cell r="D3169" t="str">
            <v>du</v>
          </cell>
          <cell r="E3169" t="str">
            <v>mail</v>
          </cell>
        </row>
        <row r="3170">
          <cell r="C3170" t="str">
            <v>connaissance</v>
          </cell>
          <cell r="D3170" t="str">
            <v>du</v>
          </cell>
          <cell r="E3170" t="str">
            <v>mail</v>
          </cell>
        </row>
        <row r="3171">
          <cell r="C3171" t="str">
            <v>certification</v>
          </cell>
          <cell r="D3171" t="str">
            <v>du</v>
          </cell>
          <cell r="E3171" t="str">
            <v>téléphone fixe</v>
          </cell>
        </row>
        <row r="3172">
          <cell r="C3172" t="str">
            <v>connaissance</v>
          </cell>
          <cell r="D3172" t="str">
            <v>du</v>
          </cell>
          <cell r="E3172" t="str">
            <v>téléphone fixe</v>
          </cell>
        </row>
        <row r="3173">
          <cell r="C3173" t="str">
            <v>pays</v>
          </cell>
          <cell r="D3173" t="str">
            <v>de</v>
          </cell>
          <cell r="E3173" t="str">
            <v>nationalité</v>
          </cell>
        </row>
        <row r="3174">
          <cell r="C3174" t="str">
            <v>naissance</v>
          </cell>
          <cell r="D3174" t="str">
            <v>du</v>
          </cell>
          <cell r="E3174" t="str">
            <v>mois</v>
          </cell>
          <cell r="F3174" t="str">
            <v>de l'</v>
          </cell>
          <cell r="G3174" t="str">
            <v>année</v>
          </cell>
        </row>
        <row r="3175">
          <cell r="C3175" t="str">
            <v>décès</v>
          </cell>
          <cell r="D3175" t="str">
            <v>du</v>
          </cell>
          <cell r="E3175" t="str">
            <v>mois</v>
          </cell>
          <cell r="F3175" t="str">
            <v>de l'</v>
          </cell>
          <cell r="G3175" t="str">
            <v>année</v>
          </cell>
        </row>
        <row r="3176">
          <cell r="D3176" t="str">
            <v>du</v>
          </cell>
          <cell r="E3176" t="str">
            <v>mois</v>
          </cell>
          <cell r="F3176" t="str">
            <v>de</v>
          </cell>
          <cell r="G3176" t="str">
            <v>décès</v>
          </cell>
        </row>
        <row r="3177">
          <cell r="D3177" t="str">
            <v xml:space="preserve"> </v>
          </cell>
          <cell r="E3177" t="str">
            <v>interlocuteur privilégié</v>
          </cell>
          <cell r="F3177" t="str">
            <v>de l'</v>
          </cell>
          <cell r="G3177" t="str">
            <v>employeur</v>
          </cell>
        </row>
        <row r="3178">
          <cell r="D3178" t="str">
            <v>de la</v>
          </cell>
          <cell r="E3178" t="str">
            <v>raison sociale</v>
          </cell>
          <cell r="F3178" t="str">
            <v>de l'</v>
          </cell>
          <cell r="G3178" t="str">
            <v>employeur</v>
          </cell>
        </row>
        <row r="3179">
          <cell r="D3179" t="str">
            <v>du</v>
          </cell>
          <cell r="E3179" t="str">
            <v>tiers personne physique propriétaire</v>
          </cell>
          <cell r="F3179" t="str">
            <v>de l'</v>
          </cell>
          <cell r="G3179" t="str">
            <v>entreprise individuelle</v>
          </cell>
        </row>
        <row r="3180">
          <cell r="D3180" t="str">
            <v>du</v>
          </cell>
          <cell r="E3180" t="str">
            <v>motif</v>
          </cell>
          <cell r="F3180" t="str">
            <v>de l'</v>
          </cell>
          <cell r="G3180" t="str">
            <v>état</v>
          </cell>
          <cell r="H3180" t="str">
            <v>de la</v>
          </cell>
          <cell r="I3180" t="str">
            <v>relation entre tiers</v>
          </cell>
        </row>
        <row r="3181">
          <cell r="D3181" t="str">
            <v>du</v>
          </cell>
          <cell r="E3181" t="str">
            <v>mode de contact</v>
          </cell>
          <cell r="F3181" t="str">
            <v>à</v>
          </cell>
          <cell r="G3181" t="str">
            <v>exclure</v>
          </cell>
        </row>
        <row r="3182">
          <cell r="D3182" t="str">
            <v>du</v>
          </cell>
          <cell r="E3182" t="str">
            <v>mode de contact</v>
          </cell>
          <cell r="F3182" t="str">
            <v>à</v>
          </cell>
          <cell r="G3182" t="str">
            <v>exclure</v>
          </cell>
        </row>
        <row r="3183">
          <cell r="D3183" t="str">
            <v>de</v>
          </cell>
          <cell r="E3183" t="str">
            <v>tiers interlocuteur privilégié</v>
          </cell>
          <cell r="F3183" t="str">
            <v>du</v>
          </cell>
          <cell r="G3183" t="str">
            <v>groupe de clients</v>
          </cell>
        </row>
        <row r="3184">
          <cell r="D3184" t="str">
            <v>du</v>
          </cell>
          <cell r="E3184" t="str">
            <v>sous-type</v>
          </cell>
          <cell r="F3184" t="str">
            <v>du</v>
          </cell>
          <cell r="G3184" t="str">
            <v>groupe de clients</v>
          </cell>
        </row>
        <row r="3185">
          <cell r="D3185" t="str">
            <v>du</v>
          </cell>
          <cell r="E3185" t="str">
            <v>tiers interlocuteur privilégié</v>
          </cell>
          <cell r="F3185" t="str">
            <v>du</v>
          </cell>
          <cell r="G3185" t="str">
            <v>groupe de clients</v>
          </cell>
        </row>
        <row r="3186">
          <cell r="D3186" t="str">
            <v>du</v>
          </cell>
          <cell r="E3186" t="str">
            <v>type</v>
          </cell>
          <cell r="F3186" t="str">
            <v>du</v>
          </cell>
          <cell r="G3186" t="str">
            <v>groupe de clients</v>
          </cell>
        </row>
        <row r="3187">
          <cell r="D3187" t="str">
            <v>du</v>
          </cell>
          <cell r="E3187" t="str">
            <v>type</v>
          </cell>
          <cell r="F3187" t="str">
            <v>du</v>
          </cell>
          <cell r="G3187" t="str">
            <v>groupe de clients</v>
          </cell>
        </row>
        <row r="3188">
          <cell r="D3188" t="str">
            <v>de</v>
          </cell>
          <cell r="E3188" t="str">
            <v>téléphone fixe</v>
          </cell>
          <cell r="G3188" t="str">
            <v>international</v>
          </cell>
        </row>
        <row r="3189">
          <cell r="D3189" t="str">
            <v>de</v>
          </cell>
          <cell r="E3189" t="str">
            <v>téléphone professionnel</v>
          </cell>
          <cell r="G3189" t="str">
            <v>international</v>
          </cell>
        </row>
        <row r="3190">
          <cell r="D3190" t="str">
            <v>de</v>
          </cell>
          <cell r="E3190" t="str">
            <v>téléphone portable</v>
          </cell>
          <cell r="G3190" t="str">
            <v>international</v>
          </cell>
        </row>
        <row r="3191">
          <cell r="D3191" t="str">
            <v>de</v>
          </cell>
          <cell r="E3191" t="str">
            <v>détention des actions</v>
          </cell>
          <cell r="F3191" t="str">
            <v>après</v>
          </cell>
          <cell r="G3191" t="str">
            <v>modification de l'actionnariat</v>
          </cell>
        </row>
        <row r="3192">
          <cell r="D3192" t="str">
            <v>du</v>
          </cell>
          <cell r="E3192" t="str">
            <v>jour</v>
          </cell>
          <cell r="F3192" t="str">
            <v>et</v>
          </cell>
          <cell r="G3192" t="str">
            <v>mois</v>
          </cell>
          <cell r="H3192" t="str">
            <v>de</v>
          </cell>
          <cell r="I3192" t="str">
            <v>clôture comptable</v>
          </cell>
        </row>
        <row r="3193">
          <cell r="D3193" t="str">
            <v>du</v>
          </cell>
          <cell r="E3193" t="str">
            <v>jour</v>
          </cell>
          <cell r="F3193" t="str">
            <v>et</v>
          </cell>
          <cell r="G3193" t="str">
            <v>mois</v>
          </cell>
          <cell r="H3193" t="str">
            <v>de l'</v>
          </cell>
          <cell r="I3193" t="str">
            <v>assemblée générale</v>
          </cell>
        </row>
        <row r="3194">
          <cell r="D3194" t="str">
            <v>du</v>
          </cell>
          <cell r="E3194" t="str">
            <v>pays</v>
          </cell>
          <cell r="F3194" t="str">
            <v>de</v>
          </cell>
          <cell r="G3194" t="str">
            <v>naissance</v>
          </cell>
        </row>
        <row r="3195">
          <cell r="D3195" t="str">
            <v>du</v>
          </cell>
          <cell r="E3195" t="str">
            <v>pays</v>
          </cell>
          <cell r="F3195" t="str">
            <v>de</v>
          </cell>
          <cell r="G3195" t="str">
            <v>naissance</v>
          </cell>
        </row>
        <row r="3196">
          <cell r="C3196" t="str">
            <v>certification</v>
          </cell>
          <cell r="D3196" t="str">
            <v>du</v>
          </cell>
          <cell r="E3196" t="str">
            <v>téléphone professionnel</v>
          </cell>
        </row>
        <row r="3197">
          <cell r="D3197" t="str">
            <v>du</v>
          </cell>
          <cell r="E3197" t="str">
            <v>département</v>
          </cell>
          <cell r="F3197" t="str">
            <v>de</v>
          </cell>
          <cell r="G3197" t="str">
            <v>naissance</v>
          </cell>
        </row>
        <row r="3198">
          <cell r="D3198" t="str">
            <v>du</v>
          </cell>
          <cell r="E3198" t="str">
            <v>département</v>
          </cell>
          <cell r="F3198" t="str">
            <v>de</v>
          </cell>
          <cell r="G3198" t="str">
            <v>naissance</v>
          </cell>
        </row>
        <row r="3199">
          <cell r="D3199" t="str">
            <v>du</v>
          </cell>
          <cell r="E3199" t="str">
            <v>mois</v>
          </cell>
          <cell r="F3199" t="str">
            <v>de</v>
          </cell>
          <cell r="G3199" t="str">
            <v>naissance</v>
          </cell>
        </row>
        <row r="3200">
          <cell r="C3200" t="str">
            <v>connaissance</v>
          </cell>
          <cell r="D3200" t="str">
            <v>du</v>
          </cell>
          <cell r="E3200" t="str">
            <v>téléphone professionnel</v>
          </cell>
        </row>
        <row r="3201">
          <cell r="D3201" t="str">
            <v>de la</v>
          </cell>
          <cell r="E3201" t="str">
            <v>commune</v>
          </cell>
          <cell r="F3201" t="str">
            <v>de</v>
          </cell>
          <cell r="G3201" t="str">
            <v>naissance</v>
          </cell>
        </row>
        <row r="3202">
          <cell r="D3202" t="str">
            <v>de la</v>
          </cell>
          <cell r="E3202" t="str">
            <v>commune</v>
          </cell>
          <cell r="F3202" t="str">
            <v>de</v>
          </cell>
          <cell r="G3202" t="str">
            <v>naissance</v>
          </cell>
        </row>
        <row r="3203">
          <cell r="D3203" t="str">
            <v>du</v>
          </cell>
          <cell r="E3203" t="str">
            <v>mode de contact</v>
          </cell>
          <cell r="F3203" t="str">
            <v>à</v>
          </cell>
          <cell r="G3203" t="str">
            <v>privilégier</v>
          </cell>
        </row>
        <row r="3204">
          <cell r="D3204" t="str">
            <v>du</v>
          </cell>
          <cell r="E3204" t="str">
            <v>mode de contact</v>
          </cell>
          <cell r="F3204" t="str">
            <v>à</v>
          </cell>
          <cell r="G3204" t="str">
            <v>privilégier</v>
          </cell>
        </row>
        <row r="3205">
          <cell r="D3205" t="str">
            <v>de</v>
          </cell>
          <cell r="E3205" t="str">
            <v>presence du tiers</v>
          </cell>
          <cell r="F3205" t="str">
            <v>en</v>
          </cell>
          <cell r="G3205" t="str">
            <v>production</v>
          </cell>
        </row>
        <row r="3206">
          <cell r="D3206" t="str">
            <v>de</v>
          </cell>
          <cell r="E3206" t="str">
            <v>presence du tiers</v>
          </cell>
          <cell r="F3206" t="str">
            <v>en</v>
          </cell>
          <cell r="G3206" t="str">
            <v>production</v>
          </cell>
        </row>
        <row r="3207">
          <cell r="D3207" t="str">
            <v>du</v>
          </cell>
          <cell r="E3207" t="str">
            <v>canal d'entrée</v>
          </cell>
          <cell r="F3207" t="str">
            <v>en</v>
          </cell>
          <cell r="G3207" t="str">
            <v>relation</v>
          </cell>
        </row>
        <row r="3208">
          <cell r="D3208" t="str">
            <v>du</v>
          </cell>
          <cell r="E3208" t="str">
            <v>canal d'entrée</v>
          </cell>
          <cell r="F3208" t="str">
            <v>en</v>
          </cell>
          <cell r="G3208" t="str">
            <v>relation</v>
          </cell>
        </row>
        <row r="3209">
          <cell r="D3209" t="str">
            <v>du</v>
          </cell>
          <cell r="E3209" t="str">
            <v>motif</v>
          </cell>
          <cell r="F3209" t="str">
            <v>de la</v>
          </cell>
          <cell r="G3209" t="str">
            <v>relation entre tiers</v>
          </cell>
        </row>
        <row r="3210">
          <cell r="D3210" t="str">
            <v xml:space="preserve"> </v>
          </cell>
          <cell r="E3210" t="str">
            <v>état</v>
          </cell>
          <cell r="F3210" t="str">
            <v>de la</v>
          </cell>
          <cell r="G3210" t="str">
            <v>relation entre tiers</v>
          </cell>
        </row>
        <row r="3211">
          <cell r="D3211" t="str">
            <v>de l'</v>
          </cell>
          <cell r="E3211" t="str">
            <v>état</v>
          </cell>
          <cell r="F3211" t="str">
            <v>de la</v>
          </cell>
          <cell r="G3211" t="str">
            <v>relation entre tiers</v>
          </cell>
        </row>
        <row r="3212">
          <cell r="D3212" t="str">
            <v>du</v>
          </cell>
          <cell r="E3212" t="str">
            <v>sous-type</v>
          </cell>
          <cell r="F3212" t="str">
            <v>de la</v>
          </cell>
          <cell r="G3212" t="str">
            <v>relation entre tiers</v>
          </cell>
        </row>
        <row r="3213">
          <cell r="D3213" t="str">
            <v>du</v>
          </cell>
          <cell r="E3213" t="str">
            <v>sous-type</v>
          </cell>
          <cell r="F3213" t="str">
            <v>de la</v>
          </cell>
          <cell r="G3213" t="str">
            <v>relation entre tiers</v>
          </cell>
        </row>
        <row r="3214">
          <cell r="C3214" t="str">
            <v>pays</v>
          </cell>
          <cell r="D3214" t="str">
            <v>de</v>
          </cell>
          <cell r="E3214" t="str">
            <v>présentation</v>
          </cell>
        </row>
        <row r="3215">
          <cell r="D3215" t="str">
            <v>du</v>
          </cell>
          <cell r="E3215" t="str">
            <v>tiers source</v>
          </cell>
          <cell r="F3215" t="str">
            <v>de la</v>
          </cell>
          <cell r="G3215" t="str">
            <v>relation entre tiers</v>
          </cell>
        </row>
        <row r="3216">
          <cell r="D3216" t="str">
            <v>du</v>
          </cell>
          <cell r="E3216" t="str">
            <v>tiers cible</v>
          </cell>
          <cell r="F3216" t="str">
            <v>de la</v>
          </cell>
          <cell r="G3216" t="str">
            <v>relation entre tiers</v>
          </cell>
        </row>
        <row r="3217">
          <cell r="D3217" t="str">
            <v>du</v>
          </cell>
          <cell r="E3217" t="str">
            <v>type</v>
          </cell>
          <cell r="F3217" t="str">
            <v>de la</v>
          </cell>
          <cell r="G3217" t="str">
            <v>relation entre tiers</v>
          </cell>
        </row>
        <row r="3218">
          <cell r="D3218" t="str">
            <v>du</v>
          </cell>
          <cell r="E3218" t="str">
            <v>type</v>
          </cell>
          <cell r="F3218" t="str">
            <v>de la</v>
          </cell>
          <cell r="G3218" t="str">
            <v>relation entre tiers</v>
          </cell>
        </row>
        <row r="3219">
          <cell r="D3219" t="str">
            <v>d'</v>
          </cell>
          <cell r="E3219" t="str">
            <v>enfant</v>
          </cell>
          <cell r="F3219" t="str">
            <v>d'un</v>
          </cell>
          <cell r="G3219" t="str">
            <v>salarié du groupe</v>
          </cell>
        </row>
        <row r="3220">
          <cell r="D3220" t="str">
            <v>de</v>
          </cell>
          <cell r="E3220" t="str">
            <v>conjoint</v>
          </cell>
          <cell r="F3220" t="str">
            <v>d'un</v>
          </cell>
          <cell r="G3220" t="str">
            <v>salarié du groupe</v>
          </cell>
        </row>
        <row r="3221">
          <cell r="D3221" t="str">
            <v>du</v>
          </cell>
          <cell r="E3221" t="str">
            <v>téléphone fixe</v>
          </cell>
          <cell r="G3221" t="str">
            <v>secondaire</v>
          </cell>
        </row>
        <row r="3222">
          <cell r="D3222" t="str">
            <v>du</v>
          </cell>
          <cell r="E3222" t="str">
            <v>téléphone portable</v>
          </cell>
          <cell r="G3222" t="str">
            <v>secondaire</v>
          </cell>
        </row>
        <row r="3223">
          <cell r="C3223" t="str">
            <v>pays</v>
          </cell>
          <cell r="D3223" t="str">
            <v>de l'</v>
          </cell>
          <cell r="E3223" t="str">
            <v>adresse</v>
          </cell>
        </row>
        <row r="3224">
          <cell r="C3224" t="str">
            <v>origine</v>
          </cell>
          <cell r="D3224" t="str">
            <v>de l'</v>
          </cell>
          <cell r="E3224" t="str">
            <v>adresse</v>
          </cell>
        </row>
        <row r="3225">
          <cell r="C3225" t="str">
            <v>origine</v>
          </cell>
          <cell r="D3225" t="str">
            <v>de l'</v>
          </cell>
          <cell r="E3225" t="str">
            <v>adresse</v>
          </cell>
        </row>
        <row r="3226">
          <cell r="D3226" t="str">
            <v>des</v>
          </cell>
          <cell r="E3226" t="str">
            <v>données personnelles</v>
          </cell>
          <cell r="F3226" t="str">
            <v>du</v>
          </cell>
          <cell r="G3226" t="str">
            <v>tiers</v>
          </cell>
        </row>
        <row r="3227">
          <cell r="D3227" t="str">
            <v>des</v>
          </cell>
          <cell r="E3227" t="str">
            <v>données personnelles</v>
          </cell>
          <cell r="F3227" t="str">
            <v>du</v>
          </cell>
          <cell r="G3227" t="str">
            <v>tiers</v>
          </cell>
        </row>
        <row r="3228">
          <cell r="D3228" t="str">
            <v>des</v>
          </cell>
          <cell r="E3228" t="str">
            <v>données personnelles</v>
          </cell>
          <cell r="F3228" t="str">
            <v>du</v>
          </cell>
          <cell r="G3228" t="str">
            <v>tiers</v>
          </cell>
        </row>
        <row r="3229">
          <cell r="C3229" t="str">
            <v>état</v>
          </cell>
          <cell r="D3229" t="str">
            <v>du</v>
          </cell>
          <cell r="E3229" t="str">
            <v>cycle de vie</v>
          </cell>
          <cell r="F3229" t="str">
            <v>du</v>
          </cell>
          <cell r="G3229" t="str">
            <v>tiers</v>
          </cell>
        </row>
        <row r="3230">
          <cell r="C3230" t="str">
            <v>état</v>
          </cell>
          <cell r="D3230" t="str">
            <v>du</v>
          </cell>
          <cell r="E3230" t="str">
            <v>cycle de vie</v>
          </cell>
          <cell r="F3230" t="str">
            <v>du</v>
          </cell>
          <cell r="G3230" t="str">
            <v>tiers</v>
          </cell>
        </row>
        <row r="3231">
          <cell r="D3231" t="str">
            <v>du</v>
          </cell>
          <cell r="E3231" t="str">
            <v>type</v>
          </cell>
          <cell r="F3231" t="str">
            <v>de</v>
          </cell>
          <cell r="G3231" t="str">
            <v>tiers</v>
          </cell>
        </row>
        <row r="3232">
          <cell r="D3232" t="str">
            <v>du</v>
          </cell>
          <cell r="E3232" t="str">
            <v>type</v>
          </cell>
          <cell r="F3232" t="str">
            <v>de</v>
          </cell>
          <cell r="G3232" t="str">
            <v>tiers</v>
          </cell>
        </row>
        <row r="3233">
          <cell r="D3233" t="str">
            <v>du</v>
          </cell>
          <cell r="E3233" t="str">
            <v>tiers source</v>
          </cell>
          <cell r="F3233" t="str">
            <v>pour les</v>
          </cell>
          <cell r="G3233" t="str">
            <v>tiers fusionné</v>
          </cell>
        </row>
        <row r="3234">
          <cell r="D3234" t="str">
            <v>des</v>
          </cell>
          <cell r="E3234" t="str">
            <v>données personnelles</v>
          </cell>
          <cell r="F3234" t="str">
            <v>du</v>
          </cell>
          <cell r="G3234" t="str">
            <v>tiers personne physique</v>
          </cell>
        </row>
        <row r="3235">
          <cell r="D3235" t="str">
            <v>des</v>
          </cell>
          <cell r="E3235" t="str">
            <v>données personnelles</v>
          </cell>
          <cell r="F3235" t="str">
            <v>du</v>
          </cell>
          <cell r="G3235" t="str">
            <v>tiers personne physique</v>
          </cell>
        </row>
        <row r="3236">
          <cell r="D3236" t="str">
            <v>des</v>
          </cell>
          <cell r="E3236" t="str">
            <v>données personnelles</v>
          </cell>
          <cell r="F3236" t="str">
            <v>du</v>
          </cell>
          <cell r="G3236" t="str">
            <v>tiers personne physique</v>
          </cell>
        </row>
        <row r="3237">
          <cell r="C3237" t="str">
            <v>pays</v>
          </cell>
          <cell r="D3237" t="str">
            <v>de</v>
          </cell>
          <cell r="E3237" t="str">
            <v>travailleur frontalier</v>
          </cell>
        </row>
        <row r="3238">
          <cell r="D3238" t="str">
            <v>d'</v>
          </cell>
          <cell r="E3238" t="str">
            <v>administrateur</v>
          </cell>
        </row>
        <row r="3239">
          <cell r="D3239" t="str">
            <v xml:space="preserve"> </v>
          </cell>
          <cell r="E3239" t="str">
            <v>"appartient au foyer fiscal"</v>
          </cell>
        </row>
        <row r="3240">
          <cell r="D3240" t="str">
            <v xml:space="preserve"> </v>
          </cell>
          <cell r="E3240" t="str">
            <v>"bénéficiaire effectif"</v>
          </cell>
        </row>
        <row r="3241">
          <cell r="D3241" t="str">
            <v xml:space="preserve"> </v>
          </cell>
          <cell r="E3241" t="str">
            <v>"a le pouvoir bancaire"</v>
          </cell>
        </row>
        <row r="3242">
          <cell r="D3242" t="str">
            <v xml:space="preserve"> </v>
          </cell>
          <cell r="E3242" t="str">
            <v>"a l'autorité parentale"</v>
          </cell>
        </row>
        <row r="3243">
          <cell r="D3243" t="str">
            <v xml:space="preserve"> </v>
          </cell>
          <cell r="E3243" t="str">
            <v>relation entre tiers assurance</v>
          </cell>
        </row>
        <row r="3244">
          <cell r="D3244" t="str">
            <v xml:space="preserve"> </v>
          </cell>
          <cell r="E3244" t="str">
            <v>conjoint marié</v>
          </cell>
        </row>
        <row r="3245">
          <cell r="D3245" t="str">
            <v xml:space="preserve"> </v>
          </cell>
          <cell r="E3245" t="str">
            <v>conjoint pacsé</v>
          </cell>
        </row>
        <row r="3246">
          <cell r="D3246" t="str">
            <v xml:space="preserve"> </v>
          </cell>
          <cell r="E3246" t="str">
            <v>parrainage</v>
          </cell>
        </row>
        <row r="3247">
          <cell r="D3247" t="str">
            <v xml:space="preserve"> </v>
          </cell>
          <cell r="E3247" t="str">
            <v>tiers assurance</v>
          </cell>
        </row>
        <row r="3248">
          <cell r="D3248" t="str">
            <v>de</v>
          </cell>
          <cell r="E3248" t="str">
            <v>pli non distribuable</v>
          </cell>
        </row>
        <row r="3249">
          <cell r="D3249" t="str">
            <v>d'</v>
          </cell>
          <cell r="E3249" t="str">
            <v>assujettissement à la TVA</v>
          </cell>
        </row>
        <row r="3250">
          <cell r="D3250" t="str">
            <v xml:space="preserve"> </v>
          </cell>
          <cell r="E3250" t="str">
            <v>VIP</v>
          </cell>
        </row>
        <row r="3251">
          <cell r="D3251" t="str">
            <v xml:space="preserve"> </v>
          </cell>
          <cell r="E3251" t="str">
            <v>VIP</v>
          </cell>
        </row>
        <row r="3252">
          <cell r="D3252" t="str">
            <v>de</v>
          </cell>
          <cell r="E3252" t="str">
            <v>détention des actions</v>
          </cell>
        </row>
        <row r="3253">
          <cell r="D3253" t="str">
            <v xml:space="preserve"> </v>
          </cell>
          <cell r="E3253" t="str">
            <v>SIREN</v>
          </cell>
        </row>
        <row r="3254">
          <cell r="D3254" t="str">
            <v>de</v>
          </cell>
          <cell r="E3254" t="str">
            <v>sécurité sociale</v>
          </cell>
        </row>
        <row r="3255">
          <cell r="C3255" t="str">
            <v>pays</v>
          </cell>
          <cell r="D3255" t="str">
            <v>du</v>
          </cell>
          <cell r="E3255" t="str">
            <v>contrat</v>
          </cell>
        </row>
        <row r="3256">
          <cell r="C3256" t="str">
            <v>langue</v>
          </cell>
          <cell r="D3256" t="str">
            <v>du</v>
          </cell>
          <cell r="E3256" t="str">
            <v>contrat</v>
          </cell>
        </row>
        <row r="3257">
          <cell r="D3257" t="str">
            <v>de la</v>
          </cell>
          <cell r="E3257" t="str">
            <v>relation entre tiers</v>
          </cell>
        </row>
        <row r="3258">
          <cell r="D3258" t="str">
            <v>du</v>
          </cell>
          <cell r="E3258" t="str">
            <v>tiers</v>
          </cell>
        </row>
        <row r="3259">
          <cell r="D3259" t="str">
            <v>du</v>
          </cell>
          <cell r="E3259" t="str">
            <v>tiers personne morale</v>
          </cell>
        </row>
        <row r="3260">
          <cell r="D3260" t="str">
            <v>du</v>
          </cell>
          <cell r="E3260" t="str">
            <v>tiers personne physique</v>
          </cell>
        </row>
        <row r="3261">
          <cell r="D3261" t="str">
            <v>de</v>
          </cell>
          <cell r="E3261" t="str">
            <v>géocodage Lambert 2</v>
          </cell>
        </row>
        <row r="3262">
          <cell r="D3262" t="str">
            <v>de</v>
          </cell>
          <cell r="E3262" t="str">
            <v>géocodage Lambert 2</v>
          </cell>
        </row>
        <row r="3263">
          <cell r="C3263" t="str">
            <v>certification</v>
          </cell>
          <cell r="D3263" t="str">
            <v>du</v>
          </cell>
          <cell r="E3263" t="str">
            <v>mail</v>
          </cell>
        </row>
        <row r="3264">
          <cell r="C3264" t="str">
            <v>domaine</v>
          </cell>
          <cell r="D3264" t="str">
            <v>du</v>
          </cell>
          <cell r="E3264" t="str">
            <v>mail</v>
          </cell>
        </row>
        <row r="3265">
          <cell r="C3265" t="str">
            <v>connaissance</v>
          </cell>
          <cell r="D3265" t="str">
            <v>du</v>
          </cell>
          <cell r="E3265" t="str">
            <v>mail</v>
          </cell>
        </row>
        <row r="3266">
          <cell r="C3266" t="str">
            <v>option</v>
          </cell>
          <cell r="D3266" t="str">
            <v>de</v>
          </cell>
          <cell r="E3266" t="str">
            <v>mail</v>
          </cell>
        </row>
        <row r="3267">
          <cell r="C3267" t="str">
            <v>option</v>
          </cell>
          <cell r="D3267" t="str">
            <v>de</v>
          </cell>
          <cell r="E3267" t="str">
            <v>mail</v>
          </cell>
        </row>
        <row r="3268">
          <cell r="C3268" t="str">
            <v>NACE</v>
          </cell>
          <cell r="D3268" t="str">
            <v>de l'</v>
          </cell>
          <cell r="E3268" t="str">
            <v>employeur</v>
          </cell>
        </row>
        <row r="3269">
          <cell r="D3269" t="str">
            <v>de la</v>
          </cell>
          <cell r="E3269" t="str">
            <v>convention</v>
          </cell>
        </row>
        <row r="3270">
          <cell r="D3270" t="str">
            <v>du</v>
          </cell>
          <cell r="E3270" t="str">
            <v>contrat de travail</v>
          </cell>
        </row>
        <row r="3271">
          <cell r="D3271" t="str">
            <v>de la</v>
          </cell>
          <cell r="E3271" t="str">
            <v>résidence fiscale</v>
          </cell>
        </row>
        <row r="3272">
          <cell r="D3272" t="str">
            <v>de</v>
          </cell>
          <cell r="E3272" t="str">
            <v>premier contrat</v>
          </cell>
        </row>
        <row r="3273">
          <cell r="D3273" t="str">
            <v>de la</v>
          </cell>
          <cell r="E3273" t="str">
            <v>relation entre tiers</v>
          </cell>
        </row>
        <row r="3274">
          <cell r="D3274" t="str">
            <v>de la</v>
          </cell>
          <cell r="E3274" t="str">
            <v>relation entre tiers</v>
          </cell>
        </row>
        <row r="3275">
          <cell r="D3275" t="str">
            <v>de</v>
          </cell>
          <cell r="E3275" t="str">
            <v>relation</v>
          </cell>
        </row>
        <row r="3276">
          <cell r="D3276" t="str">
            <v>de</v>
          </cell>
          <cell r="E3276" t="str">
            <v>dernier contrat</v>
          </cell>
        </row>
        <row r="3277">
          <cell r="D3277" t="str">
            <v>du</v>
          </cell>
          <cell r="E3277" t="str">
            <v>PACS</v>
          </cell>
        </row>
        <row r="3278">
          <cell r="D3278" t="str">
            <v>du</v>
          </cell>
          <cell r="E3278" t="str">
            <v>tiers</v>
          </cell>
        </row>
        <row r="3279">
          <cell r="D3279" t="str">
            <v>du</v>
          </cell>
          <cell r="E3279" t="str">
            <v>tiers</v>
          </cell>
        </row>
        <row r="3280">
          <cell r="D3280" t="str">
            <v>du</v>
          </cell>
          <cell r="E3280" t="str">
            <v>tiers personne morale</v>
          </cell>
        </row>
        <row r="3281">
          <cell r="C3281" t="str">
            <v>certification</v>
          </cell>
          <cell r="D3281" t="str">
            <v>du</v>
          </cell>
          <cell r="E3281" t="str">
            <v>téléphone fixe</v>
          </cell>
        </row>
        <row r="3282">
          <cell r="D3282" t="str">
            <v>du</v>
          </cell>
          <cell r="E3282" t="str">
            <v>tiers personne morale</v>
          </cell>
        </row>
        <row r="3283">
          <cell r="C3283" t="str">
            <v>indicatif</v>
          </cell>
          <cell r="D3283" t="str">
            <v>du</v>
          </cell>
          <cell r="E3283" t="str">
            <v>téléphone fixe</v>
          </cell>
        </row>
        <row r="3284">
          <cell r="C3284" t="str">
            <v>connaissance</v>
          </cell>
          <cell r="D3284" t="str">
            <v>du</v>
          </cell>
          <cell r="E3284" t="str">
            <v>téléphone fixe</v>
          </cell>
        </row>
        <row r="3285">
          <cell r="D3285" t="str">
            <v>du</v>
          </cell>
          <cell r="E3285" t="str">
            <v>tiers personne morale</v>
          </cell>
        </row>
        <row r="3286">
          <cell r="D3286" t="str">
            <v>du</v>
          </cell>
          <cell r="E3286" t="str">
            <v>tiers personne morale</v>
          </cell>
        </row>
        <row r="3287">
          <cell r="D3287" t="str">
            <v>du</v>
          </cell>
          <cell r="E3287" t="str">
            <v>tiers personne physique</v>
          </cell>
        </row>
        <row r="3288">
          <cell r="D3288" t="str">
            <v>du</v>
          </cell>
          <cell r="E3288" t="str">
            <v>tiers personne physique</v>
          </cell>
        </row>
        <row r="3289">
          <cell r="C3289" t="str">
            <v>relation</v>
          </cell>
          <cell r="D3289" t="str">
            <v xml:space="preserve"> </v>
          </cell>
          <cell r="E3289" t="str">
            <v>entreprise individuelle</v>
          </cell>
        </row>
        <row r="3290">
          <cell r="C3290" t="str">
            <v>relation</v>
          </cell>
          <cell r="D3290" t="str">
            <v xml:space="preserve"> </v>
          </cell>
          <cell r="E3290" t="str">
            <v>entreprise individuelle</v>
          </cell>
        </row>
        <row r="3291">
          <cell r="D3291" t="str">
            <v>du</v>
          </cell>
          <cell r="E3291" t="str">
            <v>tiers personne physique</v>
          </cell>
        </row>
        <row r="3292">
          <cell r="D3292" t="str">
            <v>du</v>
          </cell>
          <cell r="E3292" t="str">
            <v>tiers personne physique</v>
          </cell>
        </row>
        <row r="3293">
          <cell r="C3293" t="str">
            <v>option</v>
          </cell>
          <cell r="D3293" t="str">
            <v>de</v>
          </cell>
          <cell r="E3293" t="str">
            <v>courrier</v>
          </cell>
        </row>
        <row r="3294">
          <cell r="C3294" t="str">
            <v>option</v>
          </cell>
          <cell r="D3294" t="str">
            <v>de</v>
          </cell>
          <cell r="E3294" t="str">
            <v>courrier</v>
          </cell>
        </row>
        <row r="3295">
          <cell r="D3295" t="str">
            <v>de la</v>
          </cell>
          <cell r="E3295" t="str">
            <v>ville</v>
          </cell>
        </row>
        <row r="3296">
          <cell r="D3296" t="str">
            <v>de</v>
          </cell>
          <cell r="E3296" t="str">
            <v>civilité</v>
          </cell>
        </row>
        <row r="3297">
          <cell r="D3297" t="str">
            <v>du</v>
          </cell>
          <cell r="E3297" t="str">
            <v>groupe de clients</v>
          </cell>
        </row>
        <row r="3298">
          <cell r="D3298" t="str">
            <v>du</v>
          </cell>
          <cell r="E3298" t="str">
            <v>groupe de clients</v>
          </cell>
        </row>
        <row r="3299">
          <cell r="D3299" t="str">
            <v>de la</v>
          </cell>
          <cell r="E3299" t="str">
            <v>convention</v>
          </cell>
        </row>
        <row r="3300">
          <cell r="D3300" t="str">
            <v>de la</v>
          </cell>
          <cell r="E3300" t="str">
            <v>convention</v>
          </cell>
        </row>
        <row r="3301">
          <cell r="C3301" t="str">
            <v>pays</v>
          </cell>
          <cell r="D3301" t="str">
            <v>de</v>
          </cell>
          <cell r="E3301" t="str">
            <v>nationalité</v>
          </cell>
        </row>
        <row r="3302">
          <cell r="C3302" t="str">
            <v>activité</v>
          </cell>
          <cell r="D3302" t="str">
            <v xml:space="preserve"> </v>
          </cell>
          <cell r="E3302" t="str">
            <v>OBNL</v>
          </cell>
        </row>
        <row r="3303">
          <cell r="C3303" t="str">
            <v>certification</v>
          </cell>
          <cell r="D3303" t="str">
            <v>du</v>
          </cell>
          <cell r="E3303" t="str">
            <v>téléphone professionnel</v>
          </cell>
        </row>
        <row r="3304">
          <cell r="C3304" t="str">
            <v>indicatif</v>
          </cell>
          <cell r="D3304" t="str">
            <v>du</v>
          </cell>
          <cell r="E3304" t="str">
            <v>téléphone professionnel</v>
          </cell>
        </row>
        <row r="3305">
          <cell r="C3305" t="str">
            <v>connaissance</v>
          </cell>
          <cell r="D3305" t="str">
            <v>du</v>
          </cell>
          <cell r="E3305" t="str">
            <v>téléphone professionnel</v>
          </cell>
        </row>
        <row r="3306">
          <cell r="D3306" t="str">
            <v>de</v>
          </cell>
          <cell r="E3306" t="str">
            <v>contrat de travail</v>
          </cell>
        </row>
        <row r="3307">
          <cell r="C3307" t="str">
            <v>pays</v>
          </cell>
          <cell r="D3307" t="str">
            <v>de</v>
          </cell>
          <cell r="E3307" t="str">
            <v>présentation</v>
          </cell>
        </row>
        <row r="3308">
          <cell r="D3308" t="str">
            <v>de la</v>
          </cell>
          <cell r="E3308" t="str">
            <v>situation familiale</v>
          </cell>
        </row>
        <row r="3309">
          <cell r="D3309" t="str">
            <v>de la</v>
          </cell>
          <cell r="E3309" t="str">
            <v>situation familiale</v>
          </cell>
        </row>
        <row r="3310">
          <cell r="C3310" t="str">
            <v>langue</v>
          </cell>
          <cell r="D3310" t="str">
            <v>de</v>
          </cell>
          <cell r="E3310" t="str">
            <v>restitution</v>
          </cell>
        </row>
        <row r="3311">
          <cell r="D3311" t="str">
            <v>de la</v>
          </cell>
          <cell r="E3311" t="str">
            <v>fédération</v>
          </cell>
        </row>
        <row r="3312">
          <cell r="D3312" t="str">
            <v>du</v>
          </cell>
          <cell r="E3312" t="str">
            <v>statut fédéral</v>
          </cell>
        </row>
        <row r="3313">
          <cell r="D3313" t="str">
            <v>du</v>
          </cell>
          <cell r="E3313" t="str">
            <v>statut fédéral</v>
          </cell>
        </row>
        <row r="3314">
          <cell r="D3314" t="str">
            <v>de la</v>
          </cell>
          <cell r="E3314" t="str">
            <v>résidence fiscale</v>
          </cell>
        </row>
        <row r="3315">
          <cell r="D3315" t="str">
            <v>de la</v>
          </cell>
          <cell r="E3315" t="str">
            <v>résidence fiscale</v>
          </cell>
        </row>
        <row r="3316">
          <cell r="D3316" t="str">
            <v>du</v>
          </cell>
          <cell r="E3316" t="str">
            <v>régime fiscal</v>
          </cell>
        </row>
        <row r="3317">
          <cell r="D3317" t="str">
            <v>du</v>
          </cell>
          <cell r="E3317" t="str">
            <v>régime fiscal</v>
          </cell>
        </row>
        <row r="3318">
          <cell r="D3318" t="str">
            <v>du</v>
          </cell>
          <cell r="E3318" t="str">
            <v>sexe</v>
          </cell>
        </row>
        <row r="3319">
          <cell r="D3319" t="str">
            <v>du</v>
          </cell>
          <cell r="E3319" t="str">
            <v>sexe</v>
          </cell>
        </row>
        <row r="3320">
          <cell r="D3320" t="str">
            <v xml:space="preserve"> </v>
          </cell>
          <cell r="E3320" t="str">
            <v>"a une entreprise individuelle"</v>
          </cell>
        </row>
        <row r="3321">
          <cell r="D3321" t="str">
            <v xml:space="preserve"> </v>
          </cell>
          <cell r="E3321" t="str">
            <v>"a une entreprise individuelle"</v>
          </cell>
        </row>
        <row r="3322">
          <cell r="D3322" t="str">
            <v>de</v>
          </cell>
          <cell r="E3322" t="str">
            <v>salarié du groupe</v>
          </cell>
        </row>
        <row r="3323">
          <cell r="D3323" t="str">
            <v xml:space="preserve"> </v>
          </cell>
          <cell r="E3323" t="str">
            <v>salarié du groupe</v>
          </cell>
        </row>
        <row r="3324">
          <cell r="D3324" t="str">
            <v>du</v>
          </cell>
          <cell r="E3324" t="str">
            <v>téléphone fixe</v>
          </cell>
        </row>
        <row r="3325">
          <cell r="D3325" t="str">
            <v>de</v>
          </cell>
          <cell r="E3325" t="str">
            <v>condition logement</v>
          </cell>
        </row>
        <row r="3326">
          <cell r="D3326" t="str">
            <v>de</v>
          </cell>
          <cell r="E3326" t="str">
            <v>condition logement</v>
          </cell>
        </row>
        <row r="3327">
          <cell r="D3327" t="str">
            <v xml:space="preserve"> </v>
          </cell>
          <cell r="E3327" t="str">
            <v>entreprise individuelle</v>
          </cell>
        </row>
        <row r="3328">
          <cell r="D3328" t="str">
            <v xml:space="preserve"> </v>
          </cell>
          <cell r="E3328" t="str">
            <v>entreprise individuelle</v>
          </cell>
        </row>
        <row r="3329">
          <cell r="D3329" t="str">
            <v>de la</v>
          </cell>
          <cell r="E3329" t="str">
            <v>catégorie juridique</v>
          </cell>
        </row>
        <row r="3330">
          <cell r="D3330" t="str">
            <v>de la</v>
          </cell>
          <cell r="E3330" t="str">
            <v>catégorie juridique</v>
          </cell>
        </row>
        <row r="3331">
          <cell r="D3331" t="str">
            <v>de la</v>
          </cell>
          <cell r="E3331" t="str">
            <v>capacité juridique</v>
          </cell>
        </row>
        <row r="3332">
          <cell r="D3332" t="str">
            <v>de la</v>
          </cell>
          <cell r="E3332" t="str">
            <v>capacité juridique</v>
          </cell>
        </row>
        <row r="3333">
          <cell r="C3333" t="str">
            <v>langue</v>
          </cell>
          <cell r="D3333" t="str">
            <v>de</v>
          </cell>
          <cell r="E3333" t="str">
            <v>restitution</v>
          </cell>
        </row>
        <row r="3334">
          <cell r="D3334" t="str">
            <v>du</v>
          </cell>
          <cell r="E3334" t="str">
            <v>rôle du représentant légal principal</v>
          </cell>
        </row>
        <row r="3335">
          <cell r="D3335" t="str">
            <v>du</v>
          </cell>
          <cell r="E3335" t="str">
            <v>rôle du représentant légal principal</v>
          </cell>
        </row>
        <row r="3336">
          <cell r="D3336" t="str">
            <v>du</v>
          </cell>
          <cell r="E3336" t="str">
            <v>régime matrimonial</v>
          </cell>
        </row>
        <row r="3337">
          <cell r="D3337" t="str">
            <v>du</v>
          </cell>
          <cell r="E3337" t="str">
            <v>régime matrimonial</v>
          </cell>
        </row>
        <row r="3338">
          <cell r="D3338" t="str">
            <v xml:space="preserve"> </v>
          </cell>
          <cell r="E3338" t="str">
            <v>NIC</v>
          </cell>
        </row>
        <row r="3339">
          <cell r="D3339" t="str">
            <v>de l'</v>
          </cell>
          <cell r="E3339" t="str">
            <v>identification nationale</v>
          </cell>
        </row>
        <row r="3340">
          <cell r="D3340" t="str">
            <v>de l'</v>
          </cell>
          <cell r="E3340" t="str">
            <v>identification nationale</v>
          </cell>
        </row>
        <row r="3341">
          <cell r="C3341" t="str">
            <v>indicatif</v>
          </cell>
          <cell r="D3341" t="str">
            <v>du</v>
          </cell>
          <cell r="E3341" t="str">
            <v>téléphone fixe</v>
          </cell>
          <cell r="F3341" t="str">
            <v xml:space="preserve"> </v>
          </cell>
          <cell r="G3341" t="str">
            <v>secondaire</v>
          </cell>
        </row>
        <row r="3342">
          <cell r="C3342" t="str">
            <v>indicatif</v>
          </cell>
          <cell r="D3342" t="str">
            <v>du</v>
          </cell>
          <cell r="E3342" t="str">
            <v>téléphone portable</v>
          </cell>
          <cell r="F3342" t="str">
            <v xml:space="preserve"> </v>
          </cell>
          <cell r="G3342" t="str">
            <v>secondaire</v>
          </cell>
        </row>
        <row r="3343">
          <cell r="D3343" t="str">
            <v>du</v>
          </cell>
          <cell r="E3343" t="str">
            <v>téléphone professionnel</v>
          </cell>
        </row>
        <row r="3344">
          <cell r="D3344" t="str">
            <v>du</v>
          </cell>
          <cell r="E3344" t="str">
            <v>statut professionnel</v>
          </cell>
        </row>
        <row r="3345">
          <cell r="D3345" t="str">
            <v>du</v>
          </cell>
          <cell r="E3345" t="str">
            <v>statut professionnel</v>
          </cell>
        </row>
        <row r="3346">
          <cell r="C3346" t="str">
            <v>indicatif</v>
          </cell>
          <cell r="D3346" t="str">
            <v>du</v>
          </cell>
          <cell r="E3346" t="str">
            <v>téléphone portable</v>
          </cell>
        </row>
        <row r="3347">
          <cell r="C3347" t="str">
            <v>connaissance</v>
          </cell>
          <cell r="D3347" t="str">
            <v>du</v>
          </cell>
          <cell r="E3347" t="str">
            <v>téléphone portable</v>
          </cell>
        </row>
        <row r="3348">
          <cell r="C3348" t="str">
            <v>option</v>
          </cell>
          <cell r="D3348" t="str">
            <v>de</v>
          </cell>
          <cell r="E3348" t="str">
            <v>SMS</v>
          </cell>
        </row>
        <row r="3349">
          <cell r="C3349" t="str">
            <v>option</v>
          </cell>
          <cell r="D3349" t="str">
            <v>de</v>
          </cell>
          <cell r="E3349" t="str">
            <v>SMS</v>
          </cell>
        </row>
        <row r="3350">
          <cell r="C3350" t="str">
            <v>état</v>
          </cell>
          <cell r="D3350" t="str">
            <v xml:space="preserve"> </v>
          </cell>
          <cell r="E3350" t="str">
            <v>immatriculation</v>
          </cell>
        </row>
        <row r="3351">
          <cell r="C3351" t="str">
            <v>qualité</v>
          </cell>
          <cell r="D3351" t="str">
            <v>de l'</v>
          </cell>
          <cell r="E3351" t="str">
            <v>acheminement</v>
          </cell>
        </row>
        <row r="3352">
          <cell r="C3352" t="str">
            <v>qualité</v>
          </cell>
          <cell r="D3352" t="str">
            <v>de l'</v>
          </cell>
          <cell r="E3352" t="str">
            <v>acheminement</v>
          </cell>
        </row>
        <row r="3353">
          <cell r="D3353" t="str">
            <v>d'</v>
          </cell>
          <cell r="E3353" t="str">
            <v>actionnaire</v>
          </cell>
        </row>
        <row r="3354">
          <cell r="D3354" t="str">
            <v>du</v>
          </cell>
          <cell r="E3354" t="str">
            <v>site de gestion</v>
          </cell>
        </row>
        <row r="3355">
          <cell r="D3355" t="str">
            <v>du</v>
          </cell>
          <cell r="E3355" t="str">
            <v>téléphone portable</v>
          </cell>
        </row>
        <row r="3356">
          <cell r="D3356" t="str">
            <v>de la</v>
          </cell>
          <cell r="E3356" t="str">
            <v>catégorie socio-professionnelle</v>
          </cell>
        </row>
        <row r="3357">
          <cell r="D3357" t="str">
            <v>de la</v>
          </cell>
          <cell r="E3357" t="str">
            <v>catégorie socio-professionnelle</v>
          </cell>
        </row>
        <row r="3358">
          <cell r="C3358" t="str">
            <v>classification MIF</v>
          </cell>
          <cell r="D3358" t="str">
            <v>du</v>
          </cell>
          <cell r="E3358" t="str">
            <v>tiers</v>
          </cell>
        </row>
        <row r="3359">
          <cell r="C3359" t="str">
            <v>IRIS</v>
          </cell>
          <cell r="D3359" t="str">
            <v>du</v>
          </cell>
          <cell r="E3359" t="str">
            <v>tiers</v>
          </cell>
        </row>
        <row r="3360">
          <cell r="C3360" t="str">
            <v>pays ISO</v>
          </cell>
          <cell r="D3360" t="str">
            <v>du</v>
          </cell>
          <cell r="E3360" t="str">
            <v>tiers</v>
          </cell>
        </row>
        <row r="3361">
          <cell r="C3361" t="str">
            <v>marché</v>
          </cell>
          <cell r="D3361" t="str">
            <v>du</v>
          </cell>
          <cell r="E3361" t="str">
            <v>tiers</v>
          </cell>
        </row>
        <row r="3362">
          <cell r="C3362" t="str">
            <v>postal</v>
          </cell>
          <cell r="D3362" t="str">
            <v>du</v>
          </cell>
          <cell r="E3362" t="str">
            <v>tiers</v>
          </cell>
        </row>
        <row r="3363">
          <cell r="C3363" t="str">
            <v>sous marché</v>
          </cell>
          <cell r="D3363" t="str">
            <v>du</v>
          </cell>
          <cell r="E3363" t="str">
            <v>tiers</v>
          </cell>
        </row>
        <row r="3364">
          <cell r="C3364" t="str">
            <v>commune</v>
          </cell>
          <cell r="D3364" t="str">
            <v>du</v>
          </cell>
          <cell r="E3364" t="str">
            <v>tiers</v>
          </cell>
        </row>
        <row r="3365">
          <cell r="C3365" t="str">
            <v>établissement</v>
          </cell>
          <cell r="D3365" t="str">
            <v>du</v>
          </cell>
          <cell r="E3365" t="str">
            <v>tiers personne morale</v>
          </cell>
        </row>
        <row r="3366">
          <cell r="C3366" t="str">
            <v>établissement</v>
          </cell>
          <cell r="D3366" t="str">
            <v>du</v>
          </cell>
          <cell r="E3366" t="str">
            <v>tiers personne morale</v>
          </cell>
        </row>
        <row r="3367">
          <cell r="C3367" t="str">
            <v>connaissance</v>
          </cell>
          <cell r="D3367" t="str">
            <v>du</v>
          </cell>
          <cell r="E3367" t="str">
            <v>téléphone portable</v>
          </cell>
        </row>
        <row r="3368">
          <cell r="C3368" t="str">
            <v>siège</v>
          </cell>
          <cell r="D3368" t="str">
            <v>du</v>
          </cell>
          <cell r="E3368" t="str">
            <v>tiers personne morale</v>
          </cell>
        </row>
        <row r="3369">
          <cell r="C3369" t="str">
            <v>siège</v>
          </cell>
          <cell r="D3369" t="str">
            <v>du</v>
          </cell>
          <cell r="E3369" t="str">
            <v>tiers personne morale</v>
          </cell>
        </row>
        <row r="3370">
          <cell r="C3370" t="str">
            <v>NACE</v>
          </cell>
          <cell r="D3370" t="str">
            <v>du</v>
          </cell>
          <cell r="E3370" t="str">
            <v>tiers personne morale</v>
          </cell>
        </row>
        <row r="3371">
          <cell r="D3371" t="str">
            <v>du</v>
          </cell>
          <cell r="E3371" t="str">
            <v>tiers</v>
          </cell>
        </row>
        <row r="3372">
          <cell r="D3372" t="str">
            <v>du</v>
          </cell>
          <cell r="E3372" t="str">
            <v>tiers</v>
          </cell>
        </row>
        <row r="3373">
          <cell r="D3373" t="str">
            <v>du</v>
          </cell>
          <cell r="E3373" t="str">
            <v>tiers</v>
          </cell>
        </row>
        <row r="3374">
          <cell r="D3374" t="str">
            <v>du</v>
          </cell>
          <cell r="E3374" t="str">
            <v>tiers</v>
          </cell>
        </row>
        <row r="3375">
          <cell r="C3375" t="str">
            <v>patronymique</v>
          </cell>
          <cell r="D3375" t="str">
            <v>du</v>
          </cell>
          <cell r="E3375" t="str">
            <v>tiers personne physique</v>
          </cell>
        </row>
        <row r="3376">
          <cell r="C3376" t="str">
            <v>secondaire</v>
          </cell>
          <cell r="D3376" t="str">
            <v>du</v>
          </cell>
          <cell r="E3376" t="str">
            <v>tiers personne physique</v>
          </cell>
        </row>
        <row r="3377">
          <cell r="D3377" t="str">
            <v>du</v>
          </cell>
          <cell r="E3377" t="str">
            <v>tiers</v>
          </cell>
        </row>
        <row r="3378">
          <cell r="D3378" t="str">
            <v>du</v>
          </cell>
          <cell r="E3378" t="str">
            <v>tiers</v>
          </cell>
        </row>
        <row r="3379">
          <cell r="C3379" t="str">
            <v>option</v>
          </cell>
          <cell r="D3379" t="str">
            <v>de</v>
          </cell>
          <cell r="E3379" t="str">
            <v>télévente</v>
          </cell>
        </row>
        <row r="3380">
          <cell r="C3380" t="str">
            <v>option</v>
          </cell>
          <cell r="D3380" t="str">
            <v>de</v>
          </cell>
          <cell r="E3380" t="str">
            <v>télévente</v>
          </cell>
        </row>
        <row r="3381">
          <cell r="D3381" t="str">
            <v>du</v>
          </cell>
          <cell r="E3381" t="str">
            <v>tiers</v>
          </cell>
        </row>
        <row r="3382">
          <cell r="D3382" t="str">
            <v>du</v>
          </cell>
          <cell r="E3382" t="str">
            <v>tiers</v>
          </cell>
        </row>
        <row r="3383">
          <cell r="D3383" t="str">
            <v>du</v>
          </cell>
          <cell r="E3383" t="str">
            <v>tiers</v>
          </cell>
        </row>
        <row r="3384">
          <cell r="C3384" t="str">
            <v>statut</v>
          </cell>
          <cell r="D3384" t="str">
            <v>du</v>
          </cell>
          <cell r="E3384" t="str">
            <v>pli non distribuable</v>
          </cell>
        </row>
        <row r="3385">
          <cell r="D3385" t="str">
            <v>du</v>
          </cell>
          <cell r="E3385" t="str">
            <v>tiers personne morale</v>
          </cell>
        </row>
        <row r="3386">
          <cell r="D3386" t="str">
            <v>du</v>
          </cell>
          <cell r="E3386" t="str">
            <v>tiers représentant légal principal</v>
          </cell>
        </row>
        <row r="3387">
          <cell r="D3387" t="str">
            <v>du</v>
          </cell>
          <cell r="E3387" t="str">
            <v>tiers personne physique</v>
          </cell>
        </row>
        <row r="3388">
          <cell r="D3388" t="str">
            <v>du</v>
          </cell>
          <cell r="E3388" t="str">
            <v>tiers personne physique</v>
          </cell>
        </row>
        <row r="3389">
          <cell r="C3389" t="str">
            <v>classification MIF</v>
          </cell>
          <cell r="D3389" t="str">
            <v>du</v>
          </cell>
          <cell r="E3389" t="str">
            <v>tiers</v>
          </cell>
        </row>
        <row r="3390">
          <cell r="C3390" t="str">
            <v>pays ISO</v>
          </cell>
          <cell r="D3390" t="str">
            <v>du</v>
          </cell>
          <cell r="E3390" t="str">
            <v>tiers</v>
          </cell>
        </row>
        <row r="3391">
          <cell r="C3391" t="str">
            <v>marché</v>
          </cell>
          <cell r="D3391" t="str">
            <v>du</v>
          </cell>
          <cell r="E3391" t="str">
            <v>tiers</v>
          </cell>
        </row>
        <row r="3392">
          <cell r="C3392" t="str">
            <v>sous marché</v>
          </cell>
          <cell r="D3392" t="str">
            <v>du</v>
          </cell>
          <cell r="E3392" t="str">
            <v>tiers</v>
          </cell>
        </row>
        <row r="3393">
          <cell r="C3393" t="str">
            <v>commune</v>
          </cell>
          <cell r="D3393" t="str">
            <v>du</v>
          </cell>
          <cell r="E3393" t="str">
            <v>tiers</v>
          </cell>
        </row>
        <row r="3394">
          <cell r="C3394" t="str">
            <v>statut</v>
          </cell>
          <cell r="D3394" t="str">
            <v>du</v>
          </cell>
          <cell r="E3394" t="str">
            <v>pli non distribuable</v>
          </cell>
        </row>
        <row r="3395">
          <cell r="C3395" t="str">
            <v>Dernière image</v>
          </cell>
        </row>
        <row r="3396">
          <cell r="D3396" t="str">
            <v>de</v>
          </cell>
          <cell r="E3396" t="str">
            <v>Bornes date</v>
          </cell>
        </row>
        <row r="3397">
          <cell r="D3397" t="str">
            <v>de</v>
          </cell>
          <cell r="E3397" t="str">
            <v>Bornes date</v>
          </cell>
        </row>
        <row r="3399">
          <cell r="C3399" t="str">
            <v>ordre</v>
          </cell>
          <cell r="D3399" t="str">
            <v>de la</v>
          </cell>
          <cell r="E3399" t="str">
            <v>requête du contrôle</v>
          </cell>
        </row>
        <row r="3400">
          <cell r="C3400" t="str">
            <v>ordre</v>
          </cell>
          <cell r="D3400" t="str">
            <v>dans la</v>
          </cell>
          <cell r="E3400" t="str">
            <v>session</v>
          </cell>
          <cell r="F3400" t="str">
            <v>de la</v>
          </cell>
          <cell r="G3400" t="str">
            <v>requête du contrôle</v>
          </cell>
        </row>
        <row r="3401">
          <cell r="C3401" t="str">
            <v>sévérité</v>
          </cell>
          <cell r="D3401" t="str">
            <v>de la</v>
          </cell>
          <cell r="E3401" t="str">
            <v>requête du contrôle</v>
          </cell>
        </row>
        <row r="3402">
          <cell r="C3402" t="str">
            <v>référence</v>
          </cell>
          <cell r="D3402" t="str">
            <v>de la</v>
          </cell>
          <cell r="E3402" t="str">
            <v>requête du contrôle</v>
          </cell>
        </row>
        <row r="3403">
          <cell r="C3403" t="str">
            <v>référent</v>
          </cell>
          <cell r="D3403" t="str">
            <v>du</v>
          </cell>
          <cell r="E3403" t="str">
            <v>groupe de contrôles</v>
          </cell>
        </row>
        <row r="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row>
        <row r="3406">
          <cell r="C3406" t="str">
            <v>fin</v>
          </cell>
          <cell r="D3406" t="str">
            <v>du</v>
          </cell>
          <cell r="E3406" t="str">
            <v>mois</v>
          </cell>
          <cell r="F3406" t="str">
            <v>de la</v>
          </cell>
          <cell r="G3406" t="str">
            <v>planification du contrôle</v>
          </cell>
        </row>
        <row r="3407">
          <cell r="C3407" t="str">
            <v>début</v>
          </cell>
          <cell r="D3407" t="str">
            <v>du</v>
          </cell>
          <cell r="E3407" t="str">
            <v>mois</v>
          </cell>
          <cell r="F3407" t="str">
            <v>de la</v>
          </cell>
          <cell r="G3407" t="str">
            <v>planification du contrôle</v>
          </cell>
        </row>
        <row r="3408">
          <cell r="C3408" t="str">
            <v>fin</v>
          </cell>
          <cell r="D3408" t="str">
            <v>du</v>
          </cell>
          <cell r="E3408" t="str">
            <v>trimestre</v>
          </cell>
          <cell r="F3408" t="str">
            <v>de la</v>
          </cell>
          <cell r="G3408" t="str">
            <v>planification du contrôle</v>
          </cell>
        </row>
        <row r="3409">
          <cell r="C3409" t="str">
            <v>début</v>
          </cell>
          <cell r="D3409" t="str">
            <v>du</v>
          </cell>
          <cell r="E3409" t="str">
            <v>trimestre</v>
          </cell>
          <cell r="F3409" t="str">
            <v>de la</v>
          </cell>
          <cell r="G3409" t="str">
            <v>planification du contrôle</v>
          </cell>
        </row>
        <row r="3410">
          <cell r="C3410" t="str">
            <v>fin</v>
          </cell>
          <cell r="D3410" t="str">
            <v>du</v>
          </cell>
          <cell r="E3410" t="str">
            <v>semestre</v>
          </cell>
          <cell r="F3410" t="str">
            <v>de la</v>
          </cell>
          <cell r="G3410" t="str">
            <v>planification du contrôle</v>
          </cell>
        </row>
        <row r="3411">
          <cell r="C3411" t="str">
            <v>début</v>
          </cell>
          <cell r="D3411" t="str">
            <v>du</v>
          </cell>
          <cell r="E3411" t="str">
            <v>semestre</v>
          </cell>
          <cell r="F3411" t="str">
            <v>de la</v>
          </cell>
          <cell r="G3411" t="str">
            <v>planification du contrôle</v>
          </cell>
        </row>
        <row r="3412">
          <cell r="C3412" t="str">
            <v>fin</v>
          </cell>
          <cell r="D3412" t="str">
            <v>de la</v>
          </cell>
          <cell r="E3412" t="str">
            <v>semaine</v>
          </cell>
          <cell r="F3412" t="str">
            <v>de la</v>
          </cell>
          <cell r="G3412" t="str">
            <v>planification du contrôle</v>
          </cell>
        </row>
        <row r="3413">
          <cell r="C3413" t="str">
            <v>début</v>
          </cell>
          <cell r="D3413" t="str">
            <v>de la</v>
          </cell>
          <cell r="E3413" t="str">
            <v>semaine</v>
          </cell>
          <cell r="F3413" t="str">
            <v>de la</v>
          </cell>
          <cell r="G3413" t="str">
            <v>planification du contrôle</v>
          </cell>
        </row>
        <row r="3414">
          <cell r="C3414" t="str">
            <v>fin</v>
          </cell>
          <cell r="D3414" t="str">
            <v>de l'</v>
          </cell>
          <cell r="E3414" t="str">
            <v>année</v>
          </cell>
          <cell r="F3414" t="str">
            <v>de la</v>
          </cell>
          <cell r="G3414" t="str">
            <v>planification du contrôle</v>
          </cell>
        </row>
        <row r="3415">
          <cell r="C3415" t="str">
            <v>début</v>
          </cell>
          <cell r="D3415" t="str">
            <v>de l'</v>
          </cell>
          <cell r="E3415" t="str">
            <v>année</v>
          </cell>
          <cell r="F3415" t="str">
            <v>de la</v>
          </cell>
          <cell r="G3415" t="str">
            <v>planification du contrôle</v>
          </cell>
        </row>
        <row r="3416">
          <cell r="D3416" t="str">
            <v>du</v>
          </cell>
          <cell r="E3416" t="str">
            <v>message de retour</v>
          </cell>
          <cell r="F3416" t="str">
            <v>de la</v>
          </cell>
          <cell r="G3416" t="str">
            <v>création</v>
          </cell>
          <cell r="H3416" t="str">
            <v>du</v>
          </cell>
          <cell r="I3416" t="str">
            <v>SARA</v>
          </cell>
        </row>
        <row r="3417">
          <cell r="D3417" t="str">
            <v>du</v>
          </cell>
          <cell r="E3417" t="str">
            <v>créateur</v>
          </cell>
          <cell r="F3417" t="str">
            <v>du</v>
          </cell>
          <cell r="G3417" t="str">
            <v>modèle de contrôle</v>
          </cell>
        </row>
        <row r="3418">
          <cell r="D3418" t="str">
            <v>du</v>
          </cell>
          <cell r="E3418" t="str">
            <v>jour</v>
          </cell>
          <cell r="F3418" t="str">
            <v>du</v>
          </cell>
          <cell r="G3418" t="str">
            <v>mois</v>
          </cell>
          <cell r="H3418" t="str">
            <v>de la</v>
          </cell>
          <cell r="I3418" t="str">
            <v>planification du contrôle</v>
          </cell>
        </row>
        <row r="3419">
          <cell r="D3419" t="str">
            <v>du</v>
          </cell>
          <cell r="E3419" t="str">
            <v>créateur</v>
          </cell>
          <cell r="F3419" t="str">
            <v>de la</v>
          </cell>
          <cell r="G3419" t="str">
            <v>planification du contrôle</v>
          </cell>
        </row>
        <row r="3420">
          <cell r="D3420" t="str">
            <v>de la</v>
          </cell>
          <cell r="E3420" t="str">
            <v>requête du contrôle</v>
          </cell>
          <cell r="F3420" t="str">
            <v>du</v>
          </cell>
          <cell r="G3420" t="str">
            <v>prédécesseur</v>
          </cell>
        </row>
        <row r="3421">
          <cell r="D3421" t="str">
            <v>d'</v>
          </cell>
          <cell r="E3421" t="str">
            <v>exécution</v>
          </cell>
          <cell r="F3421" t="str">
            <v>de la</v>
          </cell>
          <cell r="G3421" t="str">
            <v>requête du contrôle</v>
          </cell>
        </row>
        <row r="3422">
          <cell r="D3422" t="str">
            <v>d'</v>
          </cell>
          <cell r="E3422" t="str">
            <v>exécution</v>
          </cell>
          <cell r="F3422" t="str">
            <v>de la</v>
          </cell>
          <cell r="G3422" t="str">
            <v>requête du contrôle</v>
          </cell>
        </row>
        <row r="3423">
          <cell r="D3423" t="str">
            <v>d'</v>
          </cell>
          <cell r="E3423" t="str">
            <v>exécution</v>
          </cell>
          <cell r="F3423" t="str">
            <v>de la</v>
          </cell>
          <cell r="G3423" t="str">
            <v>requête du contrôle</v>
          </cell>
        </row>
        <row r="3424">
          <cell r="D3424" t="str">
            <v>du</v>
          </cell>
          <cell r="E3424" t="str">
            <v>projet décisionnel</v>
          </cell>
          <cell r="F3424" t="str">
            <v>de la</v>
          </cell>
          <cell r="G3424" t="str">
            <v>requête du contrôle</v>
          </cell>
        </row>
        <row r="3425">
          <cell r="D3425" t="str">
            <v>du</v>
          </cell>
          <cell r="E3425" t="str">
            <v>créateur</v>
          </cell>
          <cell r="F3425" t="str">
            <v>de la</v>
          </cell>
          <cell r="G3425" t="str">
            <v>requête du contrôle</v>
          </cell>
        </row>
        <row r="3426">
          <cell r="D3426" t="str">
            <v>du</v>
          </cell>
          <cell r="E3426" t="str">
            <v>SARA</v>
          </cell>
          <cell r="F3426" t="str">
            <v>ou</v>
          </cell>
          <cell r="G3426" t="str">
            <v>RUBIS</v>
          </cell>
          <cell r="H3426" t="str">
            <v>de la</v>
          </cell>
          <cell r="I3426" t="str">
            <v>requête du contrôle</v>
          </cell>
        </row>
        <row r="3427">
          <cell r="D3427" t="str">
            <v>de la</v>
          </cell>
          <cell r="E3427" t="str">
            <v>culture application</v>
          </cell>
          <cell r="F3427" t="str">
            <v>du</v>
          </cell>
          <cell r="G3427" t="str">
            <v>SARA</v>
          </cell>
        </row>
        <row r="3428">
          <cell r="D3428" t="str">
            <v>de l'</v>
          </cell>
          <cell r="E3428" t="str">
            <v>automate</v>
          </cell>
          <cell r="F3428" t="str">
            <v>du</v>
          </cell>
          <cell r="G3428" t="str">
            <v>SARA</v>
          </cell>
        </row>
        <row r="3429">
          <cell r="D3429" t="str">
            <v>de l'</v>
          </cell>
          <cell r="E3429" t="str">
            <v>Application informatique</v>
          </cell>
          <cell r="F3429" t="str">
            <v>du</v>
          </cell>
          <cell r="G3429" t="str">
            <v>SARA</v>
          </cell>
        </row>
        <row r="3430">
          <cell r="D3430" t="str">
            <v>de l'</v>
          </cell>
          <cell r="E3430" t="str">
            <v>environnement informatique</v>
          </cell>
          <cell r="F3430" t="str">
            <v>du</v>
          </cell>
          <cell r="G3430" t="str">
            <v>SARA</v>
          </cell>
        </row>
        <row r="3431">
          <cell r="D3431" t="str">
            <v>de l'</v>
          </cell>
          <cell r="E3431" t="str">
            <v>action suivante</v>
          </cell>
          <cell r="F3431" t="str">
            <v>sur le</v>
          </cell>
          <cell r="G3431" t="str">
            <v>SARA</v>
          </cell>
        </row>
        <row r="3432">
          <cell r="D3432" t="str">
            <v>de l'</v>
          </cell>
          <cell r="E3432" t="str">
            <v>equipe cible</v>
          </cell>
          <cell r="F3432" t="str">
            <v>du</v>
          </cell>
          <cell r="G3432" t="str">
            <v>SARA</v>
          </cell>
        </row>
        <row r="3433">
          <cell r="D3433" t="str">
            <v>de l'</v>
          </cell>
          <cell r="E3433" t="str">
            <v>equipe émettrice</v>
          </cell>
          <cell r="F3433" t="str">
            <v>du</v>
          </cell>
          <cell r="G3433" t="str">
            <v>SARA</v>
          </cell>
        </row>
        <row r="3434">
          <cell r="D3434" t="str">
            <v>du</v>
          </cell>
          <cell r="E3434" t="str">
            <v>jour</v>
          </cell>
          <cell r="F3434" t="str">
            <v>de la</v>
          </cell>
          <cell r="G3434" t="str">
            <v>semaine</v>
          </cell>
          <cell r="H3434" t="str">
            <v>de la</v>
          </cell>
          <cell r="I3434" t="str">
            <v>planification du contrôle</v>
          </cell>
        </row>
        <row r="3435">
          <cell r="D3435" t="str">
            <v>d'</v>
          </cell>
          <cell r="E3435" t="str">
            <v>exécution</v>
          </cell>
          <cell r="F3435" t="str">
            <v>de la</v>
          </cell>
          <cell r="G3435" t="str">
            <v>session</v>
          </cell>
        </row>
        <row r="3436">
          <cell r="D3436" t="str">
            <v>de la</v>
          </cell>
          <cell r="E3436" t="str">
            <v>requête du contrôle</v>
          </cell>
          <cell r="F3436" t="str">
            <v>du</v>
          </cell>
          <cell r="G3436" t="str">
            <v>successeur</v>
          </cell>
        </row>
        <row r="3437">
          <cell r="D3437" t="str">
            <v>du</v>
          </cell>
          <cell r="E3437" t="str">
            <v>résultat du contrôle</v>
          </cell>
        </row>
        <row r="3438">
          <cell r="D3438" t="str">
            <v>du</v>
          </cell>
          <cell r="E3438" t="str">
            <v>résultat du contrôle</v>
          </cell>
        </row>
        <row r="3439">
          <cell r="D3439" t="str">
            <v>du</v>
          </cell>
          <cell r="E3439" t="str">
            <v>SARA</v>
          </cell>
        </row>
        <row r="3440">
          <cell r="D3440" t="str">
            <v>du</v>
          </cell>
          <cell r="E3440" t="str">
            <v>groupe de contrôles</v>
          </cell>
        </row>
        <row r="3441">
          <cell r="D3441" t="str">
            <v>de la</v>
          </cell>
          <cell r="E3441" t="str">
            <v>planification du contrôle</v>
          </cell>
        </row>
        <row r="3442">
          <cell r="D3442" t="str">
            <v>de la</v>
          </cell>
          <cell r="E3442" t="str">
            <v>requête du contrôle</v>
          </cell>
        </row>
        <row r="3443">
          <cell r="D3443" t="str">
            <v>du</v>
          </cell>
          <cell r="E3443" t="str">
            <v>résultat du contrôle</v>
          </cell>
        </row>
        <row r="3444">
          <cell r="D3444" t="str">
            <v>du</v>
          </cell>
          <cell r="E3444" t="str">
            <v>modèle de contrôle</v>
          </cell>
        </row>
        <row r="3445">
          <cell r="D3445" t="str">
            <v>de la</v>
          </cell>
          <cell r="E3445" t="str">
            <v>variable de contrôle</v>
          </cell>
        </row>
        <row r="3446">
          <cell r="D3446" t="str">
            <v>du</v>
          </cell>
          <cell r="E3446" t="str">
            <v>lien entre contrôles</v>
          </cell>
        </row>
        <row r="3447">
          <cell r="D3447" t="str">
            <v>du</v>
          </cell>
          <cell r="E3447" t="str">
            <v>SARA</v>
          </cell>
        </row>
        <row r="3448">
          <cell r="D3448" t="str">
            <v>de la</v>
          </cell>
          <cell r="E3448" t="str">
            <v>planification du contrôle</v>
          </cell>
        </row>
        <row r="3449">
          <cell r="D3449" t="str">
            <v>de la</v>
          </cell>
          <cell r="E3449" t="str">
            <v>planification du contrôle</v>
          </cell>
        </row>
        <row r="3450">
          <cell r="D3450" t="str">
            <v>de la</v>
          </cell>
          <cell r="E3450" t="str">
            <v>requête du contrôle</v>
          </cell>
        </row>
        <row r="3451">
          <cell r="D3451" t="str">
            <v>du</v>
          </cell>
          <cell r="E3451" t="str">
            <v>SARA</v>
          </cell>
        </row>
        <row r="3452">
          <cell r="D3452" t="str">
            <v>du</v>
          </cell>
          <cell r="E3452" t="str">
            <v>projet décisionnel</v>
          </cell>
        </row>
        <row r="3453">
          <cell r="D3453" t="str">
            <v>du</v>
          </cell>
          <cell r="E3453" t="str">
            <v>SID</v>
          </cell>
        </row>
        <row r="3454">
          <cell r="D3454" t="str">
            <v>du</v>
          </cell>
          <cell r="E3454" t="str">
            <v>groupe de contrôles</v>
          </cell>
        </row>
        <row r="3455">
          <cell r="D3455" t="str">
            <v>du</v>
          </cell>
          <cell r="E3455" t="str">
            <v>groupe de contrôles</v>
          </cell>
        </row>
        <row r="3456">
          <cell r="D3456" t="str">
            <v>de la</v>
          </cell>
          <cell r="E3456" t="str">
            <v>requête du contrôle</v>
          </cell>
        </row>
        <row r="3457">
          <cell r="D3457" t="str">
            <v>de la</v>
          </cell>
          <cell r="E3457" t="str">
            <v>requête du contrôle</v>
          </cell>
        </row>
        <row r="3458">
          <cell r="D3458" t="str">
            <v>de la</v>
          </cell>
          <cell r="E3458" t="str">
            <v>requête du contrôle</v>
          </cell>
        </row>
        <row r="3459">
          <cell r="D3459" t="str">
            <v>de la</v>
          </cell>
          <cell r="E3459" t="str">
            <v>requête du contrôle</v>
          </cell>
        </row>
        <row r="3460">
          <cell r="D3460" t="str">
            <v>du</v>
          </cell>
          <cell r="E3460" t="str">
            <v>modèle de contrôle</v>
          </cell>
        </row>
        <row r="3461">
          <cell r="D3461" t="str">
            <v>du</v>
          </cell>
          <cell r="E3461" t="str">
            <v>modèle de contrôle</v>
          </cell>
        </row>
        <row r="3462">
          <cell r="D3462" t="str">
            <v>de la</v>
          </cell>
          <cell r="E3462" t="str">
            <v>variable de contrôle</v>
          </cell>
        </row>
        <row r="3463">
          <cell r="D3463" t="str">
            <v>de la</v>
          </cell>
          <cell r="E3463" t="str">
            <v>variable de contrôle</v>
          </cell>
        </row>
        <row r="3464">
          <cell r="D3464" t="str">
            <v>du</v>
          </cell>
          <cell r="E3464" t="str">
            <v>lien entre contrôles</v>
          </cell>
        </row>
        <row r="3465">
          <cell r="D3465" t="str">
            <v>du</v>
          </cell>
          <cell r="E3465" t="str">
            <v>MOA</v>
          </cell>
        </row>
        <row r="3466">
          <cell r="D3466" t="str">
            <v>du</v>
          </cell>
          <cell r="E3466" t="str">
            <v>MOE</v>
          </cell>
        </row>
        <row r="3467">
          <cell r="C3467" t="str">
            <v>ROBIN</v>
          </cell>
          <cell r="D3467" t="str">
            <v>du</v>
          </cell>
          <cell r="E3467" t="str">
            <v>SARA</v>
          </cell>
        </row>
        <row r="3468">
          <cell r="D3468" t="str">
            <v>du</v>
          </cell>
          <cell r="E3468" t="str">
            <v>SARA</v>
          </cell>
        </row>
        <row r="3469">
          <cell r="D3469" t="str">
            <v>pour le</v>
          </cell>
          <cell r="E3469" t="str">
            <v>SARA</v>
          </cell>
        </row>
        <row r="3470">
          <cell r="D3470" t="str">
            <v>du</v>
          </cell>
          <cell r="E3470" t="str">
            <v>SARA</v>
          </cell>
        </row>
        <row r="3471">
          <cell r="D3471" t="str">
            <v>de</v>
          </cell>
          <cell r="E3471" t="str">
            <v>SARA</v>
          </cell>
        </row>
        <row r="3472">
          <cell r="D3472" t="str">
            <v>du</v>
          </cell>
          <cell r="E3472" t="str">
            <v>valideur socle technique</v>
          </cell>
        </row>
        <row r="3473">
          <cell r="D3473" t="str">
            <v>à qui</v>
          </cell>
          <cell r="E3473" t="str">
            <v>affecter le SARA</v>
          </cell>
        </row>
        <row r="3474">
          <cell r="D3474" t="str">
            <v>de l'</v>
          </cell>
          <cell r="E3474" t="str">
            <v>équipe MOE</v>
          </cell>
        </row>
        <row r="3475">
          <cell r="D3475" t="str">
            <v>des</v>
          </cell>
          <cell r="E3475" t="str">
            <v>PERSOID à informer</v>
          </cell>
        </row>
        <row r="3476">
          <cell r="D3476" t="str">
            <v>du</v>
          </cell>
          <cell r="E3476" t="str">
            <v>rejet RTL</v>
          </cell>
        </row>
        <row r="3477">
          <cell r="D3477" t="str">
            <v>du</v>
          </cell>
          <cell r="E3477" t="str">
            <v>schéma</v>
          </cell>
        </row>
        <row r="3478">
          <cell r="D3478" t="str">
            <v>de la</v>
          </cell>
          <cell r="E3478" t="str">
            <v>table</v>
          </cell>
        </row>
        <row r="3479">
          <cell r="D3479" t="str">
            <v>du</v>
          </cell>
          <cell r="E3479" t="str">
            <v>rejet RTL</v>
          </cell>
        </row>
        <row r="3480">
          <cell r="D3480" t="str">
            <v>du</v>
          </cell>
          <cell r="E3480" t="str">
            <v>job</v>
          </cell>
        </row>
        <row r="3481">
          <cell r="D3481" t="str">
            <v>du</v>
          </cell>
          <cell r="E3481" t="str">
            <v>rejet RTL</v>
          </cell>
        </row>
        <row r="3482">
          <cell r="D3482" t="str">
            <v>du</v>
          </cell>
          <cell r="E3482" t="str">
            <v>rejet RTL</v>
          </cell>
        </row>
        <row r="3483">
          <cell r="C3483" t="str">
            <v>ligne</v>
          </cell>
          <cell r="D3483" t="str">
            <v>du</v>
          </cell>
          <cell r="E3483" t="str">
            <v>rejet RTL</v>
          </cell>
        </row>
        <row r="3484">
          <cell r="C3484" t="str">
            <v>origine</v>
          </cell>
          <cell r="D3484" t="str">
            <v>de la</v>
          </cell>
          <cell r="E3484" t="str">
            <v>donnée</v>
          </cell>
          <cell r="F3484" t="str">
            <v>du</v>
          </cell>
          <cell r="G3484" t="str">
            <v>rejet RTL</v>
          </cell>
        </row>
        <row r="3485">
          <cell r="D3485" t="str">
            <v>du</v>
          </cell>
          <cell r="E3485" t="str">
            <v>nœud Vertica</v>
          </cell>
        </row>
        <row r="3486">
          <cell r="D3486" t="str">
            <v>du</v>
          </cell>
          <cell r="E3486" t="str">
            <v>fichier</v>
          </cell>
        </row>
        <row r="3487">
          <cell r="D3487" t="str">
            <v>de la</v>
          </cell>
          <cell r="E3487" t="str">
            <v>session</v>
          </cell>
        </row>
        <row r="3488">
          <cell r="D3488" t="str">
            <v>de la</v>
          </cell>
          <cell r="E3488" t="str">
            <v>transaction</v>
          </cell>
        </row>
        <row r="3489">
          <cell r="D3489" t="str">
            <v>du</v>
          </cell>
          <cell r="E3489" t="str">
            <v>statement</v>
          </cell>
        </row>
        <row r="3490">
          <cell r="D3490" t="str">
            <v>du</v>
          </cell>
          <cell r="E3490" t="str">
            <v>batch</v>
          </cell>
        </row>
        <row r="3491">
          <cell r="D3491" t="str">
            <v>du</v>
          </cell>
          <cell r="E3491" t="str">
            <v>tiers</v>
          </cell>
        </row>
        <row r="3492">
          <cell r="D3492" t="str">
            <v>du</v>
          </cell>
          <cell r="E3492" t="str">
            <v>tiers</v>
          </cell>
        </row>
        <row r="3493">
          <cell r="D3493" t="str">
            <v>du</v>
          </cell>
          <cell r="E3493" t="str">
            <v>domaine assurance</v>
          </cell>
        </row>
        <row r="3494">
          <cell r="D3494" t="str">
            <v>du</v>
          </cell>
          <cell r="E3494" t="str">
            <v>sinistre prévoyance</v>
          </cell>
        </row>
        <row r="3495">
          <cell r="D3495" t="str">
            <v>de la</v>
          </cell>
          <cell r="E3495" t="str">
            <v>prestation</v>
          </cell>
        </row>
        <row r="3496">
          <cell r="C3496" t="str">
            <v>relation</v>
          </cell>
          <cell r="D3496" t="str">
            <v>entre</v>
          </cell>
          <cell r="E3496" t="str">
            <v>prestation</v>
          </cell>
          <cell r="F3496" t="str">
            <v>et</v>
          </cell>
          <cell r="G3496" t="str">
            <v>règlement</v>
          </cell>
        </row>
        <row r="3497">
          <cell r="D3497" t="str">
            <v>du</v>
          </cell>
          <cell r="E3497" t="str">
            <v>règlement</v>
          </cell>
        </row>
        <row r="3498">
          <cell r="D3498" t="str">
            <v>du</v>
          </cell>
          <cell r="E3498" t="str">
            <v>bénéficiaire du règlement</v>
          </cell>
        </row>
        <row r="3499">
          <cell r="D3499" t="str">
            <v>du</v>
          </cell>
          <cell r="E3499" t="str">
            <v>bénéficiaire du règlement prévoyance</v>
          </cell>
        </row>
        <row r="3500">
          <cell r="D3500" t="str">
            <v>de l'</v>
          </cell>
          <cell r="E3500" t="str">
            <v>objet sinistré</v>
          </cell>
        </row>
        <row r="3501">
          <cell r="D3501" t="str">
            <v>de la</v>
          </cell>
          <cell r="E3501" t="str">
            <v>personne sinistrée</v>
          </cell>
          <cell r="F3501" t="str">
            <v xml:space="preserve"> </v>
          </cell>
          <cell r="G3501" t="str">
            <v>non référencé</v>
          </cell>
        </row>
        <row r="3502">
          <cell r="D3502" t="str">
            <v>du</v>
          </cell>
          <cell r="E3502" t="str">
            <v>sinistre prévoyance</v>
          </cell>
        </row>
        <row r="3503">
          <cell r="D3503" t="str">
            <v>de la</v>
          </cell>
          <cell r="E3503" t="str">
            <v>prestation</v>
          </cell>
        </row>
        <row r="3504">
          <cell r="D3504" t="str">
            <v>de la</v>
          </cell>
          <cell r="E3504" t="str">
            <v>prestation prévoyance</v>
          </cell>
        </row>
        <row r="3505">
          <cell r="D3505" t="str">
            <v>du</v>
          </cell>
          <cell r="E3505" t="str">
            <v>règlement</v>
          </cell>
        </row>
        <row r="3506">
          <cell r="D3506" t="str">
            <v>du</v>
          </cell>
          <cell r="E3506" t="str">
            <v>règlement prévoyance</v>
          </cell>
        </row>
        <row r="3507">
          <cell r="D3507" t="str">
            <v>du</v>
          </cell>
          <cell r="E3507" t="str">
            <v>bénéficiaire du règlement</v>
          </cell>
        </row>
        <row r="3508">
          <cell r="D3508" t="str">
            <v>du</v>
          </cell>
          <cell r="E3508" t="str">
            <v>bénéficiaire du règlement prévoyance</v>
          </cell>
        </row>
        <row r="3509">
          <cell r="D3509" t="str">
            <v>de l'</v>
          </cell>
          <cell r="E3509" t="str">
            <v>objet sinistré</v>
          </cell>
        </row>
        <row r="3510">
          <cell r="D3510" t="str">
            <v>de la</v>
          </cell>
          <cell r="E3510" t="str">
            <v>personne sinistrée</v>
          </cell>
          <cell r="F3510" t="str">
            <v xml:space="preserve"> </v>
          </cell>
          <cell r="G3510" t="str">
            <v>non référencé</v>
          </cell>
        </row>
        <row r="3511">
          <cell r="D3511" t="str">
            <v>du</v>
          </cell>
          <cell r="E3511" t="str">
            <v>sinistre</v>
          </cell>
        </row>
        <row r="3512">
          <cell r="D3512" t="str">
            <v>de la</v>
          </cell>
          <cell r="E3512" t="str">
            <v>fédération</v>
          </cell>
          <cell r="F3512" t="str">
            <v>du</v>
          </cell>
          <cell r="G3512" t="str">
            <v>sinistre</v>
          </cell>
        </row>
        <row r="3513">
          <cell r="D3513" t="str">
            <v>du</v>
          </cell>
          <cell r="E3513" t="str">
            <v>règlement</v>
          </cell>
        </row>
        <row r="3514">
          <cell r="D3514" t="str">
            <v>du</v>
          </cell>
          <cell r="E3514" t="str">
            <v>sinistre</v>
          </cell>
        </row>
        <row r="3515">
          <cell r="D3515" t="str">
            <v>du</v>
          </cell>
          <cell r="E3515" t="str">
            <v>sinistre</v>
          </cell>
        </row>
        <row r="3516">
          <cell r="D3516" t="str">
            <v>du</v>
          </cell>
          <cell r="E3516" t="str">
            <v>rédacteur</v>
          </cell>
          <cell r="F3516" t="str">
            <v>du</v>
          </cell>
          <cell r="G3516" t="str">
            <v>sinistre</v>
          </cell>
        </row>
        <row r="3517">
          <cell r="D3517" t="str">
            <v>du</v>
          </cell>
          <cell r="E3517" t="str">
            <v>sinistre</v>
          </cell>
        </row>
        <row r="3518">
          <cell r="D3518" t="str">
            <v>de la</v>
          </cell>
          <cell r="E3518" t="str">
            <v>base de règlement</v>
          </cell>
          <cell r="F3518" t="str">
            <v>du</v>
          </cell>
          <cell r="G3518" t="str">
            <v>sinistre</v>
          </cell>
        </row>
        <row r="3519">
          <cell r="D3519" t="str">
            <v>du</v>
          </cell>
          <cell r="E3519" t="str">
            <v>sinistre</v>
          </cell>
        </row>
        <row r="3520">
          <cell r="D3520" t="str">
            <v>du</v>
          </cell>
          <cell r="E3520" t="str">
            <v>type</v>
          </cell>
          <cell r="F3520" t="str">
            <v>de</v>
          </cell>
          <cell r="G3520" t="str">
            <v>dossier sinistre</v>
          </cell>
        </row>
        <row r="3521">
          <cell r="D3521" t="str">
            <v>du</v>
          </cell>
          <cell r="E3521" t="str">
            <v>dossier sinistre</v>
          </cell>
        </row>
        <row r="3522">
          <cell r="D3522" t="str">
            <v>de l'</v>
          </cell>
          <cell r="E3522" t="str">
            <v>affectation</v>
          </cell>
          <cell r="F3522" t="str">
            <v>du</v>
          </cell>
          <cell r="G3522" t="str">
            <v>sinistre prévoyance</v>
          </cell>
        </row>
        <row r="3523">
          <cell r="D3523" t="str">
            <v>de l'</v>
          </cell>
          <cell r="E3523" t="str">
            <v>affectation</v>
          </cell>
          <cell r="F3523" t="str">
            <v>du</v>
          </cell>
          <cell r="G3523" t="str">
            <v>sinistre prévoyance</v>
          </cell>
        </row>
        <row r="3524">
          <cell r="D3524" t="str">
            <v>de l'</v>
          </cell>
          <cell r="E3524" t="str">
            <v>hospitalisation</v>
          </cell>
          <cell r="F3524" t="str">
            <v>de la</v>
          </cell>
          <cell r="G3524" t="str">
            <v>tiers personne physique</v>
          </cell>
        </row>
        <row r="3525">
          <cell r="D3525" t="str">
            <v>de l'</v>
          </cell>
          <cell r="E3525" t="str">
            <v>activité à temps partiel thérapeutique</v>
          </cell>
          <cell r="F3525" t="str">
            <v>de la</v>
          </cell>
          <cell r="G3525" t="str">
            <v>tiers personne physique</v>
          </cell>
        </row>
        <row r="3526">
          <cell r="D3526" t="str">
            <v>de l'</v>
          </cell>
          <cell r="E3526" t="str">
            <v>activité à temps partiel</v>
          </cell>
          <cell r="F3526" t="str">
            <v>du</v>
          </cell>
          <cell r="G3526" t="str">
            <v>tiers personne physique</v>
          </cell>
        </row>
        <row r="3527">
          <cell r="D3527" t="str">
            <v>du</v>
          </cell>
          <cell r="E3527" t="str">
            <v>type</v>
          </cell>
          <cell r="F3527" t="str">
            <v>d'</v>
          </cell>
          <cell r="G3527" t="str">
            <v>accident</v>
          </cell>
          <cell r="H3527" t="str">
            <v>de la</v>
          </cell>
          <cell r="I3527" t="str">
            <v>tiers personne physique</v>
          </cell>
        </row>
        <row r="3528">
          <cell r="D3528" t="str">
            <v>d'</v>
          </cell>
          <cell r="E3528" t="str">
            <v>accouchement</v>
          </cell>
          <cell r="F3528" t="str">
            <v>de la</v>
          </cell>
          <cell r="G3528" t="str">
            <v>tiers personne physique</v>
          </cell>
        </row>
        <row r="3529">
          <cell r="D3529" t="str">
            <v>du</v>
          </cell>
          <cell r="E3529" t="str">
            <v>décès</v>
          </cell>
          <cell r="F3529" t="str">
            <v>du</v>
          </cell>
          <cell r="G3529" t="str">
            <v>tiers personne physique</v>
          </cell>
        </row>
        <row r="3530">
          <cell r="D3530" t="str">
            <v>du</v>
          </cell>
          <cell r="E3530" t="str">
            <v>décès</v>
          </cell>
          <cell r="F3530" t="str">
            <v>du</v>
          </cell>
          <cell r="G3530" t="str">
            <v>tiers personne physique</v>
          </cell>
        </row>
        <row r="3531">
          <cell r="D3531" t="str">
            <v>du</v>
          </cell>
          <cell r="E3531" t="str">
            <v>Type d'hospitalisation</v>
          </cell>
        </row>
        <row r="3532">
          <cell r="D3532" t="str">
            <v>de l'</v>
          </cell>
          <cell r="E3532" t="str">
            <v>origine</v>
          </cell>
          <cell r="F3532" t="str">
            <v>de la</v>
          </cell>
          <cell r="G3532" t="str">
            <v>déclaration</v>
          </cell>
          <cell r="H3532" t="str">
            <v>du</v>
          </cell>
          <cell r="I3532" t="str">
            <v>sinistre prévoyance</v>
          </cell>
        </row>
        <row r="3533">
          <cell r="D3533" t="str">
            <v>de la</v>
          </cell>
          <cell r="E3533" t="str">
            <v>personne sinistrée</v>
          </cell>
        </row>
        <row r="3534">
          <cell r="D3534" t="str">
            <v>du</v>
          </cell>
          <cell r="E3534" t="str">
            <v>Type de référence interne</v>
          </cell>
          <cell r="F3534" t="str">
            <v>du</v>
          </cell>
          <cell r="G3534" t="str">
            <v>contrat</v>
          </cell>
        </row>
        <row r="3535">
          <cell r="C3535" t="str">
            <v>interne</v>
          </cell>
          <cell r="D3535" t="str">
            <v>du</v>
          </cell>
          <cell r="E3535" t="str">
            <v>contrat</v>
          </cell>
        </row>
        <row r="3536">
          <cell r="D3536" t="str">
            <v>du</v>
          </cell>
          <cell r="E3536" t="str">
            <v>Type de référence externe</v>
          </cell>
          <cell r="F3536" t="str">
            <v>du</v>
          </cell>
          <cell r="G3536" t="str">
            <v>contrat</v>
          </cell>
        </row>
        <row r="3537">
          <cell r="C3537" t="str">
            <v>externe</v>
          </cell>
          <cell r="D3537" t="str">
            <v>du</v>
          </cell>
          <cell r="E3537" t="str">
            <v>contrat</v>
          </cell>
        </row>
        <row r="3538">
          <cell r="D3538" t="str">
            <v>du</v>
          </cell>
          <cell r="E3538" t="str">
            <v>bénéficiaire</v>
          </cell>
          <cell r="F3538" t="str">
            <v>de la</v>
          </cell>
          <cell r="G3538" t="str">
            <v>prestation</v>
          </cell>
        </row>
        <row r="3539">
          <cell r="D3539" t="str">
            <v>du</v>
          </cell>
          <cell r="E3539" t="str">
            <v>prêt</v>
          </cell>
        </row>
        <row r="3540">
          <cell r="D3540" t="str">
            <v>de la</v>
          </cell>
          <cell r="E3540" t="str">
            <v>prestation</v>
          </cell>
        </row>
        <row r="3541">
          <cell r="D3541" t="str">
            <v>de la</v>
          </cell>
          <cell r="E3541" t="str">
            <v>prestation</v>
          </cell>
        </row>
        <row r="3542">
          <cell r="D3542" t="str">
            <v>de la</v>
          </cell>
          <cell r="E3542" t="str">
            <v>Branche assurance</v>
          </cell>
        </row>
        <row r="3543">
          <cell r="D3543" t="str">
            <v>du</v>
          </cell>
          <cell r="E3543" t="str">
            <v>type de prestation</v>
          </cell>
        </row>
        <row r="3544">
          <cell r="D3544" t="str">
            <v>de la</v>
          </cell>
          <cell r="E3544" t="str">
            <v>situation de la prestation</v>
          </cell>
        </row>
        <row r="3545">
          <cell r="D3545" t="str">
            <v>du</v>
          </cell>
          <cell r="E3545" t="str">
            <v>motif de situation</v>
          </cell>
          <cell r="F3545" t="str">
            <v>de la</v>
          </cell>
          <cell r="G3545" t="str">
            <v>prestation</v>
          </cell>
        </row>
        <row r="3546">
          <cell r="D3546" t="str">
            <v>de la</v>
          </cell>
          <cell r="E3546" t="str">
            <v>situation</v>
          </cell>
          <cell r="F3546" t="str">
            <v>de la</v>
          </cell>
          <cell r="G3546" t="str">
            <v>prestation</v>
          </cell>
        </row>
        <row r="3547">
          <cell r="D3547" t="str">
            <v>de la</v>
          </cell>
          <cell r="E3547" t="str">
            <v>prestation</v>
          </cell>
        </row>
        <row r="3548">
          <cell r="D3548" t="str">
            <v>du</v>
          </cell>
          <cell r="E3548" t="str">
            <v>produit d'assurance</v>
          </cell>
        </row>
        <row r="3549">
          <cell r="C3549" t="str">
            <v xml:space="preserve">tête </v>
          </cell>
          <cell r="D3549" t="str">
            <v>du</v>
          </cell>
          <cell r="E3549" t="str">
            <v>tiers assurance</v>
          </cell>
        </row>
        <row r="3550">
          <cell r="D3550" t="str">
            <v>de l'</v>
          </cell>
          <cell r="E3550" t="str">
            <v>indemnisation</v>
          </cell>
          <cell r="F3550" t="str">
            <v>du</v>
          </cell>
          <cell r="G3550" t="str">
            <v>tiers personne physique</v>
          </cell>
        </row>
        <row r="3551">
          <cell r="D3551" t="str">
            <v>de l'</v>
          </cell>
          <cell r="E3551" t="str">
            <v>indemnisation</v>
          </cell>
          <cell r="F3551" t="str">
            <v>du</v>
          </cell>
          <cell r="G3551" t="str">
            <v>tiers personne physique</v>
          </cell>
        </row>
        <row r="3552">
          <cell r="C3552" t="str">
            <v>jour</v>
          </cell>
          <cell r="D3552" t="str">
            <v>de l'</v>
          </cell>
          <cell r="E3552" t="str">
            <v>indemnisation</v>
          </cell>
          <cell r="F3552" t="str">
            <v>du</v>
          </cell>
          <cell r="G3552" t="str">
            <v>tiers personne physique</v>
          </cell>
        </row>
        <row r="3553">
          <cell r="D3553" t="str">
            <v>de la</v>
          </cell>
          <cell r="E3553" t="str">
            <v>prestation origine</v>
          </cell>
        </row>
        <row r="3554">
          <cell r="D3554" t="str">
            <v>du</v>
          </cell>
          <cell r="E3554" t="str">
            <v>tiers titulaire</v>
          </cell>
          <cell r="F3554" t="str">
            <v>du</v>
          </cell>
          <cell r="G3554" t="str">
            <v>contrat</v>
          </cell>
        </row>
        <row r="3555">
          <cell r="D3555" t="str">
            <v>de la</v>
          </cell>
          <cell r="E3555" t="str">
            <v>période d'indémnisation</v>
          </cell>
          <cell r="F3555" t="str">
            <v>du</v>
          </cell>
          <cell r="G3555" t="str">
            <v>tiers personne physique</v>
          </cell>
        </row>
        <row r="3556">
          <cell r="D3556" t="str">
            <v>de la</v>
          </cell>
          <cell r="E3556" t="str">
            <v>période d'indémnisation</v>
          </cell>
          <cell r="F3556" t="str">
            <v>du</v>
          </cell>
          <cell r="G3556" t="str">
            <v>tiers personne physique</v>
          </cell>
        </row>
        <row r="3557">
          <cell r="D3557" t="str">
            <v>de</v>
          </cell>
          <cell r="E3557" t="str">
            <v>jour indemnisé</v>
          </cell>
          <cell r="F3557" t="str">
            <v>du</v>
          </cell>
          <cell r="G3557" t="str">
            <v>tiers personne physique</v>
          </cell>
        </row>
        <row r="3558">
          <cell r="D3558" t="str">
            <v>de la</v>
          </cell>
          <cell r="E3558" t="str">
            <v>garantie</v>
          </cell>
        </row>
        <row r="3559">
          <cell r="D3559" t="str">
            <v>de la</v>
          </cell>
          <cell r="E3559" t="str">
            <v>décision</v>
          </cell>
          <cell r="F3559" t="str">
            <v>de la</v>
          </cell>
          <cell r="G3559" t="str">
            <v>prestation</v>
          </cell>
        </row>
        <row r="3560">
          <cell r="D3560" t="str">
            <v>de la</v>
          </cell>
          <cell r="E3560" t="str">
            <v>prestation précédante</v>
          </cell>
        </row>
        <row r="3561">
          <cell r="C3561" t="str">
            <v>maximum</v>
          </cell>
          <cell r="D3561" t="str">
            <v>de la</v>
          </cell>
          <cell r="E3561" t="str">
            <v>prise en charge</v>
          </cell>
          <cell r="F3561" t="str">
            <v>de la</v>
          </cell>
          <cell r="G3561" t="str">
            <v>prestation</v>
          </cell>
        </row>
        <row r="3562">
          <cell r="D3562" t="str">
            <v>de la</v>
          </cell>
          <cell r="E3562" t="str">
            <v>Société d'assurance</v>
          </cell>
        </row>
        <row r="3563">
          <cell r="D3563" t="str">
            <v>de la</v>
          </cell>
          <cell r="E3563" t="str">
            <v>prestation prévoyance</v>
          </cell>
        </row>
        <row r="3564">
          <cell r="D3564" t="str">
            <v>du</v>
          </cell>
          <cell r="E3564" t="str">
            <v>règlement</v>
          </cell>
          <cell r="F3564" t="str">
            <v>de la</v>
          </cell>
          <cell r="G3564" t="str">
            <v>prestation</v>
          </cell>
        </row>
        <row r="3565">
          <cell r="D3565" t="str">
            <v>de l'</v>
          </cell>
          <cell r="E3565" t="str">
            <v>objet sinistré</v>
          </cell>
        </row>
        <row r="3566">
          <cell r="D3566" t="str">
            <v>du</v>
          </cell>
          <cell r="E3566" t="str">
            <v>rédacteur</v>
          </cell>
          <cell r="F3566" t="str">
            <v xml:space="preserve"> </v>
          </cell>
          <cell r="G3566" t="str">
            <v>ayant saisi</v>
          </cell>
          <cell r="H3566" t="str">
            <v>de la</v>
          </cell>
          <cell r="I3566" t="str">
            <v>prestation</v>
          </cell>
        </row>
        <row r="3567">
          <cell r="D3567" t="str">
            <v>du</v>
          </cell>
          <cell r="E3567" t="str">
            <v>rédacteur</v>
          </cell>
          <cell r="F3567" t="str">
            <v>de la</v>
          </cell>
          <cell r="G3567" t="str">
            <v>décision</v>
          </cell>
          <cell r="H3567" t="str">
            <v>de la</v>
          </cell>
          <cell r="I3567" t="str">
            <v>prestation</v>
          </cell>
        </row>
        <row r="3568">
          <cell r="D3568" t="str">
            <v>du</v>
          </cell>
          <cell r="E3568" t="str">
            <v>contrat</v>
          </cell>
        </row>
        <row r="3569">
          <cell r="D3569" t="str">
            <v>de l'</v>
          </cell>
          <cell r="E3569" t="str">
            <v>avenant du contrat</v>
          </cell>
        </row>
        <row r="3570">
          <cell r="D3570" t="str">
            <v>de la</v>
          </cell>
          <cell r="E3570" t="str">
            <v>couverture</v>
          </cell>
          <cell r="F3570" t="str">
            <v>de la</v>
          </cell>
          <cell r="G3570" t="str">
            <v>prestation</v>
          </cell>
        </row>
        <row r="3571">
          <cell r="D3571" t="str">
            <v>du</v>
          </cell>
          <cell r="E3571" t="str">
            <v>motif</v>
          </cell>
          <cell r="F3571" t="str">
            <v>du</v>
          </cell>
          <cell r="G3571" t="str">
            <v>sinistre</v>
          </cell>
        </row>
        <row r="3572">
          <cell r="D3572" t="str">
            <v>de la</v>
          </cell>
          <cell r="E3572" t="str">
            <v>base de règlement</v>
          </cell>
          <cell r="F3572" t="str">
            <v>du</v>
          </cell>
          <cell r="G3572" t="str">
            <v>sinistre</v>
          </cell>
        </row>
        <row r="3573">
          <cell r="D3573" t="str">
            <v>de l'</v>
          </cell>
          <cell r="E3573" t="str">
            <v>Entité gestionnaire</v>
          </cell>
        </row>
        <row r="3574">
          <cell r="D3574" t="str">
            <v>de la</v>
          </cell>
          <cell r="E3574" t="str">
            <v>cause du sinistre</v>
          </cell>
        </row>
        <row r="3575">
          <cell r="D3575" t="str">
            <v>du</v>
          </cell>
          <cell r="E3575" t="str">
            <v>dossier sinistre</v>
          </cell>
        </row>
        <row r="3576">
          <cell r="C3576" t="str">
            <v>détail</v>
          </cell>
          <cell r="D3576" t="str">
            <v>de l'</v>
          </cell>
          <cell r="E3576" t="str">
            <v>accident de circulation</v>
          </cell>
        </row>
        <row r="3577">
          <cell r="C3577" t="str">
            <v>finess</v>
          </cell>
          <cell r="D3577" t="str">
            <v>de l'</v>
          </cell>
          <cell r="E3577" t="str">
            <v>établissement de santé</v>
          </cell>
        </row>
        <row r="3578">
          <cell r="C3578" t="str">
            <v>finess</v>
          </cell>
          <cell r="D3578" t="str">
            <v>de l'</v>
          </cell>
          <cell r="E3578" t="str">
            <v>établissement de santé</v>
          </cell>
        </row>
        <row r="3579">
          <cell r="D3579" t="str">
            <v>de l'</v>
          </cell>
          <cell r="E3579" t="str">
            <v>application origine</v>
          </cell>
        </row>
        <row r="3580">
          <cell r="D3580" t="str">
            <v>du</v>
          </cell>
          <cell r="E3580" t="str">
            <v>tiers</v>
          </cell>
          <cell r="F3580" t="str">
            <v>de type</v>
          </cell>
          <cell r="G3580" t="str">
            <v>assuré sinistré</v>
          </cell>
        </row>
        <row r="3581">
          <cell r="D3581" t="str">
            <v>du</v>
          </cell>
          <cell r="E3581" t="str">
            <v>risque</v>
          </cell>
          <cell r="F3581" t="str">
            <v>de la</v>
          </cell>
          <cell r="G3581" t="str">
            <v>prestation</v>
          </cell>
        </row>
        <row r="3582">
          <cell r="D3582" t="str">
            <v>de la</v>
          </cell>
          <cell r="E3582" t="str">
            <v>cause de la prestation</v>
          </cell>
        </row>
        <row r="3583">
          <cell r="D3583" t="str">
            <v>de l'</v>
          </cell>
          <cell r="E3583" t="str">
            <v>affection</v>
          </cell>
        </row>
        <row r="3584">
          <cell r="C3584" t="str">
            <v>motif</v>
          </cell>
          <cell r="D3584" t="str">
            <v>de la</v>
          </cell>
          <cell r="E3584" t="str">
            <v>prestation</v>
          </cell>
        </row>
        <row r="3585">
          <cell r="C3585" t="str">
            <v>état</v>
          </cell>
          <cell r="D3585" t="str">
            <v>de la</v>
          </cell>
          <cell r="E3585" t="str">
            <v>relation</v>
          </cell>
          <cell r="F3585" t="str">
            <v>entre</v>
          </cell>
          <cell r="G3585" t="str">
            <v>prestation</v>
          </cell>
          <cell r="H3585" t="str">
            <v>et</v>
          </cell>
          <cell r="I3585" t="str">
            <v>contrat</v>
          </cell>
        </row>
        <row r="3586">
          <cell r="D3586" t="str">
            <v>de la</v>
          </cell>
          <cell r="E3586" t="str">
            <v>sortie</v>
          </cell>
          <cell r="F3586" t="str">
            <v>de la</v>
          </cell>
          <cell r="G3586" t="str">
            <v>loi madelin</v>
          </cell>
        </row>
        <row r="3587">
          <cell r="D3587" t="str">
            <v>de la</v>
          </cell>
          <cell r="E3587" t="str">
            <v>classement maitre</v>
          </cell>
          <cell r="F3587" t="str">
            <v>de la</v>
          </cell>
          <cell r="G3587" t="str">
            <v>prestation prévoyance</v>
          </cell>
        </row>
        <row r="3588">
          <cell r="D3588" t="str">
            <v>de</v>
          </cell>
          <cell r="E3588" t="str">
            <v>réduction</v>
          </cell>
          <cell r="F3588" t="str">
            <v>des</v>
          </cell>
          <cell r="G3588" t="str">
            <v>indemnité journalière</v>
          </cell>
        </row>
        <row r="3589">
          <cell r="D3589" t="str">
            <v>de la</v>
          </cell>
          <cell r="E3589" t="str">
            <v>ligne détail</v>
          </cell>
          <cell r="F3589" t="str">
            <v>de la</v>
          </cell>
          <cell r="G3589" t="str">
            <v>prestation prévoyance</v>
          </cell>
        </row>
        <row r="3590">
          <cell r="D3590" t="str">
            <v>de la</v>
          </cell>
          <cell r="E3590" t="str">
            <v>ligne détail</v>
          </cell>
          <cell r="F3590" t="str">
            <v>de la</v>
          </cell>
          <cell r="G3590" t="str">
            <v>prestation prévoyance</v>
          </cell>
        </row>
        <row r="3591">
          <cell r="D3591" t="str">
            <v>du</v>
          </cell>
          <cell r="E3591" t="str">
            <v>décès</v>
          </cell>
          <cell r="F3591" t="str">
            <v>du</v>
          </cell>
          <cell r="G3591" t="str">
            <v>tiers personne physique</v>
          </cell>
        </row>
        <row r="3592">
          <cell r="D3592" t="str">
            <v>de la</v>
          </cell>
          <cell r="E3592" t="str">
            <v>période d'invalidité</v>
          </cell>
          <cell r="F3592" t="str">
            <v>du</v>
          </cell>
          <cell r="G3592" t="str">
            <v>tiers personne physique</v>
          </cell>
        </row>
        <row r="3593">
          <cell r="D3593" t="str">
            <v>du</v>
          </cell>
          <cell r="E3593" t="str">
            <v>Type de risque</v>
          </cell>
          <cell r="F3593" t="str">
            <v>de la</v>
          </cell>
          <cell r="G3593" t="str">
            <v>prestation prévoyance</v>
          </cell>
        </row>
        <row r="3594">
          <cell r="D3594" t="str">
            <v>d'</v>
          </cell>
          <cell r="E3594" t="str">
            <v>hospitalisation</v>
          </cell>
          <cell r="F3594" t="str">
            <v>du</v>
          </cell>
          <cell r="G3594" t="str">
            <v>tiers personne physique</v>
          </cell>
        </row>
        <row r="3595">
          <cell r="D3595" t="str">
            <v>d'</v>
          </cell>
          <cell r="E3595" t="str">
            <v>hospitalisation</v>
          </cell>
          <cell r="F3595" t="str">
            <v>du</v>
          </cell>
          <cell r="G3595" t="str">
            <v>tiers personne physique</v>
          </cell>
        </row>
        <row r="3596">
          <cell r="D3596" t="str">
            <v>d'</v>
          </cell>
          <cell r="E3596" t="str">
            <v>hospitalisation</v>
          </cell>
          <cell r="F3596" t="str">
            <v>du</v>
          </cell>
          <cell r="G3596" t="str">
            <v>tiers personne physique</v>
          </cell>
        </row>
        <row r="3597">
          <cell r="D3597" t="str">
            <v>de</v>
          </cell>
          <cell r="E3597" t="str">
            <v>Jour</v>
          </cell>
          <cell r="F3597" t="str">
            <v>d'</v>
          </cell>
          <cell r="G3597" t="str">
            <v>hospitalisation</v>
          </cell>
        </row>
        <row r="3598">
          <cell r="D3598" t="str">
            <v>du</v>
          </cell>
          <cell r="E3598" t="str">
            <v>finess</v>
          </cell>
        </row>
        <row r="3599">
          <cell r="D3599" t="str">
            <v>de l'</v>
          </cell>
          <cell r="E3599" t="str">
            <v>établissement de santé</v>
          </cell>
        </row>
        <row r="3600">
          <cell r="D3600" t="str">
            <v>de</v>
          </cell>
          <cell r="E3600" t="str">
            <v>prise en charge</v>
          </cell>
          <cell r="F3600" t="str">
            <v>de la</v>
          </cell>
          <cell r="G3600" t="str">
            <v>prestation prévoyance</v>
          </cell>
        </row>
        <row r="3601">
          <cell r="C3601" t="str">
            <v>limite</v>
          </cell>
          <cell r="D3601" t="str">
            <v>de</v>
          </cell>
          <cell r="E3601" t="str">
            <v>prise en charge</v>
          </cell>
          <cell r="F3601" t="str">
            <v>de la</v>
          </cell>
          <cell r="G3601" t="str">
            <v>prestation prévoyance</v>
          </cell>
        </row>
        <row r="3602">
          <cell r="D3602" t="str">
            <v>de</v>
          </cell>
          <cell r="E3602" t="str">
            <v>rechute</v>
          </cell>
          <cell r="F3602" t="str">
            <v>du</v>
          </cell>
          <cell r="G3602" t="str">
            <v>tiers personne physique</v>
          </cell>
        </row>
        <row r="3603">
          <cell r="D3603" t="str">
            <v>du</v>
          </cell>
          <cell r="E3603" t="str">
            <v>document de base</v>
          </cell>
          <cell r="F3603" t="str">
            <v>de la</v>
          </cell>
          <cell r="G3603" t="str">
            <v>prestation prévoyance</v>
          </cell>
        </row>
        <row r="3604">
          <cell r="D3604" t="str">
            <v>de</v>
          </cell>
          <cell r="E3604" t="str">
            <v>renseignement complémentaire</v>
          </cell>
          <cell r="F3604" t="str">
            <v>de la</v>
          </cell>
          <cell r="G3604" t="str">
            <v>prestation prévoyance</v>
          </cell>
        </row>
        <row r="3605">
          <cell r="D3605" t="str">
            <v>de</v>
          </cell>
          <cell r="E3605" t="str">
            <v>reprise du travail</v>
          </cell>
          <cell r="F3605" t="str">
            <v>du</v>
          </cell>
          <cell r="G3605" t="str">
            <v>tiers personne physique</v>
          </cell>
        </row>
        <row r="3606">
          <cell r="D3606" t="str">
            <v>de</v>
          </cell>
          <cell r="E3606" t="str">
            <v>reprise du travail</v>
          </cell>
          <cell r="F3606" t="str">
            <v>du</v>
          </cell>
          <cell r="G3606" t="str">
            <v>tiers personne physique</v>
          </cell>
        </row>
        <row r="3607">
          <cell r="D3607" t="str">
            <v>du</v>
          </cell>
          <cell r="E3607" t="str">
            <v>produit bancaire</v>
          </cell>
        </row>
        <row r="3608">
          <cell r="D3608" t="str">
            <v>du</v>
          </cell>
          <cell r="E3608" t="str">
            <v>tiers</v>
          </cell>
          <cell r="F3608" t="str">
            <v>de type</v>
          </cell>
          <cell r="G3608" t="str">
            <v>assuré sinistré</v>
          </cell>
        </row>
        <row r="3609">
          <cell r="D3609" t="str">
            <v>d'</v>
          </cell>
          <cell r="E3609" t="str">
            <v>APL</v>
          </cell>
        </row>
        <row r="3610">
          <cell r="D3610" t="str">
            <v>d'</v>
          </cell>
          <cell r="E3610" t="str">
            <v>activité à mi-temps</v>
          </cell>
          <cell r="F3610" t="str">
            <v>du</v>
          </cell>
          <cell r="G3610" t="str">
            <v>tiers personne physique</v>
          </cell>
        </row>
        <row r="3611">
          <cell r="D3611" t="str">
            <v>de la</v>
          </cell>
          <cell r="E3611" t="str">
            <v>prise en charge</v>
          </cell>
          <cell r="F3611" t="str">
            <v>de la</v>
          </cell>
          <cell r="G3611" t="str">
            <v>prestation prévoyance</v>
          </cell>
        </row>
        <row r="3612">
          <cell r="D3612" t="str">
            <v>de</v>
          </cell>
          <cell r="E3612" t="str">
            <v>règlement immédiat</v>
          </cell>
        </row>
        <row r="3613">
          <cell r="D3613" t="str">
            <v>du</v>
          </cell>
          <cell r="E3613" t="str">
            <v>type</v>
          </cell>
          <cell r="F3613" t="str">
            <v>de</v>
          </cell>
          <cell r="G3613" t="str">
            <v>règlement</v>
          </cell>
        </row>
        <row r="3614">
          <cell r="D3614" t="str">
            <v>du</v>
          </cell>
          <cell r="E3614" t="str">
            <v>EXTASE</v>
          </cell>
          <cell r="F3614" t="str">
            <v>de la</v>
          </cell>
          <cell r="G3614" t="str">
            <v>prestation prévoyance</v>
          </cell>
        </row>
        <row r="3615">
          <cell r="D3615" t="str">
            <v>de la</v>
          </cell>
          <cell r="E3615" t="str">
            <v>période de chômage</v>
          </cell>
          <cell r="F3615" t="str">
            <v>du</v>
          </cell>
          <cell r="G3615" t="str">
            <v>tiers personne physique</v>
          </cell>
        </row>
        <row r="3616">
          <cell r="D3616" t="str">
            <v>d'</v>
          </cell>
          <cell r="E3616" t="str">
            <v>échéance</v>
          </cell>
          <cell r="F3616" t="str">
            <v>de la</v>
          </cell>
          <cell r="G3616" t="str">
            <v>prestation prévoyance</v>
          </cell>
        </row>
        <row r="3617">
          <cell r="D3617" t="str">
            <v>du</v>
          </cell>
          <cell r="E3617" t="str">
            <v>type</v>
          </cell>
          <cell r="F3617" t="str">
            <v>d'</v>
          </cell>
          <cell r="G3617" t="str">
            <v>échéance</v>
          </cell>
          <cell r="H3617" t="str">
            <v>de la</v>
          </cell>
          <cell r="I3617" t="str">
            <v>prestation prévoyance</v>
          </cell>
        </row>
        <row r="3618">
          <cell r="D3618" t="str">
            <v>du</v>
          </cell>
          <cell r="E3618" t="str">
            <v>décès</v>
          </cell>
          <cell r="F3618" t="str">
            <v>du</v>
          </cell>
          <cell r="G3618" t="str">
            <v>tiers personne physique</v>
          </cell>
        </row>
        <row r="3619">
          <cell r="D3619" t="str">
            <v>du</v>
          </cell>
          <cell r="E3619" t="str">
            <v>remboursement</v>
          </cell>
        </row>
        <row r="3620">
          <cell r="D3620" t="str">
            <v>de</v>
          </cell>
          <cell r="E3620" t="str">
            <v>condition particulière</v>
          </cell>
          <cell r="F3620" t="str">
            <v>d'</v>
          </cell>
          <cell r="G3620" t="str">
            <v>adhésion</v>
          </cell>
        </row>
        <row r="3621">
          <cell r="D3621" t="str">
            <v>d'</v>
          </cell>
          <cell r="E3621" t="str">
            <v>événement identique</v>
          </cell>
        </row>
        <row r="3622">
          <cell r="D3622" t="str">
            <v>de la</v>
          </cell>
          <cell r="E3622" t="str">
            <v>prestation prévoyance</v>
          </cell>
        </row>
        <row r="3623">
          <cell r="D3623" t="str">
            <v>de</v>
          </cell>
          <cell r="E3623" t="str">
            <v>questionnaire de santé</v>
          </cell>
        </row>
        <row r="3624">
          <cell r="C3624" t="str">
            <v>maximum</v>
          </cell>
          <cell r="D3624" t="str">
            <v>de la</v>
          </cell>
          <cell r="E3624" t="str">
            <v>prise en charge</v>
          </cell>
        </row>
        <row r="3625">
          <cell r="C3625" t="str">
            <v>premier jour</v>
          </cell>
          <cell r="D3625" t="str">
            <v>de</v>
          </cell>
          <cell r="E3625" t="str">
            <v>prise en charge</v>
          </cell>
        </row>
        <row r="3626">
          <cell r="D3626" t="str">
            <v>du</v>
          </cell>
          <cell r="E3626" t="str">
            <v>type de carence</v>
          </cell>
        </row>
        <row r="3627">
          <cell r="D3627" t="str">
            <v>de</v>
          </cell>
          <cell r="E3627" t="str">
            <v>questionnaire de santé</v>
          </cell>
        </row>
        <row r="3628">
          <cell r="D3628" t="str">
            <v>de la</v>
          </cell>
          <cell r="E3628" t="str">
            <v>base de règlement</v>
          </cell>
          <cell r="F3628" t="str">
            <v>de la</v>
          </cell>
          <cell r="G3628" t="str">
            <v>prestation prévoyance</v>
          </cell>
        </row>
        <row r="3629">
          <cell r="D3629" t="str">
            <v>de</v>
          </cell>
          <cell r="E3629" t="str">
            <v>jour indemnisé</v>
          </cell>
          <cell r="F3629" t="str">
            <v>du</v>
          </cell>
          <cell r="G3629" t="str">
            <v>tiers personne physique</v>
          </cell>
        </row>
        <row r="3630">
          <cell r="D3630" t="str">
            <v>de</v>
          </cell>
          <cell r="E3630" t="str">
            <v>Jour</v>
          </cell>
          <cell r="F3630" t="str">
            <v>d'</v>
          </cell>
          <cell r="G3630" t="str">
            <v>indemnisation</v>
          </cell>
          <cell r="H3630" t="str">
            <v>du</v>
          </cell>
          <cell r="I3630" t="str">
            <v>tiers personne physique</v>
          </cell>
        </row>
        <row r="3631">
          <cell r="D3631" t="str">
            <v>d'</v>
          </cell>
          <cell r="E3631" t="str">
            <v>indemnité journalière</v>
          </cell>
          <cell r="F3631" t="str">
            <v>d'</v>
          </cell>
          <cell r="G3631" t="str">
            <v>activité à mi-temps</v>
          </cell>
        </row>
        <row r="3632">
          <cell r="D3632" t="str">
            <v>de l'</v>
          </cell>
          <cell r="E3632" t="str">
            <v>arrêt de travail</v>
          </cell>
          <cell r="F3632" t="str">
            <v>du</v>
          </cell>
          <cell r="G3632" t="str">
            <v>tiers personne physique</v>
          </cell>
        </row>
        <row r="3633">
          <cell r="D3633" t="str">
            <v>de la</v>
          </cell>
          <cell r="E3633" t="str">
            <v>prestation prévoyance</v>
          </cell>
        </row>
        <row r="3634">
          <cell r="C3634" t="str">
            <v>maximum</v>
          </cell>
          <cell r="D3634" t="str">
            <v>de la</v>
          </cell>
          <cell r="E3634" t="str">
            <v>prise en charge</v>
          </cell>
        </row>
        <row r="3635">
          <cell r="C3635" t="str">
            <v>maximum</v>
          </cell>
          <cell r="D3635" t="str">
            <v>de la</v>
          </cell>
          <cell r="E3635" t="str">
            <v>prise en charge</v>
          </cell>
          <cell r="F3635" t="str">
            <v>des</v>
          </cell>
          <cell r="G3635" t="str">
            <v>frais généraux</v>
          </cell>
        </row>
        <row r="3636">
          <cell r="C3636" t="str">
            <v>maximum</v>
          </cell>
          <cell r="D3636" t="str">
            <v>de la</v>
          </cell>
          <cell r="E3636" t="str">
            <v>prise en charge</v>
          </cell>
          <cell r="F3636" t="str">
            <v>des</v>
          </cell>
          <cell r="G3636" t="str">
            <v>frais généraux</v>
          </cell>
        </row>
        <row r="3637">
          <cell r="D3637" t="str">
            <v>des</v>
          </cell>
          <cell r="E3637" t="str">
            <v>indemnité journalière</v>
          </cell>
        </row>
        <row r="3638">
          <cell r="D3638" t="str">
            <v>de la</v>
          </cell>
          <cell r="E3638" t="str">
            <v>garantie</v>
          </cell>
        </row>
        <row r="3639">
          <cell r="D3639" t="str">
            <v>de la</v>
          </cell>
          <cell r="E3639" t="str">
            <v>décision</v>
          </cell>
          <cell r="F3639" t="str">
            <v>de la</v>
          </cell>
          <cell r="G3639" t="str">
            <v>prestation prévoyance</v>
          </cell>
        </row>
        <row r="3640">
          <cell r="C3640" t="str">
            <v>maximum</v>
          </cell>
          <cell r="D3640" t="str">
            <v>du</v>
          </cell>
          <cell r="E3640" t="str">
            <v>règlement</v>
          </cell>
        </row>
        <row r="3641">
          <cell r="D3641" t="str">
            <v>de la</v>
          </cell>
          <cell r="E3641" t="str">
            <v>garantie</v>
          </cell>
          <cell r="G3641" t="str">
            <v>extase</v>
          </cell>
        </row>
        <row r="3642">
          <cell r="D3642" t="str">
            <v>de la</v>
          </cell>
          <cell r="E3642" t="str">
            <v>revalorisation</v>
          </cell>
          <cell r="F3642" t="str">
            <v>de la</v>
          </cell>
          <cell r="G3642" t="str">
            <v>prestation prévoyance</v>
          </cell>
        </row>
        <row r="3643">
          <cell r="D3643" t="str">
            <v>de la</v>
          </cell>
          <cell r="E3643" t="str">
            <v>revalorisation</v>
          </cell>
          <cell r="F3643" t="str">
            <v>de la</v>
          </cell>
          <cell r="G3643" t="str">
            <v>prestation prévoyance</v>
          </cell>
        </row>
        <row r="3644">
          <cell r="D3644" t="str">
            <v>de la</v>
          </cell>
          <cell r="E3644" t="str">
            <v>revalorisation</v>
          </cell>
          <cell r="F3644" t="str">
            <v>de la</v>
          </cell>
          <cell r="G3644" t="str">
            <v>prestation prévoyance</v>
          </cell>
        </row>
        <row r="3645">
          <cell r="D3645" t="str">
            <v>du</v>
          </cell>
          <cell r="E3645" t="str">
            <v>contrat</v>
          </cell>
        </row>
        <row r="3646">
          <cell r="D3646" t="str">
            <v>du</v>
          </cell>
          <cell r="E3646" t="str">
            <v>type de prêt</v>
          </cell>
        </row>
        <row r="3647">
          <cell r="D3647" t="str">
            <v>de</v>
          </cell>
          <cell r="E3647" t="str">
            <v>franchise maladie</v>
          </cell>
          <cell r="F3647" t="str">
            <v>de la</v>
          </cell>
          <cell r="G3647" t="str">
            <v xml:space="preserve">tête de pont </v>
          </cell>
        </row>
        <row r="3648">
          <cell r="D3648" t="str">
            <v>de la</v>
          </cell>
          <cell r="E3648" t="str">
            <v>garantie incapacité de travail</v>
          </cell>
          <cell r="F3648" t="str">
            <v>de la</v>
          </cell>
          <cell r="G3648" t="str">
            <v xml:space="preserve">tête de pont </v>
          </cell>
        </row>
        <row r="3649">
          <cell r="D3649" t="str">
            <v>de l'</v>
          </cell>
          <cell r="E3649" t="str">
            <v>objet sinistré</v>
          </cell>
        </row>
        <row r="3650">
          <cell r="D3650" t="str">
            <v>de</v>
          </cell>
          <cell r="E3650" t="str">
            <v>sécurité sociale</v>
          </cell>
          <cell r="F3650" t="str">
            <v>d'un</v>
          </cell>
          <cell r="G3650" t="str">
            <v>travailleur étranger</v>
          </cell>
        </row>
        <row r="3651">
          <cell r="D3651" t="str">
            <v>du</v>
          </cell>
          <cell r="E3651" t="str">
            <v>régime fiscal de base</v>
          </cell>
          <cell r="F3651" t="str">
            <v>de la</v>
          </cell>
          <cell r="G3651" t="str">
            <v>prestation prévoyance</v>
          </cell>
        </row>
        <row r="3652">
          <cell r="D3652" t="str">
            <v>de</v>
          </cell>
          <cell r="E3652" t="str">
            <v>personne à charge</v>
          </cell>
        </row>
        <row r="3653">
          <cell r="D3653" t="str">
            <v>de la</v>
          </cell>
          <cell r="E3653" t="str">
            <v>situation maritale</v>
          </cell>
          <cell r="F3653" t="str">
            <v>du</v>
          </cell>
          <cell r="G3653" t="str">
            <v>tiers personne physique</v>
          </cell>
        </row>
        <row r="3654">
          <cell r="D3654" t="str">
            <v>de la</v>
          </cell>
          <cell r="E3654" t="str">
            <v>personne décédée</v>
          </cell>
        </row>
        <row r="3655">
          <cell r="D3655" t="str">
            <v>des</v>
          </cell>
          <cell r="E3655" t="str">
            <v>frais réels</v>
          </cell>
        </row>
        <row r="3656">
          <cell r="D3656" t="str">
            <v>de l'</v>
          </cell>
          <cell r="E3656" t="str">
            <v>indemnisation</v>
          </cell>
          <cell r="F3656" t="str">
            <v>du</v>
          </cell>
          <cell r="G3656" t="str">
            <v>tiers personne physique</v>
          </cell>
        </row>
        <row r="3657">
          <cell r="D3657" t="str">
            <v>de l'</v>
          </cell>
          <cell r="E3657" t="str">
            <v>indemnisation</v>
          </cell>
          <cell r="F3657" t="str">
            <v>du</v>
          </cell>
          <cell r="G3657" t="str">
            <v>tiers personne physique</v>
          </cell>
        </row>
        <row r="3658">
          <cell r="D3658" t="str">
            <v>de la</v>
          </cell>
          <cell r="E3658" t="str">
            <v>base de règlement</v>
          </cell>
          <cell r="F3658" t="str">
            <v>de la</v>
          </cell>
          <cell r="G3658" t="str">
            <v>prestation prévoyance</v>
          </cell>
        </row>
        <row r="3659">
          <cell r="D3659" t="str">
            <v>des</v>
          </cell>
          <cell r="E3659" t="str">
            <v>condition particulière</v>
          </cell>
          <cell r="F3659" t="str">
            <v>de l'</v>
          </cell>
          <cell r="G3659" t="str">
            <v>adhésion</v>
          </cell>
          <cell r="H3659" t="str">
            <v>de la</v>
          </cell>
          <cell r="I3659" t="str">
            <v>prestation prévoyance</v>
          </cell>
        </row>
        <row r="3660">
          <cell r="D3660" t="str">
            <v>de la</v>
          </cell>
          <cell r="E3660" t="str">
            <v>période</v>
          </cell>
          <cell r="F3660" t="str">
            <v>de la</v>
          </cell>
          <cell r="G3660" t="str">
            <v>dernière prolongation</v>
          </cell>
        </row>
        <row r="3661">
          <cell r="D3661" t="str">
            <v>de la</v>
          </cell>
          <cell r="E3661" t="str">
            <v>périodicité</v>
          </cell>
          <cell r="F3661" t="str">
            <v>de la</v>
          </cell>
          <cell r="G3661" t="str">
            <v>dernière prolongation</v>
          </cell>
        </row>
        <row r="3662">
          <cell r="D3662" t="str">
            <v>de la</v>
          </cell>
          <cell r="E3662" t="str">
            <v>situation</v>
          </cell>
          <cell r="F3662" t="str">
            <v>du</v>
          </cell>
          <cell r="G3662" t="str">
            <v>règlement</v>
          </cell>
        </row>
        <row r="3663">
          <cell r="D3663" t="str">
            <v>de la</v>
          </cell>
          <cell r="E3663" t="str">
            <v>situation</v>
          </cell>
          <cell r="F3663" t="str">
            <v>du</v>
          </cell>
          <cell r="G3663" t="str">
            <v>règlement</v>
          </cell>
        </row>
        <row r="3664">
          <cell r="D3664" t="str">
            <v>de la</v>
          </cell>
          <cell r="E3664" t="str">
            <v>devise</v>
          </cell>
        </row>
        <row r="3665">
          <cell r="D3665" t="str">
            <v>du</v>
          </cell>
          <cell r="E3665" t="str">
            <v>règlement précédant</v>
          </cell>
        </row>
        <row r="3666">
          <cell r="D3666" t="str">
            <v>du</v>
          </cell>
          <cell r="E3666" t="str">
            <v>type</v>
          </cell>
          <cell r="F3666" t="str">
            <v>de la</v>
          </cell>
          <cell r="G3666" t="str">
            <v>modification</v>
          </cell>
        </row>
        <row r="3667">
          <cell r="D3667" t="str">
            <v>de l'</v>
          </cell>
          <cell r="E3667" t="str">
            <v>état</v>
          </cell>
          <cell r="F3667" t="str">
            <v>du</v>
          </cell>
          <cell r="G3667" t="str">
            <v>règlement</v>
          </cell>
        </row>
        <row r="3668">
          <cell r="D3668" t="str">
            <v>de l'</v>
          </cell>
          <cell r="E3668" t="str">
            <v>état</v>
          </cell>
          <cell r="F3668" t="str">
            <v>du</v>
          </cell>
          <cell r="G3668" t="str">
            <v>règlement</v>
          </cell>
        </row>
        <row r="3669">
          <cell r="D3669" t="str">
            <v>du</v>
          </cell>
          <cell r="E3669" t="str">
            <v>règlement</v>
          </cell>
        </row>
        <row r="3670">
          <cell r="D3670" t="str">
            <v>du</v>
          </cell>
          <cell r="E3670" t="str">
            <v>règlement</v>
          </cell>
        </row>
        <row r="3671">
          <cell r="D3671" t="str">
            <v>de l'</v>
          </cell>
          <cell r="E3671" t="str">
            <v>intermédiaire de gestion</v>
          </cell>
          <cell r="F3671" t="str">
            <v>du</v>
          </cell>
          <cell r="G3671" t="str">
            <v>règlement</v>
          </cell>
        </row>
        <row r="3672">
          <cell r="D3672" t="str">
            <v>du</v>
          </cell>
          <cell r="E3672" t="str">
            <v>Bureau du guichet</v>
          </cell>
          <cell r="F3672" t="str">
            <v>du</v>
          </cell>
          <cell r="G3672" t="str">
            <v>règlement</v>
          </cell>
        </row>
        <row r="3673">
          <cell r="D3673" t="str">
            <v>du</v>
          </cell>
          <cell r="E3673" t="str">
            <v>tiers personne physique</v>
          </cell>
        </row>
        <row r="3674">
          <cell r="C3674" t="str">
            <v>motif</v>
          </cell>
          <cell r="D3674" t="str">
            <v>de la</v>
          </cell>
          <cell r="E3674" t="str">
            <v>prestation</v>
          </cell>
        </row>
        <row r="3675">
          <cell r="D3675" t="str">
            <v>de la</v>
          </cell>
          <cell r="E3675" t="str">
            <v>ligne détail</v>
          </cell>
          <cell r="F3675" t="str">
            <v>de la</v>
          </cell>
          <cell r="G3675" t="str">
            <v>prestation</v>
          </cell>
        </row>
        <row r="3676">
          <cell r="D3676" t="str">
            <v>de</v>
          </cell>
          <cell r="E3676" t="str">
            <v>reprise du travail</v>
          </cell>
          <cell r="F3676" t="str">
            <v>de la</v>
          </cell>
          <cell r="G3676" t="str">
            <v>tiers personne physique</v>
          </cell>
        </row>
        <row r="3677">
          <cell r="D3677" t="str">
            <v>de</v>
          </cell>
          <cell r="E3677" t="str">
            <v>fractionnement</v>
          </cell>
          <cell r="F3677" t="str">
            <v>de la</v>
          </cell>
          <cell r="G3677" t="str">
            <v>prestation prévoyance</v>
          </cell>
        </row>
        <row r="3678">
          <cell r="D3678" t="str">
            <v>de</v>
          </cell>
          <cell r="E3678" t="str">
            <v>premier arrêt de travail</v>
          </cell>
          <cell r="F3678" t="str">
            <v>de la</v>
          </cell>
          <cell r="G3678" t="str">
            <v>tiers personne physique</v>
          </cell>
        </row>
        <row r="3679">
          <cell r="D3679" t="str">
            <v>de la</v>
          </cell>
          <cell r="E3679" t="str">
            <v>période</v>
          </cell>
          <cell r="F3679" t="str">
            <v>de la</v>
          </cell>
          <cell r="G3679" t="str">
            <v>prestation</v>
          </cell>
        </row>
        <row r="3680">
          <cell r="D3680" t="str">
            <v>de la</v>
          </cell>
          <cell r="E3680" t="str">
            <v>période</v>
          </cell>
          <cell r="F3680" t="str">
            <v>de la</v>
          </cell>
          <cell r="G3680" t="str">
            <v>prestation</v>
          </cell>
        </row>
        <row r="3681">
          <cell r="C3681" t="str">
            <v>jour</v>
          </cell>
          <cell r="D3681" t="str">
            <v>de</v>
          </cell>
          <cell r="E3681" t="str">
            <v>franchise</v>
          </cell>
        </row>
        <row r="3682">
          <cell r="C3682" t="str">
            <v>option</v>
          </cell>
          <cell r="D3682" t="str">
            <v>de la</v>
          </cell>
          <cell r="E3682" t="str">
            <v>garantie incapacité de travail</v>
          </cell>
        </row>
        <row r="3683">
          <cell r="D3683" t="str">
            <v>de la</v>
          </cell>
          <cell r="E3683" t="str">
            <v>prolongation</v>
          </cell>
          <cell r="F3683" t="str">
            <v>de la</v>
          </cell>
          <cell r="G3683" t="str">
            <v>prestation prévoyance</v>
          </cell>
        </row>
        <row r="3684">
          <cell r="D3684" t="str">
            <v>du</v>
          </cell>
          <cell r="E3684" t="str">
            <v>type</v>
          </cell>
          <cell r="F3684" t="str">
            <v>d'</v>
          </cell>
          <cell r="G3684" t="str">
            <v>assuré sinistré</v>
          </cell>
        </row>
        <row r="3685">
          <cell r="D3685" t="str">
            <v>du</v>
          </cell>
          <cell r="E3685" t="str">
            <v>revenu de référence</v>
          </cell>
          <cell r="F3685" t="str">
            <v>du</v>
          </cell>
          <cell r="G3685" t="str">
            <v>tiers personne physique</v>
          </cell>
        </row>
        <row r="3686">
          <cell r="D3686" t="str">
            <v>de la</v>
          </cell>
          <cell r="E3686" t="str">
            <v>majoration</v>
          </cell>
          <cell r="F3686" t="str">
            <v>de la</v>
          </cell>
          <cell r="G3686" t="str">
            <v>prestation prévoyance</v>
          </cell>
        </row>
        <row r="3687">
          <cell r="D3687" t="str">
            <v>de la</v>
          </cell>
          <cell r="E3687" t="str">
            <v>garantie accident</v>
          </cell>
        </row>
        <row r="3688">
          <cell r="D3688" t="str">
            <v>de la</v>
          </cell>
          <cell r="E3688" t="str">
            <v>garantie capital</v>
          </cell>
        </row>
        <row r="3689">
          <cell r="D3689" t="str">
            <v>de la</v>
          </cell>
          <cell r="E3689" t="str">
            <v>garantie iard</v>
          </cell>
        </row>
        <row r="3690">
          <cell r="D3690" t="str">
            <v>de la</v>
          </cell>
          <cell r="E3690" t="str">
            <v>garantie vie</v>
          </cell>
        </row>
        <row r="3691">
          <cell r="D3691" t="str">
            <v>de la</v>
          </cell>
          <cell r="E3691" t="str">
            <v>fédération</v>
          </cell>
          <cell r="F3691" t="str">
            <v>du</v>
          </cell>
          <cell r="G3691" t="str">
            <v>règlement</v>
          </cell>
        </row>
        <row r="3692">
          <cell r="D3692" t="str">
            <v>de l'</v>
          </cell>
          <cell r="E3692" t="str">
            <v>Entité gestionnaire</v>
          </cell>
          <cell r="F3692" t="str">
            <v>du</v>
          </cell>
          <cell r="G3692" t="str">
            <v>règlement</v>
          </cell>
        </row>
        <row r="3693">
          <cell r="D3693" t="str">
            <v>du</v>
          </cell>
          <cell r="E3693" t="str">
            <v>règlement</v>
          </cell>
        </row>
        <row r="3694">
          <cell r="D3694" t="str">
            <v>de la</v>
          </cell>
          <cell r="E3694" t="str">
            <v>valeur</v>
          </cell>
          <cell r="F3694" t="str">
            <v>du</v>
          </cell>
          <cell r="G3694" t="str">
            <v>règlement</v>
          </cell>
        </row>
        <row r="3695">
          <cell r="D3695" t="str">
            <v>du</v>
          </cell>
          <cell r="E3695" t="str">
            <v>mode de règlement</v>
          </cell>
        </row>
        <row r="3696">
          <cell r="D3696" t="str">
            <v>du</v>
          </cell>
          <cell r="E3696" t="str">
            <v>mode de règlement</v>
          </cell>
        </row>
        <row r="3697">
          <cell r="D3697" t="str">
            <v>du</v>
          </cell>
          <cell r="E3697" t="str">
            <v>BBAN</v>
          </cell>
          <cell r="F3697" t="str">
            <v>du</v>
          </cell>
          <cell r="G3697" t="str">
            <v>règlement</v>
          </cell>
        </row>
        <row r="3698">
          <cell r="C3698" t="str">
            <v>motif</v>
          </cell>
          <cell r="D3698" t="str">
            <v>de l'</v>
          </cell>
          <cell r="E3698" t="str">
            <v>état</v>
          </cell>
          <cell r="F3698" t="str">
            <v>du</v>
          </cell>
          <cell r="G3698" t="str">
            <v>règlement</v>
          </cell>
        </row>
        <row r="3699">
          <cell r="D3699" t="str">
            <v>de l'</v>
          </cell>
          <cell r="E3699" t="str">
            <v>bénéficiaire du règlement</v>
          </cell>
          <cell r="F3699" t="str">
            <v>du</v>
          </cell>
          <cell r="G3699" t="str">
            <v>règlement</v>
          </cell>
        </row>
        <row r="3700">
          <cell r="D3700" t="str">
            <v>du</v>
          </cell>
          <cell r="E3700" t="str">
            <v>motif</v>
          </cell>
          <cell r="F3700" t="str">
            <v>du</v>
          </cell>
          <cell r="G3700" t="str">
            <v>règlement</v>
          </cell>
        </row>
        <row r="3701">
          <cell r="D3701" t="str">
            <v>du</v>
          </cell>
          <cell r="E3701" t="str">
            <v>règlement</v>
          </cell>
        </row>
        <row r="3702">
          <cell r="D3702" t="str">
            <v>du</v>
          </cell>
          <cell r="E3702" t="str">
            <v>prélèvement fiscal</v>
          </cell>
          <cell r="F3702" t="str">
            <v>du</v>
          </cell>
          <cell r="G3702" t="str">
            <v>règlement</v>
          </cell>
        </row>
        <row r="3703">
          <cell r="D3703" t="str">
            <v>du</v>
          </cell>
          <cell r="E3703" t="str">
            <v>rachat</v>
          </cell>
          <cell r="F3703" t="str">
            <v>du</v>
          </cell>
          <cell r="G3703" t="str">
            <v>contrat</v>
          </cell>
        </row>
        <row r="3704">
          <cell r="D3704" t="str">
            <v>du</v>
          </cell>
          <cell r="E3704" t="str">
            <v>rachat</v>
          </cell>
          <cell r="F3704" t="str">
            <v>du</v>
          </cell>
          <cell r="G3704" t="str">
            <v>contrat</v>
          </cell>
        </row>
        <row r="3705">
          <cell r="D3705" t="str">
            <v>du</v>
          </cell>
          <cell r="E3705" t="str">
            <v>rachat</v>
          </cell>
          <cell r="F3705" t="str">
            <v>du</v>
          </cell>
          <cell r="G3705" t="str">
            <v>contrat</v>
          </cell>
        </row>
        <row r="3706">
          <cell r="D3706" t="str">
            <v>de l'</v>
          </cell>
          <cell r="E3706" t="str">
            <v>avance</v>
          </cell>
          <cell r="F3706" t="str">
            <v>du</v>
          </cell>
          <cell r="G3706" t="str">
            <v>rachat</v>
          </cell>
          <cell r="H3706" t="str">
            <v>du</v>
          </cell>
          <cell r="I3706" t="str">
            <v>contrat</v>
          </cell>
        </row>
        <row r="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row>
        <row r="3709">
          <cell r="C3709" t="str">
            <v>comptable</v>
          </cell>
          <cell r="D3709" t="str">
            <v>de la</v>
          </cell>
          <cell r="E3709" t="str">
            <v>garantie accident</v>
          </cell>
        </row>
        <row r="3710">
          <cell r="C3710" t="str">
            <v>comptable</v>
          </cell>
          <cell r="D3710" t="str">
            <v>de la</v>
          </cell>
          <cell r="E3710" t="str">
            <v>garantie vie</v>
          </cell>
        </row>
        <row r="3711">
          <cell r="D3711" t="str">
            <v>de</v>
          </cell>
          <cell r="E3711" t="str">
            <v>réduction</v>
          </cell>
          <cell r="F3711" t="str">
            <v>des</v>
          </cell>
          <cell r="G3711" t="str">
            <v>indemnité journalière</v>
          </cell>
        </row>
        <row r="3712">
          <cell r="D3712" t="str">
            <v>des</v>
          </cell>
          <cell r="E3712" t="str">
            <v>intérêt à déclarer</v>
          </cell>
          <cell r="F3712" t="str">
            <v>du</v>
          </cell>
          <cell r="G3712" t="str">
            <v>rachat</v>
          </cell>
          <cell r="H3712" t="str">
            <v>du</v>
          </cell>
          <cell r="I3712" t="str">
            <v>contrat</v>
          </cell>
        </row>
        <row r="3713">
          <cell r="D3713" t="str">
            <v>des</v>
          </cell>
          <cell r="E3713" t="str">
            <v>prélèvement fiscal</v>
          </cell>
          <cell r="F3713" t="str">
            <v>du</v>
          </cell>
          <cell r="G3713" t="str">
            <v>rachat</v>
          </cell>
          <cell r="H3713" t="str">
            <v>du</v>
          </cell>
          <cell r="I3713" t="str">
            <v>contrat</v>
          </cell>
        </row>
        <row r="3714">
          <cell r="D3714" t="str">
            <v>du</v>
          </cell>
          <cell r="E3714" t="str">
            <v>motif complémentaire</v>
          </cell>
          <cell r="F3714" t="str">
            <v>du</v>
          </cell>
          <cell r="G3714" t="str">
            <v>règlement</v>
          </cell>
        </row>
        <row r="3715">
          <cell r="C3715" t="str">
            <v>dernière reception</v>
          </cell>
          <cell r="D3715" t="str">
            <v>de la</v>
          </cell>
          <cell r="E3715" t="str">
            <v>dernière pièce</v>
          </cell>
          <cell r="F3715" t="str">
            <v>du</v>
          </cell>
          <cell r="G3715" t="str">
            <v>règlement</v>
          </cell>
        </row>
        <row r="3716">
          <cell r="D3716" t="str">
            <v>des</v>
          </cell>
          <cell r="E3716" t="str">
            <v>indemnité de retard</v>
          </cell>
          <cell r="F3716" t="str">
            <v>du</v>
          </cell>
          <cell r="G3716" t="str">
            <v>règlement</v>
          </cell>
        </row>
        <row r="3717">
          <cell r="D3717" t="str">
            <v>des</v>
          </cell>
          <cell r="E3717" t="str">
            <v>ligne détail</v>
          </cell>
          <cell r="F3717" t="str">
            <v>du</v>
          </cell>
          <cell r="G3717" t="str">
            <v>règlement prévoyance</v>
          </cell>
        </row>
        <row r="3718">
          <cell r="D3718" t="str">
            <v>de l'</v>
          </cell>
          <cell r="E3718" t="str">
            <v>indemnisation</v>
          </cell>
          <cell r="F3718" t="str">
            <v>pour le</v>
          </cell>
          <cell r="G3718" t="str">
            <v>décès</v>
          </cell>
        </row>
        <row r="3719">
          <cell r="D3719" t="str">
            <v>de l'</v>
          </cell>
          <cell r="E3719" t="str">
            <v>indemnisation</v>
          </cell>
          <cell r="F3719" t="str">
            <v>pour l'</v>
          </cell>
          <cell r="G3719" t="str">
            <v>accident</v>
          </cell>
        </row>
        <row r="3720">
          <cell r="D3720" t="str">
            <v>des</v>
          </cell>
          <cell r="E3720" t="str">
            <v>indemnité journalière</v>
          </cell>
        </row>
        <row r="3721">
          <cell r="C3721" t="str">
            <v>maximum</v>
          </cell>
          <cell r="D3721" t="str">
            <v>des</v>
          </cell>
          <cell r="E3721" t="str">
            <v>indemnité journalière</v>
          </cell>
        </row>
        <row r="3722">
          <cell r="D3722" t="str">
            <v>d'</v>
          </cell>
          <cell r="E3722" t="str">
            <v>invalidité permanente partielle</v>
          </cell>
          <cell r="F3722" t="str">
            <v>du</v>
          </cell>
          <cell r="G3722" t="str">
            <v>tiers personne physique</v>
          </cell>
        </row>
        <row r="3723">
          <cell r="D3723" t="str">
            <v>de l'</v>
          </cell>
          <cell r="E3723" t="str">
            <v>invalidité permanente partielle</v>
          </cell>
          <cell r="F3723" t="str">
            <v>du</v>
          </cell>
          <cell r="G3723" t="str">
            <v>tiers personne physique</v>
          </cell>
        </row>
        <row r="3724">
          <cell r="D3724" t="str">
            <v>de l'</v>
          </cell>
          <cell r="E3724" t="str">
            <v>indemnité journalière</v>
          </cell>
          <cell r="F3724" t="str">
            <v>du</v>
          </cell>
          <cell r="G3724" t="str">
            <v>contrat</v>
          </cell>
        </row>
        <row r="3725">
          <cell r="D3725" t="str">
            <v>du</v>
          </cell>
          <cell r="E3725" t="str">
            <v>domaine assurance</v>
          </cell>
          <cell r="G3725" t="str">
            <v>prévoyance</v>
          </cell>
        </row>
        <row r="3726">
          <cell r="C3726" t="str">
            <v>divers</v>
          </cell>
          <cell r="D3726" t="str">
            <v>de</v>
          </cell>
          <cell r="E3726" t="str">
            <v>garantie</v>
          </cell>
        </row>
        <row r="3727">
          <cell r="D3727" t="str">
            <v>du</v>
          </cell>
          <cell r="E3727" t="str">
            <v>lieu d'édition</v>
          </cell>
          <cell r="F3727" t="str">
            <v>du</v>
          </cell>
          <cell r="G3727" t="str">
            <v>règlement prévoyance</v>
          </cell>
        </row>
        <row r="3728">
          <cell r="C3728" t="str">
            <v>divers</v>
          </cell>
          <cell r="D3728" t="str">
            <v>de la</v>
          </cell>
          <cell r="E3728" t="str">
            <v>période de chômage</v>
          </cell>
          <cell r="F3728" t="str">
            <v>du</v>
          </cell>
          <cell r="G3728" t="str">
            <v>tiers personne physique</v>
          </cell>
        </row>
        <row r="3729">
          <cell r="C3729" t="str">
            <v>garanti</v>
          </cell>
          <cell r="D3729" t="str">
            <v>du</v>
          </cell>
          <cell r="E3729" t="str">
            <v>montant</v>
          </cell>
          <cell r="F3729" t="str">
            <v>de l'</v>
          </cell>
          <cell r="G3729" t="str">
            <v>échéance</v>
          </cell>
          <cell r="H3729" t="str">
            <v>du</v>
          </cell>
          <cell r="I3729" t="str">
            <v>règlement prévoyance</v>
          </cell>
        </row>
        <row r="3730">
          <cell r="D3730" t="str">
            <v>de l'</v>
          </cell>
          <cell r="E3730" t="str">
            <v>échéance</v>
          </cell>
          <cell r="F3730" t="str">
            <v>du</v>
          </cell>
          <cell r="G3730" t="str">
            <v>règlement prévoyance</v>
          </cell>
        </row>
        <row r="3731">
          <cell r="D3731" t="str">
            <v>du</v>
          </cell>
          <cell r="E3731" t="str">
            <v>capital décès</v>
          </cell>
        </row>
        <row r="3732">
          <cell r="C3732" t="str">
            <v>comptable</v>
          </cell>
          <cell r="D3732" t="str">
            <v>de la</v>
          </cell>
          <cell r="E3732" t="str">
            <v>garantie capital</v>
          </cell>
        </row>
        <row r="3733">
          <cell r="C3733" t="str">
            <v>comptable</v>
          </cell>
          <cell r="D3733" t="str">
            <v>de la</v>
          </cell>
          <cell r="E3733" t="str">
            <v>garantie IARD</v>
          </cell>
        </row>
        <row r="3734">
          <cell r="D3734" t="str">
            <v>de la</v>
          </cell>
          <cell r="E3734" t="str">
            <v>revalorisation post-mortem</v>
          </cell>
          <cell r="F3734" t="str">
            <v>du</v>
          </cell>
          <cell r="G3734" t="str">
            <v>règlement prévoyance</v>
          </cell>
        </row>
        <row r="3735">
          <cell r="C3735" t="str">
            <v>limite</v>
          </cell>
          <cell r="D3735" t="str">
            <v>du</v>
          </cell>
          <cell r="E3735" t="str">
            <v>revenu de référence</v>
          </cell>
          <cell r="F3735" t="str">
            <v>du</v>
          </cell>
          <cell r="G3735" t="str">
            <v>tiers personne physique</v>
          </cell>
        </row>
        <row r="3736">
          <cell r="C3736" t="str">
            <v>limite</v>
          </cell>
          <cell r="D3736" t="str">
            <v>du</v>
          </cell>
          <cell r="E3736" t="str">
            <v>revenu de remplacement</v>
          </cell>
          <cell r="F3736" t="str">
            <v>du</v>
          </cell>
          <cell r="G3736" t="str">
            <v>tiers personne physique</v>
          </cell>
        </row>
        <row r="3737">
          <cell r="C3737" t="str">
            <v>comptable</v>
          </cell>
          <cell r="D3737" t="str">
            <v>du</v>
          </cell>
          <cell r="E3737" t="str">
            <v>règlement prévoyance</v>
          </cell>
        </row>
        <row r="3738">
          <cell r="D3738" t="str">
            <v>de la</v>
          </cell>
          <cell r="E3738" t="str">
            <v>garantie</v>
          </cell>
        </row>
        <row r="3739">
          <cell r="C3739" t="str">
            <v>comptable</v>
          </cell>
          <cell r="D3739" t="str">
            <v>de la</v>
          </cell>
          <cell r="E3739" t="str">
            <v>garantie</v>
          </cell>
        </row>
        <row r="3740">
          <cell r="D3740" t="str">
            <v>de l'</v>
          </cell>
          <cell r="E3740" t="str">
            <v>option fiscale</v>
          </cell>
        </row>
        <row r="3741">
          <cell r="D3741" t="str">
            <v>de la</v>
          </cell>
          <cell r="E3741" t="str">
            <v>participation aux bénéfices</v>
          </cell>
          <cell r="G3741" t="str">
            <v>règlement prévoyance</v>
          </cell>
        </row>
        <row r="3742">
          <cell r="D3742" t="str">
            <v>de la</v>
          </cell>
          <cell r="E3742" t="str">
            <v>participation aux bénéfices</v>
          </cell>
        </row>
        <row r="3743">
          <cell r="C3743" t="str">
            <v>divers</v>
          </cell>
          <cell r="D3743" t="str">
            <v>de l'</v>
          </cell>
          <cell r="E3743" t="str">
            <v>exonération cotisation</v>
          </cell>
          <cell r="G3743" t="str">
            <v>règlement prévoyance</v>
          </cell>
        </row>
        <row r="3744">
          <cell r="C3744" t="str">
            <v>divers</v>
          </cell>
          <cell r="D3744" t="str">
            <v>du</v>
          </cell>
          <cell r="E3744" t="str">
            <v>règlement prévoyance</v>
          </cell>
        </row>
        <row r="3745">
          <cell r="D3745" t="str">
            <v>de</v>
          </cell>
          <cell r="E3745" t="str">
            <v>prélèvement fiscal</v>
          </cell>
        </row>
        <row r="3746">
          <cell r="D3746" t="str">
            <v>du</v>
          </cell>
          <cell r="E3746" t="str">
            <v>règlement précédant</v>
          </cell>
        </row>
        <row r="3747">
          <cell r="D3747" t="str">
            <v>des</v>
          </cell>
          <cell r="E3747" t="str">
            <v>indemnité journalière</v>
          </cell>
          <cell r="F3747" t="str">
            <v>du</v>
          </cell>
          <cell r="G3747" t="str">
            <v>régime sécurité sociale</v>
          </cell>
        </row>
        <row r="3748">
          <cell r="D3748" t="str">
            <v>des</v>
          </cell>
          <cell r="E3748" t="str">
            <v>indemnité journalière</v>
          </cell>
          <cell r="F3748" t="str">
            <v>de l'</v>
          </cell>
          <cell r="G3748" t="str">
            <v>employeur</v>
          </cell>
        </row>
        <row r="3749">
          <cell r="D3749" t="str">
            <v>du</v>
          </cell>
          <cell r="E3749" t="str">
            <v>tiers assurance</v>
          </cell>
          <cell r="F3749" t="str">
            <v>du</v>
          </cell>
          <cell r="G3749" t="str">
            <v>bénéficiaire du règlement</v>
          </cell>
        </row>
        <row r="3750">
          <cell r="D3750" t="str">
            <v>du</v>
          </cell>
          <cell r="E3750" t="str">
            <v>type</v>
          </cell>
          <cell r="F3750" t="str">
            <v>d'</v>
          </cell>
          <cell r="G3750" t="str">
            <v>objet sinistré</v>
          </cell>
        </row>
        <row r="3751">
          <cell r="D3751" t="str">
            <v>du</v>
          </cell>
          <cell r="E3751" t="str">
            <v>type</v>
          </cell>
          <cell r="F3751" t="str">
            <v>de</v>
          </cell>
          <cell r="G3751" t="str">
            <v>bénéficiaire du règlement</v>
          </cell>
        </row>
        <row r="3752">
          <cell r="D3752" t="str">
            <v>du</v>
          </cell>
          <cell r="E3752" t="str">
            <v>bénéficiaire du règlement</v>
          </cell>
        </row>
        <row r="3753">
          <cell r="D3753" t="str">
            <v>du</v>
          </cell>
          <cell r="E3753" t="str">
            <v>règlement prévoyance</v>
          </cell>
        </row>
        <row r="3754">
          <cell r="D3754" t="str">
            <v>du</v>
          </cell>
          <cell r="E3754" t="str">
            <v>bénéficiaire du règlement</v>
          </cell>
        </row>
        <row r="3755">
          <cell r="D3755" t="str">
            <v>du</v>
          </cell>
          <cell r="E3755" t="str">
            <v>bénéficiaire du règlement</v>
          </cell>
        </row>
        <row r="3756">
          <cell r="D3756" t="str">
            <v>du</v>
          </cell>
          <cell r="E3756" t="str">
            <v>bénéficiaire du règlement</v>
          </cell>
        </row>
        <row r="3757">
          <cell r="C3757" t="str">
            <v>naissance</v>
          </cell>
          <cell r="D3757" t="str">
            <v>du</v>
          </cell>
          <cell r="E3757" t="str">
            <v>bénéficiaire du règlement</v>
          </cell>
        </row>
        <row r="3758">
          <cell r="C3758" t="str">
            <v>naissance</v>
          </cell>
          <cell r="D3758" t="str">
            <v>du</v>
          </cell>
          <cell r="E3758" t="str">
            <v>bénéficiaire du règlement</v>
          </cell>
        </row>
        <row r="3759">
          <cell r="D3759" t="str">
            <v>de la</v>
          </cell>
          <cell r="E3759" t="str">
            <v>ville de naissance</v>
          </cell>
          <cell r="F3759" t="str">
            <v>du</v>
          </cell>
          <cell r="G3759" t="str">
            <v>bénéficiaire du règlement</v>
          </cell>
        </row>
        <row r="3760">
          <cell r="C3760" t="str">
            <v>numéro</v>
          </cell>
          <cell r="D3760" t="str">
            <v>de</v>
          </cell>
          <cell r="E3760" t="str">
            <v>bénéficiaire du règlement</v>
          </cell>
        </row>
        <row r="3761">
          <cell r="D3761" t="str">
            <v>de la</v>
          </cell>
          <cell r="E3761" t="str">
            <v>garantie accident</v>
          </cell>
        </row>
        <row r="3762">
          <cell r="C3762" t="str">
            <v>état</v>
          </cell>
          <cell r="D3762" t="str">
            <v>de l'</v>
          </cell>
          <cell r="E3762" t="str">
            <v>accident</v>
          </cell>
        </row>
        <row r="3763">
          <cell r="D3763" t="str">
            <v>de la</v>
          </cell>
          <cell r="E3763" t="str">
            <v>garantie accident</v>
          </cell>
        </row>
        <row r="3764">
          <cell r="D3764" t="str">
            <v>de la</v>
          </cell>
        </row>
        <row r="3765">
          <cell r="C3765" t="str">
            <v>état</v>
          </cell>
          <cell r="D3765" t="str">
            <v>du</v>
          </cell>
          <cell r="E3765" t="str">
            <v>décès</v>
          </cell>
        </row>
        <row r="3766">
          <cell r="C3766" t="str">
            <v>état</v>
          </cell>
          <cell r="D3766" t="str">
            <v>du</v>
          </cell>
          <cell r="E3766" t="str">
            <v>décès accidentel</v>
          </cell>
        </row>
        <row r="3767">
          <cell r="D3767" t="str">
            <v>de la</v>
          </cell>
          <cell r="E3767" t="str">
            <v>garantie capital</v>
          </cell>
        </row>
        <row r="3768">
          <cell r="D3768" t="str">
            <v>de la</v>
          </cell>
          <cell r="E3768" t="str">
            <v>garantie capital</v>
          </cell>
        </row>
        <row r="3769">
          <cell r="D3769" t="str">
            <v>de la</v>
          </cell>
          <cell r="E3769" t="str">
            <v>garantie vie</v>
          </cell>
        </row>
        <row r="3770">
          <cell r="C3770" t="str">
            <v>état</v>
          </cell>
          <cell r="D3770" t="str">
            <v>de la</v>
          </cell>
          <cell r="E3770" t="str">
            <v>garantie vie</v>
          </cell>
        </row>
        <row r="3771">
          <cell r="D3771" t="str">
            <v>de la</v>
          </cell>
          <cell r="E3771" t="str">
            <v>garantie vie</v>
          </cell>
        </row>
        <row r="3772">
          <cell r="D3772" t="str">
            <v>de la</v>
          </cell>
          <cell r="E3772" t="str">
            <v>garantie IARD</v>
          </cell>
        </row>
        <row r="3773">
          <cell r="C3773" t="str">
            <v>état</v>
          </cell>
          <cell r="D3773" t="str">
            <v>de la</v>
          </cell>
          <cell r="E3773" t="str">
            <v>garantie IARD</v>
          </cell>
        </row>
        <row r="3774">
          <cell r="D3774" t="str">
            <v>du</v>
          </cell>
          <cell r="E3774" t="str">
            <v>type</v>
          </cell>
          <cell r="F3774" t="str">
            <v>de</v>
          </cell>
          <cell r="G3774" t="str">
            <v>garantie IARD</v>
          </cell>
        </row>
        <row r="3775">
          <cell r="C3775" t="str">
            <v>état</v>
          </cell>
          <cell r="D3775" t="str">
            <v>de la</v>
          </cell>
          <cell r="E3775" t="str">
            <v>garantie divers IARD</v>
          </cell>
        </row>
        <row r="3776">
          <cell r="C3776" t="str">
            <v>état</v>
          </cell>
          <cell r="D3776" t="str">
            <v>de la</v>
          </cell>
          <cell r="E3776" t="str">
            <v>garantie divers Vie</v>
          </cell>
        </row>
        <row r="3777">
          <cell r="C3777" t="str">
            <v>état</v>
          </cell>
          <cell r="D3777" t="str">
            <v>de la</v>
          </cell>
          <cell r="E3777" t="str">
            <v>garantie capital</v>
          </cell>
        </row>
        <row r="3778">
          <cell r="D3778" t="str">
            <v>de la</v>
          </cell>
          <cell r="E3778" t="str">
            <v>garantie divers IARD</v>
          </cell>
        </row>
        <row r="3779">
          <cell r="D3779" t="str">
            <v>de la</v>
          </cell>
          <cell r="E3779" t="str">
            <v>garantie divers Vie</v>
          </cell>
        </row>
        <row r="3780">
          <cell r="D3780" t="str">
            <v>de la</v>
          </cell>
          <cell r="E3780" t="str">
            <v>garantie divers IARD</v>
          </cell>
        </row>
        <row r="3781">
          <cell r="D3781" t="str">
            <v>de la</v>
          </cell>
          <cell r="E3781" t="str">
            <v>garantie divers Vie</v>
          </cell>
        </row>
        <row r="3782">
          <cell r="D3782" t="str">
            <v>du</v>
          </cell>
          <cell r="E3782" t="str">
            <v>type</v>
          </cell>
          <cell r="F3782" t="str">
            <v>de la</v>
          </cell>
          <cell r="G3782" t="str">
            <v>garantie divers IARD</v>
          </cell>
        </row>
        <row r="3783">
          <cell r="D3783" t="str">
            <v>du</v>
          </cell>
          <cell r="E3783" t="str">
            <v>type</v>
          </cell>
          <cell r="F3783" t="str">
            <v>de la</v>
          </cell>
          <cell r="G3783" t="str">
            <v>garantie divers Vie</v>
          </cell>
        </row>
        <row r="3784">
          <cell r="D3784" t="str">
            <v>de l'</v>
          </cell>
          <cell r="E3784" t="str">
            <v>objet sinistré</v>
          </cell>
        </row>
        <row r="3785">
          <cell r="D3785" t="str">
            <v>du</v>
          </cell>
          <cell r="E3785" t="str">
            <v>tiers assurance</v>
          </cell>
        </row>
        <row r="3786">
          <cell r="D3786" t="str">
            <v>du</v>
          </cell>
          <cell r="E3786" t="str">
            <v>type</v>
          </cell>
          <cell r="F3786" t="str">
            <v>de</v>
          </cell>
          <cell r="G3786" t="str">
            <v>tiers assurance</v>
          </cell>
        </row>
        <row r="3787">
          <cell r="D3787" t="str">
            <v>de la</v>
          </cell>
          <cell r="E3787" t="str">
            <v>personne sinistrée</v>
          </cell>
          <cell r="G3787" t="str">
            <v>non référencé</v>
          </cell>
        </row>
        <row r="3788">
          <cell r="D3788" t="str">
            <v>de la</v>
          </cell>
          <cell r="E3788" t="str">
            <v>personne sinistrée</v>
          </cell>
          <cell r="G3788" t="str">
            <v>non référencé</v>
          </cell>
        </row>
        <row r="3789">
          <cell r="C3789" t="str">
            <v>naissance</v>
          </cell>
          <cell r="D3789" t="str">
            <v>de la</v>
          </cell>
          <cell r="E3789" t="str">
            <v>personne sinistrée</v>
          </cell>
          <cell r="G3789" t="str">
            <v>non référencé</v>
          </cell>
        </row>
        <row r="3790">
          <cell r="D3790" t="str">
            <v>de la</v>
          </cell>
          <cell r="E3790" t="str">
            <v>personne sinistrée</v>
          </cell>
          <cell r="G3790" t="str">
            <v>non référencé</v>
          </cell>
        </row>
        <row r="3791">
          <cell r="C3791" t="str">
            <v>sexe</v>
          </cell>
          <cell r="D3791" t="str">
            <v>de la</v>
          </cell>
          <cell r="E3791" t="str">
            <v>personne sinistrée</v>
          </cell>
          <cell r="G3791" t="str">
            <v>non référencé</v>
          </cell>
        </row>
        <row r="3792">
          <cell r="D3792" t="str">
            <v>de la</v>
          </cell>
          <cell r="E3792" t="str">
            <v>personne sinistrée</v>
          </cell>
          <cell r="G3792" t="str">
            <v>non référencé</v>
          </cell>
        </row>
        <row r="3793">
          <cell r="D3793" t="str">
            <v>de la</v>
          </cell>
          <cell r="E3793" t="str">
            <v>catégorie socio-professionnelle</v>
          </cell>
          <cell r="F3793" t="str">
            <v>de la</v>
          </cell>
          <cell r="G3793" t="str">
            <v>personne sinistrée</v>
          </cell>
          <cell r="H3793" t="str">
            <v>de type</v>
          </cell>
          <cell r="I3793" t="str">
            <v>non référencé</v>
          </cell>
        </row>
        <row r="3794">
          <cell r="D3794" t="str">
            <v>de</v>
          </cell>
          <cell r="E3794" t="str">
            <v>travailleur à l'étranger</v>
          </cell>
          <cell r="F3794" t="str">
            <v>de type</v>
          </cell>
          <cell r="G3794" t="str">
            <v>sans sécurité sociale</v>
          </cell>
          <cell r="H3794" t="str">
            <v>de la</v>
          </cell>
          <cell r="I3794" t="str">
            <v>personne sinistrée</v>
          </cell>
        </row>
        <row r="3795">
          <cell r="D3795" t="str">
            <v>d'</v>
          </cell>
          <cell r="E3795" t="str">
            <v>envoi multiple</v>
          </cell>
          <cell r="F3795" t="str">
            <v>de la</v>
          </cell>
          <cell r="G3795" t="str">
            <v>personne sinistrée</v>
          </cell>
          <cell r="H3795" t="str">
            <v>de type</v>
          </cell>
          <cell r="I3795" t="str">
            <v>non référencé</v>
          </cell>
        </row>
        <row r="3796">
          <cell r="D3796" t="str">
            <v>du</v>
          </cell>
          <cell r="E3796" t="str">
            <v>type</v>
          </cell>
          <cell r="F3796" t="str">
            <v>de</v>
          </cell>
          <cell r="G3796" t="str">
            <v>tiers assurance</v>
          </cell>
          <cell r="H3796" t="str">
            <v>de la</v>
          </cell>
          <cell r="I3796" t="str">
            <v>personne sinistrée</v>
          </cell>
        </row>
        <row r="3797">
          <cell r="D3797" t="str">
            <v>de la</v>
          </cell>
          <cell r="E3797" t="str">
            <v>personne sinistrée</v>
          </cell>
          <cell r="F3797" t="str">
            <v>de type</v>
          </cell>
          <cell r="G3797" t="str">
            <v>non référencé</v>
          </cell>
        </row>
        <row r="3798">
          <cell r="D3798" t="str">
            <v>du</v>
          </cell>
          <cell r="E3798" t="str">
            <v>groupe sinistre</v>
          </cell>
        </row>
        <row r="3799">
          <cell r="D3799" t="str">
            <v>de la</v>
          </cell>
          <cell r="E3799" t="str">
            <v>relation</v>
          </cell>
          <cell r="F3799" t="str">
            <v>entre</v>
          </cell>
          <cell r="G3799" t="str">
            <v>objet assuré</v>
          </cell>
          <cell r="H3799" t="str">
            <v>et</v>
          </cell>
          <cell r="I3799" t="str">
            <v>personne sinistrée</v>
          </cell>
        </row>
        <row r="3800">
          <cell r="D3800" t="str">
            <v>de l'</v>
          </cell>
          <cell r="E3800" t="str">
            <v>échéancier automatique</v>
          </cell>
          <cell r="F3800" t="str">
            <v>de</v>
          </cell>
          <cell r="G3800" t="str">
            <v>remboursement de sinistre</v>
          </cell>
        </row>
        <row r="3801">
          <cell r="D3801" t="str">
            <v>de l'</v>
          </cell>
          <cell r="E3801" t="str">
            <v>échéancier automatique</v>
          </cell>
          <cell r="F3801" t="str">
            <v>de</v>
          </cell>
          <cell r="G3801" t="str">
            <v>remboursement de sinistre</v>
          </cell>
        </row>
        <row r="3802">
          <cell r="D3802" t="str">
            <v>du</v>
          </cell>
          <cell r="E3802" t="str">
            <v>dossier sinistre</v>
          </cell>
        </row>
        <row r="3803">
          <cell r="D3803" t="str">
            <v>de</v>
          </cell>
          <cell r="E3803" t="str">
            <v>référence interne</v>
          </cell>
          <cell r="F3803" t="str">
            <v>du</v>
          </cell>
          <cell r="G3803" t="str">
            <v>contrat</v>
          </cell>
        </row>
        <row r="3804">
          <cell r="C3804" t="str">
            <v>interne</v>
          </cell>
          <cell r="D3804" t="str">
            <v>du</v>
          </cell>
          <cell r="E3804" t="str">
            <v>contrat</v>
          </cell>
        </row>
        <row r="3805">
          <cell r="D3805" t="str">
            <v>de</v>
          </cell>
          <cell r="E3805" t="str">
            <v>référence externe</v>
          </cell>
          <cell r="F3805" t="str">
            <v>du</v>
          </cell>
          <cell r="G3805" t="str">
            <v>contrat</v>
          </cell>
        </row>
        <row r="3806">
          <cell r="C3806" t="str">
            <v>externe</v>
          </cell>
          <cell r="D3806" t="str">
            <v>du</v>
          </cell>
          <cell r="E3806" t="str">
            <v>contrat</v>
          </cell>
        </row>
        <row r="3807">
          <cell r="D3807" t="str">
            <v>de l'</v>
          </cell>
          <cell r="E3807" t="str">
            <v>unité de crédit</v>
          </cell>
        </row>
        <row r="3808">
          <cell r="D3808" t="str">
            <v>de l'</v>
          </cell>
          <cell r="E3808" t="str">
            <v>échéance</v>
          </cell>
          <cell r="F3808" t="str">
            <v>du</v>
          </cell>
          <cell r="G3808" t="str">
            <v>crédit</v>
          </cell>
        </row>
        <row r="3809">
          <cell r="D3809" t="str">
            <v>d'</v>
          </cell>
          <cell r="E3809" t="str">
            <v>unité de crédit</v>
          </cell>
        </row>
        <row r="3810">
          <cell r="D3810" t="str">
            <v>de</v>
          </cell>
          <cell r="E3810" t="str">
            <v>donnée</v>
          </cell>
        </row>
        <row r="3811">
          <cell r="D3811" t="str">
            <v>de l'</v>
          </cell>
          <cell r="E3811" t="str">
            <v>enseigne entreprise individuelle</v>
          </cell>
        </row>
        <row r="3812">
          <cell r="C3812" t="str">
            <v>interne</v>
          </cell>
          <cell r="D3812" t="str">
            <v>du</v>
          </cell>
          <cell r="E3812" t="str">
            <v>crédit</v>
          </cell>
        </row>
        <row r="3813">
          <cell r="D3813" t="str">
            <v>de la</v>
          </cell>
          <cell r="E3813" t="str">
            <v>devise</v>
          </cell>
          <cell r="F3813" t="str">
            <v>du</v>
          </cell>
          <cell r="G3813" t="str">
            <v>crédit</v>
          </cell>
        </row>
        <row r="3814">
          <cell r="C3814" t="str">
            <v>précédant</v>
          </cell>
          <cell r="D3814" t="str">
            <v>de l'</v>
          </cell>
          <cell r="E3814" t="str">
            <v>échéancier automatique</v>
          </cell>
        </row>
        <row r="3815">
          <cell r="D3815" t="str">
            <v>de la</v>
          </cell>
          <cell r="E3815" t="str">
            <v>dernière échéance</v>
          </cell>
          <cell r="F3815" t="str">
            <v>du</v>
          </cell>
          <cell r="G3815" t="str">
            <v>crédit</v>
          </cell>
        </row>
        <row r="3816">
          <cell r="D3816" t="str">
            <v>de la</v>
          </cell>
          <cell r="E3816" t="str">
            <v>dette</v>
          </cell>
        </row>
        <row r="3817">
          <cell r="D3817" t="str">
            <v>du</v>
          </cell>
          <cell r="E3817" t="str">
            <v>capital restant dû</v>
          </cell>
        </row>
        <row r="3818">
          <cell r="C3818" t="str">
            <v>différé</v>
          </cell>
        </row>
        <row r="3819">
          <cell r="D3819" t="str">
            <v>des</v>
          </cell>
          <cell r="E3819" t="str">
            <v xml:space="preserve">intérêt couru </v>
          </cell>
        </row>
        <row r="3820">
          <cell r="D3820" t="str">
            <v>de l'</v>
          </cell>
          <cell r="E3820" t="str">
            <v>assurance courue</v>
          </cell>
        </row>
        <row r="3821">
          <cell r="C3821" t="str">
            <v>impayés</v>
          </cell>
          <cell r="D3821" t="str">
            <v>de</v>
          </cell>
          <cell r="E3821" t="str">
            <v>crédit</v>
          </cell>
        </row>
        <row r="3822">
          <cell r="C3822" t="str">
            <v>simulation</v>
          </cell>
          <cell r="D3822" t="str">
            <v>de l'</v>
          </cell>
          <cell r="E3822" t="str">
            <v>échéancier automatique</v>
          </cell>
        </row>
        <row r="3823">
          <cell r="D3823" t="str">
            <v>du</v>
          </cell>
          <cell r="E3823" t="str">
            <v>barème de terme</v>
          </cell>
        </row>
        <row r="3824">
          <cell r="D3824" t="str">
            <v>du</v>
          </cell>
          <cell r="E3824" t="str">
            <v>barème de taux</v>
          </cell>
        </row>
        <row r="3825">
          <cell r="C3825" t="str">
            <v>périodicité</v>
          </cell>
          <cell r="D3825" t="str">
            <v>de l'</v>
          </cell>
          <cell r="E3825" t="str">
            <v>échéance</v>
          </cell>
          <cell r="F3825" t="str">
            <v>du</v>
          </cell>
          <cell r="G3825" t="str">
            <v>crédit</v>
          </cell>
        </row>
        <row r="3826">
          <cell r="C3826" t="str">
            <v>total</v>
          </cell>
          <cell r="D3826" t="str">
            <v>d'</v>
          </cell>
          <cell r="E3826" t="str">
            <v>échéance</v>
          </cell>
          <cell r="F3826" t="str">
            <v>du</v>
          </cell>
          <cell r="G3826" t="str">
            <v>crédit</v>
          </cell>
        </row>
        <row r="3827">
          <cell r="D3827" t="str">
            <v>de l'</v>
          </cell>
          <cell r="E3827" t="str">
            <v>échéance</v>
          </cell>
          <cell r="F3827" t="str">
            <v>du</v>
          </cell>
          <cell r="G3827" t="str">
            <v>crédit</v>
          </cell>
        </row>
        <row r="3828">
          <cell r="C3828" t="str">
            <v>retour</v>
          </cell>
          <cell r="D3828" t="str">
            <v>du</v>
          </cell>
          <cell r="E3828" t="str">
            <v>calcul de la dette</v>
          </cell>
          <cell r="F3828" t="str">
            <v>ou</v>
          </cell>
          <cell r="G3828" t="str">
            <v>calcul de l'échéance</v>
          </cell>
        </row>
        <row r="3829">
          <cell r="D3829" t="str">
            <v>du</v>
          </cell>
          <cell r="E3829" t="str">
            <v>crédit</v>
          </cell>
        </row>
        <row r="3830">
          <cell r="D3830" t="str">
            <v>de</v>
          </cell>
          <cell r="E3830" t="str">
            <v>canal de communication</v>
          </cell>
          <cell r="F3830" t="str">
            <v>de l'</v>
          </cell>
          <cell r="G3830" t="str">
            <v>intéraction</v>
          </cell>
        </row>
        <row r="3831">
          <cell r="D3831" t="str">
            <v>de l'</v>
          </cell>
          <cell r="E3831" t="str">
            <v>intéraction</v>
          </cell>
        </row>
        <row r="3832">
          <cell r="D3832" t="str">
            <v>de la</v>
          </cell>
          <cell r="E3832" t="str">
            <v>source applicative</v>
          </cell>
          <cell r="F3832" t="str">
            <v>de l'</v>
          </cell>
          <cell r="G3832" t="str">
            <v>intéraction</v>
          </cell>
        </row>
        <row r="3833">
          <cell r="D3833" t="str">
            <v>de l'</v>
          </cell>
          <cell r="E3833" t="str">
            <v>intéraction</v>
          </cell>
        </row>
        <row r="3834">
          <cell r="D3834" t="str">
            <v>de la</v>
          </cell>
          <cell r="E3834" t="str">
            <v>source</v>
          </cell>
          <cell r="F3834" t="str">
            <v>de l'</v>
          </cell>
          <cell r="G3834" t="str">
            <v>intéraction</v>
          </cell>
        </row>
        <row r="3835">
          <cell r="D3835" t="str">
            <v>de la</v>
          </cell>
          <cell r="E3835" t="str">
            <v>cible</v>
          </cell>
          <cell r="F3835" t="str">
            <v>de l'</v>
          </cell>
          <cell r="G3835" t="str">
            <v>intéraction</v>
          </cell>
        </row>
        <row r="3836">
          <cell r="D3836" t="str">
            <v xml:space="preserve"> </v>
          </cell>
          <cell r="E3836" t="str">
            <v>communication interne</v>
          </cell>
        </row>
        <row r="3837">
          <cell r="D3837" t="str">
            <v xml:space="preserve"> </v>
          </cell>
          <cell r="E3837" t="str">
            <v>communication externe</v>
          </cell>
        </row>
        <row r="3838">
          <cell r="D3838" t="str">
            <v xml:space="preserve"> </v>
          </cell>
          <cell r="E3838" t="str">
            <v>communication liée</v>
          </cell>
        </row>
        <row r="3839">
          <cell r="D3839" t="str">
            <v>de l'</v>
          </cell>
          <cell r="E3839" t="str">
            <v>intéraction liée</v>
          </cell>
        </row>
        <row r="3840">
          <cell r="D3840" t="str">
            <v xml:space="preserve"> </v>
          </cell>
          <cell r="E3840" t="str">
            <v>communication confidentielle</v>
          </cell>
        </row>
        <row r="3841">
          <cell r="D3841" t="str">
            <v>de</v>
          </cell>
          <cell r="E3841" t="str">
            <v>confidentialité</v>
          </cell>
        </row>
        <row r="3842">
          <cell r="D3842" t="str">
            <v>de l'</v>
          </cell>
          <cell r="E3842" t="str">
            <v>intéraction</v>
          </cell>
        </row>
        <row r="3843">
          <cell r="D3843" t="str">
            <v>de l'</v>
          </cell>
          <cell r="E3843" t="str">
            <v>intéraction</v>
          </cell>
        </row>
        <row r="3844">
          <cell r="D3844" t="str">
            <v>de l'</v>
          </cell>
          <cell r="E3844" t="str">
            <v>enregistrement</v>
          </cell>
        </row>
        <row r="3845">
          <cell r="D3845" t="str">
            <v>de l'</v>
          </cell>
          <cell r="E3845" t="str">
            <v>enregistrement</v>
          </cell>
        </row>
        <row r="3846">
          <cell r="C3846" t="str">
            <v>dernière image</v>
          </cell>
          <cell r="D3846" t="str">
            <v>de l'</v>
          </cell>
          <cell r="E3846" t="str">
            <v>intéraction</v>
          </cell>
        </row>
        <row r="3847">
          <cell r="D3847" t="str">
            <v>de l'</v>
          </cell>
          <cell r="E3847" t="str">
            <v>information liée</v>
          </cell>
        </row>
        <row r="3848">
          <cell r="D3848" t="str">
            <v>de la</v>
          </cell>
          <cell r="E3848" t="str">
            <v>source applicative</v>
          </cell>
          <cell r="F3848" t="str">
            <v>de l'</v>
          </cell>
          <cell r="G3848" t="str">
            <v>information liée</v>
          </cell>
        </row>
        <row r="3849">
          <cell r="D3849" t="str">
            <v>du</v>
          </cell>
          <cell r="E3849" t="str">
            <v>document</v>
          </cell>
        </row>
        <row r="3850">
          <cell r="D3850" t="str">
            <v>d'</v>
          </cell>
          <cell r="E3850" t="str">
            <v>index du SIO</v>
          </cell>
        </row>
        <row r="3851">
          <cell r="D3851" t="str">
            <v>d'</v>
          </cell>
          <cell r="E3851" t="str">
            <v>index du SID</v>
          </cell>
        </row>
        <row r="3852">
          <cell r="D3852" t="str">
            <v>de la</v>
          </cell>
          <cell r="E3852" t="str">
            <v>donnée SIO</v>
          </cell>
        </row>
        <row r="3853">
          <cell r="D3853" t="str">
            <v>de la</v>
          </cell>
          <cell r="E3853" t="str">
            <v>donnée SID</v>
          </cell>
        </row>
        <row r="3854">
          <cell r="D3854" t="str">
            <v>de l'</v>
          </cell>
          <cell r="E3854" t="str">
            <v>index</v>
          </cell>
        </row>
        <row r="3855">
          <cell r="D3855" t="str">
            <v>de l'</v>
          </cell>
          <cell r="E3855" t="str">
            <v>index</v>
          </cell>
        </row>
        <row r="3856">
          <cell r="D3856" t="str">
            <v>de l'</v>
          </cell>
          <cell r="E3856" t="str">
            <v>enregistrement</v>
          </cell>
        </row>
        <row r="3857">
          <cell r="D3857" t="str">
            <v>de l'</v>
          </cell>
          <cell r="E3857" t="str">
            <v>enregistrement</v>
          </cell>
        </row>
        <row r="3858">
          <cell r="C3858" t="str">
            <v>dernière image</v>
          </cell>
          <cell r="D3858" t="str">
            <v>de l'</v>
          </cell>
          <cell r="E3858" t="str">
            <v>information liée</v>
          </cell>
        </row>
        <row r="3859">
          <cell r="D3859" t="str">
            <v>du</v>
          </cell>
          <cell r="E3859" t="str">
            <v>document</v>
          </cell>
        </row>
        <row r="3860">
          <cell r="D3860" t="str">
            <v>de la</v>
          </cell>
          <cell r="E3860" t="str">
            <v>source applicative</v>
          </cell>
          <cell r="F3860" t="str">
            <v>du</v>
          </cell>
          <cell r="G3860" t="str">
            <v>document</v>
          </cell>
        </row>
        <row r="3861">
          <cell r="D3861" t="str">
            <v>du</v>
          </cell>
          <cell r="E3861" t="str">
            <v>document</v>
          </cell>
        </row>
        <row r="3862">
          <cell r="D3862" t="str">
            <v>du</v>
          </cell>
          <cell r="E3862" t="str">
            <v>document</v>
          </cell>
        </row>
        <row r="3863">
          <cell r="D3863" t="str">
            <v>de la</v>
          </cell>
          <cell r="E3863" t="str">
            <v>référence de documents</v>
          </cell>
        </row>
        <row r="3864">
          <cell r="D3864" t="str">
            <v>du</v>
          </cell>
          <cell r="E3864" t="str">
            <v>document</v>
          </cell>
        </row>
        <row r="3865">
          <cell r="D3865" t="str">
            <v>du</v>
          </cell>
          <cell r="E3865" t="str">
            <v>document</v>
          </cell>
        </row>
        <row r="3866">
          <cell r="D3866" t="str">
            <v>du</v>
          </cell>
          <cell r="E3866" t="str">
            <v>document</v>
          </cell>
        </row>
        <row r="3867">
          <cell r="D3867" t="str">
            <v>de l'</v>
          </cell>
          <cell r="E3867" t="str">
            <v>établissement</v>
          </cell>
        </row>
        <row r="3868">
          <cell r="D3868" t="str">
            <v>du</v>
          </cell>
          <cell r="E3868" t="str">
            <v>guichet de l'établissement</v>
          </cell>
        </row>
        <row r="3869">
          <cell r="D3869" t="str">
            <v>du</v>
          </cell>
          <cell r="E3869" t="str">
            <v>document</v>
          </cell>
          <cell r="F3869" t="str">
            <v>dans la</v>
          </cell>
          <cell r="G3869" t="str">
            <v>GED</v>
          </cell>
        </row>
        <row r="3870">
          <cell r="D3870" t="str">
            <v>de l'</v>
          </cell>
          <cell r="E3870" t="str">
            <v>application</v>
          </cell>
          <cell r="F3870" t="str">
            <v>dans la</v>
          </cell>
          <cell r="G3870" t="str">
            <v>GED</v>
          </cell>
        </row>
        <row r="3871">
          <cell r="D3871" t="str">
            <v>du</v>
          </cell>
          <cell r="E3871" t="str">
            <v>site de stockage</v>
          </cell>
          <cell r="F3871" t="str">
            <v>dans la</v>
          </cell>
          <cell r="G3871" t="str">
            <v>GED</v>
          </cell>
        </row>
        <row r="3872">
          <cell r="D3872" t="str">
            <v>du</v>
          </cell>
          <cell r="E3872" t="str">
            <v>document</v>
          </cell>
        </row>
        <row r="3873">
          <cell r="C3873" t="str">
            <v>pages</v>
          </cell>
          <cell r="D3873" t="str">
            <v>du</v>
          </cell>
          <cell r="E3873" t="str">
            <v>document</v>
          </cell>
        </row>
        <row r="3874">
          <cell r="D3874" t="str">
            <v>de l'</v>
          </cell>
          <cell r="E3874" t="str">
            <v>origine de la numérisation</v>
          </cell>
        </row>
        <row r="3875">
          <cell r="D3875" t="str">
            <v>de l'</v>
          </cell>
          <cell r="E3875" t="str">
            <v>état</v>
          </cell>
          <cell r="F3875" t="str">
            <v>du</v>
          </cell>
          <cell r="G3875" t="str">
            <v>document</v>
          </cell>
        </row>
        <row r="3876">
          <cell r="D3876" t="str">
            <v xml:space="preserve"> </v>
          </cell>
          <cell r="E3876" t="str">
            <v>DVI</v>
          </cell>
          <cell r="F3876" t="str">
            <v>du</v>
          </cell>
          <cell r="G3876" t="str">
            <v>document</v>
          </cell>
        </row>
        <row r="3877">
          <cell r="D3877" t="str">
            <v xml:space="preserve"> </v>
          </cell>
          <cell r="E3877" t="str">
            <v>archivage automatique</v>
          </cell>
          <cell r="F3877" t="str">
            <v>du</v>
          </cell>
          <cell r="G3877" t="str">
            <v>document</v>
          </cell>
        </row>
        <row r="3878">
          <cell r="D3878" t="str">
            <v xml:space="preserve"> </v>
          </cell>
          <cell r="E3878" t="str">
            <v>exportation</v>
          </cell>
          <cell r="F3878" t="str">
            <v>du</v>
          </cell>
          <cell r="G3878" t="str">
            <v>document</v>
          </cell>
        </row>
        <row r="3879">
          <cell r="D3879" t="str">
            <v>du</v>
          </cell>
          <cell r="E3879" t="str">
            <v>site maître</v>
          </cell>
          <cell r="F3879" t="str">
            <v>du</v>
          </cell>
          <cell r="G3879" t="str">
            <v>document</v>
          </cell>
        </row>
        <row r="3880">
          <cell r="C3880" t="str">
            <v>rattachement</v>
          </cell>
          <cell r="D3880" t="str">
            <v>du</v>
          </cell>
          <cell r="E3880" t="str">
            <v>document</v>
          </cell>
        </row>
        <row r="3881">
          <cell r="D3881" t="str">
            <v>du</v>
          </cell>
          <cell r="E3881" t="str">
            <v>document</v>
          </cell>
        </row>
        <row r="3882">
          <cell r="D3882" t="str">
            <v>de</v>
          </cell>
          <cell r="E3882" t="str">
            <v>confidentialité</v>
          </cell>
        </row>
        <row r="3883">
          <cell r="D3883" t="str">
            <v>de l'</v>
          </cell>
          <cell r="E3883" t="str">
            <v>enregistrement</v>
          </cell>
        </row>
        <row r="3884">
          <cell r="D3884" t="str">
            <v>de l'</v>
          </cell>
          <cell r="E3884" t="str">
            <v>enregistrement</v>
          </cell>
        </row>
        <row r="3885">
          <cell r="C3885" t="str">
            <v>dernière image</v>
          </cell>
          <cell r="D3885" t="str">
            <v>du</v>
          </cell>
          <cell r="E3885" t="str">
            <v>document</v>
          </cell>
        </row>
        <row r="3886">
          <cell r="D3886" t="str">
            <v>de la</v>
          </cell>
          <cell r="E3886" t="str">
            <v>référence de documents</v>
          </cell>
        </row>
        <row r="3887">
          <cell r="D3887" t="str">
            <v>de la</v>
          </cell>
          <cell r="E3887" t="str">
            <v>source applicative</v>
          </cell>
          <cell r="F3887" t="str">
            <v>de la</v>
          </cell>
          <cell r="G3887" t="str">
            <v>référence de documents</v>
          </cell>
        </row>
        <row r="3888">
          <cell r="D3888" t="str">
            <v>de la</v>
          </cell>
          <cell r="E3888" t="str">
            <v>référence de documents</v>
          </cell>
        </row>
        <row r="3889">
          <cell r="D3889" t="str">
            <v>d'</v>
          </cell>
          <cell r="E3889" t="str">
            <v>enregistrement</v>
          </cell>
        </row>
        <row r="3890">
          <cell r="D3890" t="str">
            <v>de la</v>
          </cell>
          <cell r="E3890" t="str">
            <v>clé de référencement</v>
          </cell>
        </row>
        <row r="3891">
          <cell r="D3891" t="str">
            <v>de la</v>
          </cell>
          <cell r="E3891" t="str">
            <v>famille</v>
          </cell>
        </row>
        <row r="3892">
          <cell r="D3892" t="str">
            <v>de la</v>
          </cell>
          <cell r="E3892" t="str">
            <v>sous-famille</v>
          </cell>
        </row>
        <row r="3893">
          <cell r="D3893" t="str">
            <v>de la</v>
          </cell>
          <cell r="E3893" t="str">
            <v>rubrique</v>
          </cell>
        </row>
        <row r="3894">
          <cell r="D3894" t="str">
            <v>de la</v>
          </cell>
          <cell r="E3894" t="str">
            <v>séquence</v>
          </cell>
        </row>
        <row r="3895">
          <cell r="D3895" t="str">
            <v>de l'</v>
          </cell>
          <cell r="E3895" t="str">
            <v>application source</v>
          </cell>
          <cell r="F3895" t="str">
            <v>des</v>
          </cell>
          <cell r="G3895" t="str">
            <v>donnée</v>
          </cell>
        </row>
        <row r="3896">
          <cell r="D3896" t="str">
            <v>de la</v>
          </cell>
          <cell r="E3896" t="str">
            <v>référence de documents</v>
          </cell>
        </row>
        <row r="3897">
          <cell r="D3897" t="str">
            <v>de la</v>
          </cell>
          <cell r="E3897" t="str">
            <v>référence de documents</v>
          </cell>
        </row>
        <row r="3898">
          <cell r="D3898" t="str">
            <v>de l'</v>
          </cell>
          <cell r="E3898" t="str">
            <v>application origine</v>
          </cell>
          <cell r="F3898" t="str">
            <v>de la</v>
          </cell>
          <cell r="G3898" t="str">
            <v>demande</v>
          </cell>
        </row>
        <row r="3899">
          <cell r="D3899" t="str">
            <v>de la</v>
          </cell>
          <cell r="E3899" t="str">
            <v>transaction</v>
          </cell>
        </row>
        <row r="3900">
          <cell r="D3900" t="str">
            <v>de la</v>
          </cell>
          <cell r="E3900" t="str">
            <v>référence de documents</v>
          </cell>
        </row>
        <row r="3901">
          <cell r="D3901" t="str">
            <v xml:space="preserve"> </v>
          </cell>
          <cell r="E3901" t="str">
            <v>contractuel</v>
          </cell>
        </row>
        <row r="3902">
          <cell r="D3902" t="str">
            <v xml:space="preserve"> </v>
          </cell>
          <cell r="E3902" t="str">
            <v>accès confidentiel</v>
          </cell>
        </row>
        <row r="3903">
          <cell r="D3903" t="str">
            <v>de la</v>
          </cell>
          <cell r="E3903" t="str">
            <v>ressource SAS</v>
          </cell>
          <cell r="F3903" t="str">
            <v>pour</v>
          </cell>
          <cell r="G3903" t="str">
            <v>accès</v>
          </cell>
        </row>
        <row r="3904">
          <cell r="D3904" t="str">
            <v>de la</v>
          </cell>
          <cell r="E3904" t="str">
            <v>valorisation confidentiel</v>
          </cell>
        </row>
        <row r="3905">
          <cell r="D3905" t="str">
            <v>de l'</v>
          </cell>
          <cell r="E3905" t="str">
            <v>équipe demandeuse</v>
          </cell>
        </row>
        <row r="3906">
          <cell r="D3906" t="str">
            <v>du</v>
          </cell>
          <cell r="E3906" t="str">
            <v>demandeur</v>
          </cell>
        </row>
        <row r="3907">
          <cell r="D3907" t="str">
            <v>de l'</v>
          </cell>
          <cell r="E3907" t="str">
            <v>état</v>
          </cell>
          <cell r="F3907" t="str">
            <v>de la</v>
          </cell>
          <cell r="G3907" t="str">
            <v>référence de documents</v>
          </cell>
        </row>
        <row r="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row>
        <row r="3910">
          <cell r="D3910" t="str">
            <v>de la</v>
          </cell>
          <cell r="E3910" t="str">
            <v>langue d'utilisation</v>
          </cell>
        </row>
        <row r="3911">
          <cell r="D3911" t="str">
            <v>du</v>
          </cell>
          <cell r="E3911" t="str">
            <v>pays</v>
          </cell>
        </row>
        <row r="3912">
          <cell r="D3912" t="str">
            <v>de la</v>
          </cell>
          <cell r="E3912" t="str">
            <v>référence de documents</v>
          </cell>
        </row>
        <row r="3913">
          <cell r="D3913" t="str">
            <v>de la</v>
          </cell>
          <cell r="E3913" t="str">
            <v>référence de documents</v>
          </cell>
        </row>
        <row r="3914">
          <cell r="D3914" t="str">
            <v xml:space="preserve"> </v>
          </cell>
          <cell r="E3914" t="str">
            <v>édition autorisée</v>
          </cell>
        </row>
        <row r="3915">
          <cell r="D3915" t="str">
            <v>de l'</v>
          </cell>
          <cell r="E3915" t="str">
            <v>enregistrement</v>
          </cell>
        </row>
        <row r="3916">
          <cell r="D3916" t="str">
            <v>de l'</v>
          </cell>
          <cell r="E3916" t="str">
            <v>enregistrement</v>
          </cell>
        </row>
        <row r="3917">
          <cell r="C3917" t="str">
            <v>dernière image</v>
          </cell>
          <cell r="D3917" t="str">
            <v>de la</v>
          </cell>
          <cell r="E3917" t="str">
            <v>référence de documents</v>
          </cell>
        </row>
        <row r="3918">
          <cell r="D3918" t="str">
            <v>du</v>
          </cell>
          <cell r="E3918" t="str">
            <v>courrier</v>
          </cell>
        </row>
        <row r="3919">
          <cell r="D3919" t="str">
            <v>de la</v>
          </cell>
          <cell r="E3919" t="str">
            <v>source applicative</v>
          </cell>
          <cell r="F3919" t="str">
            <v>du</v>
          </cell>
          <cell r="G3919" t="str">
            <v>courrier</v>
          </cell>
        </row>
        <row r="3920">
          <cell r="D3920" t="str">
            <v>du</v>
          </cell>
          <cell r="E3920" t="str">
            <v>document</v>
          </cell>
        </row>
        <row r="3921">
          <cell r="D3921" t="str">
            <v>du</v>
          </cell>
          <cell r="E3921" t="str">
            <v>document</v>
          </cell>
        </row>
        <row r="3922">
          <cell r="D3922" t="str">
            <v>de l'</v>
          </cell>
          <cell r="E3922" t="str">
            <v>intéraction</v>
          </cell>
        </row>
        <row r="3923">
          <cell r="D3923" t="str">
            <v>du</v>
          </cell>
          <cell r="E3923" t="str">
            <v>modèle de courriers</v>
          </cell>
        </row>
        <row r="3924">
          <cell r="D3924" t="str">
            <v>du</v>
          </cell>
          <cell r="E3924" t="str">
            <v>modèle de courriers</v>
          </cell>
        </row>
        <row r="3925">
          <cell r="D3925" t="str">
            <v>de</v>
          </cell>
          <cell r="E3925" t="str">
            <v>catalogue de courriers</v>
          </cell>
        </row>
        <row r="3926">
          <cell r="D3926" t="str">
            <v>d'</v>
          </cell>
          <cell r="E3926" t="str">
            <v>édition courrier</v>
          </cell>
        </row>
        <row r="3927">
          <cell r="D3927" t="str">
            <v>de la</v>
          </cell>
          <cell r="E3927" t="str">
            <v>modification post fusion</v>
          </cell>
        </row>
        <row r="3928">
          <cell r="D3928" t="str">
            <v>de l'</v>
          </cell>
          <cell r="E3928" t="str">
            <v>état</v>
          </cell>
          <cell r="F3928" t="str">
            <v>du</v>
          </cell>
          <cell r="G3928" t="str">
            <v>courrier</v>
          </cell>
        </row>
        <row r="3929">
          <cell r="D3929" t="str">
            <v>du</v>
          </cell>
          <cell r="E3929" t="str">
            <v>canal de sortie</v>
          </cell>
        </row>
        <row r="3930">
          <cell r="D3930" t="str">
            <v>du</v>
          </cell>
          <cell r="E3930" t="str">
            <v>courrier</v>
          </cell>
        </row>
        <row r="3931">
          <cell r="C3931" t="str">
            <v>validation</v>
          </cell>
          <cell r="D3931" t="str">
            <v>du</v>
          </cell>
          <cell r="E3931" t="str">
            <v>courrier</v>
          </cell>
        </row>
        <row r="3932">
          <cell r="D3932" t="str">
            <v>du</v>
          </cell>
          <cell r="E3932" t="str">
            <v>courrier</v>
          </cell>
        </row>
        <row r="3933">
          <cell r="C3933" t="str">
            <v>annulation</v>
          </cell>
          <cell r="D3933" t="str">
            <v>du</v>
          </cell>
          <cell r="E3933" t="str">
            <v>courrier</v>
          </cell>
        </row>
        <row r="3934">
          <cell r="D3934" t="str">
            <v>de</v>
          </cell>
          <cell r="E3934" t="str">
            <v>confidentialité</v>
          </cell>
        </row>
        <row r="3935">
          <cell r="D3935" t="str">
            <v>de l'</v>
          </cell>
          <cell r="E3935" t="str">
            <v>importance</v>
          </cell>
        </row>
        <row r="3936">
          <cell r="D3936" t="str">
            <v>du</v>
          </cell>
          <cell r="E3936" t="str">
            <v>courrier</v>
          </cell>
        </row>
        <row r="3937">
          <cell r="D3937" t="str">
            <v>du</v>
          </cell>
          <cell r="E3937" t="str">
            <v>courrier</v>
          </cell>
        </row>
        <row r="3938">
          <cell r="D3938" t="str">
            <v>de l'</v>
          </cell>
          <cell r="E3938" t="str">
            <v>enregistrement</v>
          </cell>
        </row>
        <row r="3939">
          <cell r="D3939" t="str">
            <v>de l'</v>
          </cell>
          <cell r="E3939" t="str">
            <v>enregistrement</v>
          </cell>
        </row>
        <row r="3940">
          <cell r="C3940" t="str">
            <v>dernière image</v>
          </cell>
          <cell r="D3940" t="str">
            <v>du</v>
          </cell>
          <cell r="E3940" t="str">
            <v>courrier</v>
          </cell>
        </row>
        <row r="3941">
          <cell r="D3941" t="str">
            <v>du</v>
          </cell>
          <cell r="E3941" t="str">
            <v>modèle de courriers</v>
          </cell>
        </row>
        <row r="3942">
          <cell r="D3942" t="str">
            <v>du</v>
          </cell>
          <cell r="E3942" t="str">
            <v>document</v>
          </cell>
        </row>
        <row r="3943">
          <cell r="D3943" t="str">
            <v>de la</v>
          </cell>
          <cell r="E3943" t="str">
            <v>source applicative</v>
          </cell>
          <cell r="F3943" t="str">
            <v>du</v>
          </cell>
          <cell r="G3943" t="str">
            <v>modèle de courriers</v>
          </cell>
        </row>
        <row r="3944">
          <cell r="D3944" t="str">
            <v>du</v>
          </cell>
          <cell r="E3944" t="str">
            <v>modèle de courriers</v>
          </cell>
        </row>
        <row r="3945">
          <cell r="D3945" t="str">
            <v>du</v>
          </cell>
          <cell r="E3945" t="str">
            <v>modèle de courriers</v>
          </cell>
        </row>
        <row r="3946">
          <cell r="D3946" t="str">
            <v>du</v>
          </cell>
          <cell r="E3946" t="str">
            <v>modèle de courriers</v>
          </cell>
        </row>
        <row r="3947">
          <cell r="D3947" t="str">
            <v>du</v>
          </cell>
          <cell r="E3947" t="str">
            <v>pays</v>
          </cell>
        </row>
        <row r="3948">
          <cell r="D3948" t="str">
            <v>de la</v>
          </cell>
          <cell r="E3948" t="str">
            <v>langue d'utilisation</v>
          </cell>
        </row>
        <row r="3949">
          <cell r="D3949" t="str">
            <v>du</v>
          </cell>
          <cell r="E3949" t="str">
            <v>modèle de courriers</v>
          </cell>
        </row>
        <row r="3950">
          <cell r="D3950" t="str">
            <v>de</v>
          </cell>
          <cell r="E3950" t="str">
            <v>modèle de courriers</v>
          </cell>
        </row>
        <row r="3951">
          <cell r="D3951" t="str">
            <v>de la</v>
          </cell>
          <cell r="E3951" t="str">
            <v>fédération de rattachement</v>
          </cell>
        </row>
        <row r="3952">
          <cell r="D3952" t="str">
            <v>de l'</v>
          </cell>
          <cell r="E3952" t="str">
            <v>état</v>
          </cell>
          <cell r="F3952" t="str">
            <v>du</v>
          </cell>
          <cell r="G3952" t="str">
            <v>modèle de courriers</v>
          </cell>
        </row>
        <row r="3953">
          <cell r="D3953" t="str">
            <v>du</v>
          </cell>
          <cell r="E3953" t="str">
            <v>modèle de courriers</v>
          </cell>
        </row>
        <row r="3954">
          <cell r="D3954" t="str">
            <v>du</v>
          </cell>
          <cell r="E3954" t="str">
            <v>modèle de courriers</v>
          </cell>
        </row>
        <row r="3955">
          <cell r="D3955" t="str">
            <v>du</v>
          </cell>
          <cell r="E3955" t="str">
            <v>modèle de courriers</v>
          </cell>
        </row>
        <row r="3956">
          <cell r="C3956" t="str">
            <v>création</v>
          </cell>
          <cell r="D3956" t="str">
            <v>du</v>
          </cell>
          <cell r="E3956" t="str">
            <v>modèle de courriers</v>
          </cell>
        </row>
        <row r="3957">
          <cell r="D3957" t="str">
            <v>du</v>
          </cell>
          <cell r="E3957" t="str">
            <v>modèle de courriers</v>
          </cell>
        </row>
        <row r="3958">
          <cell r="C3958" t="str">
            <v>publication</v>
          </cell>
          <cell r="D3958" t="str">
            <v>du</v>
          </cell>
          <cell r="E3958" t="str">
            <v>modèle de courriers</v>
          </cell>
        </row>
        <row r="3959">
          <cell r="D3959" t="str">
            <v>du</v>
          </cell>
          <cell r="E3959" t="str">
            <v>modèle de courriers</v>
          </cell>
        </row>
        <row r="3960">
          <cell r="C3960" t="str">
            <v>mise à jour</v>
          </cell>
          <cell r="D3960" t="str">
            <v>du</v>
          </cell>
          <cell r="E3960" t="str">
            <v>modèle de courriers</v>
          </cell>
        </row>
        <row r="3961">
          <cell r="D3961" t="str">
            <v>du</v>
          </cell>
          <cell r="E3961" t="str">
            <v>modèle de courriers</v>
          </cell>
        </row>
        <row r="3962">
          <cell r="D3962" t="str">
            <v>de</v>
          </cell>
          <cell r="E3962" t="str">
            <v>ressource</v>
          </cell>
        </row>
        <row r="3963">
          <cell r="D3963" t="str">
            <v>de</v>
          </cell>
          <cell r="E3963" t="str">
            <v>type de papier</v>
          </cell>
        </row>
        <row r="3964">
          <cell r="D3964" t="str">
            <v xml:space="preserve"> </v>
          </cell>
          <cell r="E3964" t="str">
            <v>local</v>
          </cell>
        </row>
        <row r="3965">
          <cell r="D3965" t="str">
            <v xml:space="preserve"> </v>
          </cell>
          <cell r="E3965" t="str">
            <v>central</v>
          </cell>
        </row>
        <row r="3966">
          <cell r="D3966" t="str">
            <v xml:space="preserve"> </v>
          </cell>
          <cell r="E3966" t="str">
            <v>mail</v>
          </cell>
        </row>
        <row r="3967">
          <cell r="D3967" t="str">
            <v xml:space="preserve"> </v>
          </cell>
          <cell r="E3967" t="str">
            <v>fax</v>
          </cell>
        </row>
        <row r="3968">
          <cell r="D3968" t="str">
            <v xml:space="preserve"> </v>
          </cell>
          <cell r="E3968" t="str">
            <v>préférentiel</v>
          </cell>
        </row>
        <row r="3969">
          <cell r="D3969" t="str">
            <v xml:space="preserve"> </v>
          </cell>
          <cell r="E3969" t="str">
            <v>utilisation de recommandé</v>
          </cell>
        </row>
        <row r="3970">
          <cell r="D3970" t="str">
            <v xml:space="preserve"> </v>
          </cell>
          <cell r="E3970" t="str">
            <v>SMS</v>
          </cell>
        </row>
        <row r="3971">
          <cell r="D3971" t="str">
            <v xml:space="preserve"> </v>
          </cell>
          <cell r="E3971" t="str">
            <v>souscription</v>
          </cell>
        </row>
        <row r="3972">
          <cell r="D3972" t="str">
            <v xml:space="preserve"> </v>
          </cell>
          <cell r="E3972" t="str">
            <v>transaction</v>
          </cell>
        </row>
        <row r="3973">
          <cell r="D3973" t="str">
            <v xml:space="preserve"> </v>
          </cell>
          <cell r="E3973" t="str">
            <v>éligibilité BATCH</v>
          </cell>
        </row>
        <row r="3974">
          <cell r="D3974" t="str">
            <v xml:space="preserve"> </v>
          </cell>
          <cell r="E3974" t="str">
            <v>recommandé</v>
          </cell>
        </row>
        <row r="3975">
          <cell r="D3975" t="str">
            <v>du</v>
          </cell>
          <cell r="E3975" t="str">
            <v>document</v>
          </cell>
        </row>
        <row r="3976">
          <cell r="D3976" t="str">
            <v>du</v>
          </cell>
          <cell r="E3976" t="str">
            <v>catalogue de courriers</v>
          </cell>
        </row>
        <row r="3977">
          <cell r="D3977" t="str">
            <v>de l'</v>
          </cell>
          <cell r="E3977" t="str">
            <v>enregistrement</v>
          </cell>
        </row>
        <row r="3978">
          <cell r="D3978" t="str">
            <v>de l'</v>
          </cell>
          <cell r="E3978" t="str">
            <v>enregistrement</v>
          </cell>
        </row>
        <row r="3979">
          <cell r="C3979" t="str">
            <v>dernière image</v>
          </cell>
          <cell r="D3979" t="str">
            <v>du</v>
          </cell>
          <cell r="E3979" t="str">
            <v>modèle de courriers</v>
          </cell>
        </row>
        <row r="3980">
          <cell r="D3980" t="str">
            <v>du</v>
          </cell>
          <cell r="E3980" t="str">
            <v>catalogue de courriers</v>
          </cell>
        </row>
        <row r="3981">
          <cell r="D3981" t="str">
            <v>du</v>
          </cell>
          <cell r="E3981" t="str">
            <v>catalogue de courriers</v>
          </cell>
        </row>
        <row r="3982">
          <cell r="D3982" t="str">
            <v>de la</v>
          </cell>
          <cell r="E3982" t="str">
            <v>source applicative</v>
          </cell>
          <cell r="F3982" t="str">
            <v>du</v>
          </cell>
          <cell r="G3982" t="str">
            <v>catalogue de courriers</v>
          </cell>
        </row>
        <row r="3983">
          <cell r="D3983" t="str">
            <v>du</v>
          </cell>
          <cell r="E3983" t="str">
            <v>document</v>
          </cell>
        </row>
        <row r="3984">
          <cell r="D3984" t="str">
            <v>du</v>
          </cell>
          <cell r="E3984" t="str">
            <v>modèle de courriers</v>
          </cell>
        </row>
        <row r="3985">
          <cell r="D3985" t="str">
            <v>de</v>
          </cell>
          <cell r="E3985" t="str">
            <v>catalogue de courriers</v>
          </cell>
        </row>
        <row r="3986">
          <cell r="D3986" t="str">
            <v xml:space="preserve"> </v>
          </cell>
          <cell r="E3986" t="str">
            <v>CIT</v>
          </cell>
        </row>
        <row r="3987">
          <cell r="D3987" t="str">
            <v xml:space="preserve"> </v>
          </cell>
          <cell r="E3987" t="str">
            <v>INTBAD</v>
          </cell>
        </row>
        <row r="3988">
          <cell r="D3988" t="str">
            <v xml:space="preserve"> </v>
          </cell>
          <cell r="E3988" t="str">
            <v>EXTLNG</v>
          </cell>
        </row>
        <row r="3989">
          <cell r="D3989" t="str">
            <v xml:space="preserve"> </v>
          </cell>
          <cell r="E3989" t="str">
            <v>EXTCRT</v>
          </cell>
        </row>
        <row r="3990">
          <cell r="D3990" t="str">
            <v xml:space="preserve"> </v>
          </cell>
          <cell r="E3990" t="str">
            <v>DVI</v>
          </cell>
        </row>
        <row r="3991">
          <cell r="D3991" t="str">
            <v>du</v>
          </cell>
          <cell r="E3991" t="str">
            <v>DVI</v>
          </cell>
        </row>
        <row r="3992">
          <cell r="D3992" t="str">
            <v xml:space="preserve"> </v>
          </cell>
          <cell r="E3992" t="str">
            <v>SMOD</v>
          </cell>
        </row>
        <row r="3993">
          <cell r="D3993" t="str">
            <v>du</v>
          </cell>
          <cell r="E3993" t="str">
            <v>catalogue de courriers</v>
          </cell>
        </row>
        <row r="3994">
          <cell r="D3994" t="str">
            <v>du</v>
          </cell>
          <cell r="E3994" t="str">
            <v>catalogue de courriers</v>
          </cell>
        </row>
        <row r="3995">
          <cell r="D3995" t="str">
            <v>du</v>
          </cell>
          <cell r="E3995" t="str">
            <v>catalogue de courriers</v>
          </cell>
        </row>
        <row r="3996">
          <cell r="D3996" t="str">
            <v>de l'</v>
          </cell>
          <cell r="E3996" t="str">
            <v>enregistrement</v>
          </cell>
        </row>
        <row r="3997">
          <cell r="D3997" t="str">
            <v>de l'</v>
          </cell>
          <cell r="E3997" t="str">
            <v>enregistrement</v>
          </cell>
        </row>
        <row r="3998">
          <cell r="C3998" t="str">
            <v>dernière image</v>
          </cell>
          <cell r="D3998" t="str">
            <v>du</v>
          </cell>
          <cell r="E3998" t="str">
            <v>catalogue de courriers</v>
          </cell>
        </row>
        <row r="3999">
          <cell r="C3999" t="str">
            <v>différé</v>
          </cell>
          <cell r="D3999" t="str">
            <v>de</v>
          </cell>
          <cell r="E3999" t="str">
            <v>crédit</v>
          </cell>
        </row>
        <row r="4000">
          <cell r="C4000" t="str">
            <v>différé</v>
          </cell>
          <cell r="D4000" t="str">
            <v>de la</v>
          </cell>
          <cell r="E4000" t="str">
            <v>commande</v>
          </cell>
        </row>
        <row r="4001">
          <cell r="C4001" t="str">
            <v>création</v>
          </cell>
          <cell r="D4001" t="str">
            <v>de la</v>
          </cell>
          <cell r="E4001" t="str">
            <v>TADSDEC</v>
          </cell>
        </row>
        <row r="4002">
          <cell r="D4002" t="str">
            <v>de la</v>
          </cell>
          <cell r="E4002" t="str">
            <v>TADSDEC</v>
          </cell>
        </row>
        <row r="4003">
          <cell r="C4003" t="str">
            <v>mise à jour</v>
          </cell>
          <cell r="D4003" t="str">
            <v>de la</v>
          </cell>
          <cell r="E4003" t="str">
            <v>TADSDEC</v>
          </cell>
        </row>
        <row r="4004">
          <cell r="D4004" t="str">
            <v>de la</v>
          </cell>
          <cell r="E4004" t="str">
            <v>TADSDEC</v>
          </cell>
        </row>
        <row r="4005">
          <cell r="C4005" t="str">
            <v>création</v>
          </cell>
          <cell r="D4005" t="str">
            <v>de la</v>
          </cell>
          <cell r="E4005" t="str">
            <v>TADSECH</v>
          </cell>
        </row>
        <row r="4006">
          <cell r="D4006" t="str">
            <v>de la</v>
          </cell>
          <cell r="E4006" t="str">
            <v>TADSECH</v>
          </cell>
        </row>
        <row r="4007">
          <cell r="C4007" t="str">
            <v>mise à jour</v>
          </cell>
          <cell r="D4007" t="str">
            <v>de la</v>
          </cell>
          <cell r="E4007" t="str">
            <v>TADSECH</v>
          </cell>
        </row>
        <row r="4008">
          <cell r="D4008" t="str">
            <v>de la</v>
          </cell>
          <cell r="E4008" t="str">
            <v>TADSECH</v>
          </cell>
        </row>
        <row r="4009">
          <cell r="C4009" t="str">
            <v>création</v>
          </cell>
          <cell r="D4009" t="str">
            <v>de la</v>
          </cell>
          <cell r="E4009" t="str">
            <v>TADSECD</v>
          </cell>
        </row>
        <row r="4010">
          <cell r="D4010" t="str">
            <v>de la</v>
          </cell>
          <cell r="E4010" t="str">
            <v>TADSECD</v>
          </cell>
        </row>
        <row r="4011">
          <cell r="C4011" t="str">
            <v>mise à jour</v>
          </cell>
          <cell r="D4011" t="str">
            <v>de la</v>
          </cell>
          <cell r="E4011" t="str">
            <v>TADSECD</v>
          </cell>
        </row>
        <row r="4012">
          <cell r="D4012" t="str">
            <v>de la</v>
          </cell>
          <cell r="E4012" t="str">
            <v>TADSECD</v>
          </cell>
        </row>
        <row r="4013">
          <cell r="D4013" t="str">
            <v>de la</v>
          </cell>
          <cell r="E4013" t="str">
            <v>provision</v>
          </cell>
        </row>
        <row r="4014">
          <cell r="D4014" t="str">
            <v>du</v>
          </cell>
          <cell r="E4014" t="str">
            <v>Produit d'Assurance</v>
          </cell>
        </row>
        <row r="4015">
          <cell r="D4015" t="str">
            <v>du</v>
          </cell>
          <cell r="E4015" t="str">
            <v>Sous-produit d'assurance</v>
          </cell>
        </row>
        <row r="4016">
          <cell r="D4016" t="str">
            <v>de</v>
          </cell>
          <cell r="E4016" t="str">
            <v>Sinistre</v>
          </cell>
        </row>
        <row r="4017">
          <cell r="D4017" t="str">
            <v>de</v>
          </cell>
          <cell r="E4017" t="str">
            <v>Dossier sinistre</v>
          </cell>
        </row>
        <row r="4018">
          <cell r="D4018" t="str">
            <v>du</v>
          </cell>
          <cell r="E4018" t="str">
            <v>Sinistre</v>
          </cell>
          <cell r="F4018" t="str">
            <v>d'</v>
          </cell>
          <cell r="G4018" t="str">
            <v>Origine</v>
          </cell>
        </row>
        <row r="4019">
          <cell r="C4019" t="str">
            <v>interne</v>
          </cell>
          <cell r="D4019" t="str">
            <v>du</v>
          </cell>
          <cell r="E4019" t="str">
            <v>contrat</v>
          </cell>
        </row>
        <row r="4020">
          <cell r="C4020" t="str">
            <v>externe</v>
          </cell>
          <cell r="D4020" t="str">
            <v>du</v>
          </cell>
          <cell r="E4020" t="str">
            <v>Contrat</v>
          </cell>
        </row>
        <row r="4021">
          <cell r="D4021" t="str">
            <v>du</v>
          </cell>
          <cell r="E4021" t="str">
            <v>contrat migré</v>
          </cell>
        </row>
        <row r="4022">
          <cell r="D4022" t="str">
            <v>de</v>
          </cell>
          <cell r="E4022" t="str">
            <v>tête</v>
          </cell>
          <cell r="F4022" t="str">
            <v>de l'</v>
          </cell>
          <cell r="G4022" t="str">
            <v>objet assuré</v>
          </cell>
        </row>
        <row r="4023">
          <cell r="D4023" t="str">
            <v>de</v>
          </cell>
          <cell r="E4023" t="str">
            <v>Sinistre</v>
          </cell>
        </row>
        <row r="4024">
          <cell r="D4024" t="str">
            <v>du</v>
          </cell>
          <cell r="E4024" t="str">
            <v>risque</v>
          </cell>
          <cell r="F4024" t="str">
            <v>du</v>
          </cell>
          <cell r="G4024" t="str">
            <v>sinistre</v>
          </cell>
        </row>
        <row r="4025">
          <cell r="D4025" t="str">
            <v>de la</v>
          </cell>
          <cell r="E4025" t="str">
            <v>Garantie</v>
          </cell>
          <cell r="G4025" t="str">
            <v>SIO</v>
          </cell>
        </row>
        <row r="4026">
          <cell r="D4026" t="str">
            <v>de la</v>
          </cell>
          <cell r="E4026" t="str">
            <v>Garantie</v>
          </cell>
          <cell r="G4026" t="str">
            <v>IDW</v>
          </cell>
        </row>
        <row r="4027">
          <cell r="D4027" t="str">
            <v>de la</v>
          </cell>
          <cell r="E4027" t="str">
            <v>situation</v>
          </cell>
          <cell r="F4027" t="str">
            <v>du</v>
          </cell>
          <cell r="G4027" t="str">
            <v>sinistre</v>
          </cell>
        </row>
        <row r="4028">
          <cell r="D4028" t="str">
            <v>du</v>
          </cell>
          <cell r="E4028" t="str">
            <v>sinistre</v>
          </cell>
        </row>
        <row r="4045">
          <cell r="D4045" t="str">
            <v>du</v>
          </cell>
          <cell r="E4045" t="str">
            <v>planning</v>
          </cell>
        </row>
        <row r="4046">
          <cell r="D4046" t="str">
            <v>du</v>
          </cell>
          <cell r="E4046" t="str">
            <v>type</v>
          </cell>
          <cell r="F4046" t="str">
            <v>de l'</v>
          </cell>
          <cell r="G4046" t="str">
            <v>objet</v>
          </cell>
        </row>
        <row r="4047">
          <cell r="D4047" t="str">
            <v>du</v>
          </cell>
          <cell r="E4047" t="str">
            <v>type</v>
          </cell>
          <cell r="F4047" t="str">
            <v>de</v>
          </cell>
          <cell r="G4047" t="str">
            <v>planning</v>
          </cell>
        </row>
        <row r="4048">
          <cell r="D4048" t="str">
            <v>de l'</v>
          </cell>
          <cell r="E4048" t="str">
            <v>objet</v>
          </cell>
        </row>
        <row r="4049">
          <cell r="D4049" t="str">
            <v>du</v>
          </cell>
          <cell r="E4049" t="str">
            <v>jour</v>
          </cell>
          <cell r="F4049" t="str">
            <v>de la</v>
          </cell>
          <cell r="G4049" t="str">
            <v>semaine</v>
          </cell>
        </row>
        <row r="4050">
          <cell r="D4050" t="str">
            <v>du</v>
          </cell>
          <cell r="E4050" t="str">
            <v>jour</v>
          </cell>
          <cell r="F4050" t="str">
            <v>du</v>
          </cell>
          <cell r="G4050" t="str">
            <v>mois</v>
          </cell>
        </row>
        <row r="4051">
          <cell r="D4051" t="str">
            <v>du</v>
          </cell>
          <cell r="E4051" t="str">
            <v>jour</v>
          </cell>
          <cell r="F4051" t="str">
            <v>de l'</v>
          </cell>
          <cell r="G4051" t="str">
            <v>année</v>
          </cell>
        </row>
        <row r="4052">
          <cell r="D4052" t="str">
            <v>du</v>
          </cell>
          <cell r="E4052" t="str">
            <v>jour</v>
          </cell>
        </row>
        <row r="4053">
          <cell r="D4053" t="str">
            <v>du</v>
          </cell>
          <cell r="E4053" t="str">
            <v>jour ouvré</v>
          </cell>
        </row>
        <row r="4054">
          <cell r="D4054" t="str">
            <v>de</v>
          </cell>
          <cell r="E4054" t="str">
            <v>début</v>
          </cell>
          <cell r="F4054" t="str">
            <v>de</v>
          </cell>
          <cell r="G4054" t="str">
            <v>semaine</v>
          </cell>
        </row>
        <row r="4055">
          <cell r="D4055" t="str">
            <v>de</v>
          </cell>
          <cell r="E4055" t="str">
            <v>fin</v>
          </cell>
          <cell r="F4055" t="str">
            <v>de</v>
          </cell>
          <cell r="G4055" t="str">
            <v>semaine</v>
          </cell>
        </row>
        <row r="4056">
          <cell r="D4056" t="str">
            <v>de</v>
          </cell>
          <cell r="E4056" t="str">
            <v>début</v>
          </cell>
          <cell r="F4056" t="str">
            <v>du</v>
          </cell>
          <cell r="G4056" t="str">
            <v>jour ouvré</v>
          </cell>
          <cell r="H4056" t="str">
            <v>de</v>
          </cell>
          <cell r="I4056" t="str">
            <v>semaine</v>
          </cell>
        </row>
        <row r="4057">
          <cell r="D4057" t="str">
            <v>de</v>
          </cell>
          <cell r="E4057" t="str">
            <v>fin</v>
          </cell>
          <cell r="F4057" t="str">
            <v>du</v>
          </cell>
          <cell r="G4057" t="str">
            <v>jour ouvré</v>
          </cell>
          <cell r="H4057" t="str">
            <v>de</v>
          </cell>
          <cell r="I4057" t="str">
            <v>semaine</v>
          </cell>
        </row>
        <row r="4058">
          <cell r="D4058" t="str">
            <v>de</v>
          </cell>
          <cell r="E4058" t="str">
            <v>début</v>
          </cell>
          <cell r="F4058" t="str">
            <v>de</v>
          </cell>
          <cell r="G4058" t="str">
            <v>mois</v>
          </cell>
        </row>
        <row r="4059">
          <cell r="D4059" t="str">
            <v>de</v>
          </cell>
          <cell r="E4059" t="str">
            <v>fin</v>
          </cell>
          <cell r="F4059" t="str">
            <v>de</v>
          </cell>
          <cell r="G4059" t="str">
            <v>mois</v>
          </cell>
        </row>
        <row r="4060">
          <cell r="D4060" t="str">
            <v>de</v>
          </cell>
          <cell r="E4060" t="str">
            <v>début</v>
          </cell>
          <cell r="F4060" t="str">
            <v>du</v>
          </cell>
          <cell r="G4060" t="str">
            <v>jour ouvré</v>
          </cell>
          <cell r="H4060" t="str">
            <v>de</v>
          </cell>
          <cell r="I4060" t="str">
            <v>mois</v>
          </cell>
        </row>
        <row r="4061">
          <cell r="D4061" t="str">
            <v>de</v>
          </cell>
          <cell r="E4061" t="str">
            <v>fin</v>
          </cell>
          <cell r="F4061" t="str">
            <v>du</v>
          </cell>
          <cell r="G4061" t="str">
            <v>jour ouvré</v>
          </cell>
          <cell r="H4061" t="str">
            <v>de</v>
          </cell>
          <cell r="I4061" t="str">
            <v>mois</v>
          </cell>
        </row>
        <row r="4062">
          <cell r="D4062" t="str">
            <v>de</v>
          </cell>
          <cell r="E4062" t="str">
            <v>début</v>
          </cell>
          <cell r="F4062" t="str">
            <v>d'</v>
          </cell>
          <cell r="G4062" t="str">
            <v>année</v>
          </cell>
        </row>
        <row r="4063">
          <cell r="D4063" t="str">
            <v>de</v>
          </cell>
          <cell r="E4063" t="str">
            <v>fin</v>
          </cell>
          <cell r="F4063" t="str">
            <v>d'</v>
          </cell>
          <cell r="G4063" t="str">
            <v>année</v>
          </cell>
        </row>
        <row r="4064">
          <cell r="D4064" t="str">
            <v>de</v>
          </cell>
          <cell r="E4064" t="str">
            <v>début</v>
          </cell>
          <cell r="F4064" t="str">
            <v>du</v>
          </cell>
          <cell r="G4064" t="str">
            <v>jour ouvré</v>
          </cell>
          <cell r="H4064" t="str">
            <v>d'</v>
          </cell>
          <cell r="I4064" t="str">
            <v>année</v>
          </cell>
        </row>
        <row r="4065">
          <cell r="D4065" t="str">
            <v>de</v>
          </cell>
          <cell r="E4065" t="str">
            <v>fin</v>
          </cell>
          <cell r="F4065" t="str">
            <v>du</v>
          </cell>
          <cell r="G4065" t="str">
            <v>jour ouvré</v>
          </cell>
          <cell r="H4065" t="str">
            <v>d'</v>
          </cell>
          <cell r="I4065" t="str">
            <v>année</v>
          </cell>
        </row>
        <row r="4066">
          <cell r="D4066" t="str">
            <v>du</v>
          </cell>
          <cell r="E4066" t="str">
            <v>planning</v>
          </cell>
        </row>
        <row r="4067">
          <cell r="D4067" t="str">
            <v>du</v>
          </cell>
          <cell r="E4067" t="str">
            <v>planning</v>
          </cell>
        </row>
        <row r="4068">
          <cell r="D4068" t="str">
            <v>du</v>
          </cell>
          <cell r="E4068" t="str">
            <v>planning</v>
          </cell>
        </row>
        <row r="4069">
          <cell r="D4069" t="str">
            <v>du</v>
          </cell>
          <cell r="E4069" t="str">
            <v>planning</v>
          </cell>
        </row>
        <row r="4070">
          <cell r="D4070" t="str">
            <v>du</v>
          </cell>
          <cell r="E4070" t="str">
            <v>groupe</v>
          </cell>
          <cell r="F4070" t="str">
            <v>de</v>
          </cell>
          <cell r="G4070" t="str">
            <v>suivi des chargements</v>
          </cell>
        </row>
        <row r="4071">
          <cell r="D4071" t="str">
            <v>du</v>
          </cell>
          <cell r="E4071" t="str">
            <v>chargement</v>
          </cell>
        </row>
        <row r="4072">
          <cell r="D4072" t="str">
            <v>de</v>
          </cell>
          <cell r="E4072" t="str">
            <v>vue</v>
          </cell>
          <cell r="F4072" t="str">
            <v>de</v>
          </cell>
          <cell r="G4072" t="str">
            <v>bilan</v>
          </cell>
        </row>
        <row r="4073">
          <cell r="D4073" t="str">
            <v>du</v>
          </cell>
          <cell r="E4073" t="str">
            <v>niveau</v>
          </cell>
          <cell r="F4073" t="str">
            <v>de</v>
          </cell>
          <cell r="G4073" t="str">
            <v>vigilance</v>
          </cell>
        </row>
        <row r="4074">
          <cell r="D4074" t="str">
            <v>du</v>
          </cell>
          <cell r="E4074" t="str">
            <v>calendrier</v>
          </cell>
          <cell r="F4074" t="str">
            <v>des</v>
          </cell>
          <cell r="G4074" t="str">
            <v>jour ouvrable</v>
          </cell>
        </row>
        <row r="4076">
          <cell r="D4076" t="str">
            <v>de la</v>
          </cell>
          <cell r="E4076" t="str">
            <v>période de chômage</v>
          </cell>
        </row>
        <row r="4077">
          <cell r="D4077" t="str">
            <v>de la</v>
          </cell>
          <cell r="E4077" t="str">
            <v>base de règlement</v>
          </cell>
          <cell r="F4077" t="str">
            <v>des</v>
          </cell>
          <cell r="G4077" t="str">
            <v>indemnité journalière</v>
          </cell>
        </row>
        <row r="4078">
          <cell r="D4078" t="str">
            <v>du</v>
          </cell>
          <cell r="E4078" t="str">
            <v>dossier sinistre</v>
          </cell>
          <cell r="F4078" t="str">
            <v>de l'</v>
          </cell>
          <cell r="G4078" t="str">
            <v>garantie incapacité de travail</v>
          </cell>
        </row>
        <row r="4079">
          <cell r="D4079" t="str">
            <v>de la</v>
          </cell>
          <cell r="E4079" t="str">
            <v>revalorisation</v>
          </cell>
          <cell r="F4079" t="str">
            <v>de la</v>
          </cell>
          <cell r="G4079" t="str">
            <v>prestation</v>
          </cell>
        </row>
        <row r="4080">
          <cell r="C4080" t="str">
            <v>base</v>
          </cell>
          <cell r="D4080" t="str">
            <v>de la</v>
          </cell>
          <cell r="E4080" t="str">
            <v>garantie</v>
          </cell>
          <cell r="F4080" t="str">
            <v>pour le</v>
          </cell>
          <cell r="G4080" t="str">
            <v>règlement</v>
          </cell>
          <cell r="H4080" t="str">
            <v>du</v>
          </cell>
          <cell r="I4080" t="str">
            <v>sinistre</v>
          </cell>
        </row>
        <row r="4081">
          <cell r="D4081" t="str">
            <v>du</v>
          </cell>
          <cell r="E4081" t="str">
            <v>bénéficiaire du règlement</v>
          </cell>
        </row>
        <row r="4082">
          <cell r="C4082" t="str">
            <v>limite</v>
          </cell>
          <cell r="D4082" t="str">
            <v>de la</v>
          </cell>
          <cell r="E4082" t="str">
            <v>rémunération</v>
          </cell>
        </row>
        <row r="4083">
          <cell r="D4083" t="str">
            <v>d'</v>
          </cell>
          <cell r="E4083" t="str">
            <v>activité à mi-temps</v>
          </cell>
        </row>
        <row r="4084">
          <cell r="C4084" t="str">
            <v>divers</v>
          </cell>
          <cell r="D4084" t="str">
            <v>de la</v>
          </cell>
          <cell r="E4084" t="str">
            <v>indemnisation</v>
          </cell>
          <cell r="F4084" t="str">
            <v>de la</v>
          </cell>
          <cell r="G4084" t="str">
            <v>période de chômage</v>
          </cell>
        </row>
        <row r="4085">
          <cell r="D4085" t="str">
            <v>de l'</v>
          </cell>
          <cell r="E4085" t="str">
            <v>exonération cotisation</v>
          </cell>
        </row>
        <row r="4086">
          <cell r="D4086" t="str">
            <v>du</v>
          </cell>
          <cell r="E4086" t="str">
            <v>Montant remboursé en assurance santé</v>
          </cell>
          <cell r="F4086" t="str">
            <v>de la</v>
          </cell>
          <cell r="G4086" t="str">
            <v>garantie</v>
          </cell>
          <cell r="H4086" t="str">
            <v>du</v>
          </cell>
          <cell r="I4086" t="str">
            <v>décès</v>
          </cell>
        </row>
        <row r="4087">
          <cell r="D4087" t="str">
            <v>du</v>
          </cell>
          <cell r="E4087" t="str">
            <v>Montant remboursé en assurance santé</v>
          </cell>
          <cell r="F4087" t="str">
            <v>de la</v>
          </cell>
          <cell r="G4087" t="str">
            <v>garantie</v>
          </cell>
          <cell r="H4087" t="str">
            <v>du</v>
          </cell>
          <cell r="I4087" t="str">
            <v>décès accidentel</v>
          </cell>
        </row>
        <row r="4088">
          <cell r="D4088" t="str">
            <v>du</v>
          </cell>
          <cell r="E4088" t="str">
            <v>remboursement</v>
          </cell>
          <cell r="F4088" t="str">
            <v>de la</v>
          </cell>
          <cell r="G4088" t="str">
            <v>garantie</v>
          </cell>
          <cell r="H4088" t="str">
            <v>du</v>
          </cell>
          <cell r="I4088" t="str">
            <v>décès</v>
          </cell>
        </row>
        <row r="4089">
          <cell r="D4089" t="str">
            <v>de</v>
          </cell>
          <cell r="E4089" t="str">
            <v>congés longue durée</v>
          </cell>
        </row>
        <row r="4090">
          <cell r="D4090" t="str">
            <v>de</v>
          </cell>
          <cell r="E4090" t="str">
            <v>tête de sinistre</v>
          </cell>
        </row>
        <row r="4091">
          <cell r="D4091" t="str">
            <v>du</v>
          </cell>
          <cell r="E4091" t="str">
            <v>remboursement</v>
          </cell>
          <cell r="F4091" t="str">
            <v>de la</v>
          </cell>
          <cell r="G4091" t="str">
            <v>garantie</v>
          </cell>
          <cell r="H4091" t="str">
            <v>du</v>
          </cell>
          <cell r="I4091" t="str">
            <v>décès accidentel</v>
          </cell>
        </row>
        <row r="4092">
          <cell r="D4092" t="str">
            <v>du</v>
          </cell>
          <cell r="E4092" t="str">
            <v>domaine fonctionnel</v>
          </cell>
        </row>
        <row r="4093">
          <cell r="D4093" t="str">
            <v>du</v>
          </cell>
          <cell r="E4093" t="str">
            <v>rédacteur saisie</v>
          </cell>
        </row>
        <row r="4094">
          <cell r="D4094" t="str">
            <v>du</v>
          </cell>
          <cell r="E4094" t="str">
            <v>Type</v>
          </cell>
          <cell r="F4094" t="str">
            <v>de la</v>
          </cell>
          <cell r="G4094" t="str">
            <v>garantie vie</v>
          </cell>
        </row>
        <row r="4095">
          <cell r="D4095" t="str">
            <v>de l'</v>
          </cell>
          <cell r="E4095" t="str">
            <v>activité à mi-temps</v>
          </cell>
        </row>
        <row r="4096">
          <cell r="D4096" t="str">
            <v>des</v>
          </cell>
          <cell r="E4096" t="str">
            <v>intérêt remboursé</v>
          </cell>
          <cell r="F4096" t="str">
            <v>du</v>
          </cell>
          <cell r="G4096" t="str">
            <v>prêt</v>
          </cell>
        </row>
        <row r="4097">
          <cell r="D4097" t="str">
            <v>de</v>
          </cell>
          <cell r="E4097" t="str">
            <v>couverture</v>
          </cell>
          <cell r="F4097" t="str">
            <v>du</v>
          </cell>
          <cell r="G4097" t="str">
            <v>prêt</v>
          </cell>
        </row>
        <row r="4098">
          <cell r="C4098" t="str">
            <v>jour</v>
          </cell>
          <cell r="D4098" t="str">
            <v>de</v>
          </cell>
          <cell r="E4098" t="str">
            <v>franchise</v>
          </cell>
          <cell r="F4098" t="str">
            <v>du</v>
          </cell>
          <cell r="G4098" t="str">
            <v>régime sécurité sociale</v>
          </cell>
        </row>
        <row r="4099">
          <cell r="D4099" t="str">
            <v>de la</v>
          </cell>
          <cell r="E4099" t="str">
            <v>règle de calcul limite</v>
          </cell>
          <cell r="F4099" t="str">
            <v>du</v>
          </cell>
          <cell r="G4099" t="str">
            <v>remboursement</v>
          </cell>
        </row>
        <row r="4100">
          <cell r="D4100" t="str">
            <v>du</v>
          </cell>
          <cell r="E4100" t="str">
            <v>type</v>
          </cell>
          <cell r="F4100" t="str">
            <v>de</v>
          </cell>
          <cell r="G4100" t="str">
            <v>sinistre</v>
          </cell>
        </row>
        <row r="4101">
          <cell r="D4101" t="str">
            <v>de la</v>
          </cell>
          <cell r="E4101" t="str">
            <v>devise étrangère</v>
          </cell>
        </row>
        <row r="4102">
          <cell r="D4102" t="str">
            <v>de</v>
          </cell>
          <cell r="E4102" t="str">
            <v>contrat prévoyance</v>
          </cell>
        </row>
        <row r="4103">
          <cell r="D4103" t="str">
            <v>du</v>
          </cell>
          <cell r="E4103" t="str">
            <v>remboursement</v>
          </cell>
          <cell r="F4103" t="str">
            <v>de la</v>
          </cell>
          <cell r="G4103" t="str">
            <v>cotisation</v>
          </cell>
        </row>
        <row r="4104">
          <cell r="C4104" t="str">
            <v>sio</v>
          </cell>
          <cell r="D4104" t="str">
            <v>de la</v>
          </cell>
          <cell r="E4104" t="str">
            <v>prévoyance</v>
          </cell>
          <cell r="F4104" t="str">
            <v>de la</v>
          </cell>
          <cell r="G4104" t="str">
            <v>personne sinistrée</v>
          </cell>
        </row>
        <row r="4105">
          <cell r="D4105" t="str">
            <v>de</v>
          </cell>
          <cell r="E4105" t="str">
            <v>Jour</v>
          </cell>
        </row>
        <row r="4106">
          <cell r="D4106" t="str">
            <v>d'</v>
          </cell>
          <cell r="E4106" t="str">
            <v>échéance</v>
          </cell>
        </row>
        <row r="4107">
          <cell r="D4107" t="str">
            <v>de l'</v>
          </cell>
          <cell r="E4107" t="str">
            <v>application origine</v>
          </cell>
        </row>
        <row r="4108">
          <cell r="C4108" t="str">
            <v>dernière image</v>
          </cell>
          <cell r="D4108" t="str">
            <v>du</v>
          </cell>
          <cell r="E4108" t="str">
            <v>sinistre</v>
          </cell>
        </row>
        <row r="4109">
          <cell r="C4109" t="str">
            <v>dernière image</v>
          </cell>
          <cell r="D4109" t="str">
            <v>du</v>
          </cell>
          <cell r="E4109" t="str">
            <v>sinistre prévoyance</v>
          </cell>
        </row>
        <row r="4110">
          <cell r="C4110" t="str">
            <v>dernière image</v>
          </cell>
          <cell r="D4110" t="str">
            <v>de la</v>
          </cell>
          <cell r="E4110" t="str">
            <v>prestation</v>
          </cell>
        </row>
        <row r="4111">
          <cell r="C4111" t="str">
            <v>dernière image</v>
          </cell>
          <cell r="D4111" t="str">
            <v>de la</v>
          </cell>
          <cell r="E4111" t="str">
            <v>prestation prévoyance</v>
          </cell>
        </row>
        <row r="4112">
          <cell r="C4112" t="str">
            <v>dernière image</v>
          </cell>
          <cell r="D4112" t="str">
            <v>du</v>
          </cell>
          <cell r="E4112" t="str">
            <v>règlement</v>
          </cell>
        </row>
        <row r="4113">
          <cell r="C4113" t="str">
            <v>dernière image</v>
          </cell>
          <cell r="D4113" t="str">
            <v>du</v>
          </cell>
          <cell r="E4113" t="str">
            <v>règlement prévoyance</v>
          </cell>
        </row>
        <row r="4114">
          <cell r="C4114" t="str">
            <v>dernière image</v>
          </cell>
          <cell r="D4114" t="str">
            <v>du</v>
          </cell>
          <cell r="E4114" t="str">
            <v>bénéficiaire du règlement</v>
          </cell>
        </row>
        <row r="4115">
          <cell r="C4115" t="str">
            <v>dernière image</v>
          </cell>
          <cell r="D4115" t="str">
            <v>du</v>
          </cell>
          <cell r="E4115" t="str">
            <v>bénéficiaire du règlement prévoyance</v>
          </cell>
        </row>
        <row r="4116">
          <cell r="C4116" t="str">
            <v>dernière image</v>
          </cell>
          <cell r="D4116" t="str">
            <v>de l'</v>
          </cell>
          <cell r="E4116" t="str">
            <v>objet sinistré</v>
          </cell>
        </row>
        <row r="4117">
          <cell r="C4117" t="str">
            <v>dernière image</v>
          </cell>
          <cell r="D4117" t="str">
            <v>de la</v>
          </cell>
          <cell r="E4117" t="str">
            <v>personne sinistrée</v>
          </cell>
          <cell r="G4117" t="str">
            <v>non référencé</v>
          </cell>
        </row>
        <row r="4118">
          <cell r="D4118" t="str">
            <v>du</v>
          </cell>
          <cell r="E4118" t="str">
            <v>sinistre</v>
          </cell>
        </row>
        <row r="4119">
          <cell r="D4119" t="str">
            <v>du</v>
          </cell>
          <cell r="E4119" t="str">
            <v>sinistre</v>
          </cell>
        </row>
        <row r="4120">
          <cell r="D4120" t="str">
            <v>du</v>
          </cell>
          <cell r="E4120" t="str">
            <v>sinistre prévoyance</v>
          </cell>
        </row>
        <row r="4121">
          <cell r="D4121" t="str">
            <v>du</v>
          </cell>
          <cell r="E4121" t="str">
            <v>sinistre prévoyance</v>
          </cell>
        </row>
        <row r="4122">
          <cell r="D4122" t="str">
            <v>de la</v>
          </cell>
          <cell r="E4122" t="str">
            <v>prestation</v>
          </cell>
        </row>
        <row r="4123">
          <cell r="D4123" t="str">
            <v>de la</v>
          </cell>
          <cell r="E4123" t="str">
            <v>prestation</v>
          </cell>
        </row>
        <row r="4124">
          <cell r="D4124" t="str">
            <v>de la</v>
          </cell>
          <cell r="E4124" t="str">
            <v>prestation prévoyance</v>
          </cell>
        </row>
        <row r="4125">
          <cell r="D4125" t="str">
            <v>de la</v>
          </cell>
          <cell r="E4125" t="str">
            <v>prestation prévoyance</v>
          </cell>
        </row>
        <row r="4126">
          <cell r="D4126" t="str">
            <v>du</v>
          </cell>
          <cell r="E4126" t="str">
            <v>règlement</v>
          </cell>
        </row>
        <row r="4127">
          <cell r="D4127" t="str">
            <v>du</v>
          </cell>
          <cell r="E4127" t="str">
            <v>règlement</v>
          </cell>
        </row>
        <row r="4128">
          <cell r="D4128" t="str">
            <v>du</v>
          </cell>
          <cell r="E4128" t="str">
            <v>règlement prévoyance</v>
          </cell>
        </row>
        <row r="4129">
          <cell r="D4129" t="str">
            <v>du</v>
          </cell>
          <cell r="E4129" t="str">
            <v>règlement prévoyance</v>
          </cell>
        </row>
        <row r="4130">
          <cell r="D4130" t="str">
            <v>du</v>
          </cell>
          <cell r="E4130" t="str">
            <v>bénéficiaire du règlement</v>
          </cell>
        </row>
        <row r="4131">
          <cell r="D4131" t="str">
            <v>du</v>
          </cell>
          <cell r="E4131" t="str">
            <v>bénéficiaire du règlement</v>
          </cell>
        </row>
        <row r="4132">
          <cell r="D4132" t="str">
            <v>du</v>
          </cell>
          <cell r="E4132" t="str">
            <v>bénéficiaire du règlement prévoyance</v>
          </cell>
        </row>
        <row r="4133">
          <cell r="D4133" t="str">
            <v>du</v>
          </cell>
          <cell r="E4133" t="str">
            <v>bénéficiaire du règlement prévoyance</v>
          </cell>
        </row>
        <row r="4134">
          <cell r="D4134" t="str">
            <v>de l'</v>
          </cell>
          <cell r="E4134" t="str">
            <v>objet sinistré</v>
          </cell>
        </row>
        <row r="4135">
          <cell r="D4135" t="str">
            <v>de l'</v>
          </cell>
          <cell r="E4135" t="str">
            <v>objet sinistré</v>
          </cell>
        </row>
        <row r="4136">
          <cell r="D4136" t="str">
            <v>de la</v>
          </cell>
          <cell r="E4136" t="str">
            <v>personne sinistrée</v>
          </cell>
          <cell r="G4136" t="str">
            <v>non référencé</v>
          </cell>
        </row>
        <row r="4137">
          <cell r="D4137" t="str">
            <v>de la</v>
          </cell>
          <cell r="E4137" t="str">
            <v>personne sinistrée</v>
          </cell>
          <cell r="G4137" t="str">
            <v>non référencé</v>
          </cell>
        </row>
        <row r="4138">
          <cell r="D4138" t="str">
            <v>de</v>
          </cell>
          <cell r="E4138" t="str">
            <v>dernière modification</v>
          </cell>
        </row>
        <row r="4139">
          <cell r="D4139" t="str">
            <v>de la</v>
          </cell>
          <cell r="E4139" t="str">
            <v>comptabilité assurance</v>
          </cell>
        </row>
        <row r="4140">
          <cell r="D4140" t="str">
            <v>de la</v>
          </cell>
          <cell r="E4140" t="str">
            <v>comptabilité assurance</v>
          </cell>
        </row>
        <row r="4141">
          <cell r="D4141" t="str">
            <v>de la</v>
          </cell>
          <cell r="E4141" t="str">
            <v>comptabilité assurance</v>
          </cell>
        </row>
        <row r="4142">
          <cell r="C4142" t="str">
            <v>dernière image</v>
          </cell>
          <cell r="D4142" t="str">
            <v>de la</v>
          </cell>
          <cell r="E4142" t="str">
            <v>comptabilité assurance</v>
          </cell>
        </row>
        <row r="4143">
          <cell r="D4143" t="str">
            <v>de la</v>
          </cell>
          <cell r="E4143" t="str">
            <v>source applicative</v>
          </cell>
          <cell r="F4143" t="str">
            <v>de la</v>
          </cell>
          <cell r="G4143" t="str">
            <v>comptabilité assurance</v>
          </cell>
        </row>
        <row r="4144">
          <cell r="D4144" t="str">
            <v>de la</v>
          </cell>
          <cell r="E4144" t="str">
            <v>comptabilité assurance</v>
          </cell>
        </row>
        <row r="4145">
          <cell r="D4145" t="str">
            <v>du</v>
          </cell>
          <cell r="E4145" t="str">
            <v>plan de compte</v>
          </cell>
        </row>
        <row r="4146">
          <cell r="D4146" t="str">
            <v>du</v>
          </cell>
          <cell r="E4146" t="str">
            <v>compte comptable</v>
          </cell>
        </row>
        <row r="4147">
          <cell r="D4147" t="str">
            <v>de la</v>
          </cell>
          <cell r="E4147" t="str">
            <v>nature</v>
          </cell>
          <cell r="F4147" t="str">
            <v>du</v>
          </cell>
          <cell r="G4147" t="str">
            <v>compte</v>
          </cell>
        </row>
        <row r="4148">
          <cell r="D4148" t="str">
            <v>du</v>
          </cell>
          <cell r="E4148" t="str">
            <v>compte</v>
          </cell>
        </row>
        <row r="4149">
          <cell r="D4149" t="str">
            <v>du</v>
          </cell>
          <cell r="E4149" t="str">
            <v>service responsable</v>
          </cell>
          <cell r="F4149" t="str">
            <v>du</v>
          </cell>
          <cell r="G4149" t="str">
            <v>compte</v>
          </cell>
        </row>
        <row r="4150">
          <cell r="D4150" t="str">
            <v>de</v>
          </cell>
          <cell r="E4150" t="str">
            <v>consolidation</v>
          </cell>
        </row>
        <row r="4151">
          <cell r="D4151" t="str">
            <v>de</v>
          </cell>
          <cell r="E4151" t="str">
            <v>restitution</v>
          </cell>
          <cell r="F4151" t="str">
            <v>de la</v>
          </cell>
          <cell r="G4151" t="str">
            <v>consolidation bilan résultat</v>
          </cell>
        </row>
        <row r="4152">
          <cell r="D4152" t="str">
            <v>de la</v>
          </cell>
          <cell r="E4152" t="str">
            <v>catégorie</v>
          </cell>
          <cell r="F4152" t="str">
            <v>du</v>
          </cell>
          <cell r="G4152" t="str">
            <v>compte</v>
          </cell>
        </row>
        <row r="4153">
          <cell r="D4153" t="str">
            <v>du</v>
          </cell>
          <cell r="E4153" t="str">
            <v>regroupement de niveau 1</v>
          </cell>
          <cell r="F4153" t="str">
            <v>du</v>
          </cell>
          <cell r="G4153" t="str">
            <v>compte</v>
          </cell>
        </row>
        <row r="4154">
          <cell r="D4154" t="str">
            <v>du</v>
          </cell>
          <cell r="E4154" t="str">
            <v>regroupement de niveau 2</v>
          </cell>
          <cell r="F4154" t="str">
            <v>du</v>
          </cell>
          <cell r="G4154" t="str">
            <v>compte</v>
          </cell>
        </row>
        <row r="4155">
          <cell r="D4155" t="str">
            <v>du</v>
          </cell>
          <cell r="E4155" t="str">
            <v>regroupement de niveau 3</v>
          </cell>
          <cell r="F4155" t="str">
            <v>du</v>
          </cell>
          <cell r="G4155" t="str">
            <v>compte</v>
          </cell>
        </row>
        <row r="4156">
          <cell r="D4156" t="str">
            <v>du</v>
          </cell>
          <cell r="E4156" t="str">
            <v>bilan résultat CTA</v>
          </cell>
        </row>
        <row r="4157">
          <cell r="D4157" t="str">
            <v>du</v>
          </cell>
          <cell r="E4157" t="str">
            <v>regroupement rapprochement Epargne</v>
          </cell>
        </row>
        <row r="4158">
          <cell r="D4158" t="str">
            <v>de la</v>
          </cell>
          <cell r="E4158" t="str">
            <v>classification RT CTA</v>
          </cell>
        </row>
        <row r="4159">
          <cell r="D4159" t="str">
            <v>du</v>
          </cell>
          <cell r="E4159" t="str">
            <v>regroupement rapprochement Assuretat</v>
          </cell>
        </row>
        <row r="4160">
          <cell r="D4160" t="str">
            <v>de la</v>
          </cell>
          <cell r="E4160" t="str">
            <v>classification marge RT CTA</v>
          </cell>
        </row>
        <row r="4161">
          <cell r="D4161" t="str">
            <v>du</v>
          </cell>
          <cell r="E4161" t="str">
            <v>CDG FA réassurance 1</v>
          </cell>
        </row>
        <row r="4162">
          <cell r="D4162" t="str">
            <v>du</v>
          </cell>
          <cell r="E4162" t="str">
            <v>CDG FA réassurance 2</v>
          </cell>
        </row>
        <row r="4163">
          <cell r="D4163" t="str">
            <v xml:space="preserve"> </v>
          </cell>
          <cell r="E4163" t="str">
            <v>compte taxable</v>
          </cell>
        </row>
        <row r="4164">
          <cell r="D4164" t="str">
            <v>de la</v>
          </cell>
          <cell r="E4164" t="str">
            <v>comptabilité CNC autorisée</v>
          </cell>
        </row>
        <row r="4165">
          <cell r="D4165" t="str">
            <v>de la</v>
          </cell>
          <cell r="E4165" t="str">
            <v>comptabilité IFRS autorisée</v>
          </cell>
        </row>
        <row r="4166">
          <cell r="D4166" t="str">
            <v xml:space="preserve"> </v>
          </cell>
          <cell r="E4166" t="str">
            <v>compte rapproché</v>
          </cell>
        </row>
        <row r="4167">
          <cell r="D4167" t="str">
            <v>de</v>
          </cell>
          <cell r="E4167" t="str">
            <v>DAS2</v>
          </cell>
        </row>
        <row r="4168">
          <cell r="D4168" t="str">
            <v>du</v>
          </cell>
          <cell r="E4168" t="str">
            <v>type auxiliaire</v>
          </cell>
          <cell r="F4168" t="str">
            <v>du</v>
          </cell>
          <cell r="G4168" t="str">
            <v>compte</v>
          </cell>
        </row>
        <row r="4169">
          <cell r="D4169" t="str">
            <v>du</v>
          </cell>
          <cell r="E4169" t="str">
            <v>compte dédié interco</v>
          </cell>
        </row>
        <row r="4170">
          <cell r="D4170" t="str">
            <v>de la</v>
          </cell>
          <cell r="E4170" t="str">
            <v>consolidation</v>
          </cell>
          <cell r="F4170" t="str">
            <v>au</v>
          </cell>
          <cell r="G4170" t="str">
            <v>débit</v>
          </cell>
        </row>
        <row r="4171">
          <cell r="D4171" t="str">
            <v>de la</v>
          </cell>
          <cell r="E4171" t="str">
            <v>consolidation</v>
          </cell>
          <cell r="F4171" t="str">
            <v>au</v>
          </cell>
          <cell r="G4171" t="str">
            <v>crédit</v>
          </cell>
        </row>
        <row r="4172">
          <cell r="C4172" t="str">
            <v>présence</v>
          </cell>
          <cell r="D4172" t="str">
            <v xml:space="preserve"> </v>
          </cell>
          <cell r="E4172" t="str">
            <v>CNC</v>
          </cell>
        </row>
        <row r="4173">
          <cell r="C4173" t="str">
            <v>sio</v>
          </cell>
          <cell r="D4173" t="str">
            <v>de la</v>
          </cell>
          <cell r="E4173" t="str">
            <v>comptabilité assurance</v>
          </cell>
        </row>
        <row r="4174">
          <cell r="D4174" t="str">
            <v>du</v>
          </cell>
          <cell r="E4174" t="str">
            <v>traitement</v>
          </cell>
          <cell r="G4174" t="str">
            <v>IFRS</v>
          </cell>
        </row>
        <row r="4175">
          <cell r="D4175" t="str">
            <v>de la</v>
          </cell>
          <cell r="E4175" t="str">
            <v>marge comptable</v>
          </cell>
        </row>
        <row r="4176">
          <cell r="D4176" t="str">
            <v>de la</v>
          </cell>
          <cell r="E4176" t="str">
            <v>marge contrôle de gestion</v>
          </cell>
        </row>
        <row r="4177">
          <cell r="D4177" t="str">
            <v>du</v>
          </cell>
          <cell r="E4177" t="str">
            <v>module actuarial</v>
          </cell>
        </row>
        <row r="4178">
          <cell r="D4178" t="str">
            <v>du</v>
          </cell>
          <cell r="E4178" t="str">
            <v>reporting provision actuariale</v>
          </cell>
        </row>
        <row r="4179">
          <cell r="D4179" t="str">
            <v>de la</v>
          </cell>
          <cell r="E4179" t="str">
            <v>catégorie</v>
          </cell>
          <cell r="F4179" t="str">
            <v>de</v>
          </cell>
          <cell r="G4179" t="str">
            <v>chiffre d'affaire</v>
          </cell>
        </row>
        <row r="4180">
          <cell r="D4180" t="str">
            <v>des</v>
          </cell>
          <cell r="E4180" t="str">
            <v>frais généraux</v>
          </cell>
        </row>
        <row r="4181">
          <cell r="D4181" t="str">
            <v>de la</v>
          </cell>
          <cell r="E4181" t="str">
            <v>commission</v>
          </cell>
        </row>
        <row r="4182">
          <cell r="C4182" t="str">
            <v>présence</v>
          </cell>
          <cell r="D4182" t="str">
            <v xml:space="preserve"> </v>
          </cell>
          <cell r="E4182" t="str">
            <v>IFRS</v>
          </cell>
        </row>
        <row r="4183">
          <cell r="D4183" t="str">
            <v>du</v>
          </cell>
          <cell r="E4183" t="str">
            <v>type</v>
          </cell>
          <cell r="F4183" t="str">
            <v>de</v>
          </cell>
          <cell r="G4183" t="str">
            <v>compte auxiliaire</v>
          </cell>
        </row>
        <row r="4184">
          <cell r="D4184" t="str">
            <v>de la</v>
          </cell>
          <cell r="E4184" t="str">
            <v>nature</v>
          </cell>
          <cell r="F4184" t="str">
            <v>de</v>
          </cell>
          <cell r="G4184" t="str">
            <v>compte auxiliaire</v>
          </cell>
        </row>
        <row r="4185">
          <cell r="D4185" t="str">
            <v>du</v>
          </cell>
          <cell r="E4185" t="str">
            <v>compte auxiliaire</v>
          </cell>
        </row>
        <row r="4186">
          <cell r="D4186" t="str">
            <v>de l'</v>
          </cell>
          <cell r="E4186" t="str">
            <v>établissement</v>
          </cell>
        </row>
        <row r="4187">
          <cell r="D4187" t="str">
            <v>du</v>
          </cell>
          <cell r="E4187" t="str">
            <v>guichet</v>
          </cell>
        </row>
        <row r="4188">
          <cell r="D4188" t="str">
            <v>de l'</v>
          </cell>
          <cell r="E4188" t="str">
            <v>opération</v>
          </cell>
        </row>
        <row r="4189">
          <cell r="D4189" t="str">
            <v>de</v>
          </cell>
          <cell r="E4189" t="str">
            <v>journal des écritures individuelles</v>
          </cell>
        </row>
        <row r="4190">
          <cell r="D4190" t="str">
            <v>de</v>
          </cell>
          <cell r="E4190" t="str">
            <v>pièce</v>
          </cell>
          <cell r="F4190" t="str">
            <v>dans le</v>
          </cell>
          <cell r="G4190" t="str">
            <v>journal des écritures individuelles</v>
          </cell>
        </row>
        <row r="4191">
          <cell r="D4191" t="str">
            <v>de</v>
          </cell>
          <cell r="E4191" t="str">
            <v>journal</v>
          </cell>
          <cell r="F4191" t="str">
            <v>des</v>
          </cell>
          <cell r="G4191" t="str">
            <v>écritures condensées</v>
          </cell>
          <cell r="H4191" t="str">
            <v>à</v>
          </cell>
          <cell r="I4191" t="str">
            <v>exclure</v>
          </cell>
        </row>
        <row r="4192">
          <cell r="D4192" t="str">
            <v>de</v>
          </cell>
          <cell r="E4192" t="str">
            <v>pièce</v>
          </cell>
          <cell r="F4192" t="str">
            <v>dans le</v>
          </cell>
          <cell r="G4192" t="str">
            <v>journal</v>
          </cell>
          <cell r="H4192" t="str">
            <v>des</v>
          </cell>
          <cell r="I4192" t="str">
            <v>écritures condensées</v>
          </cell>
        </row>
        <row r="4193">
          <cell r="D4193" t="str">
            <v>de l'</v>
          </cell>
          <cell r="E4193" t="str">
            <v>intermédiaire de gestion</v>
          </cell>
        </row>
        <row r="4194">
          <cell r="D4194" t="str">
            <v>de l'</v>
          </cell>
          <cell r="E4194" t="str">
            <v>écriture comptable</v>
          </cell>
        </row>
        <row r="4195">
          <cell r="D4195" t="str">
            <v>du</v>
          </cell>
          <cell r="E4195" t="str">
            <v>sinistre</v>
          </cell>
        </row>
        <row r="4196">
          <cell r="C4196" t="str">
            <v>interne</v>
          </cell>
          <cell r="D4196" t="str">
            <v>du</v>
          </cell>
          <cell r="E4196" t="str">
            <v>contrat</v>
          </cell>
        </row>
        <row r="4197">
          <cell r="C4197" t="str">
            <v>interne</v>
          </cell>
          <cell r="D4197" t="str">
            <v>du</v>
          </cell>
          <cell r="E4197" t="str">
            <v>produit d'assurance</v>
          </cell>
        </row>
        <row r="4198">
          <cell r="D4198" t="str">
            <v>du</v>
          </cell>
          <cell r="E4198" t="str">
            <v>Produit d'Assurance</v>
          </cell>
        </row>
        <row r="4199">
          <cell r="D4199" t="str">
            <v>de la</v>
          </cell>
          <cell r="E4199" t="str">
            <v>taxe</v>
          </cell>
        </row>
        <row r="4200">
          <cell r="D4200" t="str">
            <v>de la</v>
          </cell>
          <cell r="E4200" t="str">
            <v>destination analytique</v>
          </cell>
        </row>
        <row r="4201">
          <cell r="D4201" t="str">
            <v>de l'</v>
          </cell>
          <cell r="E4201" t="str">
            <v>affaire</v>
          </cell>
        </row>
        <row r="4202">
          <cell r="D4202" t="str">
            <v>de la</v>
          </cell>
          <cell r="E4202" t="str">
            <v>fonction</v>
          </cell>
        </row>
        <row r="4203">
          <cell r="D4203" t="str">
            <v>de l'</v>
          </cell>
          <cell r="E4203" t="str">
            <v>écriture comptable</v>
          </cell>
        </row>
        <row r="4204">
          <cell r="D4204" t="str">
            <v>de l'</v>
          </cell>
          <cell r="E4204" t="str">
            <v>écriture comptable</v>
          </cell>
        </row>
        <row r="4205">
          <cell r="D4205" t="str">
            <v>de l'</v>
          </cell>
          <cell r="E4205" t="str">
            <v>opération</v>
          </cell>
        </row>
        <row r="4206">
          <cell r="D4206" t="str">
            <v>de l'</v>
          </cell>
          <cell r="E4206" t="str">
            <v>écriture comptable</v>
          </cell>
        </row>
        <row r="4207">
          <cell r="D4207" t="str">
            <v>du</v>
          </cell>
          <cell r="E4207" t="str">
            <v>lettrage</v>
          </cell>
          <cell r="F4207" t="str">
            <v>de l'</v>
          </cell>
          <cell r="G4207" t="str">
            <v>écriture comptable</v>
          </cell>
        </row>
        <row r="4208">
          <cell r="D4208" t="str">
            <v>du</v>
          </cell>
          <cell r="E4208" t="str">
            <v>compte</v>
          </cell>
          <cell r="F4208" t="str">
            <v>de</v>
          </cell>
          <cell r="G4208" t="str">
            <v>comptabilité générale</v>
          </cell>
        </row>
        <row r="4209">
          <cell r="D4209" t="str">
            <v>du</v>
          </cell>
          <cell r="E4209" t="str">
            <v>sens du montant</v>
          </cell>
        </row>
        <row r="4210">
          <cell r="D4210" t="str">
            <v>de la</v>
          </cell>
          <cell r="E4210" t="str">
            <v>devise</v>
          </cell>
          <cell r="F4210" t="str">
            <v>de l'</v>
          </cell>
          <cell r="G4210" t="str">
            <v>écriture comptable</v>
          </cell>
        </row>
        <row r="4211">
          <cell r="D4211" t="str">
            <v>de l'</v>
          </cell>
          <cell r="E4211" t="str">
            <v>écriture comptable</v>
          </cell>
        </row>
        <row r="4212">
          <cell r="D4212" t="str">
            <v>de l'</v>
          </cell>
          <cell r="E4212" t="str">
            <v>attribut</v>
          </cell>
          <cell r="F4212" t="str">
            <v>du</v>
          </cell>
          <cell r="G4212" t="str">
            <v>compte</v>
          </cell>
        </row>
        <row r="4213">
          <cell r="D4213" t="str">
            <v>de la</v>
          </cell>
          <cell r="E4213" t="str">
            <v>fédération</v>
          </cell>
        </row>
        <row r="4215">
          <cell r="D4215" t="str">
            <v>du</v>
          </cell>
          <cell r="E4215" t="str">
            <v>contentieux</v>
          </cell>
        </row>
        <row r="4216">
          <cell r="D4216" t="str">
            <v>du</v>
          </cell>
          <cell r="E4216" t="str">
            <v>action du contentieux</v>
          </cell>
        </row>
        <row r="4217">
          <cell r="D4217" t="str">
            <v>de l'</v>
          </cell>
          <cell r="E4217" t="str">
            <v>échéance du contentieux</v>
          </cell>
        </row>
        <row r="4218">
          <cell r="D4218" t="str">
            <v>du</v>
          </cell>
          <cell r="E4218" t="str">
            <v>rejet de contentieux</v>
          </cell>
        </row>
        <row r="4219">
          <cell r="D4219" t="str">
            <v>du</v>
          </cell>
          <cell r="E4219" t="str">
            <v>contentieux</v>
          </cell>
        </row>
        <row r="4220">
          <cell r="D4220" t="str">
            <v>du</v>
          </cell>
          <cell r="E4220" t="str">
            <v>contentieux</v>
          </cell>
        </row>
        <row r="4221">
          <cell r="D4221" t="str">
            <v>du</v>
          </cell>
          <cell r="E4221" t="str">
            <v>contentieux</v>
          </cell>
        </row>
        <row r="4222">
          <cell r="C4222" t="str">
            <v>dernière image</v>
          </cell>
          <cell r="D4222" t="str">
            <v>du</v>
          </cell>
          <cell r="E4222" t="str">
            <v>contentieux</v>
          </cell>
        </row>
        <row r="4223">
          <cell r="C4223" t="str">
            <v>simplifié</v>
          </cell>
          <cell r="D4223" t="str">
            <v>du</v>
          </cell>
          <cell r="E4223" t="str">
            <v>produit d'assurance</v>
          </cell>
        </row>
        <row r="4224">
          <cell r="D4224" t="str">
            <v>de</v>
          </cell>
          <cell r="E4224" t="str">
            <v>référence interne</v>
          </cell>
          <cell r="F4224" t="str">
            <v>du</v>
          </cell>
          <cell r="G4224" t="str">
            <v>contrat</v>
          </cell>
        </row>
        <row r="4225">
          <cell r="C4225" t="str">
            <v>interne</v>
          </cell>
          <cell r="D4225" t="str">
            <v>du</v>
          </cell>
          <cell r="E4225" t="str">
            <v>contrat</v>
          </cell>
        </row>
        <row r="4226">
          <cell r="D4226" t="str">
            <v>de</v>
          </cell>
          <cell r="E4226" t="str">
            <v>référence externe</v>
          </cell>
          <cell r="F4226" t="str">
            <v>du</v>
          </cell>
          <cell r="G4226" t="str">
            <v>contrat</v>
          </cell>
        </row>
        <row r="4227">
          <cell r="C4227" t="str">
            <v>externe</v>
          </cell>
          <cell r="D4227" t="str">
            <v>du</v>
          </cell>
          <cell r="E4227" t="str">
            <v>contrat</v>
          </cell>
        </row>
        <row r="4228">
          <cell r="D4228" t="str">
            <v>de l'</v>
          </cell>
          <cell r="E4228" t="str">
            <v>origine</v>
          </cell>
          <cell r="F4228" t="str">
            <v>du</v>
          </cell>
          <cell r="G4228" t="str">
            <v>contentieux</v>
          </cell>
        </row>
        <row r="4229">
          <cell r="C4229" t="str">
            <v>sio</v>
          </cell>
          <cell r="D4229" t="str">
            <v>du</v>
          </cell>
          <cell r="E4229" t="str">
            <v>contentieux</v>
          </cell>
        </row>
        <row r="4230">
          <cell r="C4230" t="str">
            <v>sid</v>
          </cell>
          <cell r="D4230" t="str">
            <v>du</v>
          </cell>
          <cell r="E4230" t="str">
            <v>contentieux</v>
          </cell>
        </row>
        <row r="4231">
          <cell r="D4231" t="str">
            <v>de l'</v>
          </cell>
          <cell r="E4231" t="str">
            <v>état</v>
          </cell>
          <cell r="F4231" t="str">
            <v>du</v>
          </cell>
          <cell r="G4231" t="str">
            <v>contentieux</v>
          </cell>
        </row>
        <row r="4232">
          <cell r="D4232" t="str">
            <v>de l'</v>
          </cell>
          <cell r="E4232" t="str">
            <v>état</v>
          </cell>
          <cell r="F4232" t="str">
            <v>du</v>
          </cell>
          <cell r="G4232" t="str">
            <v>contentieux</v>
          </cell>
        </row>
        <row r="4233">
          <cell r="D4233" t="str">
            <v>de l'</v>
          </cell>
          <cell r="E4233" t="str">
            <v>état</v>
          </cell>
          <cell r="F4233" t="str">
            <v>du</v>
          </cell>
          <cell r="G4233" t="str">
            <v>contentieux</v>
          </cell>
        </row>
        <row r="4234">
          <cell r="D4234" t="str">
            <v>du</v>
          </cell>
          <cell r="E4234" t="str">
            <v>contentieux</v>
          </cell>
        </row>
        <row r="4235">
          <cell r="D4235" t="str">
            <v>de</v>
          </cell>
          <cell r="E4235" t="str">
            <v>mise en demeure</v>
          </cell>
        </row>
        <row r="4236">
          <cell r="D4236" t="str">
            <v>de</v>
          </cell>
          <cell r="E4236" t="str">
            <v>rappel</v>
          </cell>
        </row>
        <row r="4237">
          <cell r="D4237" t="str">
            <v>du</v>
          </cell>
          <cell r="E4237" t="str">
            <v>contentieux</v>
          </cell>
        </row>
        <row r="4238">
          <cell r="D4238" t="str">
            <v>des</v>
          </cell>
          <cell r="E4238" t="str">
            <v>garantie</v>
          </cell>
        </row>
        <row r="4239">
          <cell r="D4239" t="str">
            <v>de</v>
          </cell>
          <cell r="E4239" t="str">
            <v>sommation</v>
          </cell>
        </row>
        <row r="4240">
          <cell r="D4240" t="str">
            <v>d'</v>
          </cell>
          <cell r="E4240" t="str">
            <v>injonction</v>
          </cell>
        </row>
        <row r="4241">
          <cell r="C4241" t="str">
            <v>théorique</v>
          </cell>
          <cell r="D4241" t="str">
            <v>de</v>
          </cell>
          <cell r="E4241" t="str">
            <v>mise en demeure</v>
          </cell>
        </row>
        <row r="4242">
          <cell r="C4242" t="str">
            <v>théorique</v>
          </cell>
          <cell r="D4242" t="str">
            <v>de</v>
          </cell>
          <cell r="E4242" t="str">
            <v>rappel</v>
          </cell>
        </row>
        <row r="4243">
          <cell r="C4243" t="str">
            <v>théorique</v>
          </cell>
          <cell r="D4243" t="str">
            <v>de</v>
          </cell>
          <cell r="E4243" t="str">
            <v>sommation</v>
          </cell>
        </row>
        <row r="4244">
          <cell r="C4244" t="str">
            <v>théorique</v>
          </cell>
          <cell r="D4244" t="str">
            <v>d'</v>
          </cell>
          <cell r="E4244" t="str">
            <v>injonction</v>
          </cell>
        </row>
        <row r="4245">
          <cell r="C4245" t="str">
            <v>théorique</v>
          </cell>
          <cell r="D4245" t="str">
            <v>de</v>
          </cell>
          <cell r="E4245" t="str">
            <v>résiliation</v>
          </cell>
          <cell r="F4245" t="str">
            <v>du</v>
          </cell>
          <cell r="G4245" t="str">
            <v>contrat</v>
          </cell>
        </row>
        <row r="4246">
          <cell r="D4246" t="str">
            <v>de l'</v>
          </cell>
          <cell r="E4246" t="str">
            <v>échéance démarrant</v>
          </cell>
          <cell r="F4246" t="str">
            <v>le</v>
          </cell>
          <cell r="G4246" t="str">
            <v>contentieux</v>
          </cell>
        </row>
        <row r="4247">
          <cell r="D4247" t="str">
            <v>de l'</v>
          </cell>
          <cell r="E4247" t="str">
            <v>échéance impayée</v>
          </cell>
        </row>
        <row r="4248">
          <cell r="D4248" t="str">
            <v>de l'</v>
          </cell>
          <cell r="E4248" t="str">
            <v>échéance exigible</v>
          </cell>
        </row>
        <row r="4249">
          <cell r="D4249" t="str">
            <v>des</v>
          </cell>
          <cell r="E4249" t="str">
            <v>montant</v>
          </cell>
        </row>
        <row r="4250">
          <cell r="D4250" t="str">
            <v>du</v>
          </cell>
          <cell r="E4250" t="str">
            <v>mode de règlement</v>
          </cell>
        </row>
        <row r="4251">
          <cell r="D4251" t="str">
            <v>du</v>
          </cell>
          <cell r="E4251" t="str">
            <v>mode de règlement</v>
          </cell>
        </row>
        <row r="4252">
          <cell r="D4252" t="str">
            <v>du</v>
          </cell>
          <cell r="E4252" t="str">
            <v>mode de règlement</v>
          </cell>
        </row>
        <row r="4253">
          <cell r="D4253" t="str">
            <v>du</v>
          </cell>
          <cell r="E4253" t="str">
            <v>recommandé</v>
          </cell>
          <cell r="F4253" t="str">
            <v>de la</v>
          </cell>
          <cell r="G4253" t="str">
            <v>mise en demeure</v>
          </cell>
        </row>
        <row r="4254">
          <cell r="D4254" t="str">
            <v>du</v>
          </cell>
          <cell r="E4254" t="str">
            <v>recommandé</v>
          </cell>
          <cell r="F4254" t="str">
            <v>de la</v>
          </cell>
          <cell r="G4254" t="str">
            <v>mise en demeure</v>
          </cell>
        </row>
        <row r="4255">
          <cell r="D4255" t="str">
            <v>de l'</v>
          </cell>
          <cell r="E4255" t="str">
            <v>équipe</v>
          </cell>
          <cell r="F4255" t="str">
            <v>du</v>
          </cell>
          <cell r="G4255" t="str">
            <v>rédacteur</v>
          </cell>
          <cell r="H4255" t="str">
            <v>du</v>
          </cell>
          <cell r="I4255" t="str">
            <v>contentieux</v>
          </cell>
        </row>
        <row r="4256">
          <cell r="D4256" t="str">
            <v>du</v>
          </cell>
          <cell r="E4256" t="str">
            <v>rédacteur</v>
          </cell>
          <cell r="F4256" t="str">
            <v>du</v>
          </cell>
          <cell r="G4256" t="str">
            <v>contentieux</v>
          </cell>
        </row>
        <row r="4257">
          <cell r="D4257" t="str">
            <v>du</v>
          </cell>
          <cell r="E4257" t="str">
            <v>rédacteur</v>
          </cell>
          <cell r="F4257" t="str">
            <v>du</v>
          </cell>
          <cell r="G4257" t="str">
            <v>contentieux</v>
          </cell>
        </row>
        <row r="4258">
          <cell r="D4258" t="str">
            <v>du</v>
          </cell>
          <cell r="E4258" t="str">
            <v>rédacteur</v>
          </cell>
          <cell r="F4258" t="str">
            <v>de la</v>
          </cell>
          <cell r="G4258" t="str">
            <v>liquidation</v>
          </cell>
        </row>
        <row r="4259">
          <cell r="D4259" t="str">
            <v>du</v>
          </cell>
          <cell r="E4259" t="str">
            <v>correspondant</v>
          </cell>
          <cell r="F4259" t="str">
            <v>de la</v>
          </cell>
          <cell r="G4259" t="str">
            <v>sommation</v>
          </cell>
        </row>
        <row r="4260">
          <cell r="D4260" t="str">
            <v>du</v>
          </cell>
          <cell r="E4260" t="str">
            <v>correspondant</v>
          </cell>
          <cell r="F4260" t="str">
            <v>de l'</v>
          </cell>
          <cell r="G4260" t="str">
            <v>injonction</v>
          </cell>
        </row>
        <row r="4261">
          <cell r="D4261" t="str">
            <v>de la</v>
          </cell>
          <cell r="E4261" t="str">
            <v>société apéritrice</v>
          </cell>
        </row>
        <row r="4262">
          <cell r="D4262" t="str">
            <v>de la</v>
          </cell>
          <cell r="E4262" t="str">
            <v>famille assurance</v>
          </cell>
        </row>
        <row r="4263">
          <cell r="D4263" t="str">
            <v>de la</v>
          </cell>
          <cell r="E4263" t="str">
            <v>Branche assurance</v>
          </cell>
        </row>
        <row r="4264">
          <cell r="D4264" t="str">
            <v>du</v>
          </cell>
          <cell r="E4264" t="str">
            <v>pays</v>
          </cell>
          <cell r="F4264" t="str">
            <v>du</v>
          </cell>
          <cell r="G4264" t="str">
            <v>contrat</v>
          </cell>
        </row>
        <row r="4265">
          <cell r="D4265" t="str">
            <v>de l'</v>
          </cell>
          <cell r="E4265" t="str">
            <v>Entité gestionnaire</v>
          </cell>
          <cell r="F4265" t="str">
            <v>du</v>
          </cell>
          <cell r="G4265" t="str">
            <v>contrat</v>
          </cell>
        </row>
        <row r="4266">
          <cell r="D4266" t="str">
            <v>de l'</v>
          </cell>
          <cell r="E4266" t="str">
            <v>intermédiaire de gestion</v>
          </cell>
          <cell r="F4266" t="str">
            <v>du</v>
          </cell>
          <cell r="G4266" t="str">
            <v>contrat</v>
          </cell>
        </row>
        <row r="4267">
          <cell r="D4267" t="str">
            <v>de la</v>
          </cell>
          <cell r="E4267" t="str">
            <v>procédure judiciaire</v>
          </cell>
        </row>
        <row r="4268">
          <cell r="D4268" t="str">
            <v>du</v>
          </cell>
          <cell r="E4268" t="str">
            <v>NPAI</v>
          </cell>
        </row>
        <row r="4269">
          <cell r="D4269" t="str">
            <v>du</v>
          </cell>
          <cell r="E4269" t="str">
            <v>NPAI</v>
          </cell>
        </row>
        <row r="4270">
          <cell r="D4270" t="str">
            <v>de la</v>
          </cell>
          <cell r="E4270" t="str">
            <v>référence bancaire</v>
          </cell>
        </row>
        <row r="4271">
          <cell r="D4271" t="str">
            <v>du</v>
          </cell>
          <cell r="E4271" t="str">
            <v>format</v>
          </cell>
          <cell r="F4271" t="str">
            <v>de la</v>
          </cell>
          <cell r="G4271" t="str">
            <v>référence bancaire</v>
          </cell>
        </row>
        <row r="4272">
          <cell r="D4272" t="str">
            <v>du</v>
          </cell>
          <cell r="E4272" t="str">
            <v>pays</v>
          </cell>
          <cell r="F4272" t="str">
            <v>de la</v>
          </cell>
          <cell r="G4272" t="str">
            <v>référence bancaire</v>
          </cell>
        </row>
        <row r="4273">
          <cell r="D4273" t="str">
            <v>de la</v>
          </cell>
          <cell r="E4273" t="str">
            <v>référence bancaire</v>
          </cell>
        </row>
        <row r="4274">
          <cell r="D4274" t="str">
            <v>de la</v>
          </cell>
          <cell r="E4274" t="str">
            <v>établissement</v>
          </cell>
          <cell r="F4274" t="str">
            <v>de la</v>
          </cell>
          <cell r="G4274" t="str">
            <v>référence bancaire</v>
          </cell>
        </row>
        <row r="4275">
          <cell r="D4275" t="str">
            <v>de la</v>
          </cell>
          <cell r="E4275" t="str">
            <v>guichet de l'établissement</v>
          </cell>
          <cell r="F4275" t="str">
            <v>de la</v>
          </cell>
          <cell r="G4275" t="str">
            <v>référence bancaire</v>
          </cell>
        </row>
        <row r="4276">
          <cell r="D4276" t="str">
            <v>de</v>
          </cell>
          <cell r="E4276" t="str">
            <v>compte</v>
          </cell>
          <cell r="F4276" t="str">
            <v>de la</v>
          </cell>
          <cell r="G4276" t="str">
            <v>référence bancaire</v>
          </cell>
        </row>
        <row r="4277">
          <cell r="D4277" t="str">
            <v>du</v>
          </cell>
          <cell r="E4277" t="str">
            <v>mode de création</v>
          </cell>
          <cell r="F4277" t="str">
            <v>de l'</v>
          </cell>
          <cell r="G4277" t="str">
            <v>enregistrement</v>
          </cell>
        </row>
        <row r="4278">
          <cell r="D4278" t="str">
            <v>de l'</v>
          </cell>
          <cell r="E4278" t="str">
            <v>enregistrement</v>
          </cell>
        </row>
        <row r="4279">
          <cell r="C4279" t="str">
            <v>création</v>
          </cell>
          <cell r="D4279" t="str">
            <v>de l'</v>
          </cell>
          <cell r="E4279" t="str">
            <v>enregistrement</v>
          </cell>
        </row>
        <row r="4280">
          <cell r="D4280" t="str">
            <v>de l'</v>
          </cell>
          <cell r="E4280" t="str">
            <v>enregistrement</v>
          </cell>
        </row>
        <row r="4281">
          <cell r="C4281" t="str">
            <v>mise à jour</v>
          </cell>
          <cell r="D4281" t="str">
            <v>de l'</v>
          </cell>
          <cell r="E4281" t="str">
            <v>enregistrement</v>
          </cell>
        </row>
        <row r="4282">
          <cell r="D4282" t="str">
            <v>de la</v>
          </cell>
          <cell r="E4282" t="str">
            <v>source applicative</v>
          </cell>
          <cell r="F4282" t="str">
            <v>du</v>
          </cell>
          <cell r="G4282" t="str">
            <v>contentieux</v>
          </cell>
        </row>
        <row r="4283">
          <cell r="C4283" t="str">
            <v>actif</v>
          </cell>
          <cell r="D4283" t="str">
            <v>du</v>
          </cell>
          <cell r="E4283" t="str">
            <v>contentieux</v>
          </cell>
        </row>
        <row r="4284">
          <cell r="C4284" t="str">
            <v>présence</v>
          </cell>
          <cell r="D4284" t="str">
            <v>de</v>
          </cell>
          <cell r="E4284" t="str">
            <v>recommandé</v>
          </cell>
        </row>
        <row r="4285">
          <cell r="D4285" t="str">
            <v>de l'</v>
          </cell>
          <cell r="E4285" t="str">
            <v>action du contentieux</v>
          </cell>
        </row>
        <row r="4286">
          <cell r="D4286" t="str">
            <v>de l'</v>
          </cell>
          <cell r="E4286" t="str">
            <v>action du contentieux</v>
          </cell>
        </row>
        <row r="4287">
          <cell r="C4287" t="str">
            <v>dernière image</v>
          </cell>
          <cell r="D4287" t="str">
            <v>de l'</v>
          </cell>
          <cell r="E4287" t="str">
            <v>action du contentieux</v>
          </cell>
        </row>
        <row r="4288">
          <cell r="D4288" t="str">
            <v>de l'</v>
          </cell>
          <cell r="E4288" t="str">
            <v>origine</v>
          </cell>
          <cell r="F4288" t="str">
            <v>de l'</v>
          </cell>
          <cell r="G4288" t="str">
            <v>action du contentieux</v>
          </cell>
        </row>
        <row r="4289">
          <cell r="D4289" t="str">
            <v>de l'</v>
          </cell>
          <cell r="E4289" t="str">
            <v>action</v>
          </cell>
        </row>
        <row r="4290">
          <cell r="C4290" t="str">
            <v>ordre</v>
          </cell>
          <cell r="D4290" t="str">
            <v>de l'</v>
          </cell>
          <cell r="E4290" t="str">
            <v>action</v>
          </cell>
        </row>
        <row r="4291">
          <cell r="D4291" t="str">
            <v>de l'</v>
          </cell>
          <cell r="E4291" t="str">
            <v>action</v>
          </cell>
        </row>
        <row r="4292">
          <cell r="D4292" t="str">
            <v>de l'</v>
          </cell>
          <cell r="E4292" t="str">
            <v>action</v>
          </cell>
        </row>
        <row r="4293">
          <cell r="D4293" t="str">
            <v>de l'</v>
          </cell>
          <cell r="E4293" t="str">
            <v>action</v>
          </cell>
        </row>
        <row r="4294">
          <cell r="D4294" t="str">
            <v>de l'</v>
          </cell>
          <cell r="E4294" t="str">
            <v>état</v>
          </cell>
          <cell r="F4294" t="str">
            <v>de l'</v>
          </cell>
          <cell r="G4294" t="str">
            <v>action</v>
          </cell>
        </row>
        <row r="4295">
          <cell r="D4295" t="str">
            <v>de l'</v>
          </cell>
          <cell r="E4295" t="str">
            <v>état</v>
          </cell>
          <cell r="F4295" t="str">
            <v>de l'</v>
          </cell>
          <cell r="G4295" t="str">
            <v>action</v>
          </cell>
        </row>
        <row r="4296">
          <cell r="D4296" t="str">
            <v>de l'</v>
          </cell>
          <cell r="E4296" t="str">
            <v>état</v>
          </cell>
          <cell r="F4296" t="str">
            <v>de l'</v>
          </cell>
          <cell r="G4296" t="str">
            <v>action</v>
          </cell>
        </row>
        <row r="4297">
          <cell r="D4297" t="str">
            <v>de l'</v>
          </cell>
          <cell r="E4297" t="str">
            <v>état</v>
          </cell>
        </row>
        <row r="4298">
          <cell r="D4298" t="str">
            <v>de l'</v>
          </cell>
          <cell r="E4298" t="str">
            <v>action</v>
          </cell>
        </row>
        <row r="4299">
          <cell r="D4299" t="str">
            <v>de l'</v>
          </cell>
          <cell r="E4299" t="str">
            <v>action</v>
          </cell>
        </row>
        <row r="4300">
          <cell r="D4300" t="str">
            <v>de l'</v>
          </cell>
          <cell r="E4300" t="str">
            <v>action</v>
          </cell>
        </row>
        <row r="4301">
          <cell r="D4301" t="str">
            <v>du</v>
          </cell>
          <cell r="E4301" t="str">
            <v>complément d'information</v>
          </cell>
        </row>
        <row r="4302">
          <cell r="D4302" t="str">
            <v>de l'</v>
          </cell>
          <cell r="E4302" t="str">
            <v>action</v>
          </cell>
        </row>
        <row r="4303">
          <cell r="D4303" t="str">
            <v>du</v>
          </cell>
          <cell r="E4303" t="str">
            <v>rédacteur</v>
          </cell>
        </row>
        <row r="4304">
          <cell r="D4304" t="str">
            <v>du</v>
          </cell>
          <cell r="E4304" t="str">
            <v>correspondant extérieur</v>
          </cell>
        </row>
        <row r="4305">
          <cell r="D4305" t="str">
            <v>de la</v>
          </cell>
          <cell r="E4305" t="str">
            <v>source applicative</v>
          </cell>
          <cell r="F4305" t="str">
            <v>de l'</v>
          </cell>
          <cell r="G4305" t="str">
            <v>action du contentieux</v>
          </cell>
        </row>
        <row r="4306">
          <cell r="D4306" t="str">
            <v>de l'</v>
          </cell>
          <cell r="E4306" t="str">
            <v>échéance du contentieux</v>
          </cell>
        </row>
        <row r="4307">
          <cell r="D4307" t="str">
            <v>de l'</v>
          </cell>
          <cell r="E4307" t="str">
            <v>échéance du contentieux</v>
          </cell>
        </row>
        <row r="4308">
          <cell r="C4308" t="str">
            <v>dernière image</v>
          </cell>
          <cell r="D4308" t="str">
            <v>de l'</v>
          </cell>
          <cell r="E4308" t="str">
            <v>échéance du contentieux</v>
          </cell>
        </row>
        <row r="4309">
          <cell r="D4309" t="str">
            <v>d'</v>
          </cell>
          <cell r="E4309" t="str">
            <v>échéance</v>
          </cell>
        </row>
        <row r="4310">
          <cell r="D4310" t="str">
            <v>d'</v>
          </cell>
          <cell r="E4310" t="str">
            <v>échéance</v>
          </cell>
        </row>
        <row r="4311">
          <cell r="D4311" t="str">
            <v>du</v>
          </cell>
          <cell r="E4311" t="str">
            <v>type</v>
          </cell>
          <cell r="F4311" t="str">
            <v>d'</v>
          </cell>
          <cell r="G4311" t="str">
            <v>échéance</v>
          </cell>
        </row>
        <row r="4312">
          <cell r="D4312" t="str">
            <v>du</v>
          </cell>
          <cell r="E4312" t="str">
            <v>type</v>
          </cell>
          <cell r="F4312" t="str">
            <v>d'</v>
          </cell>
          <cell r="G4312" t="str">
            <v>échéance</v>
          </cell>
        </row>
        <row r="4313">
          <cell r="D4313" t="str">
            <v>du</v>
          </cell>
          <cell r="E4313" t="str">
            <v>type</v>
          </cell>
          <cell r="F4313" t="str">
            <v>d'</v>
          </cell>
          <cell r="G4313" t="str">
            <v>échéance</v>
          </cell>
        </row>
        <row r="4314">
          <cell r="D4314" t="str">
            <v>de l'</v>
          </cell>
          <cell r="E4314" t="str">
            <v>échéance</v>
          </cell>
        </row>
        <row r="4315">
          <cell r="D4315" t="str">
            <v>de la</v>
          </cell>
          <cell r="E4315" t="str">
            <v>catégorie</v>
          </cell>
          <cell r="F4315" t="str">
            <v>de l'</v>
          </cell>
          <cell r="G4315" t="str">
            <v>échéance</v>
          </cell>
        </row>
        <row r="4316">
          <cell r="D4316" t="str">
            <v>de la</v>
          </cell>
          <cell r="E4316" t="str">
            <v>catégorie</v>
          </cell>
          <cell r="F4316" t="str">
            <v>de l'</v>
          </cell>
          <cell r="G4316" t="str">
            <v>échéance</v>
          </cell>
        </row>
        <row r="4317">
          <cell r="D4317" t="str">
            <v>de la</v>
          </cell>
          <cell r="E4317" t="str">
            <v>catégorie</v>
          </cell>
          <cell r="F4317" t="str">
            <v>de l'</v>
          </cell>
          <cell r="G4317" t="str">
            <v>échéance</v>
          </cell>
        </row>
        <row r="4318">
          <cell r="D4318" t="str">
            <v>du</v>
          </cell>
          <cell r="E4318" t="str">
            <v>rejet</v>
          </cell>
        </row>
        <row r="4319">
          <cell r="D4319" t="str">
            <v>du</v>
          </cell>
          <cell r="E4319" t="str">
            <v>motif</v>
          </cell>
          <cell r="F4319" t="str">
            <v>de</v>
          </cell>
          <cell r="G4319" t="str">
            <v>rejet</v>
          </cell>
        </row>
        <row r="4320">
          <cell r="D4320" t="str">
            <v>du</v>
          </cell>
          <cell r="E4320" t="str">
            <v>mode de règlement</v>
          </cell>
          <cell r="F4320" t="str">
            <v>de l'</v>
          </cell>
          <cell r="G4320" t="str">
            <v>échéance rejetée</v>
          </cell>
        </row>
        <row r="4321">
          <cell r="D4321" t="str">
            <v>du</v>
          </cell>
          <cell r="E4321" t="str">
            <v>mode de règlement</v>
          </cell>
          <cell r="F4321" t="str">
            <v>de l'</v>
          </cell>
          <cell r="G4321" t="str">
            <v>échéance rejetée</v>
          </cell>
        </row>
        <row r="4322">
          <cell r="D4322" t="str">
            <v>du</v>
          </cell>
          <cell r="E4322" t="str">
            <v>mode de règlement</v>
          </cell>
          <cell r="F4322" t="str">
            <v>de l'</v>
          </cell>
          <cell r="G4322" t="str">
            <v>échéance rejetée</v>
          </cell>
        </row>
        <row r="4323">
          <cell r="D4323" t="str">
            <v>de la</v>
          </cell>
          <cell r="E4323" t="str">
            <v>source applicative</v>
          </cell>
          <cell r="F4323" t="str">
            <v>de l'</v>
          </cell>
          <cell r="G4323" t="str">
            <v>échéance du contentieux</v>
          </cell>
        </row>
        <row r="4324">
          <cell r="D4324" t="str">
            <v>de l'</v>
          </cell>
          <cell r="E4324" t="str">
            <v>origine</v>
          </cell>
          <cell r="F4324" t="str">
            <v>du</v>
          </cell>
          <cell r="G4324" t="str">
            <v>rejet</v>
          </cell>
        </row>
        <row r="4325">
          <cell r="D4325" t="str">
            <v>du</v>
          </cell>
          <cell r="E4325" t="str">
            <v>rejet</v>
          </cell>
        </row>
        <row r="4326">
          <cell r="D4326" t="str">
            <v>du</v>
          </cell>
          <cell r="E4326" t="str">
            <v>rejet</v>
          </cell>
        </row>
        <row r="4327">
          <cell r="D4327" t="str">
            <v>du</v>
          </cell>
          <cell r="E4327" t="str">
            <v>rejet</v>
          </cell>
        </row>
        <row r="4328">
          <cell r="D4328" t="str">
            <v>du</v>
          </cell>
          <cell r="E4328" t="str">
            <v>motif</v>
          </cell>
          <cell r="F4328" t="str">
            <v>du</v>
          </cell>
          <cell r="G4328" t="str">
            <v>rejet</v>
          </cell>
        </row>
        <row r="4329">
          <cell r="D4329" t="str">
            <v>du</v>
          </cell>
          <cell r="E4329" t="str">
            <v>motif</v>
          </cell>
          <cell r="F4329" t="str">
            <v>du</v>
          </cell>
          <cell r="G4329" t="str">
            <v>rejet</v>
          </cell>
        </row>
        <row r="4330">
          <cell r="D4330" t="str">
            <v>de l'</v>
          </cell>
          <cell r="E4330" t="str">
            <v>état</v>
          </cell>
          <cell r="F4330" t="str">
            <v>du</v>
          </cell>
          <cell r="G4330" t="str">
            <v>rejet</v>
          </cell>
        </row>
        <row r="4331">
          <cell r="D4331" t="str">
            <v>de l'</v>
          </cell>
          <cell r="E4331" t="str">
            <v>état</v>
          </cell>
          <cell r="F4331" t="str">
            <v>du</v>
          </cell>
          <cell r="G4331" t="str">
            <v>rejet</v>
          </cell>
        </row>
        <row r="4332">
          <cell r="D4332" t="str">
            <v>de l'</v>
          </cell>
          <cell r="E4332" t="str">
            <v>état</v>
          </cell>
          <cell r="F4332" t="str">
            <v>du</v>
          </cell>
          <cell r="G4332" t="str">
            <v>rejet</v>
          </cell>
        </row>
        <row r="4333">
          <cell r="D4333" t="str">
            <v>de la</v>
          </cell>
          <cell r="E4333" t="str">
            <v>nature de l'opération</v>
          </cell>
          <cell r="F4333" t="str">
            <v>du</v>
          </cell>
          <cell r="G4333" t="str">
            <v>rejet</v>
          </cell>
        </row>
        <row r="4334">
          <cell r="D4334" t="str">
            <v>de la</v>
          </cell>
          <cell r="E4334" t="str">
            <v>nature de l'opération</v>
          </cell>
          <cell r="F4334" t="str">
            <v>du</v>
          </cell>
          <cell r="G4334" t="str">
            <v>rejet</v>
          </cell>
        </row>
        <row r="4335">
          <cell r="D4335" t="str">
            <v>de la</v>
          </cell>
          <cell r="E4335" t="str">
            <v>nature de l'opération</v>
          </cell>
          <cell r="F4335" t="str">
            <v>du</v>
          </cell>
          <cell r="G4335" t="str">
            <v>rejet</v>
          </cell>
        </row>
        <row r="4336">
          <cell r="D4336" t="str">
            <v>du</v>
          </cell>
          <cell r="E4336" t="str">
            <v>type</v>
          </cell>
          <cell r="F4336" t="str">
            <v>du</v>
          </cell>
          <cell r="G4336" t="str">
            <v>complément d'information</v>
          </cell>
        </row>
        <row r="4337">
          <cell r="D4337" t="str">
            <v>du</v>
          </cell>
          <cell r="E4337" t="str">
            <v>type</v>
          </cell>
          <cell r="F4337" t="str">
            <v>d'</v>
          </cell>
          <cell r="G4337" t="str">
            <v>enregistrement</v>
          </cell>
          <cell r="H4337" t="str">
            <v>du</v>
          </cell>
          <cell r="I4337" t="str">
            <v>rejet</v>
          </cell>
        </row>
        <row r="4338">
          <cell r="D4338" t="str">
            <v>de l'</v>
          </cell>
          <cell r="E4338" t="str">
            <v>équipe</v>
          </cell>
          <cell r="F4338" t="str">
            <v>du</v>
          </cell>
          <cell r="G4338" t="str">
            <v>rédacteur</v>
          </cell>
          <cell r="H4338" t="str">
            <v>du</v>
          </cell>
          <cell r="I4338" t="str">
            <v>rejet</v>
          </cell>
        </row>
        <row r="4339">
          <cell r="D4339" t="str">
            <v>du</v>
          </cell>
          <cell r="E4339" t="str">
            <v>rédacteur</v>
          </cell>
          <cell r="F4339" t="str">
            <v>du</v>
          </cell>
          <cell r="G4339" t="str">
            <v>rejet</v>
          </cell>
        </row>
        <row r="4340">
          <cell r="D4340" t="str">
            <v>du</v>
          </cell>
          <cell r="E4340" t="str">
            <v>rédacteur</v>
          </cell>
          <cell r="F4340" t="str">
            <v>du</v>
          </cell>
          <cell r="G4340" t="str">
            <v>rejet</v>
          </cell>
        </row>
        <row r="4341">
          <cell r="D4341" t="str">
            <v>de la</v>
          </cell>
          <cell r="E4341" t="str">
            <v>source applicative</v>
          </cell>
          <cell r="F4341" t="str">
            <v>du</v>
          </cell>
          <cell r="G4341" t="str">
            <v>rejet de contentieux</v>
          </cell>
        </row>
        <row r="4342">
          <cell r="D4342" t="str">
            <v>de l'</v>
          </cell>
          <cell r="E4342" t="str">
            <v>activité</v>
          </cell>
        </row>
        <row r="4343">
          <cell r="D4343" t="str">
            <v>de l'</v>
          </cell>
          <cell r="E4343" t="str">
            <v>activité</v>
          </cell>
        </row>
        <row r="4344">
          <cell r="D4344" t="str">
            <v>de l'</v>
          </cell>
          <cell r="E4344" t="str">
            <v>activité</v>
          </cell>
        </row>
        <row r="4345">
          <cell r="D4345" t="str">
            <v>de l'</v>
          </cell>
          <cell r="E4345" t="str">
            <v>activité</v>
          </cell>
        </row>
        <row r="4346">
          <cell r="D4346" t="str">
            <v>de l'</v>
          </cell>
          <cell r="E4346" t="str">
            <v>activité</v>
          </cell>
        </row>
        <row r="4347">
          <cell r="D4347" t="str">
            <v>du</v>
          </cell>
          <cell r="E4347" t="str">
            <v>monde</v>
          </cell>
          <cell r="F4347" t="str">
            <v>de l'</v>
          </cell>
          <cell r="G4347" t="str">
            <v>activité</v>
          </cell>
        </row>
        <row r="4348">
          <cell r="D4348" t="str">
            <v>du</v>
          </cell>
          <cell r="E4348" t="str">
            <v>monde</v>
          </cell>
          <cell r="F4348" t="str">
            <v>de l'</v>
          </cell>
          <cell r="G4348" t="str">
            <v>activité</v>
          </cell>
        </row>
        <row r="4349">
          <cell r="D4349" t="str">
            <v xml:space="preserve"> </v>
          </cell>
          <cell r="E4349" t="str">
            <v>ORIAS</v>
          </cell>
          <cell r="F4349" t="str">
            <v>du</v>
          </cell>
          <cell r="G4349" t="str">
            <v>guichet de l'établissement</v>
          </cell>
        </row>
        <row r="4350">
          <cell r="D4350" t="str">
            <v>de l'</v>
          </cell>
          <cell r="E4350" t="str">
            <v>intermédiaire</v>
          </cell>
          <cell r="F4350" t="str">
            <v>du</v>
          </cell>
          <cell r="G4350" t="str">
            <v>guichet de l'établissement</v>
          </cell>
        </row>
        <row r="4351">
          <cell r="D4351" t="str">
            <v>de la</v>
          </cell>
          <cell r="E4351" t="str">
            <v>région</v>
          </cell>
          <cell r="F4351" t="str">
            <v>du</v>
          </cell>
          <cell r="G4351" t="str">
            <v>guichet de l'établissement</v>
          </cell>
        </row>
        <row r="4352">
          <cell r="D4352" t="str">
            <v>du</v>
          </cell>
          <cell r="E4352" t="str">
            <v>responsable</v>
          </cell>
          <cell r="F4352" t="str">
            <v>du</v>
          </cell>
          <cell r="G4352" t="str">
            <v>bureau du guichet</v>
          </cell>
        </row>
        <row r="4353">
          <cell r="C4353" t="str">
            <v>téléphone</v>
          </cell>
          <cell r="D4353" t="str">
            <v xml:space="preserve"> </v>
          </cell>
          <cell r="E4353" t="str">
            <v>clientèle</v>
          </cell>
          <cell r="F4353" t="str">
            <v>du</v>
          </cell>
          <cell r="G4353" t="str">
            <v>bureau du guichet</v>
          </cell>
        </row>
        <row r="4354">
          <cell r="D4354" t="str">
            <v>du</v>
          </cell>
          <cell r="E4354" t="str">
            <v>bureau du guichet</v>
          </cell>
        </row>
        <row r="4356">
          <cell r="D4356" t="str">
            <v>du</v>
          </cell>
          <cell r="E4356" t="str">
            <v>bloc</v>
          </cell>
          <cell r="F4356" t="str">
            <v>du</v>
          </cell>
          <cell r="G4356" t="str">
            <v>contrôle de processus</v>
          </cell>
        </row>
        <row r="4357">
          <cell r="D4357" t="str">
            <v>de l'</v>
          </cell>
          <cell r="E4357" t="str">
            <v>élément</v>
          </cell>
          <cell r="F4357" t="str">
            <v>du</v>
          </cell>
          <cell r="G4357" t="str">
            <v>contrôle de processus</v>
          </cell>
        </row>
        <row r="4358">
          <cell r="D4358" t="str">
            <v>du</v>
          </cell>
          <cell r="E4358" t="str">
            <v>seuil</v>
          </cell>
          <cell r="F4358" t="str">
            <v>du</v>
          </cell>
          <cell r="G4358" t="str">
            <v>contrôle de processus</v>
          </cell>
        </row>
        <row r="4359">
          <cell r="D4359" t="str">
            <v>du</v>
          </cell>
          <cell r="E4359" t="str">
            <v>seuil trimestriel</v>
          </cell>
          <cell r="F4359" t="str">
            <v>du</v>
          </cell>
          <cell r="G4359" t="str">
            <v>contrôle de processus</v>
          </cell>
        </row>
        <row r="4360">
          <cell r="D4360" t="str">
            <v>du</v>
          </cell>
          <cell r="E4360" t="str">
            <v>seuil annuel</v>
          </cell>
          <cell r="F4360" t="str">
            <v>du</v>
          </cell>
          <cell r="G4360" t="str">
            <v>contrôle de processus</v>
          </cell>
        </row>
        <row r="4361">
          <cell r="D4361" t="str">
            <v>du</v>
          </cell>
          <cell r="E4361" t="str">
            <v>contrôle de processus</v>
          </cell>
        </row>
        <row r="4362">
          <cell r="D4362" t="str">
            <v>du</v>
          </cell>
          <cell r="E4362" t="str">
            <v>contrôle de processus</v>
          </cell>
        </row>
        <row r="4363">
          <cell r="C4363" t="str">
            <v>validité</v>
          </cell>
          <cell r="D4363" t="str">
            <v>du</v>
          </cell>
          <cell r="E4363" t="str">
            <v>contrôle de processus</v>
          </cell>
        </row>
        <row r="4364">
          <cell r="D4364" t="str">
            <v>de la</v>
          </cell>
          <cell r="E4364" t="str">
            <v>particularité</v>
          </cell>
          <cell r="F4364" t="str">
            <v>du</v>
          </cell>
          <cell r="G4364" t="str">
            <v>contrôle de processus</v>
          </cell>
        </row>
        <row r="4365">
          <cell r="D4365" t="str">
            <v>de la</v>
          </cell>
          <cell r="E4365" t="str">
            <v>particularité</v>
          </cell>
          <cell r="F4365" t="str">
            <v>du</v>
          </cell>
          <cell r="G4365" t="str">
            <v>contrôle de processus</v>
          </cell>
        </row>
        <row r="4366">
          <cell r="D4366" t="str">
            <v>du</v>
          </cell>
          <cell r="E4366" t="str">
            <v>seuil particulier</v>
          </cell>
          <cell r="F4366" t="str">
            <v>du</v>
          </cell>
          <cell r="G4366" t="str">
            <v>contrôle de processus</v>
          </cell>
        </row>
        <row r="4367">
          <cell r="D4367" t="str">
            <v>du</v>
          </cell>
          <cell r="E4367" t="str">
            <v>bloc</v>
          </cell>
          <cell r="F4367" t="str">
            <v>du</v>
          </cell>
          <cell r="G4367" t="str">
            <v>contrôle de processus</v>
          </cell>
        </row>
        <row r="4368">
          <cell r="D4368" t="str">
            <v>de l'</v>
          </cell>
          <cell r="E4368" t="str">
            <v>élément</v>
          </cell>
          <cell r="F4368" t="str">
            <v>du</v>
          </cell>
          <cell r="G4368" t="str">
            <v>contrôle de processus</v>
          </cell>
        </row>
        <row r="4369">
          <cell r="D4369" t="str">
            <v>du</v>
          </cell>
          <cell r="E4369" t="str">
            <v>relevé</v>
          </cell>
          <cell r="F4369" t="str">
            <v>du</v>
          </cell>
          <cell r="G4369" t="str">
            <v>contrôle de processus</v>
          </cell>
        </row>
        <row r="4370">
          <cell r="D4370" t="str">
            <v>du</v>
          </cell>
          <cell r="E4370" t="str">
            <v>relevé</v>
          </cell>
          <cell r="F4370" t="str">
            <v>du</v>
          </cell>
          <cell r="G4370" t="str">
            <v>contrôle de processus</v>
          </cell>
        </row>
        <row r="4371">
          <cell r="D4371" t="str">
            <v>du</v>
          </cell>
          <cell r="E4371" t="str">
            <v>seuil</v>
          </cell>
          <cell r="F4371" t="str">
            <v>du</v>
          </cell>
          <cell r="G4371" t="str">
            <v>relevé</v>
          </cell>
          <cell r="H4371" t="str">
            <v>du</v>
          </cell>
          <cell r="I4371" t="str">
            <v>contrôle de processus</v>
          </cell>
        </row>
        <row r="4372">
          <cell r="D4372" t="str">
            <v>du</v>
          </cell>
          <cell r="E4372" t="str">
            <v>contrôle de processus</v>
          </cell>
        </row>
        <row r="4373">
          <cell r="D4373" t="str">
            <v>du</v>
          </cell>
          <cell r="E4373" t="str">
            <v>contrôle de processus</v>
          </cell>
        </row>
        <row r="4374">
          <cell r="C4374" t="str">
            <v>validité</v>
          </cell>
          <cell r="D4374" t="str">
            <v>du</v>
          </cell>
          <cell r="E4374" t="str">
            <v>contrôle de processus</v>
          </cell>
        </row>
        <row r="4375">
          <cell r="D4375" t="str">
            <v>de la</v>
          </cell>
          <cell r="E4375" t="str">
            <v>table</v>
          </cell>
          <cell r="F4375" t="str">
            <v xml:space="preserve"> </v>
          </cell>
          <cell r="G4375" t="str">
            <v>SIO</v>
          </cell>
          <cell r="H4375" t="str">
            <v>du</v>
          </cell>
          <cell r="I4375" t="str">
            <v>contrôle de processus</v>
          </cell>
        </row>
        <row r="4376">
          <cell r="D4376" t="str">
            <v>du</v>
          </cell>
          <cell r="E4376" t="str">
            <v>flux de devis</v>
          </cell>
        </row>
        <row r="4377">
          <cell r="D4377" t="str">
            <v>de la</v>
          </cell>
          <cell r="E4377" t="str">
            <v>source applicative</v>
          </cell>
          <cell r="F4377" t="str">
            <v>du</v>
          </cell>
          <cell r="G4377" t="str">
            <v>flux de devis</v>
          </cell>
        </row>
        <row r="4378">
          <cell r="D4378" t="str">
            <v>du</v>
          </cell>
          <cell r="E4378" t="str">
            <v>programme informatique</v>
          </cell>
          <cell r="G4378" t="str">
            <v>origine</v>
          </cell>
          <cell r="H4378" t="str">
            <v>du</v>
          </cell>
          <cell r="I4378" t="str">
            <v>flux</v>
          </cell>
        </row>
        <row r="4379">
          <cell r="D4379" t="str">
            <v>de</v>
          </cell>
          <cell r="E4379" t="str">
            <v>génération</v>
          </cell>
          <cell r="F4379" t="str">
            <v>du</v>
          </cell>
          <cell r="G4379" t="str">
            <v>flux</v>
          </cell>
        </row>
        <row r="4380">
          <cell r="C4380" t="str">
            <v>origine</v>
          </cell>
          <cell r="D4380" t="str">
            <v>du</v>
          </cell>
          <cell r="E4380" t="str">
            <v>flux</v>
          </cell>
        </row>
        <row r="4381">
          <cell r="D4381" t="str">
            <v>du</v>
          </cell>
          <cell r="E4381" t="str">
            <v>type</v>
          </cell>
          <cell r="F4381" t="str">
            <v>de</v>
          </cell>
          <cell r="G4381" t="str">
            <v>flux</v>
          </cell>
        </row>
        <row r="4382">
          <cell r="D4382" t="str">
            <v>de l'</v>
          </cell>
          <cell r="E4382" t="str">
            <v>annulation</v>
          </cell>
        </row>
        <row r="4383">
          <cell r="D4383" t="str">
            <v>de la</v>
          </cell>
          <cell r="E4383" t="str">
            <v>Fédération</v>
          </cell>
          <cell r="F4383" t="str">
            <v>du</v>
          </cell>
          <cell r="G4383" t="str">
            <v>rédacteur de la saisie</v>
          </cell>
        </row>
        <row r="4384">
          <cell r="D4384" t="str">
            <v>de la</v>
          </cell>
          <cell r="E4384" t="str">
            <v>établissement</v>
          </cell>
          <cell r="F4384" t="str">
            <v>du</v>
          </cell>
          <cell r="G4384" t="str">
            <v>rédacteur de la saisie</v>
          </cell>
        </row>
        <row r="4385">
          <cell r="D4385" t="str">
            <v>du</v>
          </cell>
          <cell r="E4385" t="str">
            <v>guichet de l'établissement</v>
          </cell>
          <cell r="F4385" t="str">
            <v>du</v>
          </cell>
          <cell r="G4385" t="str">
            <v>rédacteur de la saisie</v>
          </cell>
        </row>
        <row r="4386">
          <cell r="D4386" t="str">
            <v>du</v>
          </cell>
          <cell r="E4386" t="str">
            <v>Bureau du guichet</v>
          </cell>
          <cell r="F4386" t="str">
            <v>du</v>
          </cell>
          <cell r="G4386" t="str">
            <v>rédacteur de la saisie</v>
          </cell>
        </row>
        <row r="4387">
          <cell r="D4387" t="str">
            <v>du</v>
          </cell>
          <cell r="E4387" t="str">
            <v>rédacteur de la saisie</v>
          </cell>
        </row>
        <row r="4388">
          <cell r="D4388" t="str">
            <v>de la</v>
          </cell>
          <cell r="E4388" t="str">
            <v>Fédération</v>
          </cell>
          <cell r="F4388" t="str">
            <v>de la</v>
          </cell>
          <cell r="G4388" t="str">
            <v>personne physique</v>
          </cell>
          <cell r="H4388" t="str">
            <v>de la</v>
          </cell>
          <cell r="I4388" t="str">
            <v>vente</v>
          </cell>
        </row>
        <row r="4389">
          <cell r="D4389" t="str">
            <v>de la</v>
          </cell>
          <cell r="E4389" t="str">
            <v>établissement</v>
          </cell>
          <cell r="F4389" t="str">
            <v>de la</v>
          </cell>
          <cell r="G4389" t="str">
            <v>personne physique</v>
          </cell>
          <cell r="H4389" t="str">
            <v>de la</v>
          </cell>
          <cell r="I4389" t="str">
            <v>vente</v>
          </cell>
        </row>
        <row r="4390">
          <cell r="D4390" t="str">
            <v>du</v>
          </cell>
          <cell r="E4390" t="str">
            <v>guichet de l'établissement</v>
          </cell>
          <cell r="F4390" t="str">
            <v>de la</v>
          </cell>
          <cell r="G4390" t="str">
            <v>personne physique</v>
          </cell>
          <cell r="H4390" t="str">
            <v>de la</v>
          </cell>
          <cell r="I4390" t="str">
            <v>vente</v>
          </cell>
        </row>
        <row r="4391">
          <cell r="D4391" t="str">
            <v>du</v>
          </cell>
          <cell r="E4391" t="str">
            <v>Bureau du guichet</v>
          </cell>
          <cell r="F4391" t="str">
            <v>de la</v>
          </cell>
          <cell r="G4391" t="str">
            <v>personne physique</v>
          </cell>
          <cell r="H4391" t="str">
            <v>de la</v>
          </cell>
          <cell r="I4391" t="str">
            <v>vente</v>
          </cell>
        </row>
        <row r="4392">
          <cell r="D4392" t="str">
            <v>de la</v>
          </cell>
          <cell r="E4392" t="str">
            <v>personne physique</v>
          </cell>
          <cell r="F4392" t="str">
            <v>de la</v>
          </cell>
          <cell r="G4392" t="str">
            <v>vente</v>
          </cell>
        </row>
        <row r="4393">
          <cell r="D4393" t="str">
            <v>de la</v>
          </cell>
          <cell r="E4393" t="str">
            <v>Fédération</v>
          </cell>
          <cell r="F4393" t="str">
            <v>du</v>
          </cell>
          <cell r="G4393" t="str">
            <v>client</v>
          </cell>
        </row>
        <row r="4394">
          <cell r="D4394" t="str">
            <v>de la</v>
          </cell>
          <cell r="E4394" t="str">
            <v>établissement</v>
          </cell>
          <cell r="F4394" t="str">
            <v>du</v>
          </cell>
          <cell r="G4394" t="str">
            <v>client</v>
          </cell>
        </row>
        <row r="4395">
          <cell r="D4395" t="str">
            <v>du</v>
          </cell>
          <cell r="E4395" t="str">
            <v>guichet de l'établissement</v>
          </cell>
          <cell r="F4395" t="str">
            <v>du</v>
          </cell>
          <cell r="G4395" t="str">
            <v>client</v>
          </cell>
        </row>
        <row r="4396">
          <cell r="D4396" t="str">
            <v>du</v>
          </cell>
          <cell r="E4396" t="str">
            <v>Bureau du guichet</v>
          </cell>
          <cell r="F4396" t="str">
            <v>du</v>
          </cell>
          <cell r="G4396" t="str">
            <v>client</v>
          </cell>
        </row>
        <row r="4397">
          <cell r="D4397" t="str">
            <v>du</v>
          </cell>
          <cell r="E4397" t="str">
            <v>tiers</v>
          </cell>
          <cell r="F4397" t="str">
            <v>du</v>
          </cell>
          <cell r="G4397" t="str">
            <v>client</v>
          </cell>
        </row>
        <row r="4398">
          <cell r="D4398" t="str">
            <v>de la</v>
          </cell>
          <cell r="E4398" t="str">
            <v>comptabilisation</v>
          </cell>
          <cell r="F4398" t="str">
            <v>de la</v>
          </cell>
          <cell r="G4398" t="str">
            <v>production</v>
          </cell>
        </row>
        <row r="4399">
          <cell r="D4399" t="str">
            <v>du</v>
          </cell>
          <cell r="E4399" t="str">
            <v>procom</v>
          </cell>
        </row>
        <row r="4400">
          <cell r="D4400" t="str">
            <v>de la</v>
          </cell>
          <cell r="E4400" t="str">
            <v>nature</v>
          </cell>
          <cell r="F4400" t="str">
            <v>du</v>
          </cell>
          <cell r="G4400" t="str">
            <v>Produit d'Assurance</v>
          </cell>
        </row>
        <row r="4401">
          <cell r="D4401" t="str">
            <v>du</v>
          </cell>
          <cell r="E4401" t="str">
            <v>Produit d'Assurance</v>
          </cell>
        </row>
        <row r="4402">
          <cell r="D4402" t="str">
            <v>d'</v>
          </cell>
          <cell r="E4402" t="str">
            <v>image contrat assurance</v>
          </cell>
        </row>
        <row r="4403">
          <cell r="C4403" t="str">
            <v>interne</v>
          </cell>
          <cell r="D4403" t="str">
            <v>du</v>
          </cell>
          <cell r="E4403" t="str">
            <v>contrat</v>
          </cell>
        </row>
        <row r="4404">
          <cell r="D4404" t="str">
            <v>du</v>
          </cell>
          <cell r="E4404" t="str">
            <v>canal utilisé</v>
          </cell>
        </row>
        <row r="4405">
          <cell r="D4405" t="str">
            <v>de</v>
          </cell>
          <cell r="E4405" t="str">
            <v>contrat multi titulaires</v>
          </cell>
        </row>
        <row r="4406">
          <cell r="D4406" t="str">
            <v>du</v>
          </cell>
          <cell r="E4406" t="str">
            <v>flux</v>
          </cell>
        </row>
        <row r="4407">
          <cell r="C4407" t="str">
            <v>décimal</v>
          </cell>
          <cell r="D4407" t="str">
            <v>de</v>
          </cell>
          <cell r="E4407" t="str">
            <v>décimal</v>
          </cell>
          <cell r="F4407" t="str">
            <v>du</v>
          </cell>
          <cell r="G4407" t="str">
            <v>montant</v>
          </cell>
          <cell r="H4407" t="str">
            <v>du</v>
          </cell>
          <cell r="I4407" t="str">
            <v>flux</v>
          </cell>
        </row>
        <row r="4408">
          <cell r="D4408" t="str">
            <v>de la</v>
          </cell>
          <cell r="E4408" t="str">
            <v>devise</v>
          </cell>
        </row>
        <row r="4409">
          <cell r="D4409" t="str">
            <v>du</v>
          </cell>
          <cell r="E4409" t="str">
            <v>devis</v>
          </cell>
        </row>
        <row r="4410">
          <cell r="D4410" t="str">
            <v>du</v>
          </cell>
          <cell r="E4410" t="str">
            <v>mode de contact</v>
          </cell>
        </row>
        <row r="4411">
          <cell r="D4411" t="str">
            <v>du</v>
          </cell>
          <cell r="E4411" t="str">
            <v>point de contact</v>
          </cell>
        </row>
        <row r="4412">
          <cell r="D4412" t="str">
            <v>de la</v>
          </cell>
          <cell r="E4412" t="str">
            <v>simulation</v>
          </cell>
          <cell r="F4412" t="str">
            <v>du</v>
          </cell>
          <cell r="G4412" t="str">
            <v>cycle de tarif</v>
          </cell>
        </row>
        <row r="4413">
          <cell r="D4413" t="str">
            <v>de</v>
          </cell>
          <cell r="E4413" t="str">
            <v>package</v>
          </cell>
          <cell r="F4413" t="str">
            <v>de</v>
          </cell>
          <cell r="G4413" t="str">
            <v>Produit d'Assurance</v>
          </cell>
        </row>
        <row r="4414">
          <cell r="D4414" t="str">
            <v>de la</v>
          </cell>
          <cell r="E4414" t="str">
            <v>référence risquée</v>
          </cell>
        </row>
        <row r="4415">
          <cell r="D4415" t="str">
            <v>de la</v>
          </cell>
          <cell r="E4415" t="str">
            <v>référence risquée</v>
          </cell>
        </row>
        <row r="4416">
          <cell r="D4416" t="str">
            <v>de la</v>
          </cell>
          <cell r="E4416" t="str">
            <v>référence risquée</v>
          </cell>
        </row>
        <row r="4417">
          <cell r="C4417" t="str">
            <v>dernière image</v>
          </cell>
          <cell r="D4417" t="str">
            <v>de la</v>
          </cell>
          <cell r="E4417" t="str">
            <v>référence risquée</v>
          </cell>
        </row>
        <row r="4418">
          <cell r="D4418" t="str">
            <v>de la</v>
          </cell>
          <cell r="E4418" t="str">
            <v>source applicative</v>
          </cell>
          <cell r="F4418" t="str">
            <v>de la</v>
          </cell>
          <cell r="G4418" t="str">
            <v>référence risquée</v>
          </cell>
        </row>
        <row r="4419">
          <cell r="D4419" t="str">
            <v>de la</v>
          </cell>
          <cell r="E4419" t="str">
            <v>source applicative</v>
          </cell>
          <cell r="F4419" t="str">
            <v>de la</v>
          </cell>
          <cell r="G4419" t="str">
            <v>référence risquée</v>
          </cell>
        </row>
        <row r="4420">
          <cell r="D4420" t="str">
            <v>de la</v>
          </cell>
          <cell r="E4420" t="str">
            <v>référence risquée</v>
          </cell>
        </row>
        <row r="4421">
          <cell r="D4421" t="str">
            <v>de la</v>
          </cell>
          <cell r="E4421" t="str">
            <v>fédération</v>
          </cell>
        </row>
        <row r="4422">
          <cell r="D4422" t="str">
            <v>de l'</v>
          </cell>
          <cell r="E4422" t="str">
            <v>établissement</v>
          </cell>
        </row>
        <row r="4423">
          <cell r="D4423" t="str">
            <v>du</v>
          </cell>
          <cell r="E4423" t="str">
            <v>guichet de l'établissement</v>
          </cell>
        </row>
        <row r="4424">
          <cell r="D4424" t="str">
            <v>du</v>
          </cell>
          <cell r="E4424" t="str">
            <v>Bureau du guichet</v>
          </cell>
        </row>
        <row r="4425">
          <cell r="C4425" t="str">
            <v>interne</v>
          </cell>
          <cell r="D4425" t="str">
            <v>du</v>
          </cell>
          <cell r="E4425" t="str">
            <v>contrat</v>
          </cell>
        </row>
        <row r="4426">
          <cell r="C4426" t="str">
            <v>externe</v>
          </cell>
          <cell r="D4426" t="str">
            <v>du</v>
          </cell>
          <cell r="E4426" t="str">
            <v>contrat</v>
          </cell>
        </row>
        <row r="4427">
          <cell r="D4427" t="str">
            <v>du</v>
          </cell>
          <cell r="E4427" t="str">
            <v>tiers</v>
          </cell>
        </row>
        <row r="4428">
          <cell r="D4428" t="str">
            <v>du</v>
          </cell>
          <cell r="E4428" t="str">
            <v>Produit d'Assurance</v>
          </cell>
        </row>
        <row r="4429">
          <cell r="D4429" t="str">
            <v>d'</v>
          </cell>
          <cell r="E4429" t="str">
            <v>objet risqué</v>
          </cell>
        </row>
        <row r="4430">
          <cell r="D4430" t="str">
            <v>du</v>
          </cell>
          <cell r="E4430" t="str">
            <v>type</v>
          </cell>
          <cell r="F4430" t="str">
            <v>d'</v>
          </cell>
          <cell r="G4430" t="str">
            <v>objet risqué</v>
          </cell>
        </row>
        <row r="4431">
          <cell r="C4431" t="str">
            <v>ISO</v>
          </cell>
          <cell r="D4431" t="str">
            <v>du</v>
          </cell>
          <cell r="E4431" t="str">
            <v>pays</v>
          </cell>
        </row>
        <row r="4432">
          <cell r="C4432" t="str">
            <v>ISO</v>
          </cell>
          <cell r="D4432" t="str">
            <v>du</v>
          </cell>
          <cell r="E4432" t="str">
            <v>pays</v>
          </cell>
        </row>
        <row r="4433">
          <cell r="D4433" t="str">
            <v>du</v>
          </cell>
          <cell r="E4433" t="str">
            <v>risque métier</v>
          </cell>
        </row>
        <row r="4434">
          <cell r="D4434" t="str">
            <v>du</v>
          </cell>
          <cell r="E4434" t="str">
            <v>risque métier</v>
          </cell>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row>
        <row r="4438">
          <cell r="C4438" t="str">
            <v>motif</v>
          </cell>
          <cell r="D4438" t="str">
            <v>du</v>
          </cell>
          <cell r="E4438" t="str">
            <v>risque métier</v>
          </cell>
        </row>
        <row r="4439">
          <cell r="C4439" t="str">
            <v>famille</v>
          </cell>
          <cell r="D4439" t="str">
            <v>du</v>
          </cell>
          <cell r="E4439" t="str">
            <v>risque</v>
          </cell>
        </row>
        <row r="4440">
          <cell r="C4440" t="str">
            <v>famille</v>
          </cell>
          <cell r="D4440" t="str">
            <v>du</v>
          </cell>
          <cell r="E4440" t="str">
            <v>risque</v>
          </cell>
        </row>
        <row r="4441">
          <cell r="C4441" t="str">
            <v>sous-famille</v>
          </cell>
          <cell r="D4441" t="str">
            <v>du</v>
          </cell>
          <cell r="E4441" t="str">
            <v>risque</v>
          </cell>
        </row>
        <row r="4442">
          <cell r="C4442" t="str">
            <v>sous-famille</v>
          </cell>
          <cell r="D4442" t="str">
            <v>du</v>
          </cell>
          <cell r="E4442" t="str">
            <v>risque</v>
          </cell>
        </row>
        <row r="4443">
          <cell r="D4443" t="str">
            <v>du</v>
          </cell>
          <cell r="E4443" t="str">
            <v>référentiel</v>
          </cell>
          <cell r="F4443" t="str">
            <v>du</v>
          </cell>
          <cell r="G4443" t="str">
            <v>risque</v>
          </cell>
        </row>
        <row r="4444">
          <cell r="D4444" t="str">
            <v>du</v>
          </cell>
          <cell r="E4444" t="str">
            <v>référentiel</v>
          </cell>
          <cell r="F4444" t="str">
            <v>du</v>
          </cell>
          <cell r="G4444" t="str">
            <v>risque</v>
          </cell>
        </row>
        <row r="4445">
          <cell r="D4445" t="str">
            <v>de</v>
          </cell>
          <cell r="E4445" t="str">
            <v>chargement</v>
          </cell>
        </row>
        <row r="4446">
          <cell r="D4446" t="str">
            <v>du</v>
          </cell>
          <cell r="E4446" t="str">
            <v>type</v>
          </cell>
          <cell r="F4446" t="str">
            <v>de</v>
          </cell>
          <cell r="G4446" t="str">
            <v>chargement</v>
          </cell>
        </row>
        <row r="4447">
          <cell r="D4447" t="str">
            <v>du</v>
          </cell>
          <cell r="E4447" t="str">
            <v>risque</v>
          </cell>
        </row>
        <row r="4448">
          <cell r="D4448" t="str">
            <v>du</v>
          </cell>
          <cell r="E4448" t="str">
            <v>cycle de vie</v>
          </cell>
          <cell r="F4448" t="str">
            <v>du</v>
          </cell>
          <cell r="G4448" t="str">
            <v>risque</v>
          </cell>
        </row>
        <row r="4449">
          <cell r="C4449" t="str">
            <v>motif</v>
          </cell>
          <cell r="D4449" t="str">
            <v>du</v>
          </cell>
          <cell r="E4449" t="str">
            <v>risque</v>
          </cell>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row>
        <row r="4454">
          <cell r="C4454" t="str">
            <v>SIO</v>
          </cell>
          <cell r="D4454" t="str">
            <v>du</v>
          </cell>
          <cell r="E4454" t="str">
            <v>risque</v>
          </cell>
        </row>
        <row r="4455">
          <cell r="C4455" t="str">
            <v>dernier</v>
          </cell>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D4457" t="str">
            <v>du</v>
          </cell>
          <cell r="E4457" t="str">
            <v>risque</v>
          </cell>
        </row>
        <row r="4458">
          <cell r="C4458" t="str">
            <v>complémentaire</v>
          </cell>
          <cell r="D4458" t="str">
            <v>du</v>
          </cell>
          <cell r="E4458" t="str">
            <v>risque</v>
          </cell>
        </row>
        <row r="4459">
          <cell r="C4459" t="str">
            <v>complémentaire</v>
          </cell>
          <cell r="D4459" t="str">
            <v>du</v>
          </cell>
          <cell r="E4459" t="str">
            <v>risque</v>
          </cell>
        </row>
        <row r="4460">
          <cell r="C4460" t="str">
            <v>complémentaire</v>
          </cell>
          <cell r="D4460" t="str">
            <v>du</v>
          </cell>
          <cell r="E4460" t="str">
            <v>risque</v>
          </cell>
        </row>
        <row r="4461">
          <cell r="C4461" t="str">
            <v>complémentaire</v>
          </cell>
          <cell r="D4461" t="str">
            <v>du</v>
          </cell>
          <cell r="E4461" t="str">
            <v>risque</v>
          </cell>
        </row>
        <row r="4462">
          <cell r="D4462" t="str">
            <v>de l'</v>
          </cell>
          <cell r="E4462" t="str">
            <v>image contrat assurance</v>
          </cell>
        </row>
        <row r="4463">
          <cell r="D4463" t="str">
            <v>de l'</v>
          </cell>
          <cell r="E4463" t="str">
            <v>image contrat assurance</v>
          </cell>
        </row>
        <row r="4464">
          <cell r="D4464" t="str">
            <v>de l'</v>
          </cell>
          <cell r="E4464" t="str">
            <v>image contrat assurance</v>
          </cell>
        </row>
        <row r="4465">
          <cell r="C4465" t="str">
            <v>dernière image</v>
          </cell>
          <cell r="D4465" t="str">
            <v>de l'</v>
          </cell>
          <cell r="E4465" t="str">
            <v>image contrat assurance</v>
          </cell>
        </row>
        <row r="4466">
          <cell r="D4466" t="str">
            <v>de</v>
          </cell>
          <cell r="E4466" t="str">
            <v>référence interne</v>
          </cell>
          <cell r="F4466" t="str">
            <v>du</v>
          </cell>
          <cell r="G4466" t="str">
            <v>contrat</v>
          </cell>
        </row>
        <row r="4467">
          <cell r="C4467" t="str">
            <v>interne</v>
          </cell>
          <cell r="D4467" t="str">
            <v>du</v>
          </cell>
          <cell r="E4467" t="str">
            <v>contrat</v>
          </cell>
        </row>
        <row r="4468">
          <cell r="D4468" t="str">
            <v>de</v>
          </cell>
          <cell r="E4468" t="str">
            <v>référence externe</v>
          </cell>
          <cell r="F4468" t="str">
            <v>du</v>
          </cell>
          <cell r="G4468" t="str">
            <v>contrat</v>
          </cell>
        </row>
        <row r="4469">
          <cell r="C4469" t="str">
            <v>externe</v>
          </cell>
          <cell r="D4469" t="str">
            <v>du</v>
          </cell>
          <cell r="E4469" t="str">
            <v>contrat</v>
          </cell>
        </row>
        <row r="4470">
          <cell r="D4470" t="str">
            <v>de l'</v>
          </cell>
          <cell r="E4470" t="str">
            <v>image contrat assurance</v>
          </cell>
        </row>
        <row r="4471">
          <cell r="C4471" t="str">
            <v>police</v>
          </cell>
          <cell r="D4471" t="str">
            <v>du</v>
          </cell>
          <cell r="E4471" t="str">
            <v>contrat</v>
          </cell>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row>
        <row r="4474">
          <cell r="C4474" t="str">
            <v>historique</v>
          </cell>
          <cell r="D4474" t="str">
            <v xml:space="preserve"> </v>
          </cell>
          <cell r="E4474" t="str">
            <v>sans espace</v>
          </cell>
          <cell r="F4474" t="str">
            <v>du</v>
          </cell>
          <cell r="G4474" t="str">
            <v>contrat</v>
          </cell>
        </row>
        <row r="4475">
          <cell r="D4475" t="str">
            <v>de</v>
          </cell>
          <cell r="E4475" t="str">
            <v>produit d'assurance</v>
          </cell>
        </row>
        <row r="4476">
          <cell r="C4476" t="str">
            <v>simplifié</v>
          </cell>
          <cell r="D4476" t="str">
            <v>du</v>
          </cell>
          <cell r="E4476" t="str">
            <v>produit d'assurance</v>
          </cell>
        </row>
        <row r="4477">
          <cell r="C4477" t="str">
            <v>principal</v>
          </cell>
          <cell r="D4477" t="str">
            <v>du</v>
          </cell>
          <cell r="E4477" t="str">
            <v>produit d'assurance</v>
          </cell>
        </row>
        <row r="4478">
          <cell r="D4478" t="str">
            <v>du</v>
          </cell>
          <cell r="E4478" t="str">
            <v>produit d'assurance</v>
          </cell>
        </row>
        <row r="4479">
          <cell r="D4479" t="str">
            <v>de l'</v>
          </cell>
          <cell r="E4479" t="str">
            <v>Entité gestionnaire</v>
          </cell>
        </row>
        <row r="4480">
          <cell r="C4480" t="str">
            <v>référence</v>
          </cell>
          <cell r="D4480" t="str">
            <v>du</v>
          </cell>
          <cell r="E4480" t="str">
            <v>pays</v>
          </cell>
        </row>
        <row r="4481">
          <cell r="D4481" t="str">
            <v>de la</v>
          </cell>
          <cell r="E4481" t="str">
            <v>société apéritrice</v>
          </cell>
        </row>
        <row r="4482">
          <cell r="D4482" t="str">
            <v>du</v>
          </cell>
          <cell r="E4482" t="str">
            <v>gestionnaire du contrat</v>
          </cell>
        </row>
        <row r="4483">
          <cell r="D4483" t="str">
            <v>du</v>
          </cell>
          <cell r="E4483" t="str">
            <v>cycle de vie</v>
          </cell>
        </row>
        <row r="4484">
          <cell r="C4484" t="str">
            <v>motif</v>
          </cell>
          <cell r="D4484" t="str">
            <v>du</v>
          </cell>
          <cell r="E4484" t="str">
            <v>cycle de vie</v>
          </cell>
        </row>
        <row r="4485">
          <cell r="D4485" t="str">
            <v>du</v>
          </cell>
          <cell r="E4485" t="str">
            <v>cycle de vie</v>
          </cell>
        </row>
        <row r="4486">
          <cell r="D4486" t="str">
            <v>du</v>
          </cell>
          <cell r="E4486" t="str">
            <v>contrat</v>
          </cell>
        </row>
        <row r="4487">
          <cell r="C4487" t="str">
            <v>mise à jour</v>
          </cell>
          <cell r="D4487" t="str">
            <v>de l'</v>
          </cell>
          <cell r="E4487" t="str">
            <v>enregistrement</v>
          </cell>
        </row>
        <row r="4488">
          <cell r="D4488" t="str">
            <v>de l'</v>
          </cell>
          <cell r="E4488" t="str">
            <v>enregistrement</v>
          </cell>
        </row>
        <row r="4489">
          <cell r="D4489" t="str">
            <v>de l'</v>
          </cell>
          <cell r="E4489" t="str">
            <v>enregistrement</v>
          </cell>
        </row>
        <row r="4490">
          <cell r="D4490" t="str">
            <v>de l'</v>
          </cell>
          <cell r="E4490" t="str">
            <v>application source</v>
          </cell>
          <cell r="F4490" t="str">
            <v>de l'</v>
          </cell>
          <cell r="G4490" t="str">
            <v>image contrat assurance</v>
          </cell>
        </row>
        <row r="4491">
          <cell r="D4491" t="str">
            <v>de la</v>
          </cell>
          <cell r="E4491" t="str">
            <v>bascule de CAM vers GEC</v>
          </cell>
        </row>
        <row r="4492">
          <cell r="D4492" t="str">
            <v>de la</v>
          </cell>
          <cell r="E4492" t="str">
            <v>bascule de CAM vers GEC</v>
          </cell>
        </row>
        <row r="4493">
          <cell r="D4493" t="str">
            <v>de la</v>
          </cell>
          <cell r="E4493" t="str">
            <v>bascule de CAM vers GEC</v>
          </cell>
        </row>
        <row r="4494">
          <cell r="C4494" t="str">
            <v>dernière image</v>
          </cell>
          <cell r="D4494" t="str">
            <v>de la</v>
          </cell>
          <cell r="E4494" t="str">
            <v>bascule de CAM vers GEC</v>
          </cell>
        </row>
        <row r="4495">
          <cell r="D4495" t="str">
            <v>de l'</v>
          </cell>
          <cell r="E4495" t="str">
            <v>application source</v>
          </cell>
          <cell r="F4495" t="str">
            <v>de la</v>
          </cell>
          <cell r="G4495" t="str">
            <v>bascule de CAM vers GEC</v>
          </cell>
        </row>
        <row r="4496">
          <cell r="D4496" t="str">
            <v>de la</v>
          </cell>
          <cell r="E4496" t="str">
            <v>clé de regroupement</v>
          </cell>
          <cell r="F4496" t="str">
            <v xml:space="preserve"> </v>
          </cell>
          <cell r="G4496" t="str">
            <v>source</v>
          </cell>
          <cell r="H4496" t="str">
            <v>de</v>
          </cell>
          <cell r="I4496" t="str">
            <v>CAM</v>
          </cell>
        </row>
        <row r="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D4509" t="str">
            <v>du</v>
          </cell>
          <cell r="E4509" t="str">
            <v>contrat cible</v>
          </cell>
          <cell r="F4509" t="str">
            <v>de</v>
          </cell>
          <cell r="G4509" t="str">
            <v>CAM</v>
          </cell>
        </row>
        <row r="4510">
          <cell r="D4510" t="str">
            <v>d'</v>
          </cell>
          <cell r="E4510" t="str">
            <v>événement</v>
          </cell>
          <cell r="F4510" t="str">
            <v>de</v>
          </cell>
          <cell r="G4510" t="str">
            <v>CAM</v>
          </cell>
        </row>
        <row r="4511">
          <cell r="D4511" t="str">
            <v>d'</v>
          </cell>
          <cell r="E4511" t="str">
            <v>événement</v>
          </cell>
          <cell r="F4511" t="str">
            <v>de</v>
          </cell>
          <cell r="G4511" t="str">
            <v>GEC</v>
          </cell>
        </row>
        <row r="4512">
          <cell r="D4512" t="str">
            <v>de la</v>
          </cell>
          <cell r="E4512" t="str">
            <v>clé de regroupement</v>
          </cell>
          <cell r="F4512" t="str">
            <v xml:space="preserve"> </v>
          </cell>
          <cell r="G4512" t="str">
            <v>cible</v>
          </cell>
          <cell r="H4512" t="str">
            <v>de</v>
          </cell>
          <cell r="I4512" t="str">
            <v>GEC</v>
          </cell>
        </row>
        <row r="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D4526" t="str">
            <v>du</v>
          </cell>
          <cell r="E4526" t="str">
            <v>contrat source</v>
          </cell>
          <cell r="F4526" t="str">
            <v>de</v>
          </cell>
          <cell r="G4526" t="str">
            <v>GEC</v>
          </cell>
        </row>
        <row r="4527">
          <cell r="C4527" t="str">
            <v>complémentaire</v>
          </cell>
          <cell r="D4527" t="str">
            <v>du</v>
          </cell>
          <cell r="E4527" t="str">
            <v>risque</v>
          </cell>
        </row>
        <row r="4528">
          <cell r="C4528" t="str">
            <v>complémentaire</v>
          </cell>
          <cell r="D4528" t="str">
            <v>du</v>
          </cell>
          <cell r="E4528" t="str">
            <v>risque</v>
          </cell>
        </row>
        <row r="4529">
          <cell r="C4529" t="str">
            <v>complémentaire</v>
          </cell>
          <cell r="D4529" t="str">
            <v>du</v>
          </cell>
          <cell r="E4529" t="str">
            <v>risque</v>
          </cell>
        </row>
        <row r="4530">
          <cell r="C4530" t="str">
            <v>complémentaire</v>
          </cell>
          <cell r="D4530" t="str">
            <v>du</v>
          </cell>
          <cell r="E4530" t="str">
            <v>risque</v>
          </cell>
        </row>
        <row r="4531">
          <cell r="D4531" t="str">
            <v>de l'</v>
          </cell>
          <cell r="E4531" t="str">
            <v>ancienneté courante</v>
          </cell>
          <cell r="F4531" t="str">
            <v>en</v>
          </cell>
          <cell r="G4531" t="str">
            <v>année mois jours</v>
          </cell>
        </row>
        <row r="4532">
          <cell r="C4532" t="str">
            <v>jour</v>
          </cell>
          <cell r="D4532" t="str">
            <v>de l'</v>
          </cell>
          <cell r="E4532" t="str">
            <v>ancienneté courante</v>
          </cell>
        </row>
        <row r="4533">
          <cell r="D4533" t="str">
            <v>de la</v>
          </cell>
          <cell r="E4533" t="str">
            <v>balance</v>
          </cell>
        </row>
        <row r="4534">
          <cell r="D4534" t="str">
            <v>de l'</v>
          </cell>
          <cell r="E4534" t="str">
            <v>enregistrement</v>
          </cell>
        </row>
        <row r="4535">
          <cell r="C4535" t="str">
            <v>type</v>
          </cell>
          <cell r="D4535" t="str">
            <v>de</v>
          </cell>
          <cell r="E4535" t="str">
            <v>balance</v>
          </cell>
        </row>
        <row r="4536">
          <cell r="D4536" t="str">
            <v>de l'</v>
          </cell>
          <cell r="E4536" t="str">
            <v>exercice comptable</v>
          </cell>
        </row>
        <row r="4537">
          <cell r="D4537" t="str">
            <v>de l'</v>
          </cell>
          <cell r="E4537" t="str">
            <v>établissement</v>
          </cell>
        </row>
        <row r="4538">
          <cell r="D4538" t="str">
            <v>du</v>
          </cell>
          <cell r="E4538" t="str">
            <v>guichet de l'établissement</v>
          </cell>
        </row>
        <row r="4539">
          <cell r="C4539" t="str">
            <v>nature</v>
          </cell>
          <cell r="D4539" t="str">
            <v>de</v>
          </cell>
          <cell r="E4539" t="str">
            <v>comptabilité</v>
          </cell>
        </row>
        <row r="4540">
          <cell r="C4540" t="str">
            <v>type</v>
          </cell>
          <cell r="D4540" t="str">
            <v>de</v>
          </cell>
          <cell r="E4540" t="str">
            <v>comptabilité</v>
          </cell>
        </row>
        <row r="4541">
          <cell r="D4541" t="str">
            <v>de la</v>
          </cell>
          <cell r="E4541" t="str">
            <v>balance</v>
          </cell>
        </row>
        <row r="4542">
          <cell r="D4542" t="str">
            <v>du</v>
          </cell>
          <cell r="E4542" t="str">
            <v>compte général</v>
          </cell>
        </row>
        <row r="4543">
          <cell r="D4543" t="str">
            <v>du</v>
          </cell>
          <cell r="E4543" t="str">
            <v>compte général</v>
          </cell>
        </row>
        <row r="4544">
          <cell r="C4544" t="str">
            <v>type</v>
          </cell>
          <cell r="D4544" t="str">
            <v>de</v>
          </cell>
          <cell r="E4544" t="str">
            <v>compte auxiliaire</v>
          </cell>
        </row>
        <row r="4545">
          <cell r="D4545" t="str">
            <v>du</v>
          </cell>
          <cell r="E4545" t="str">
            <v>compte auxiliaire</v>
          </cell>
        </row>
        <row r="4546">
          <cell r="D4546" t="str">
            <v>du</v>
          </cell>
          <cell r="E4546" t="str">
            <v>compte auxiliaire</v>
          </cell>
        </row>
        <row r="4547">
          <cell r="D4547" t="str">
            <v>d'</v>
          </cell>
          <cell r="E4547" t="str">
            <v>agrégation</v>
          </cell>
        </row>
        <row r="4548">
          <cell r="D4548" t="str">
            <v xml:space="preserve"> </v>
          </cell>
          <cell r="E4548" t="str">
            <v>section</v>
          </cell>
        </row>
        <row r="4549">
          <cell r="D4549" t="str">
            <v xml:space="preserve"> </v>
          </cell>
          <cell r="E4549" t="str">
            <v>affaire</v>
          </cell>
        </row>
        <row r="4550">
          <cell r="D4550" t="str">
            <v xml:space="preserve"> </v>
          </cell>
          <cell r="E4550" t="str">
            <v>projet</v>
          </cell>
        </row>
        <row r="4551">
          <cell r="D4551" t="str">
            <v xml:space="preserve"> </v>
          </cell>
          <cell r="E4551" t="str">
            <v>couverture</v>
          </cell>
        </row>
        <row r="4552">
          <cell r="D4552" t="str">
            <v xml:space="preserve"> </v>
          </cell>
          <cell r="E4552" t="str">
            <v>canal</v>
          </cell>
        </row>
        <row r="4553">
          <cell r="D4553" t="str">
            <v xml:space="preserve"> </v>
          </cell>
          <cell r="E4553" t="str">
            <v>nature</v>
          </cell>
        </row>
        <row r="4554">
          <cell r="D4554" t="str">
            <v xml:space="preserve"> </v>
          </cell>
          <cell r="E4554" t="str">
            <v>type</v>
          </cell>
          <cell r="F4554" t="str">
            <v>d'</v>
          </cell>
          <cell r="G4554" t="str">
            <v>imputation</v>
          </cell>
        </row>
        <row r="4555">
          <cell r="D4555" t="str">
            <v xml:space="preserve"> </v>
          </cell>
          <cell r="E4555" t="str">
            <v>survenance</v>
          </cell>
        </row>
        <row r="4556">
          <cell r="D4556" t="str">
            <v xml:space="preserve"> </v>
          </cell>
          <cell r="E4556" t="str">
            <v>produit d'assurance</v>
          </cell>
        </row>
        <row r="4557">
          <cell r="D4557" t="str">
            <v xml:space="preserve"> </v>
          </cell>
          <cell r="E4557" t="str">
            <v>garantie</v>
          </cell>
        </row>
        <row r="4558">
          <cell r="D4558" t="str">
            <v xml:space="preserve"> </v>
          </cell>
          <cell r="E4558" t="str">
            <v>intermédiaire</v>
          </cell>
        </row>
        <row r="4559">
          <cell r="D4559" t="str">
            <v xml:space="preserve"> </v>
          </cell>
          <cell r="E4559" t="str">
            <v>portefeuille</v>
          </cell>
        </row>
        <row r="4560">
          <cell r="D4560" t="str">
            <v xml:space="preserve"> </v>
          </cell>
          <cell r="E4560" t="str">
            <v>taxe</v>
          </cell>
        </row>
        <row r="4561">
          <cell r="D4561" t="str">
            <v xml:space="preserve"> </v>
          </cell>
          <cell r="E4561" t="str">
            <v>périodicité</v>
          </cell>
        </row>
        <row r="4562">
          <cell r="D4562" t="str">
            <v xml:space="preserve"> </v>
          </cell>
          <cell r="E4562" t="str">
            <v>TVA</v>
          </cell>
        </row>
        <row r="4563">
          <cell r="D4563" t="str">
            <v xml:space="preserve"> </v>
          </cell>
          <cell r="E4563" t="str">
            <v>destination analytique</v>
          </cell>
        </row>
        <row r="4564">
          <cell r="D4564" t="str">
            <v xml:space="preserve"> </v>
          </cell>
          <cell r="E4564" t="str">
            <v>contrepartie</v>
          </cell>
        </row>
        <row r="4565">
          <cell r="D4565" t="str">
            <v xml:space="preserve"> </v>
          </cell>
          <cell r="E4565" t="str">
            <v>bénéficiaire</v>
          </cell>
        </row>
        <row r="4566">
          <cell r="D4566" t="str">
            <v xml:space="preserve"> </v>
          </cell>
          <cell r="E4566" t="str">
            <v>produit NELB</v>
          </cell>
        </row>
        <row r="4567">
          <cell r="D4567" t="str">
            <v xml:space="preserve"> </v>
          </cell>
          <cell r="E4567" t="str">
            <v>sous-produit d'assurance</v>
          </cell>
        </row>
        <row r="4568">
          <cell r="D4568" t="str">
            <v xml:space="preserve"> </v>
          </cell>
          <cell r="E4568" t="str">
            <v>rubrique</v>
          </cell>
        </row>
        <row r="4569">
          <cell r="D4569" t="str">
            <v xml:space="preserve"> </v>
          </cell>
          <cell r="E4569" t="str">
            <v>bien immobilier</v>
          </cell>
        </row>
        <row r="4570">
          <cell r="D4570" t="str">
            <v xml:space="preserve"> </v>
          </cell>
          <cell r="E4570" t="str">
            <v>client</v>
          </cell>
        </row>
        <row r="4571">
          <cell r="D4571" t="str">
            <v xml:space="preserve"> </v>
          </cell>
          <cell r="E4571" t="str">
            <v>dossier</v>
          </cell>
        </row>
        <row r="4572">
          <cell r="D4572" t="str">
            <v xml:space="preserve"> </v>
          </cell>
          <cell r="E4572" t="str">
            <v>bâtiment</v>
          </cell>
        </row>
        <row r="4573">
          <cell r="D4573" t="str">
            <v xml:space="preserve"> </v>
          </cell>
          <cell r="E4573" t="str">
            <v>nature</v>
          </cell>
          <cell r="F4573" t="str">
            <v>des</v>
          </cell>
          <cell r="G4573" t="str">
            <v>charges immobilier</v>
          </cell>
        </row>
        <row r="4574">
          <cell r="D4574" t="str">
            <v>du</v>
          </cell>
          <cell r="E4574" t="str">
            <v>débit</v>
          </cell>
        </row>
        <row r="4575">
          <cell r="D4575" t="str">
            <v>du</v>
          </cell>
          <cell r="E4575" t="str">
            <v>crédit</v>
          </cell>
        </row>
        <row r="4576">
          <cell r="D4576" t="str">
            <v>du</v>
          </cell>
          <cell r="E4576" t="str">
            <v>débit</v>
          </cell>
        </row>
        <row r="4577">
          <cell r="D4577" t="str">
            <v>du</v>
          </cell>
          <cell r="E4577" t="str">
            <v>crédit</v>
          </cell>
        </row>
        <row r="4578">
          <cell r="D4578" t="str">
            <v>du</v>
          </cell>
          <cell r="E4578" t="str">
            <v>débit</v>
          </cell>
        </row>
        <row r="4579">
          <cell r="D4579" t="str">
            <v>du</v>
          </cell>
          <cell r="E4579" t="str">
            <v>crédit</v>
          </cell>
        </row>
        <row r="4580">
          <cell r="D4580" t="str">
            <v>du</v>
          </cell>
          <cell r="E4580" t="str">
            <v>débit</v>
          </cell>
          <cell r="F4580" t="str">
            <v>de l'</v>
          </cell>
          <cell r="G4580" t="str">
            <v>année précédente</v>
          </cell>
        </row>
        <row r="4581">
          <cell r="D4581" t="str">
            <v>du</v>
          </cell>
          <cell r="E4581" t="str">
            <v>crédit</v>
          </cell>
          <cell r="F4581" t="str">
            <v>de l'</v>
          </cell>
          <cell r="G4581" t="str">
            <v>année précédente</v>
          </cell>
        </row>
        <row r="4582">
          <cell r="D4582" t="str">
            <v>du</v>
          </cell>
          <cell r="E4582" t="str">
            <v>débit</v>
          </cell>
          <cell r="F4582" t="str">
            <v>de l'</v>
          </cell>
          <cell r="G4582" t="str">
            <v>année précédente</v>
          </cell>
        </row>
        <row r="4583">
          <cell r="D4583" t="str">
            <v>du</v>
          </cell>
          <cell r="E4583" t="str">
            <v>crédit</v>
          </cell>
          <cell r="F4583" t="str">
            <v>de l'</v>
          </cell>
          <cell r="G4583" t="str">
            <v>année précédente</v>
          </cell>
        </row>
        <row r="4584">
          <cell r="D4584" t="str">
            <v>du</v>
          </cell>
          <cell r="E4584" t="str">
            <v>débit</v>
          </cell>
          <cell r="F4584" t="str">
            <v>de l'</v>
          </cell>
          <cell r="G4584" t="str">
            <v>année précédente</v>
          </cell>
        </row>
        <row r="4585">
          <cell r="D4585" t="str">
            <v>du</v>
          </cell>
          <cell r="E4585" t="str">
            <v>crédit</v>
          </cell>
          <cell r="F4585" t="str">
            <v>de l'</v>
          </cell>
          <cell r="G4585" t="str">
            <v>année précédente</v>
          </cell>
        </row>
        <row r="4586">
          <cell r="D4586" t="str">
            <v>de la</v>
          </cell>
          <cell r="E4586" t="str">
            <v>regroupement de taxes</v>
          </cell>
        </row>
        <row r="4587">
          <cell r="D4587" t="str">
            <v>de la</v>
          </cell>
          <cell r="E4587" t="str">
            <v>regroupement de taxes</v>
          </cell>
        </row>
        <row r="4588">
          <cell r="D4588" t="str">
            <v>de la</v>
          </cell>
          <cell r="E4588" t="str">
            <v>regroupement de taxes</v>
          </cell>
        </row>
        <row r="4589">
          <cell r="D4589" t="str">
            <v>de la</v>
          </cell>
          <cell r="E4589" t="str">
            <v>regroupement de taxes</v>
          </cell>
        </row>
        <row r="4590">
          <cell r="D4590" t="str">
            <v>de la</v>
          </cell>
          <cell r="E4590" t="str">
            <v>regroupement de taxes</v>
          </cell>
        </row>
        <row r="4591">
          <cell r="D4591" t="str">
            <v>de l'</v>
          </cell>
          <cell r="E4591" t="str">
            <v>application source</v>
          </cell>
          <cell r="F4591" t="str">
            <v>de la</v>
          </cell>
          <cell r="G4591" t="str">
            <v>regroupement de taxes</v>
          </cell>
        </row>
        <row r="4592">
          <cell r="D4592" t="str">
            <v>de la</v>
          </cell>
          <cell r="E4592" t="str">
            <v>taxe</v>
          </cell>
        </row>
        <row r="4593">
          <cell r="D4593" t="str">
            <v>de la</v>
          </cell>
          <cell r="E4593" t="str">
            <v>taxe</v>
          </cell>
        </row>
        <row r="4594">
          <cell r="D4594" t="str">
            <v>de la</v>
          </cell>
          <cell r="E4594" t="str">
            <v>Famille</v>
          </cell>
          <cell r="F4594" t="str">
            <v>de la</v>
          </cell>
          <cell r="G4594" t="str">
            <v>regroupement de taxes</v>
          </cell>
        </row>
        <row r="4595">
          <cell r="D4595" t="str">
            <v>de la</v>
          </cell>
          <cell r="E4595" t="str">
            <v>Nature</v>
          </cell>
          <cell r="F4595" t="str">
            <v>de la</v>
          </cell>
          <cell r="G4595" t="str">
            <v>regroupement de taxes</v>
          </cell>
        </row>
        <row r="4596">
          <cell r="D4596" t="str">
            <v>de la</v>
          </cell>
          <cell r="E4596" t="str">
            <v>créateur</v>
          </cell>
          <cell r="F4596" t="str">
            <v>de la</v>
          </cell>
          <cell r="G4596" t="str">
            <v>regroupement de taxes</v>
          </cell>
        </row>
        <row r="4597">
          <cell r="D4597" t="str">
            <v>du</v>
          </cell>
          <cell r="E4597" t="str">
            <v>création</v>
          </cell>
          <cell r="F4597" t="str">
            <v>de la</v>
          </cell>
          <cell r="G4597" t="str">
            <v>regroupement de taxes</v>
          </cell>
        </row>
        <row r="4598">
          <cell r="D4598" t="str">
            <v>et</v>
          </cell>
          <cell r="E4598" t="str">
            <v>Heure</v>
          </cell>
          <cell r="F4598" t="str">
            <v>de la</v>
          </cell>
          <cell r="G4598" t="str">
            <v>regroupement de taxes</v>
          </cell>
        </row>
        <row r="4599">
          <cell r="D4599" t="str">
            <v>de</v>
          </cell>
          <cell r="E4599" t="str">
            <v>Mise à jour</v>
          </cell>
          <cell r="F4599" t="str">
            <v>de la</v>
          </cell>
          <cell r="G4599" t="str">
            <v>regroupement de taxes</v>
          </cell>
        </row>
        <row r="4600">
          <cell r="D4600" t="str">
            <v>de la</v>
          </cell>
          <cell r="E4600" t="str">
            <v>Mise à jour</v>
          </cell>
          <cell r="F4600" t="str">
            <v>de la</v>
          </cell>
          <cell r="G4600" t="str">
            <v>regroupement de taxes</v>
          </cell>
        </row>
        <row r="4601">
          <cell r="D4601" t="str">
            <v>et</v>
          </cell>
          <cell r="E4601" t="str">
            <v>Heure</v>
          </cell>
          <cell r="F4601" t="str">
            <v>de la</v>
          </cell>
          <cell r="G4601" t="str">
            <v>modification</v>
          </cell>
          <cell r="H4601" t="str">
            <v>de la</v>
          </cell>
          <cell r="I4601" t="str">
            <v>regroupement de taxes</v>
          </cell>
        </row>
        <row r="4602">
          <cell r="D4602" t="str">
            <v>de la</v>
          </cell>
          <cell r="E4602" t="str">
            <v>vue</v>
          </cell>
        </row>
        <row r="4603">
          <cell r="D4603" t="str">
            <v>de la</v>
          </cell>
          <cell r="E4603" t="str">
            <v>contrainte</v>
          </cell>
        </row>
        <row r="4604">
          <cell r="D4604" t="str">
            <v>de la</v>
          </cell>
          <cell r="E4604" t="str">
            <v>colonne</v>
          </cell>
        </row>
        <row r="4605">
          <cell r="D4605" t="str">
            <v>d'</v>
          </cell>
          <cell r="E4605" t="str">
            <v>ordre</v>
          </cell>
        </row>
        <row r="4606">
          <cell r="D4606" t="str">
            <v>de la</v>
          </cell>
          <cell r="E4606" t="str">
            <v>table</v>
          </cell>
        </row>
        <row r="4607">
          <cell r="D4607" t="str">
            <v>de la</v>
          </cell>
          <cell r="E4607" t="str">
            <v>contrainte</v>
          </cell>
        </row>
        <row r="4608">
          <cell r="D4608" t="str">
            <v>de l'</v>
          </cell>
          <cell r="E4608" t="str">
            <v>est activé</v>
          </cell>
        </row>
        <row r="4609">
          <cell r="D4609" t="str">
            <v>du</v>
          </cell>
          <cell r="E4609" t="str">
            <v>schéma</v>
          </cell>
          <cell r="F4609" t="str">
            <v>de la</v>
          </cell>
          <cell r="G4609" t="str">
            <v>table</v>
          </cell>
        </row>
        <row r="4617">
          <cell r="D4617" t="str">
            <v>de la</v>
          </cell>
          <cell r="E4617" t="str">
            <v>destination analytique</v>
          </cell>
        </row>
        <row r="4618">
          <cell r="D4618" t="str">
            <v>de la</v>
          </cell>
          <cell r="E4618" t="str">
            <v>destination analytique</v>
          </cell>
        </row>
        <row r="4619">
          <cell r="D4619" t="str">
            <v>de la</v>
          </cell>
          <cell r="E4619" t="str">
            <v>destination analytique</v>
          </cell>
        </row>
        <row r="4620">
          <cell r="D4620" t="str">
            <v>de la</v>
          </cell>
          <cell r="E4620" t="str">
            <v>destination analytique</v>
          </cell>
        </row>
        <row r="4621">
          <cell r="D4621" t="str">
            <v>de la</v>
          </cell>
          <cell r="E4621" t="str">
            <v>destination analytique</v>
          </cell>
        </row>
        <row r="4622">
          <cell r="D4622" t="str">
            <v>de l'</v>
          </cell>
          <cell r="E4622" t="str">
            <v>application source</v>
          </cell>
          <cell r="F4622" t="str">
            <v>de la</v>
          </cell>
          <cell r="G4622" t="str">
            <v>destination analytique</v>
          </cell>
        </row>
        <row r="4623">
          <cell r="D4623" t="str">
            <v>de la</v>
          </cell>
          <cell r="E4623" t="str">
            <v>société d'assurance</v>
          </cell>
        </row>
        <row r="4624">
          <cell r="D4624" t="str">
            <v>de la</v>
          </cell>
          <cell r="E4624" t="str">
            <v>société d'assurance</v>
          </cell>
          <cell r="F4624" t="str">
            <v>de</v>
          </cell>
          <cell r="G4624" t="str">
            <v>regroupement</v>
          </cell>
        </row>
        <row r="4625">
          <cell r="D4625" t="str">
            <v>de la</v>
          </cell>
          <cell r="E4625" t="str">
            <v>société d'assurance</v>
          </cell>
          <cell r="F4625" t="str">
            <v>de la</v>
          </cell>
          <cell r="G4625" t="str">
            <v>garantie</v>
          </cell>
        </row>
        <row r="4626">
          <cell r="D4626" t="str">
            <v>de la</v>
          </cell>
          <cell r="E4626" t="str">
            <v>Succursale</v>
          </cell>
        </row>
        <row r="4627">
          <cell r="D4627" t="str">
            <v>de l'</v>
          </cell>
          <cell r="E4627" t="str">
            <v>établissement</v>
          </cell>
        </row>
        <row r="4628">
          <cell r="D4628" t="str">
            <v>du</v>
          </cell>
          <cell r="E4628" t="str">
            <v>guichet</v>
          </cell>
        </row>
        <row r="4629">
          <cell r="D4629" t="str">
            <v>de la</v>
          </cell>
          <cell r="E4629" t="str">
            <v>destination analytique</v>
          </cell>
        </row>
        <row r="4630">
          <cell r="D4630" t="str">
            <v>de la</v>
          </cell>
          <cell r="E4630" t="str">
            <v>destination analytique</v>
          </cell>
        </row>
        <row r="4631">
          <cell r="D4631" t="str">
            <v>d'</v>
          </cell>
          <cell r="E4631" t="str">
            <v>effet</v>
          </cell>
        </row>
        <row r="4632">
          <cell r="D4632" t="str">
            <v>d'</v>
          </cell>
          <cell r="E4632" t="str">
            <v>effet</v>
          </cell>
        </row>
        <row r="4633">
          <cell r="D4633" t="str">
            <v>de</v>
          </cell>
          <cell r="E4633" t="str">
            <v>Produit d'Assurance</v>
          </cell>
        </row>
        <row r="4634">
          <cell r="D4634" t="str">
            <v>du</v>
          </cell>
          <cell r="E4634" t="str">
            <v>Produit d'Assurance</v>
          </cell>
        </row>
        <row r="4635">
          <cell r="D4635" t="str">
            <v>de la</v>
          </cell>
          <cell r="E4635" t="str">
            <v>Société apéritrice</v>
          </cell>
        </row>
        <row r="4636">
          <cell r="D4636" t="str">
            <v>de la</v>
          </cell>
          <cell r="E4636" t="str">
            <v>Société apéritrice</v>
          </cell>
        </row>
        <row r="4637">
          <cell r="D4637" t="str">
            <v>de la</v>
          </cell>
          <cell r="E4637" t="str">
            <v>garantie</v>
          </cell>
        </row>
        <row r="4638">
          <cell r="D4638" t="str">
            <v>de la</v>
          </cell>
          <cell r="E4638" t="str">
            <v>rubrique</v>
          </cell>
        </row>
        <row r="4639">
          <cell r="D4639" t="str">
            <v>de la</v>
          </cell>
          <cell r="E4639" t="str">
            <v>Nature</v>
          </cell>
          <cell r="F4639" t="str">
            <v>du</v>
          </cell>
          <cell r="G4639" t="str">
            <v>support</v>
          </cell>
        </row>
        <row r="4640">
          <cell r="D4640" t="str">
            <v>de la</v>
          </cell>
          <cell r="E4640" t="str">
            <v>catégorie</v>
          </cell>
          <cell r="F4640" t="str">
            <v>de</v>
          </cell>
          <cell r="G4640" t="str">
            <v>ministère</v>
          </cell>
        </row>
        <row r="4641">
          <cell r="D4641" t="str">
            <v>de la</v>
          </cell>
          <cell r="E4641" t="str">
            <v>catégorie</v>
          </cell>
          <cell r="F4641" t="str">
            <v>de</v>
          </cell>
          <cell r="G4641" t="str">
            <v>ministère</v>
          </cell>
        </row>
        <row r="4642">
          <cell r="D4642" t="str">
            <v>de</v>
          </cell>
          <cell r="E4642" t="str">
            <v>ministère</v>
          </cell>
        </row>
        <row r="4643">
          <cell r="D4643" t="str">
            <v>de la</v>
          </cell>
          <cell r="E4643" t="str">
            <v>Sous Catégorie</v>
          </cell>
          <cell r="F4643" t="str">
            <v>de</v>
          </cell>
          <cell r="G4643" t="str">
            <v>ministère</v>
          </cell>
        </row>
        <row r="4644">
          <cell r="D4644" t="str">
            <v>du</v>
          </cell>
          <cell r="E4644" t="str">
            <v>LOB</v>
          </cell>
        </row>
        <row r="4645">
          <cell r="D4645" t="str">
            <v>du</v>
          </cell>
          <cell r="E4645" t="str">
            <v>LOB</v>
          </cell>
        </row>
        <row r="4646">
          <cell r="D4646" t="str">
            <v>de la</v>
          </cell>
          <cell r="E4646" t="str">
            <v>sous LOB</v>
          </cell>
        </row>
        <row r="4647">
          <cell r="D4647" t="str">
            <v>de la</v>
          </cell>
          <cell r="E4647" t="str">
            <v>sous LOB</v>
          </cell>
        </row>
        <row r="4648">
          <cell r="D4648" t="str">
            <v>de la</v>
          </cell>
          <cell r="E4648" t="str">
            <v>branche</v>
          </cell>
          <cell r="F4648" t="str">
            <v>de l'</v>
          </cell>
          <cell r="G4648" t="str">
            <v>agrément</v>
          </cell>
        </row>
        <row r="4649">
          <cell r="D4649" t="str">
            <v>de la</v>
          </cell>
          <cell r="E4649" t="str">
            <v>branche</v>
          </cell>
          <cell r="F4649" t="str">
            <v>de l'</v>
          </cell>
          <cell r="G4649" t="str">
            <v>agrément</v>
          </cell>
        </row>
        <row r="4650">
          <cell r="D4650" t="str">
            <v>de</v>
          </cell>
          <cell r="E4650" t="str">
            <v>Branche</v>
          </cell>
          <cell r="F4650" t="str">
            <v>de</v>
          </cell>
          <cell r="G4650" t="str">
            <v>regroupement</v>
          </cell>
        </row>
        <row r="4651">
          <cell r="D4651" t="str">
            <v>de la</v>
          </cell>
          <cell r="E4651" t="str">
            <v>branche</v>
          </cell>
          <cell r="F4651" t="str">
            <v>de</v>
          </cell>
          <cell r="G4651" t="str">
            <v>regroupement</v>
          </cell>
        </row>
        <row r="4652">
          <cell r="D4652" t="str">
            <v>sous</v>
          </cell>
          <cell r="E4652" t="str">
            <v>Branche</v>
          </cell>
          <cell r="F4652" t="str">
            <v>de</v>
          </cell>
          <cell r="G4652" t="str">
            <v>regroupement</v>
          </cell>
        </row>
        <row r="4653">
          <cell r="D4653" t="str">
            <v>sous</v>
          </cell>
          <cell r="E4653" t="str">
            <v>branche</v>
          </cell>
          <cell r="F4653" t="str">
            <v>de</v>
          </cell>
          <cell r="G4653" t="str">
            <v>regroupement</v>
          </cell>
        </row>
        <row r="4654">
          <cell r="D4654" t="str">
            <v>du</v>
          </cell>
          <cell r="E4654" t="str">
            <v>regroupement de niveau 1</v>
          </cell>
        </row>
        <row r="4655">
          <cell r="D4655" t="str">
            <v>du</v>
          </cell>
          <cell r="E4655" t="str">
            <v>regroupement de niveau 2</v>
          </cell>
        </row>
        <row r="4656">
          <cell r="D4656" t="str">
            <v>du</v>
          </cell>
          <cell r="E4656" t="str">
            <v>regroupement de niveau 3</v>
          </cell>
        </row>
        <row r="4657">
          <cell r="D4657" t="str">
            <v>du</v>
          </cell>
          <cell r="E4657" t="str">
            <v>regroupement de niveau 4</v>
          </cell>
        </row>
        <row r="4658">
          <cell r="D4658" t="str">
            <v>du</v>
          </cell>
          <cell r="E4658" t="str">
            <v>regroupement de niveau 5</v>
          </cell>
        </row>
        <row r="4659">
          <cell r="D4659" t="str">
            <v>de</v>
          </cell>
          <cell r="E4659" t="str">
            <v>granularité</v>
          </cell>
          <cell r="F4659" t="str">
            <v>de</v>
          </cell>
          <cell r="G4659" t="str">
            <v>calcul d’engagement</v>
          </cell>
        </row>
        <row r="4660">
          <cell r="D4660" t="str">
            <v>du</v>
          </cell>
          <cell r="E4660" t="str">
            <v>regroupement</v>
          </cell>
          <cell r="F4660" t="str">
            <v>de</v>
          </cell>
          <cell r="G4660" t="str">
            <v>comptabilité technique</v>
          </cell>
        </row>
        <row r="4661">
          <cell r="D4661" t="str">
            <v>du</v>
          </cell>
          <cell r="E4661" t="str">
            <v>portefeuille</v>
          </cell>
          <cell r="F4661" t="str">
            <v>de</v>
          </cell>
          <cell r="G4661" t="str">
            <v>passif</v>
          </cell>
        </row>
        <row r="4662">
          <cell r="D4662" t="str">
            <v>du</v>
          </cell>
          <cell r="E4662" t="str">
            <v>pays</v>
          </cell>
        </row>
        <row r="4663">
          <cell r="D4663" t="str">
            <v>du</v>
          </cell>
          <cell r="E4663" t="str">
            <v>portefeuille</v>
          </cell>
          <cell r="F4663" t="str">
            <v>de l'</v>
          </cell>
          <cell r="G4663" t="str">
            <v>actif</v>
          </cell>
          <cell r="H4663" t="str">
            <v>du</v>
          </cell>
          <cell r="I4663" t="str">
            <v>Produit d'Assurance</v>
          </cell>
        </row>
        <row r="4664">
          <cell r="D4664" t="str">
            <v>du</v>
          </cell>
          <cell r="E4664" t="str">
            <v>contexte</v>
          </cell>
        </row>
        <row r="4665">
          <cell r="D4665" t="str">
            <v>du</v>
          </cell>
          <cell r="E4665" t="str">
            <v>créateur</v>
          </cell>
        </row>
        <row r="4666">
          <cell r="D4666" t="str">
            <v>de la</v>
          </cell>
          <cell r="E4666" t="str">
            <v>destination analytique</v>
          </cell>
        </row>
        <row r="4667">
          <cell r="D4667" t="str">
            <v>de la</v>
          </cell>
          <cell r="E4667" t="str">
            <v>modification</v>
          </cell>
        </row>
        <row r="4668">
          <cell r="D4668" t="str">
            <v>de la</v>
          </cell>
          <cell r="E4668" t="str">
            <v>modification</v>
          </cell>
        </row>
        <row r="4669">
          <cell r="D4669" t="str">
            <v>du</v>
          </cell>
          <cell r="E4669" t="str">
            <v>motif</v>
          </cell>
          <cell r="F4669" t="str">
            <v>de la</v>
          </cell>
          <cell r="G4669" t="str">
            <v>modification</v>
          </cell>
        </row>
        <row r="4670">
          <cell r="D4670" t="str">
            <v>d'</v>
          </cell>
          <cell r="E4670" t="str">
            <v>effet</v>
          </cell>
          <cell r="F4670" t="str">
            <v>de la</v>
          </cell>
          <cell r="G4670" t="str">
            <v>dernière mise à jour</v>
          </cell>
        </row>
        <row r="4671">
          <cell r="D4671" t="str">
            <v>d'</v>
          </cell>
          <cell r="E4671" t="str">
            <v>effet</v>
          </cell>
          <cell r="F4671" t="str">
            <v>de la</v>
          </cell>
          <cell r="G4671" t="str">
            <v>dernière mise à jour</v>
          </cell>
        </row>
        <row r="4674">
          <cell r="D4674" t="str">
            <v>du</v>
          </cell>
          <cell r="E4674" t="str">
            <v>créateur</v>
          </cell>
        </row>
        <row r="4675">
          <cell r="D4675" t="str">
            <v>de la</v>
          </cell>
          <cell r="E4675" t="str">
            <v>destination analytique</v>
          </cell>
        </row>
        <row r="4676">
          <cell r="D4676" t="str">
            <v>de la</v>
          </cell>
          <cell r="E4676" t="str">
            <v>modification</v>
          </cell>
        </row>
        <row r="4677">
          <cell r="D4677" t="str">
            <v>de la</v>
          </cell>
          <cell r="E4677" t="str">
            <v>modification</v>
          </cell>
        </row>
        <row r="4678">
          <cell r="D4678" t="str">
            <v>du</v>
          </cell>
          <cell r="E4678" t="str">
            <v>motif</v>
          </cell>
          <cell r="F4678" t="str">
            <v>de la</v>
          </cell>
          <cell r="G4678" t="str">
            <v>modification</v>
          </cell>
        </row>
        <row r="4679">
          <cell r="D4679" t="str">
            <v>d'</v>
          </cell>
          <cell r="E4679" t="str">
            <v>effet</v>
          </cell>
          <cell r="F4679" t="str">
            <v>de la</v>
          </cell>
          <cell r="G4679" t="str">
            <v>dernière mise à jour</v>
          </cell>
        </row>
        <row r="4680">
          <cell r="D4680" t="str">
            <v>d'</v>
          </cell>
          <cell r="E4680" t="str">
            <v>effet</v>
          </cell>
          <cell r="F4680" t="str">
            <v>de la</v>
          </cell>
          <cell r="G4680" t="str">
            <v>dernière mise à jour</v>
          </cell>
        </row>
        <row r="4682">
          <cell r="D4682" t="str">
            <v>de la</v>
          </cell>
          <cell r="E4682" t="str">
            <v>garantie déclenchant une rente</v>
          </cell>
        </row>
        <row r="4683">
          <cell r="C4683" t="str">
            <v>version</v>
          </cell>
          <cell r="D4683" t="str">
            <v>de la</v>
          </cell>
          <cell r="E4683" t="str">
            <v>garantie</v>
          </cell>
        </row>
        <row r="4684">
          <cell r="D4684" t="str">
            <v>de la</v>
          </cell>
          <cell r="E4684" t="str">
            <v>couverture assurance</v>
          </cell>
        </row>
        <row r="4685">
          <cell r="D4685" t="str">
            <v>de la</v>
          </cell>
          <cell r="E4685" t="str">
            <v>précision de couverture</v>
          </cell>
        </row>
        <row r="4686">
          <cell r="D4686" t="str">
            <v>de l'</v>
          </cell>
          <cell r="E4686" t="str">
            <v>événement déclencheur</v>
          </cell>
          <cell r="F4686" t="str">
            <v>de la</v>
          </cell>
          <cell r="G4686" t="str">
            <v>garantie</v>
          </cell>
        </row>
        <row r="4687">
          <cell r="D4687" t="str">
            <v>du</v>
          </cell>
          <cell r="E4687" t="str">
            <v>contrat</v>
          </cell>
        </row>
        <row r="4688">
          <cell r="D4688" t="str">
            <v>de la</v>
          </cell>
          <cell r="E4688" t="str">
            <v>garantie IARD</v>
          </cell>
        </row>
        <row r="4689">
          <cell r="D4689" t="str">
            <v>de la</v>
          </cell>
          <cell r="E4689" t="str">
            <v>garantie</v>
          </cell>
        </row>
        <row r="4690">
          <cell r="D4690" t="str">
            <v>de la</v>
          </cell>
          <cell r="E4690" t="str">
            <v>profession</v>
          </cell>
          <cell r="F4690" t="str">
            <v>de l'</v>
          </cell>
          <cell r="G4690" t="str">
            <v>acteur</v>
          </cell>
          <cell r="H4690" t="str">
            <v>du</v>
          </cell>
          <cell r="I4690" t="str">
            <v>sinistre</v>
          </cell>
        </row>
        <row r="4691">
          <cell r="D4691" t="str">
            <v>du</v>
          </cell>
          <cell r="E4691" t="str">
            <v>sinistre</v>
          </cell>
        </row>
        <row r="4692">
          <cell r="D4692" t="str">
            <v>de la</v>
          </cell>
          <cell r="E4692" t="str">
            <v>garantie vie</v>
          </cell>
        </row>
        <row r="4693">
          <cell r="D4693" t="str">
            <v>de la</v>
          </cell>
          <cell r="E4693" t="str">
            <v>garantie</v>
          </cell>
        </row>
        <row r="4694">
          <cell r="C4694" t="str">
            <v>à payer</v>
          </cell>
          <cell r="D4694" t="str">
            <v>de la</v>
          </cell>
          <cell r="E4694" t="str">
            <v>garantie vie</v>
          </cell>
        </row>
        <row r="4695">
          <cell r="C4695" t="str">
            <v>à payer</v>
          </cell>
          <cell r="D4695" t="str">
            <v>de la</v>
          </cell>
          <cell r="E4695" t="str">
            <v>garantie iard</v>
          </cell>
        </row>
        <row r="4696">
          <cell r="C4696" t="str">
            <v>à payer</v>
          </cell>
          <cell r="D4696" t="str">
            <v>de la</v>
          </cell>
          <cell r="E4696" t="str">
            <v>garantie divers iard</v>
          </cell>
        </row>
        <row r="4697">
          <cell r="C4697" t="str">
            <v>à payer</v>
          </cell>
          <cell r="D4697" t="str">
            <v>de la</v>
          </cell>
          <cell r="E4697" t="str">
            <v>garantie divers vie</v>
          </cell>
        </row>
        <row r="4698">
          <cell r="C4698" t="str">
            <v>jour</v>
          </cell>
          <cell r="D4698" t="str">
            <v>pour</v>
          </cell>
          <cell r="E4698" t="str">
            <v>anticiper</v>
          </cell>
          <cell r="F4698" t="str">
            <v>le</v>
          </cell>
          <cell r="G4698" t="str">
            <v>traitement de prolongation</v>
          </cell>
          <cell r="H4698" t="str">
            <v xml:space="preserve"> </v>
          </cell>
        </row>
        <row r="4699">
          <cell r="D4699" t="str">
            <v>du</v>
          </cell>
          <cell r="E4699" t="str">
            <v>plafond sas</v>
          </cell>
        </row>
        <row r="4700">
          <cell r="D4700" t="str">
            <v>du</v>
          </cell>
          <cell r="E4700" t="str">
            <v>plafond sas</v>
          </cell>
        </row>
        <row r="4701">
          <cell r="D4701" t="str">
            <v>du</v>
          </cell>
          <cell r="E4701" t="str">
            <v>plafond sas</v>
          </cell>
        </row>
        <row r="4702">
          <cell r="D4702" t="str">
            <v>du</v>
          </cell>
          <cell r="E4702" t="str">
            <v>plafond sas</v>
          </cell>
        </row>
        <row r="4703">
          <cell r="D4703" t="str">
            <v>du</v>
          </cell>
          <cell r="E4703" t="str">
            <v>site d'origine</v>
          </cell>
          <cell r="F4703" t="str">
            <v>de la</v>
          </cell>
          <cell r="G4703" t="str">
            <v>donnée</v>
          </cell>
        </row>
        <row r="4704">
          <cell r="D4704" t="str">
            <v>de la</v>
          </cell>
          <cell r="E4704" t="str">
            <v>fédération</v>
          </cell>
        </row>
        <row r="4705">
          <cell r="D4705" t="str">
            <v>du</v>
          </cell>
          <cell r="E4705" t="str">
            <v>type</v>
          </cell>
          <cell r="F4705" t="str">
            <v>de</v>
          </cell>
          <cell r="G4705" t="str">
            <v>plafond sas</v>
          </cell>
        </row>
        <row r="4706">
          <cell r="D4706" t="str">
            <v>du</v>
          </cell>
          <cell r="E4706" t="str">
            <v>produit d'assurance</v>
          </cell>
        </row>
        <row r="4707">
          <cell r="D4707" t="str">
            <v>d'</v>
          </cell>
          <cell r="E4707" t="str">
            <v>effet</v>
          </cell>
          <cell r="F4707" t="str">
            <v>du</v>
          </cell>
          <cell r="G4707" t="str">
            <v>plafond sas</v>
          </cell>
        </row>
        <row r="4708">
          <cell r="D4708" t="str">
            <v>d'</v>
          </cell>
          <cell r="E4708" t="str">
            <v>effet</v>
          </cell>
          <cell r="F4708" t="str">
            <v>du</v>
          </cell>
          <cell r="G4708" t="str">
            <v>plafond sas</v>
          </cell>
        </row>
        <row r="4709">
          <cell r="D4709" t="str">
            <v>du</v>
          </cell>
          <cell r="E4709" t="str">
            <v>produit d'assurance</v>
          </cell>
        </row>
        <row r="4710">
          <cell r="C4710" t="str">
            <v>nature</v>
          </cell>
          <cell r="D4710" t="str">
            <v>du</v>
          </cell>
          <cell r="E4710" t="str">
            <v>plafond sas</v>
          </cell>
        </row>
        <row r="4711">
          <cell r="D4711" t="str">
            <v>de la</v>
          </cell>
          <cell r="E4711" t="str">
            <v>devise</v>
          </cell>
        </row>
        <row r="4712">
          <cell r="C4712" t="str">
            <v>limite</v>
          </cell>
          <cell r="D4712" t="str">
            <v>du</v>
          </cell>
          <cell r="E4712" t="str">
            <v>plafond sas</v>
          </cell>
        </row>
        <row r="4713">
          <cell r="C4713" t="str">
            <v>appliqué</v>
          </cell>
          <cell r="D4713" t="str">
            <v>du</v>
          </cell>
          <cell r="E4713" t="str">
            <v>plafond sas</v>
          </cell>
        </row>
        <row r="4714">
          <cell r="D4714" t="str">
            <v>du</v>
          </cell>
          <cell r="E4714" t="str">
            <v>coefficient multiplicateur</v>
          </cell>
          <cell r="F4714" t="str">
            <v>du</v>
          </cell>
          <cell r="G4714" t="str">
            <v>plafond sas</v>
          </cell>
        </row>
        <row r="4715">
          <cell r="C4715" t="str">
            <v>limite</v>
          </cell>
          <cell r="D4715" t="str">
            <v>du</v>
          </cell>
          <cell r="E4715" t="str">
            <v>plafond sas</v>
          </cell>
        </row>
        <row r="4716">
          <cell r="C4716" t="str">
            <v>appliqué</v>
          </cell>
          <cell r="D4716" t="str">
            <v>du</v>
          </cell>
          <cell r="E4716" t="str">
            <v>plafond sas</v>
          </cell>
        </row>
        <row r="4717">
          <cell r="D4717" t="str">
            <v>de l'</v>
          </cell>
          <cell r="E4717" t="str">
            <v>organisme SAS</v>
          </cell>
        </row>
        <row r="4718">
          <cell r="D4718" t="str">
            <v>de la</v>
          </cell>
          <cell r="E4718" t="str">
            <v>fédération</v>
          </cell>
          <cell r="F4718" t="str">
            <v>pour le</v>
          </cell>
          <cell r="G4718" t="str">
            <v>périmètre géographique</v>
          </cell>
        </row>
        <row r="4719">
          <cell r="D4719" t="str">
            <v>de la</v>
          </cell>
          <cell r="E4719" t="str">
            <v>banque</v>
          </cell>
          <cell r="F4719" t="str">
            <v>pour le</v>
          </cell>
          <cell r="G4719" t="str">
            <v>périmètre géographique</v>
          </cell>
        </row>
        <row r="4720">
          <cell r="D4720" t="str">
            <v>du</v>
          </cell>
          <cell r="E4720" t="str">
            <v>guichet de l'établissement</v>
          </cell>
          <cell r="F4720" t="str">
            <v>pour le</v>
          </cell>
          <cell r="G4720" t="str">
            <v>périmètre géographique</v>
          </cell>
        </row>
        <row r="4721">
          <cell r="D4721" t="str">
            <v>de l'</v>
          </cell>
          <cell r="E4721" t="str">
            <v>utilisation des bip</v>
          </cell>
        </row>
        <row r="4722">
          <cell r="D4722" t="str">
            <v>de l'</v>
          </cell>
          <cell r="E4722" t="str">
            <v>utilisation des bip</v>
          </cell>
        </row>
        <row r="4723">
          <cell r="D4723" t="str">
            <v>de l'</v>
          </cell>
          <cell r="E4723" t="str">
            <v>utilisation des bip</v>
          </cell>
        </row>
        <row r="4724">
          <cell r="D4724" t="str">
            <v>de l'</v>
          </cell>
          <cell r="E4724" t="str">
            <v>utilisation des bip</v>
          </cell>
        </row>
        <row r="4725">
          <cell r="D4725" t="str">
            <v>de la</v>
          </cell>
          <cell r="E4725" t="str">
            <v>carte bip</v>
          </cell>
        </row>
        <row r="4726">
          <cell r="D4726" t="str">
            <v>du</v>
          </cell>
          <cell r="E4726" t="str">
            <v>code d'accès</v>
          </cell>
        </row>
        <row r="4727">
          <cell r="C4727" t="str">
            <v>sas</v>
          </cell>
          <cell r="D4727" t="str">
            <v>de la</v>
          </cell>
          <cell r="E4727" t="str">
            <v>carte bip</v>
          </cell>
        </row>
        <row r="4728">
          <cell r="C4728" t="str">
            <v>première utilisation</v>
          </cell>
          <cell r="D4728" t="str">
            <v>de la</v>
          </cell>
          <cell r="E4728" t="str">
            <v>carte bip</v>
          </cell>
        </row>
        <row r="4729">
          <cell r="C4729" t="str">
            <v>première utilisation</v>
          </cell>
          <cell r="D4729" t="str">
            <v>de la</v>
          </cell>
          <cell r="E4729" t="str">
            <v>carte bip</v>
          </cell>
        </row>
        <row r="4730">
          <cell r="C4730" t="str">
            <v>dernière utilisation</v>
          </cell>
          <cell r="D4730" t="str">
            <v>de la</v>
          </cell>
          <cell r="E4730" t="str">
            <v>carte bip</v>
          </cell>
        </row>
        <row r="4731">
          <cell r="C4731" t="str">
            <v>dernière utilisation</v>
          </cell>
          <cell r="D4731" t="str">
            <v>de la</v>
          </cell>
          <cell r="E4731" t="str">
            <v>carte bip</v>
          </cell>
        </row>
        <row r="4732">
          <cell r="D4732" t="str">
            <v>du</v>
          </cell>
          <cell r="E4732" t="str">
            <v>plafond sas</v>
          </cell>
        </row>
        <row r="4733">
          <cell r="D4733" t="str">
            <v>du</v>
          </cell>
          <cell r="E4733" t="str">
            <v>code d'accès</v>
          </cell>
        </row>
        <row r="4734">
          <cell r="D4734" t="str">
            <v>de l'</v>
          </cell>
          <cell r="E4734" t="str">
            <v>Entité gestionnaire</v>
          </cell>
        </row>
        <row r="4735">
          <cell r="D4735" t="str">
            <v>du</v>
          </cell>
          <cell r="E4735" t="str">
            <v>regroupement</v>
          </cell>
          <cell r="F4735" t="str">
            <v>des</v>
          </cell>
          <cell r="G4735" t="str">
            <v>code sas</v>
          </cell>
        </row>
        <row r="4736">
          <cell r="C4736" t="str">
            <v>dernier</v>
          </cell>
          <cell r="D4736" t="str">
            <v>de l'</v>
          </cell>
          <cell r="E4736" t="str">
            <v>ordinateur</v>
          </cell>
        </row>
        <row r="4737">
          <cell r="D4737" t="str">
            <v>de la</v>
          </cell>
          <cell r="E4737" t="str">
            <v>source applicative</v>
          </cell>
        </row>
        <row r="4738">
          <cell r="D4738" t="str">
            <v>de la</v>
          </cell>
          <cell r="E4738" t="str">
            <v>communauté SAS</v>
          </cell>
        </row>
        <row r="4739">
          <cell r="D4739" t="str">
            <v>de la</v>
          </cell>
          <cell r="E4739" t="str">
            <v>communauté SAS</v>
          </cell>
        </row>
        <row r="4740">
          <cell r="D4740" t="str">
            <v>de la</v>
          </cell>
          <cell r="E4740" t="str">
            <v>communauté SAS</v>
          </cell>
        </row>
        <row r="4741">
          <cell r="D4741" t="str">
            <v>de la</v>
          </cell>
          <cell r="E4741" t="str">
            <v>communauté SAS</v>
          </cell>
        </row>
        <row r="4742">
          <cell r="D4742" t="str">
            <v>d'</v>
          </cell>
          <cell r="E4742" t="str">
            <v>effet</v>
          </cell>
          <cell r="F4742" t="str">
            <v>du</v>
          </cell>
          <cell r="G4742" t="str">
            <v>code d'accès</v>
          </cell>
        </row>
        <row r="4743">
          <cell r="D4743" t="str">
            <v>d'</v>
          </cell>
          <cell r="E4743" t="str">
            <v>effet</v>
          </cell>
          <cell r="F4743" t="str">
            <v>du</v>
          </cell>
          <cell r="G4743" t="str">
            <v>code d'accès</v>
          </cell>
        </row>
        <row r="4744">
          <cell r="D4744" t="str">
            <v>du</v>
          </cell>
          <cell r="E4744" t="str">
            <v>service responsable</v>
          </cell>
        </row>
        <row r="4745">
          <cell r="D4745" t="str">
            <v>de la</v>
          </cell>
          <cell r="E4745" t="str">
            <v>facturation</v>
          </cell>
        </row>
        <row r="4746">
          <cell r="D4746" t="str">
            <v>de l'</v>
          </cell>
          <cell r="E4746" t="str">
            <v>ordinateur</v>
          </cell>
        </row>
        <row r="4747">
          <cell r="D4747" t="str">
            <v>de l'</v>
          </cell>
          <cell r="E4747" t="str">
            <v>application</v>
          </cell>
          <cell r="F4747" t="str">
            <v>de</v>
          </cell>
          <cell r="G4747" t="str">
            <v>connexion</v>
          </cell>
        </row>
        <row r="4748">
          <cell r="C4748" t="str">
            <v>téléphone</v>
          </cell>
          <cell r="D4748" t="str">
            <v>du</v>
          </cell>
          <cell r="E4748" t="str">
            <v>code d'accès</v>
          </cell>
        </row>
        <row r="4749">
          <cell r="D4749" t="str">
            <v>de la</v>
          </cell>
          <cell r="E4749" t="str">
            <v>responsabilité</v>
          </cell>
          <cell r="F4749" t="str">
            <v>de la</v>
          </cell>
          <cell r="G4749" t="str">
            <v>personne</v>
          </cell>
        </row>
        <row r="4750">
          <cell r="D4750" t="str">
            <v>de la</v>
          </cell>
          <cell r="E4750" t="str">
            <v>localisation</v>
          </cell>
          <cell r="F4750" t="str">
            <v>de la</v>
          </cell>
          <cell r="G4750" t="str">
            <v>personne</v>
          </cell>
        </row>
        <row r="4751">
          <cell r="D4751" t="str">
            <v>du</v>
          </cell>
          <cell r="E4751" t="str">
            <v>niveau</v>
          </cell>
          <cell r="F4751" t="str">
            <v>du</v>
          </cell>
          <cell r="G4751" t="str">
            <v>administrateur mot de passe</v>
          </cell>
        </row>
        <row r="4754">
          <cell r="D4754" t="str">
            <v>des</v>
          </cell>
          <cell r="E4754" t="str">
            <v>événements LSRH des employés</v>
          </cell>
        </row>
        <row r="4755">
          <cell r="D4755" t="str">
            <v>des</v>
          </cell>
          <cell r="E4755" t="str">
            <v>événements LSRH des employés</v>
          </cell>
        </row>
        <row r="4756">
          <cell r="D4756" t="str">
            <v>des</v>
          </cell>
          <cell r="E4756" t="str">
            <v>événements LSRH des employés</v>
          </cell>
        </row>
        <row r="4757">
          <cell r="C4757" t="str">
            <v>dernière image</v>
          </cell>
          <cell r="D4757" t="str">
            <v>des</v>
          </cell>
          <cell r="E4757" t="str">
            <v>événements LSRH des employés</v>
          </cell>
        </row>
        <row r="4758">
          <cell r="D4758" t="str">
            <v>de l'</v>
          </cell>
          <cell r="E4758" t="str">
            <v>employé</v>
          </cell>
        </row>
        <row r="4759">
          <cell r="D4759" t="str">
            <v>de l'</v>
          </cell>
          <cell r="E4759" t="str">
            <v>employé</v>
          </cell>
        </row>
        <row r="4760">
          <cell r="D4760" t="str">
            <v>de l'</v>
          </cell>
          <cell r="E4760" t="str">
            <v>employé</v>
          </cell>
        </row>
        <row r="4761">
          <cell r="D4761" t="str">
            <v>de l'</v>
          </cell>
          <cell r="E4761" t="str">
            <v>employé</v>
          </cell>
        </row>
        <row r="4762">
          <cell r="D4762" t="str">
            <v>de l'</v>
          </cell>
          <cell r="E4762" t="str">
            <v>employé</v>
          </cell>
        </row>
        <row r="4763">
          <cell r="D4763" t="str">
            <v>de l'</v>
          </cell>
          <cell r="E4763" t="str">
            <v>employé</v>
          </cell>
        </row>
        <row r="4764">
          <cell r="D4764" t="str">
            <v>des</v>
          </cell>
          <cell r="E4764" t="str">
            <v>événements LSRH des employés</v>
          </cell>
        </row>
        <row r="4765">
          <cell r="D4765" t="str">
            <v>des</v>
          </cell>
          <cell r="E4765" t="str">
            <v>événements LSRH des employés</v>
          </cell>
        </row>
        <row r="4766">
          <cell r="D4766" t="str">
            <v>des</v>
          </cell>
          <cell r="E4766" t="str">
            <v>événements LSRH des employés</v>
          </cell>
        </row>
        <row r="4767">
          <cell r="D4767" t="str">
            <v>du</v>
          </cell>
          <cell r="E4767" t="str">
            <v>jour</v>
          </cell>
        </row>
        <row r="4768">
          <cell r="C4768" t="str">
            <v>absence</v>
          </cell>
          <cell r="D4768" t="str">
            <v xml:space="preserve"> </v>
          </cell>
          <cell r="E4768" t="str">
            <v>matin</v>
          </cell>
          <cell r="F4768" t="str">
            <v>du</v>
          </cell>
          <cell r="G4768" t="str">
            <v>jour</v>
          </cell>
        </row>
        <row r="4769">
          <cell r="C4769" t="str">
            <v>absence</v>
          </cell>
          <cell r="D4769" t="str">
            <v xml:space="preserve"> </v>
          </cell>
          <cell r="E4769" t="str">
            <v>après-midi</v>
          </cell>
          <cell r="F4769" t="str">
            <v>du</v>
          </cell>
          <cell r="G4769" t="str">
            <v>jour</v>
          </cell>
        </row>
        <row r="4770">
          <cell r="D4770" t="str">
            <v>de l'</v>
          </cell>
          <cell r="E4770" t="str">
            <v>utilisateur</v>
          </cell>
          <cell r="F4770" t="str">
            <v>de la</v>
          </cell>
          <cell r="G4770" t="str">
            <v>dernière mise à jour</v>
          </cell>
        </row>
        <row r="4771">
          <cell r="D4771" t="str">
            <v>de la</v>
          </cell>
          <cell r="E4771" t="str">
            <v>dernière mise à jour</v>
          </cell>
        </row>
        <row r="4772">
          <cell r="C4772" t="str">
            <v>théorique</v>
          </cell>
          <cell r="D4772" t="str">
            <v>du</v>
          </cell>
          <cell r="E4772" t="str">
            <v>jour</v>
          </cell>
        </row>
        <row r="4773">
          <cell r="D4773" t="str">
            <v>des</v>
          </cell>
          <cell r="E4773" t="str">
            <v>comptes et habilitations des collaborateurs</v>
          </cell>
        </row>
        <row r="4774">
          <cell r="D4774" t="str">
            <v>des</v>
          </cell>
          <cell r="E4774" t="str">
            <v>comptes et habilitations des collaborateurs</v>
          </cell>
        </row>
        <row r="4775">
          <cell r="D4775" t="str">
            <v>des</v>
          </cell>
          <cell r="E4775" t="str">
            <v>comptes et habilitations des collaborateurs</v>
          </cell>
        </row>
        <row r="4776">
          <cell r="C4776" t="str">
            <v>dernière image</v>
          </cell>
          <cell r="D4776" t="str">
            <v>des</v>
          </cell>
          <cell r="E4776" t="str">
            <v>comptes et habilitations des collaborateurs</v>
          </cell>
        </row>
        <row r="4777">
          <cell r="D4777" t="str">
            <v>du</v>
          </cell>
          <cell r="E4777" t="str">
            <v>site d'origine</v>
          </cell>
        </row>
        <row r="4778">
          <cell r="C4778" t="str">
            <v>relation</v>
          </cell>
          <cell r="D4778" t="str">
            <v>entre</v>
          </cell>
          <cell r="E4778" t="str">
            <v>compte</v>
          </cell>
          <cell r="F4778" t="str">
            <v>et</v>
          </cell>
          <cell r="G4778" t="str">
            <v>utilisateur</v>
          </cell>
        </row>
        <row r="4779">
          <cell r="C4779" t="str">
            <v>relation</v>
          </cell>
          <cell r="D4779" t="str">
            <v>entre</v>
          </cell>
          <cell r="E4779" t="str">
            <v>compte</v>
          </cell>
          <cell r="F4779" t="str">
            <v>et</v>
          </cell>
          <cell r="G4779" t="str">
            <v>utilisateur</v>
          </cell>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D4782" t="str">
            <v>de l'</v>
          </cell>
          <cell r="E4782" t="str">
            <v>utilisateur</v>
          </cell>
        </row>
        <row r="4783">
          <cell r="D4783" t="str">
            <v xml:space="preserve"> </v>
          </cell>
          <cell r="E4783" t="str">
            <v>GRG</v>
          </cell>
          <cell r="F4783" t="str">
            <v>de l'</v>
          </cell>
          <cell r="G4783" t="str">
            <v>utilisateur</v>
          </cell>
        </row>
        <row r="4784">
          <cell r="D4784" t="str">
            <v>de l'</v>
          </cell>
          <cell r="E4784" t="str">
            <v>utilisateur</v>
          </cell>
        </row>
        <row r="4785">
          <cell r="D4785" t="str">
            <v>de l'</v>
          </cell>
          <cell r="E4785" t="str">
            <v>utilisateur</v>
          </cell>
        </row>
        <row r="4786">
          <cell r="C4786" t="str">
            <v>état</v>
          </cell>
          <cell r="D4786" t="str">
            <v>de l'</v>
          </cell>
          <cell r="E4786" t="str">
            <v>utilisateur</v>
          </cell>
        </row>
        <row r="4787">
          <cell r="D4787" t="str">
            <v xml:space="preserve"> </v>
          </cell>
          <cell r="E4787" t="str">
            <v>suspension de l'utilisateur</v>
          </cell>
        </row>
        <row r="4788">
          <cell r="D4788" t="str">
            <v xml:space="preserve"> </v>
          </cell>
          <cell r="E4788" t="str">
            <v>invariant</v>
          </cell>
        </row>
        <row r="4789">
          <cell r="D4789" t="str">
            <v>du</v>
          </cell>
          <cell r="E4789" t="str">
            <v>PVA employeur</v>
          </cell>
        </row>
        <row r="4790">
          <cell r="D4790" t="str">
            <v>du</v>
          </cell>
          <cell r="E4790" t="str">
            <v>compte HIP</v>
          </cell>
        </row>
        <row r="4791">
          <cell r="D4791" t="str">
            <v xml:space="preserve"> </v>
          </cell>
          <cell r="E4791" t="str">
            <v>BAL interne</v>
          </cell>
        </row>
        <row r="4792">
          <cell r="D4792" t="str">
            <v>du</v>
          </cell>
          <cell r="E4792" t="str">
            <v>mode de connexion</v>
          </cell>
        </row>
        <row r="4793">
          <cell r="D4793" t="str">
            <v>du</v>
          </cell>
          <cell r="E4793" t="str">
            <v>mode de connexion</v>
          </cell>
        </row>
        <row r="4794">
          <cell r="D4794" t="str">
            <v>de la</v>
          </cell>
          <cell r="E4794" t="str">
            <v>localisation géographique</v>
          </cell>
        </row>
        <row r="4795">
          <cell r="C4795" t="str">
            <v>téléphone professionnel</v>
          </cell>
          <cell r="D4795" t="str">
            <v>de l'</v>
          </cell>
          <cell r="E4795" t="str">
            <v>utilisateur</v>
          </cell>
        </row>
        <row r="4796">
          <cell r="C4796" t="str">
            <v>principal</v>
          </cell>
          <cell r="D4796" t="str">
            <v>de l'</v>
          </cell>
          <cell r="E4796" t="str">
            <v>utilisateur</v>
          </cell>
        </row>
        <row r="4797">
          <cell r="C4797" t="str">
            <v>qualité</v>
          </cell>
          <cell r="D4797" t="str">
            <v>de l'</v>
          </cell>
          <cell r="E4797" t="str">
            <v>utilisateur</v>
          </cell>
        </row>
        <row r="4798">
          <cell r="C4798" t="str">
            <v>qualité</v>
          </cell>
          <cell r="D4798" t="str">
            <v>de l'</v>
          </cell>
          <cell r="E4798" t="str">
            <v>utilisateur</v>
          </cell>
        </row>
        <row r="4799">
          <cell r="D4799" t="str">
            <v>de la</v>
          </cell>
          <cell r="E4799" t="str">
            <v>section</v>
          </cell>
        </row>
        <row r="4800">
          <cell r="D4800" t="str">
            <v>du</v>
          </cell>
          <cell r="E4800" t="str">
            <v>compte</v>
          </cell>
          <cell r="F4800" t="str">
            <v>du</v>
          </cell>
          <cell r="G4800" t="str">
            <v>responsable</v>
          </cell>
        </row>
        <row r="4801">
          <cell r="D4801" t="str">
            <v xml:space="preserve"> </v>
          </cell>
          <cell r="E4801" t="str">
            <v>courant</v>
          </cell>
        </row>
        <row r="4802">
          <cell r="D4802" t="str">
            <v>de la</v>
          </cell>
          <cell r="E4802" t="str">
            <v>profession</v>
          </cell>
          <cell r="F4802" t="str">
            <v>de l'</v>
          </cell>
          <cell r="G4802" t="str">
            <v>employé</v>
          </cell>
        </row>
        <row r="4803">
          <cell r="D4803" t="str">
            <v>de</v>
          </cell>
          <cell r="E4803" t="str">
            <v>société d'appartenance</v>
          </cell>
        </row>
        <row r="4804">
          <cell r="D4804" t="str">
            <v xml:space="preserve"> </v>
          </cell>
          <cell r="E4804" t="str">
            <v>usuel</v>
          </cell>
        </row>
        <row r="4805">
          <cell r="D4805" t="str">
            <v xml:space="preserve"> </v>
          </cell>
          <cell r="E4805" t="str">
            <v>usuel</v>
          </cell>
        </row>
        <row r="4806">
          <cell r="D4806" t="str">
            <v>de la</v>
          </cell>
          <cell r="E4806" t="str">
            <v>carte BIP</v>
          </cell>
          <cell r="F4806" t="str">
            <v>de la</v>
          </cell>
          <cell r="G4806" t="str">
            <v>carte BIP</v>
          </cell>
        </row>
        <row r="4807">
          <cell r="D4807" t="str">
            <v>de la</v>
          </cell>
          <cell r="E4807" t="str">
            <v>première utilisation</v>
          </cell>
        </row>
        <row r="4808">
          <cell r="D4808" t="str">
            <v>de la</v>
          </cell>
          <cell r="E4808" t="str">
            <v>carte BIP</v>
          </cell>
        </row>
        <row r="4809">
          <cell r="D4809" t="str">
            <v xml:space="preserve"> </v>
          </cell>
          <cell r="E4809" t="str">
            <v>invariant</v>
          </cell>
          <cell r="F4809" t="str">
            <v>pour l'</v>
          </cell>
          <cell r="G4809" t="str">
            <v>actif supprimable</v>
          </cell>
        </row>
        <row r="4810">
          <cell r="D4810" t="str">
            <v>du</v>
          </cell>
          <cell r="E4810" t="str">
            <v>compte</v>
          </cell>
        </row>
        <row r="4811">
          <cell r="D4811" t="str">
            <v>du</v>
          </cell>
          <cell r="E4811" t="str">
            <v>bâtiment</v>
          </cell>
        </row>
        <row r="4812">
          <cell r="D4812" t="str">
            <v>d'</v>
          </cell>
          <cell r="E4812" t="str">
            <v>étage</v>
          </cell>
        </row>
        <row r="4813">
          <cell r="D4813" t="str">
            <v>de l'</v>
          </cell>
          <cell r="E4813" t="str">
            <v>entité propriétaire de l'objet</v>
          </cell>
        </row>
        <row r="4814">
          <cell r="D4814" t="str">
            <v>de l'</v>
          </cell>
          <cell r="E4814" t="str">
            <v>GRG propriétaire de l'objet</v>
          </cell>
        </row>
        <row r="4815">
          <cell r="D4815" t="str">
            <v>du</v>
          </cell>
          <cell r="E4815" t="str">
            <v>code d'accès</v>
          </cell>
        </row>
        <row r="4816">
          <cell r="D4816" t="str">
            <v>du</v>
          </cell>
          <cell r="E4816" t="str">
            <v>code d'accès</v>
          </cell>
        </row>
        <row r="4817">
          <cell r="D4817" t="str">
            <v>du</v>
          </cell>
          <cell r="E4817" t="str">
            <v>code d'accès</v>
          </cell>
        </row>
        <row r="4818">
          <cell r="D4818" t="str">
            <v>du</v>
          </cell>
          <cell r="E4818" t="str">
            <v>code d'accès</v>
          </cell>
        </row>
        <row r="4819">
          <cell r="D4819" t="str">
            <v>du</v>
          </cell>
          <cell r="E4819" t="str">
            <v>code d'accès</v>
          </cell>
        </row>
        <row r="4820">
          <cell r="D4820" t="str">
            <v>de la</v>
          </cell>
          <cell r="E4820" t="str">
            <v>section analytique</v>
          </cell>
        </row>
        <row r="4821">
          <cell r="D4821" t="str">
            <v>du</v>
          </cell>
          <cell r="E4821" t="str">
            <v>portail bureau par défaut</v>
          </cell>
        </row>
        <row r="4822">
          <cell r="D4822" t="str">
            <v>du</v>
          </cell>
          <cell r="E4822" t="str">
            <v>code d'accès</v>
          </cell>
        </row>
        <row r="4823">
          <cell r="D4823" t="str">
            <v>du</v>
          </cell>
          <cell r="E4823" t="str">
            <v>code d'accès</v>
          </cell>
        </row>
        <row r="4824">
          <cell r="D4824" t="str">
            <v>de la</v>
          </cell>
          <cell r="E4824" t="str">
            <v>fédération</v>
          </cell>
        </row>
        <row r="4825">
          <cell r="D4825" t="str">
            <v>de l'</v>
          </cell>
          <cell r="E4825" t="str">
            <v>établissement</v>
          </cell>
        </row>
        <row r="4826">
          <cell r="D4826" t="str">
            <v>du</v>
          </cell>
          <cell r="E4826" t="str">
            <v>guichet de l'établissement</v>
          </cell>
        </row>
        <row r="4827">
          <cell r="D4827" t="str">
            <v>de</v>
          </cell>
          <cell r="E4827" t="str">
            <v>connexion</v>
          </cell>
        </row>
        <row r="4828">
          <cell r="D4828" t="str">
            <v>de</v>
          </cell>
          <cell r="E4828" t="str">
            <v>connexion</v>
          </cell>
        </row>
        <row r="4829">
          <cell r="D4829" t="str">
            <v>du</v>
          </cell>
          <cell r="E4829" t="str">
            <v>site de connexion</v>
          </cell>
        </row>
        <row r="4830">
          <cell r="D4830" t="str">
            <v>de</v>
          </cell>
          <cell r="E4830" t="str">
            <v>responsabilité</v>
          </cell>
          <cell r="F4830" t="str">
            <v>de la</v>
          </cell>
          <cell r="G4830" t="str">
            <v>personne</v>
          </cell>
        </row>
        <row r="4831">
          <cell r="D4831" t="str">
            <v>de la</v>
          </cell>
          <cell r="E4831" t="str">
            <v>localisation</v>
          </cell>
          <cell r="F4831" t="str">
            <v>de la</v>
          </cell>
          <cell r="G4831" t="str">
            <v>personne</v>
          </cell>
        </row>
        <row r="4832">
          <cell r="D4832" t="str">
            <v>du</v>
          </cell>
          <cell r="E4832" t="str">
            <v>compteur de ressources</v>
          </cell>
        </row>
        <row r="4833">
          <cell r="D4833" t="str">
            <v>du</v>
          </cell>
          <cell r="E4833" t="str">
            <v>profil affecté</v>
          </cell>
        </row>
        <row r="4834">
          <cell r="D4834" t="str">
            <v>du</v>
          </cell>
          <cell r="E4834" t="str">
            <v>profil affecté</v>
          </cell>
        </row>
        <row r="4835">
          <cell r="D4835" t="str">
            <v>du</v>
          </cell>
          <cell r="E4835" t="str">
            <v>profil affecté</v>
          </cell>
        </row>
        <row r="4836">
          <cell r="D4836" t="str">
            <v>du</v>
          </cell>
          <cell r="E4836" t="str">
            <v>profil affecté</v>
          </cell>
        </row>
        <row r="4837">
          <cell r="D4837" t="str">
            <v xml:space="preserve"> </v>
          </cell>
          <cell r="E4837" t="str">
            <v>GPS associé existant</v>
          </cell>
        </row>
        <row r="4838">
          <cell r="D4838" t="str">
            <v>du</v>
          </cell>
          <cell r="E4838" t="str">
            <v>GRP affecté</v>
          </cell>
        </row>
        <row r="4839">
          <cell r="D4839" t="str">
            <v>du</v>
          </cell>
          <cell r="E4839" t="str">
            <v>GRP affecté</v>
          </cell>
        </row>
        <row r="4840">
          <cell r="D4840" t="str">
            <v>du</v>
          </cell>
          <cell r="E4840" t="str">
            <v>GRP affecté</v>
          </cell>
        </row>
        <row r="4841">
          <cell r="D4841" t="str">
            <v>du</v>
          </cell>
          <cell r="E4841" t="str">
            <v>GRP affecté</v>
          </cell>
        </row>
        <row r="4842">
          <cell r="D4842" t="str">
            <v>de la</v>
          </cell>
          <cell r="E4842" t="str">
            <v>restriction affectée</v>
          </cell>
        </row>
        <row r="4843">
          <cell r="D4843" t="str">
            <v>de la</v>
          </cell>
          <cell r="E4843" t="str">
            <v>restriction affectée</v>
          </cell>
        </row>
        <row r="4844">
          <cell r="D4844" t="str">
            <v>de la</v>
          </cell>
          <cell r="E4844" t="str">
            <v>tâche concernée</v>
          </cell>
        </row>
        <row r="4845">
          <cell r="D4845" t="str">
            <v>de la</v>
          </cell>
          <cell r="E4845" t="str">
            <v>tâche concernée</v>
          </cell>
        </row>
        <row r="4846">
          <cell r="D4846" t="str">
            <v>de la</v>
          </cell>
          <cell r="E4846" t="str">
            <v>ressource associée</v>
          </cell>
        </row>
        <row r="4847">
          <cell r="D4847" t="str">
            <v>de la</v>
          </cell>
          <cell r="E4847" t="str">
            <v>ressource associée</v>
          </cell>
        </row>
        <row r="4848">
          <cell r="D4848" t="str">
            <v>du</v>
          </cell>
          <cell r="E4848" t="str">
            <v>sens de la restriction</v>
          </cell>
        </row>
        <row r="4849">
          <cell r="D4849" t="str">
            <v>du</v>
          </cell>
          <cell r="E4849" t="str">
            <v>compteur GPO</v>
          </cell>
        </row>
        <row r="4850">
          <cell r="D4850" t="str">
            <v>du</v>
          </cell>
          <cell r="E4850" t="str">
            <v>compteur GPO</v>
          </cell>
        </row>
        <row r="4851">
          <cell r="D4851" t="str">
            <v>du</v>
          </cell>
          <cell r="E4851" t="str">
            <v>compteur GPO</v>
          </cell>
        </row>
        <row r="4852">
          <cell r="D4852" t="str">
            <v>du</v>
          </cell>
          <cell r="E4852" t="str">
            <v>compteur GPO</v>
          </cell>
        </row>
        <row r="4853">
          <cell r="D4853" t="str">
            <v>du</v>
          </cell>
          <cell r="E4853" t="str">
            <v>compteur GPO</v>
          </cell>
        </row>
        <row r="4854">
          <cell r="D4854" t="str">
            <v>du</v>
          </cell>
          <cell r="E4854" t="str">
            <v>radical</v>
          </cell>
        </row>
        <row r="4855">
          <cell r="D4855" t="str">
            <v>de l'</v>
          </cell>
          <cell r="E4855" t="str">
            <v>activité</v>
          </cell>
        </row>
        <row r="4856">
          <cell r="D4856" t="str">
            <v>de l'</v>
          </cell>
          <cell r="E4856" t="str">
            <v>objet</v>
          </cell>
        </row>
        <row r="4857">
          <cell r="D4857" t="str">
            <v>du</v>
          </cell>
          <cell r="E4857" t="str">
            <v>lien</v>
          </cell>
        </row>
        <row r="4858">
          <cell r="D4858" t="str">
            <v>du</v>
          </cell>
          <cell r="E4858" t="str">
            <v>lien</v>
          </cell>
        </row>
        <row r="4859">
          <cell r="D4859" t="str">
            <v>du</v>
          </cell>
          <cell r="E4859" t="str">
            <v>compteur plafond</v>
          </cell>
        </row>
        <row r="4860">
          <cell r="D4860" t="str">
            <v>du</v>
          </cell>
          <cell r="E4860" t="str">
            <v>produit d'assurance</v>
          </cell>
        </row>
        <row r="4861">
          <cell r="D4861" t="str">
            <v>du</v>
          </cell>
          <cell r="E4861" t="str">
            <v>plafond</v>
          </cell>
        </row>
        <row r="4862">
          <cell r="D4862" t="str">
            <v>du</v>
          </cell>
          <cell r="E4862" t="str">
            <v>plafond</v>
          </cell>
        </row>
        <row r="4863">
          <cell r="D4863" t="str">
            <v>du</v>
          </cell>
          <cell r="E4863" t="str">
            <v>produit d'assurance</v>
          </cell>
        </row>
        <row r="4864">
          <cell r="D4864" t="str">
            <v xml:space="preserve"> </v>
          </cell>
          <cell r="E4864" t="str">
            <v>appliqué</v>
          </cell>
        </row>
        <row r="4865">
          <cell r="D4865" t="str">
            <v>du</v>
          </cell>
          <cell r="E4865" t="str">
            <v>compteur profils rédacteur</v>
          </cell>
        </row>
        <row r="4866">
          <cell r="D4866" t="str">
            <v>du</v>
          </cell>
          <cell r="E4866" t="str">
            <v>rédacteur</v>
          </cell>
        </row>
        <row r="4867">
          <cell r="D4867" t="str">
            <v>du</v>
          </cell>
          <cell r="E4867" t="str">
            <v>statut</v>
          </cell>
          <cell r="F4867" t="str">
            <v>du</v>
          </cell>
          <cell r="G4867" t="str">
            <v>rédacteur</v>
          </cell>
        </row>
        <row r="4868">
          <cell r="C4868" t="str">
            <v>interne</v>
          </cell>
          <cell r="D4868" t="str">
            <v>du</v>
          </cell>
          <cell r="E4868" t="str">
            <v>rédacteur</v>
          </cell>
        </row>
        <row r="4869">
          <cell r="D4869" t="str">
            <v>de la</v>
          </cell>
          <cell r="E4869" t="str">
            <v>gestion AUD</v>
          </cell>
        </row>
        <row r="4870">
          <cell r="D4870" t="str">
            <v>de la</v>
          </cell>
          <cell r="E4870" t="str">
            <v>gestion ADM</v>
          </cell>
        </row>
        <row r="4871">
          <cell r="D4871" t="str">
            <v>de la</v>
          </cell>
          <cell r="E4871" t="str">
            <v>gestion GPS</v>
          </cell>
        </row>
        <row r="4872">
          <cell r="D4872" t="str">
            <v>du</v>
          </cell>
          <cell r="E4872" t="str">
            <v>GRP affecté</v>
          </cell>
        </row>
        <row r="4873">
          <cell r="D4873" t="str">
            <v>du</v>
          </cell>
          <cell r="E4873" t="str">
            <v>site de connexion autorisé</v>
          </cell>
        </row>
        <row r="4874">
          <cell r="D4874" t="str">
            <v>du</v>
          </cell>
          <cell r="E4874" t="str">
            <v>site de connexion autorisé</v>
          </cell>
        </row>
        <row r="4875">
          <cell r="C4875" t="str">
            <v>affectation</v>
          </cell>
          <cell r="D4875" t="str">
            <v>du</v>
          </cell>
          <cell r="E4875" t="str">
            <v>code d'accès</v>
          </cell>
          <cell r="F4875" t="str">
            <v>au</v>
          </cell>
          <cell r="G4875" t="str">
            <v>site de connexion autorisé</v>
          </cell>
        </row>
        <row r="4876">
          <cell r="D4876" t="str">
            <v>de l'</v>
          </cell>
          <cell r="E4876" t="str">
            <v>organisme SAS</v>
          </cell>
          <cell r="F4876" t="str">
            <v>du</v>
          </cell>
          <cell r="G4876" t="str">
            <v>code d'accès</v>
          </cell>
        </row>
        <row r="4877">
          <cell r="C4877" t="str">
            <v>externe</v>
          </cell>
          <cell r="D4877" t="str">
            <v>du</v>
          </cell>
          <cell r="E4877" t="str">
            <v>rédacteur</v>
          </cell>
        </row>
        <row r="4878">
          <cell r="C4878" t="str">
            <v>à payer</v>
          </cell>
          <cell r="D4878" t="str">
            <v>de la</v>
          </cell>
          <cell r="E4878" t="str">
            <v>garantie capital</v>
          </cell>
        </row>
        <row r="4879">
          <cell r="D4879" t="str">
            <v>du</v>
          </cell>
          <cell r="E4879" t="str">
            <v>règlement</v>
          </cell>
          <cell r="F4879" t="str">
            <v>du</v>
          </cell>
          <cell r="G4879" t="str">
            <v>sinistre</v>
          </cell>
          <cell r="H4879" t="str">
            <v>d'</v>
          </cell>
          <cell r="I4879" t="str">
            <v>ERMES</v>
          </cell>
        </row>
        <row r="4880">
          <cell r="D4880" t="str">
            <v>du</v>
          </cell>
          <cell r="E4880" t="str">
            <v>règlement</v>
          </cell>
          <cell r="F4880" t="str">
            <v>du</v>
          </cell>
          <cell r="G4880" t="str">
            <v>sinistre</v>
          </cell>
          <cell r="H4880" t="str">
            <v>d'</v>
          </cell>
          <cell r="I4880" t="str">
            <v>ERMES</v>
          </cell>
        </row>
        <row r="4881">
          <cell r="D4881" t="str">
            <v>du</v>
          </cell>
          <cell r="E4881" t="str">
            <v>règlement</v>
          </cell>
          <cell r="F4881" t="str">
            <v>du</v>
          </cell>
          <cell r="G4881" t="str">
            <v>sinistre</v>
          </cell>
          <cell r="H4881" t="str">
            <v>d'</v>
          </cell>
          <cell r="I4881" t="str">
            <v>ERMES</v>
          </cell>
        </row>
        <row r="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D4884" t="str">
            <v>de l'</v>
          </cell>
          <cell r="E4884" t="str">
            <v>application source</v>
          </cell>
        </row>
        <row r="4885">
          <cell r="D4885" t="str">
            <v>de la</v>
          </cell>
          <cell r="E4885" t="str">
            <v>table</v>
          </cell>
          <cell r="G4885" t="str">
            <v>source</v>
          </cell>
        </row>
        <row r="4886">
          <cell r="D4886" t="str">
            <v>du</v>
          </cell>
          <cell r="E4886" t="str">
            <v>sinistre</v>
          </cell>
        </row>
        <row r="4887">
          <cell r="D4887" t="str">
            <v>du</v>
          </cell>
          <cell r="E4887" t="str">
            <v>type</v>
          </cell>
          <cell r="F4887" t="str">
            <v>de</v>
          </cell>
          <cell r="G4887" t="str">
            <v>règlement</v>
          </cell>
        </row>
        <row r="4888">
          <cell r="D4888" t="str">
            <v>de la</v>
          </cell>
          <cell r="E4888" t="str">
            <v>catégorie</v>
          </cell>
          <cell r="F4888" t="str">
            <v>de</v>
          </cell>
          <cell r="G4888" t="str">
            <v>règlement</v>
          </cell>
          <cell r="I4888" t="str">
            <v>encaissement</v>
          </cell>
        </row>
        <row r="4889">
          <cell r="D4889" t="str">
            <v>d'</v>
          </cell>
          <cell r="E4889" t="str">
            <v>émission</v>
          </cell>
          <cell r="G4889" t="str">
            <v>inversée</v>
          </cell>
        </row>
        <row r="4890">
          <cell r="D4890" t="str">
            <v>d'</v>
          </cell>
          <cell r="E4890" t="str">
            <v>ordre</v>
          </cell>
          <cell r="G4890" t="str">
            <v>inversée</v>
          </cell>
        </row>
        <row r="4891">
          <cell r="D4891" t="str">
            <v>d'</v>
          </cell>
          <cell r="E4891" t="str">
            <v>émission</v>
          </cell>
        </row>
        <row r="4892">
          <cell r="D4892" t="str">
            <v>d'</v>
          </cell>
          <cell r="E4892" t="str">
            <v>ordre</v>
          </cell>
        </row>
        <row r="4893">
          <cell r="D4893" t="str">
            <v>du</v>
          </cell>
          <cell r="E4893" t="str">
            <v>règlement</v>
          </cell>
          <cell r="F4893" t="str">
            <v>du</v>
          </cell>
          <cell r="G4893" t="str">
            <v>sinistre</v>
          </cell>
        </row>
        <row r="4894">
          <cell r="D4894" t="str">
            <v>du</v>
          </cell>
          <cell r="E4894" t="str">
            <v>rédacteur</v>
          </cell>
          <cell r="F4894" t="str">
            <v>du</v>
          </cell>
          <cell r="G4894" t="str">
            <v>sinistre</v>
          </cell>
        </row>
        <row r="4895">
          <cell r="D4895" t="str">
            <v>du</v>
          </cell>
          <cell r="E4895" t="str">
            <v>règlement</v>
          </cell>
          <cell r="F4895" t="str">
            <v>du</v>
          </cell>
          <cell r="G4895" t="str">
            <v>sinistre</v>
          </cell>
        </row>
        <row r="4896">
          <cell r="D4896" t="str">
            <v xml:space="preserve"> </v>
          </cell>
          <cell r="E4896" t="str">
            <v>remboursement</v>
          </cell>
          <cell r="G4896" t="str">
            <v>intermédiaire</v>
          </cell>
        </row>
        <row r="4897">
          <cell r="D4897" t="str">
            <v>du</v>
          </cell>
          <cell r="E4897" t="str">
            <v>mode de règlement</v>
          </cell>
          <cell r="F4897" t="str">
            <v>du</v>
          </cell>
          <cell r="G4897" t="str">
            <v>sinistre</v>
          </cell>
        </row>
        <row r="4898">
          <cell r="D4898" t="str">
            <v>du</v>
          </cell>
          <cell r="E4898" t="str">
            <v>mode d'encaissement</v>
          </cell>
          <cell r="G4898" t="str">
            <v>détaillé</v>
          </cell>
          <cell r="H4898" t="str">
            <v>du</v>
          </cell>
          <cell r="I4898" t="str">
            <v>sinistre</v>
          </cell>
        </row>
        <row r="4899">
          <cell r="D4899" t="str">
            <v>du</v>
          </cell>
          <cell r="E4899" t="str">
            <v>règlement</v>
          </cell>
          <cell r="F4899" t="str">
            <v>du</v>
          </cell>
          <cell r="G4899" t="str">
            <v>sinistre</v>
          </cell>
        </row>
        <row r="4900">
          <cell r="D4900" t="str">
            <v>du</v>
          </cell>
          <cell r="E4900" t="str">
            <v>règlement</v>
          </cell>
          <cell r="F4900" t="str">
            <v>du</v>
          </cell>
          <cell r="G4900" t="str">
            <v>sinistre</v>
          </cell>
        </row>
        <row r="4901">
          <cell r="D4901" t="str">
            <v>du</v>
          </cell>
          <cell r="E4901" t="str">
            <v>bénéficiaire du règlement</v>
          </cell>
          <cell r="F4901" t="str">
            <v>du</v>
          </cell>
          <cell r="G4901" t="str">
            <v>sinistre</v>
          </cell>
        </row>
        <row r="4902">
          <cell r="D4902" t="str">
            <v>du</v>
          </cell>
          <cell r="E4902" t="str">
            <v>bénéficiaire du règlement</v>
          </cell>
          <cell r="F4902" t="str">
            <v>du</v>
          </cell>
          <cell r="G4902" t="str">
            <v>sinistre</v>
          </cell>
        </row>
        <row r="4903">
          <cell r="D4903" t="str">
            <v>du</v>
          </cell>
          <cell r="E4903" t="str">
            <v>chèque</v>
          </cell>
          <cell r="F4903" t="str">
            <v>du</v>
          </cell>
          <cell r="G4903" t="str">
            <v>règlement</v>
          </cell>
          <cell r="H4903" t="str">
            <v>du</v>
          </cell>
          <cell r="I4903" t="str">
            <v>sinistre</v>
          </cell>
        </row>
        <row r="4904">
          <cell r="D4904" t="str">
            <v>du</v>
          </cell>
          <cell r="E4904" t="str">
            <v>compte bancaire</v>
          </cell>
          <cell r="F4904" t="str">
            <v>du</v>
          </cell>
          <cell r="G4904" t="str">
            <v>virement</v>
          </cell>
          <cell r="H4904" t="str">
            <v>du</v>
          </cell>
          <cell r="I4904" t="str">
            <v>sinistre</v>
          </cell>
        </row>
        <row r="4905">
          <cell r="D4905" t="str">
            <v>du</v>
          </cell>
          <cell r="E4905" t="str">
            <v>pays</v>
          </cell>
          <cell r="F4905" t="str">
            <v>du</v>
          </cell>
          <cell r="G4905" t="str">
            <v>compte bancaire</v>
          </cell>
        </row>
        <row r="4906">
          <cell r="D4906" t="str">
            <v xml:space="preserve"> </v>
          </cell>
          <cell r="E4906" t="str">
            <v>BBAN</v>
          </cell>
          <cell r="F4906" t="str">
            <v>du</v>
          </cell>
          <cell r="G4906" t="str">
            <v>sinistre</v>
          </cell>
        </row>
        <row r="4907">
          <cell r="D4907" t="str">
            <v xml:space="preserve"> </v>
          </cell>
          <cell r="E4907" t="str">
            <v>IBAN</v>
          </cell>
          <cell r="F4907" t="str">
            <v>du</v>
          </cell>
          <cell r="G4907" t="str">
            <v>sinistre</v>
          </cell>
        </row>
        <row r="4908">
          <cell r="D4908" t="str">
            <v xml:space="preserve"> </v>
          </cell>
          <cell r="E4908" t="str">
            <v>MULCOR</v>
          </cell>
          <cell r="F4908" t="str">
            <v>du</v>
          </cell>
          <cell r="G4908" t="str">
            <v>sinistre</v>
          </cell>
        </row>
        <row r="4909">
          <cell r="D4909" t="str">
            <v>du</v>
          </cell>
          <cell r="E4909" t="str">
            <v>titre</v>
          </cell>
          <cell r="F4909" t="str">
            <v>du</v>
          </cell>
          <cell r="G4909" t="str">
            <v>Destinataire du règlement</v>
          </cell>
        </row>
        <row r="4910">
          <cell r="D4910" t="str">
            <v>du</v>
          </cell>
          <cell r="E4910" t="str">
            <v>Destinataire du règlement</v>
          </cell>
        </row>
        <row r="4911">
          <cell r="D4911" t="str">
            <v>du</v>
          </cell>
          <cell r="E4911" t="str">
            <v>règlement</v>
          </cell>
          <cell r="G4911" t="str">
            <v>saisie</v>
          </cell>
          <cell r="H4911" t="str">
            <v>par le</v>
          </cell>
          <cell r="I4911" t="str">
            <v>gestionnaire</v>
          </cell>
        </row>
        <row r="4912">
          <cell r="D4912" t="str">
            <v>du</v>
          </cell>
          <cell r="E4912" t="str">
            <v>dossier</v>
          </cell>
          <cell r="F4912" t="str">
            <v>chez le</v>
          </cell>
          <cell r="G4912" t="str">
            <v>correspondant</v>
          </cell>
          <cell r="H4912" t="str">
            <v>ou</v>
          </cell>
          <cell r="I4912" t="str">
            <v>référence</v>
          </cell>
        </row>
        <row r="4913">
          <cell r="D4913" t="str">
            <v>du</v>
          </cell>
          <cell r="E4913" t="str">
            <v>bénéficiaire</v>
          </cell>
          <cell r="F4913" t="str">
            <v>du</v>
          </cell>
          <cell r="G4913" t="str">
            <v>sinistre</v>
          </cell>
        </row>
        <row r="4914">
          <cell r="D4914" t="str">
            <v>du</v>
          </cell>
          <cell r="E4914" t="str">
            <v>règlement</v>
          </cell>
          <cell r="F4914" t="str">
            <v>à</v>
          </cell>
          <cell r="G4914" t="str">
            <v>valider</v>
          </cell>
        </row>
        <row r="4915">
          <cell r="D4915" t="str">
            <v xml:space="preserve"> </v>
          </cell>
          <cell r="E4915" t="str">
            <v>routage</v>
          </cell>
          <cell r="F4915" t="str">
            <v>du</v>
          </cell>
          <cell r="G4915" t="str">
            <v>règlement</v>
          </cell>
        </row>
        <row r="4916">
          <cell r="D4916" t="str">
            <v>de l'</v>
          </cell>
          <cell r="E4916" t="str">
            <v>opération</v>
          </cell>
          <cell r="F4916" t="str">
            <v>d'</v>
          </cell>
          <cell r="G4916" t="str">
            <v>origine</v>
          </cell>
        </row>
        <row r="4917">
          <cell r="D4917" t="str">
            <v>du</v>
          </cell>
          <cell r="E4917" t="str">
            <v>rédacteur</v>
          </cell>
          <cell r="F4917" t="str">
            <v>d'</v>
          </cell>
          <cell r="G4917" t="str">
            <v>en-tête</v>
          </cell>
          <cell r="H4917" t="str">
            <v>du</v>
          </cell>
          <cell r="I4917" t="str">
            <v>règlement</v>
          </cell>
        </row>
        <row r="4918">
          <cell r="D4918" t="str">
            <v>de</v>
          </cell>
          <cell r="E4918" t="str">
            <v>règlement</v>
          </cell>
          <cell r="F4918" t="str">
            <v>pour</v>
          </cell>
          <cell r="G4918" t="str">
            <v>erreur</v>
          </cell>
        </row>
        <row r="4919">
          <cell r="D4919" t="str">
            <v>de l'</v>
          </cell>
          <cell r="E4919" t="str">
            <v>activité</v>
          </cell>
          <cell r="F4919" t="str">
            <v>du</v>
          </cell>
          <cell r="G4919" t="str">
            <v>règlement</v>
          </cell>
        </row>
        <row r="4920">
          <cell r="D4920" t="str">
            <v>de</v>
          </cell>
          <cell r="E4920" t="str">
            <v>règlement</v>
          </cell>
          <cell r="G4920" t="str">
            <v>groupé</v>
          </cell>
        </row>
        <row r="4921">
          <cell r="D4921" t="str">
            <v>de</v>
          </cell>
          <cell r="E4921" t="str">
            <v>forçage</v>
          </cell>
          <cell r="F4921" t="str">
            <v>du</v>
          </cell>
          <cell r="G4921" t="str">
            <v>règlement</v>
          </cell>
          <cell r="I4921" t="str">
            <v>correspondant</v>
          </cell>
        </row>
        <row r="4922">
          <cell r="D4922" t="str">
            <v>de</v>
          </cell>
          <cell r="E4922" t="str">
            <v>forçage</v>
          </cell>
          <cell r="F4922" t="str">
            <v>du</v>
          </cell>
          <cell r="G4922" t="str">
            <v>règlement</v>
          </cell>
          <cell r="I4922" t="str">
            <v>correspondant</v>
          </cell>
        </row>
        <row r="4923">
          <cell r="D4923" t="str">
            <v>du</v>
          </cell>
          <cell r="E4923" t="str">
            <v>traitement</v>
          </cell>
          <cell r="G4923" t="str">
            <v>financier</v>
          </cell>
        </row>
        <row r="4924">
          <cell r="D4924" t="str">
            <v>de</v>
          </cell>
          <cell r="E4924" t="str">
            <v>facture</v>
          </cell>
        </row>
        <row r="4925">
          <cell r="D4925" t="str">
            <v>du</v>
          </cell>
          <cell r="E4925" t="str">
            <v>bénéficiaire du règlement</v>
          </cell>
          <cell r="F4925" t="str">
            <v>du</v>
          </cell>
          <cell r="G4925" t="str">
            <v>sinistre</v>
          </cell>
        </row>
        <row r="4926">
          <cell r="D4926" t="str">
            <v>du</v>
          </cell>
          <cell r="E4926" t="str">
            <v>Destinataire du règlement</v>
          </cell>
          <cell r="F4926" t="str">
            <v>du</v>
          </cell>
          <cell r="G4926" t="str">
            <v>sinistre</v>
          </cell>
        </row>
        <row r="4927">
          <cell r="D4927" t="str">
            <v>d'</v>
          </cell>
          <cell r="E4927" t="str">
            <v>origine</v>
          </cell>
          <cell r="F4927" t="str">
            <v>du</v>
          </cell>
          <cell r="G4927" t="str">
            <v>règlement</v>
          </cell>
          <cell r="H4927" t="str">
            <v>du</v>
          </cell>
          <cell r="I4927" t="str">
            <v>sinistre</v>
          </cell>
        </row>
        <row r="4928">
          <cell r="D4928" t="str">
            <v>d'</v>
          </cell>
          <cell r="E4928" t="str">
            <v>origine</v>
          </cell>
          <cell r="F4928" t="str">
            <v>du</v>
          </cell>
          <cell r="G4928" t="str">
            <v>règlement</v>
          </cell>
          <cell r="H4928" t="str">
            <v>d'</v>
          </cell>
          <cell r="I4928" t="str">
            <v>ERMES</v>
          </cell>
        </row>
        <row r="4929">
          <cell r="D4929" t="str">
            <v>de la</v>
          </cell>
          <cell r="E4929" t="str">
            <v>Société d'assurance</v>
          </cell>
          <cell r="F4929" t="str">
            <v>du</v>
          </cell>
          <cell r="G4929" t="str">
            <v>règlement</v>
          </cell>
        </row>
        <row r="4930">
          <cell r="D4930" t="str">
            <v>de</v>
          </cell>
          <cell r="E4930" t="str">
            <v>correspondant</v>
          </cell>
        </row>
        <row r="4931">
          <cell r="D4931" t="str">
            <v>du</v>
          </cell>
          <cell r="E4931" t="str">
            <v>secteur d'activité</v>
          </cell>
          <cell r="F4931" t="str">
            <v>du</v>
          </cell>
          <cell r="G4931" t="str">
            <v>correspondant</v>
          </cell>
        </row>
        <row r="4932">
          <cell r="D4932" t="str">
            <v>du</v>
          </cell>
          <cell r="E4932" t="str">
            <v>type de structure</v>
          </cell>
          <cell r="F4932" t="str">
            <v>du</v>
          </cell>
          <cell r="G4932" t="str">
            <v>correspondant</v>
          </cell>
        </row>
        <row r="4933">
          <cell r="D4933" t="str">
            <v>de la</v>
          </cell>
          <cell r="E4933" t="str">
            <v>structure</v>
          </cell>
          <cell r="F4933" t="str">
            <v>du</v>
          </cell>
          <cell r="G4933" t="str">
            <v>correspondant</v>
          </cell>
        </row>
        <row r="4934">
          <cell r="D4934" t="str">
            <v>de la</v>
          </cell>
          <cell r="E4934" t="str">
            <v>Spécialité professionnelle</v>
          </cell>
          <cell r="F4934" t="str">
            <v>du</v>
          </cell>
          <cell r="G4934" t="str">
            <v>correspondant</v>
          </cell>
        </row>
        <row r="4935">
          <cell r="D4935" t="str">
            <v>du</v>
          </cell>
          <cell r="E4935" t="str">
            <v>type</v>
          </cell>
          <cell r="F4935" t="str">
            <v>de</v>
          </cell>
          <cell r="G4935" t="str">
            <v>bénéficiaire du règlement</v>
          </cell>
          <cell r="H4935" t="str">
            <v>d'</v>
          </cell>
          <cell r="I4935" t="str">
            <v>ERMES</v>
          </cell>
        </row>
        <row r="4936">
          <cell r="D4936" t="str">
            <v>du</v>
          </cell>
          <cell r="E4936" t="str">
            <v>bénéficiaire du règlement</v>
          </cell>
          <cell r="F4936" t="str">
            <v>d'</v>
          </cell>
          <cell r="G4936" t="str">
            <v>ERMES</v>
          </cell>
        </row>
        <row r="4937">
          <cell r="D4937" t="str">
            <v>du</v>
          </cell>
          <cell r="E4937" t="str">
            <v>rôle</v>
          </cell>
          <cell r="F4937" t="str">
            <v>du</v>
          </cell>
          <cell r="G4937" t="str">
            <v>bénéficiaire du règlement</v>
          </cell>
        </row>
        <row r="4938">
          <cell r="D4938" t="str">
            <v>de</v>
          </cell>
          <cell r="E4938" t="str">
            <v>condition de règlement</v>
          </cell>
          <cell r="F4938" t="str">
            <v>d'</v>
          </cell>
          <cell r="G4938" t="str">
            <v>ERMES</v>
          </cell>
        </row>
        <row r="4939">
          <cell r="D4939" t="str">
            <v>d'</v>
          </cell>
          <cell r="E4939" t="str">
            <v>opération</v>
          </cell>
        </row>
        <row r="4940">
          <cell r="D4940" t="str">
            <v>d'</v>
          </cell>
          <cell r="E4940" t="str">
            <v>échéance</v>
          </cell>
          <cell r="F4940" t="str">
            <v xml:space="preserve"> </v>
          </cell>
          <cell r="G4940" t="str">
            <v>prévisionnelle</v>
          </cell>
        </row>
        <row r="4941">
          <cell r="D4941" t="str">
            <v>du</v>
          </cell>
          <cell r="E4941" t="str">
            <v>type</v>
          </cell>
          <cell r="F4941" t="str">
            <v>d'</v>
          </cell>
          <cell r="G4941" t="str">
            <v>échéance</v>
          </cell>
          <cell r="I4941" t="str">
            <v>prévisionnelle</v>
          </cell>
        </row>
        <row r="4942">
          <cell r="D4942" t="str">
            <v>de l'</v>
          </cell>
          <cell r="E4942" t="str">
            <v>échéance</v>
          </cell>
        </row>
        <row r="4943">
          <cell r="D4943" t="str">
            <v>de</v>
          </cell>
          <cell r="E4943" t="str">
            <v>sinistre</v>
          </cell>
          <cell r="F4943" t="str">
            <v>d'</v>
          </cell>
          <cell r="G4943" t="str">
            <v>ERMES</v>
          </cell>
        </row>
        <row r="4944">
          <cell r="D4944" t="str">
            <v>d'</v>
          </cell>
          <cell r="E4944" t="str">
            <v>échéance</v>
          </cell>
          <cell r="F4944" t="str">
            <v xml:space="preserve"> </v>
          </cell>
          <cell r="G4944" t="str">
            <v>prévisionnelle</v>
          </cell>
        </row>
        <row r="4945">
          <cell r="D4945" t="str">
            <v>d'</v>
          </cell>
          <cell r="E4945" t="str">
            <v>échéance</v>
          </cell>
          <cell r="F4945" t="str">
            <v xml:space="preserve"> </v>
          </cell>
          <cell r="G4945" t="str">
            <v>prévisionnelle</v>
          </cell>
        </row>
        <row r="4946">
          <cell r="D4946" t="str">
            <v>de l'</v>
          </cell>
          <cell r="E4946" t="str">
            <v>établissement</v>
          </cell>
        </row>
        <row r="4947">
          <cell r="D4947" t="str">
            <v>du</v>
          </cell>
          <cell r="E4947" t="str">
            <v>guichet de l'établissement</v>
          </cell>
        </row>
        <row r="4948">
          <cell r="D4948" t="str">
            <v>du</v>
          </cell>
          <cell r="E4948" t="str">
            <v>bureau du guichet</v>
          </cell>
        </row>
        <row r="4949">
          <cell r="D4949" t="str">
            <v>du</v>
          </cell>
          <cell r="E4949" t="str">
            <v>PVA</v>
          </cell>
        </row>
        <row r="4950">
          <cell r="D4950" t="str">
            <v>d'</v>
          </cell>
          <cell r="E4950" t="str">
            <v>échéance</v>
          </cell>
          <cell r="F4950" t="str">
            <v>du</v>
          </cell>
          <cell r="G4950" t="str">
            <v>règlement</v>
          </cell>
        </row>
        <row r="4951">
          <cell r="D4951" t="str">
            <v>du</v>
          </cell>
          <cell r="E4951" t="str">
            <v>règlement</v>
          </cell>
          <cell r="F4951" t="str">
            <v>d'</v>
          </cell>
          <cell r="G4951" t="str">
            <v>ERMES</v>
          </cell>
        </row>
        <row r="4952">
          <cell r="D4952" t="str">
            <v>du</v>
          </cell>
          <cell r="E4952" t="str">
            <v>mode de règlement</v>
          </cell>
          <cell r="F4952" t="str">
            <v>d'</v>
          </cell>
          <cell r="G4952" t="str">
            <v>ERMES</v>
          </cell>
        </row>
        <row r="4953">
          <cell r="D4953" t="str">
            <v>du</v>
          </cell>
          <cell r="E4953" t="str">
            <v>règlement</v>
          </cell>
          <cell r="F4953" t="str">
            <v>d'</v>
          </cell>
          <cell r="G4953" t="str">
            <v>ERMES</v>
          </cell>
        </row>
        <row r="4954">
          <cell r="D4954" t="str">
            <v>de</v>
          </cell>
          <cell r="E4954" t="str">
            <v>réalisation</v>
          </cell>
          <cell r="F4954" t="str">
            <v>du</v>
          </cell>
          <cell r="G4954" t="str">
            <v>règlement</v>
          </cell>
          <cell r="H4954" t="str">
            <v>d'</v>
          </cell>
          <cell r="I4954" t="str">
            <v>ERMES</v>
          </cell>
        </row>
        <row r="4955">
          <cell r="D4955" t="str">
            <v>de</v>
          </cell>
          <cell r="E4955" t="str">
            <v>valeur</v>
          </cell>
          <cell r="F4955" t="str">
            <v>du</v>
          </cell>
          <cell r="G4955" t="str">
            <v>règlement</v>
          </cell>
          <cell r="H4955" t="str">
            <v>d'</v>
          </cell>
          <cell r="I4955" t="str">
            <v>ERMES</v>
          </cell>
        </row>
        <row r="4956">
          <cell r="D4956" t="str">
            <v>de la</v>
          </cell>
          <cell r="E4956" t="str">
            <v>périodicité</v>
          </cell>
          <cell r="F4956" t="str">
            <v>du</v>
          </cell>
          <cell r="G4956" t="str">
            <v>règlement</v>
          </cell>
        </row>
        <row r="4957">
          <cell r="D4957" t="str">
            <v xml:space="preserve"> </v>
          </cell>
          <cell r="E4957" t="str">
            <v>indicateur</v>
          </cell>
          <cell r="F4957" t="str">
            <v>de</v>
          </cell>
          <cell r="G4957" t="str">
            <v>regroupement</v>
          </cell>
        </row>
        <row r="4958">
          <cell r="D4958" t="str">
            <v>de l'</v>
          </cell>
          <cell r="E4958" t="str">
            <v>état</v>
          </cell>
          <cell r="F4958" t="str">
            <v>du</v>
          </cell>
          <cell r="G4958" t="str">
            <v>règlement</v>
          </cell>
        </row>
        <row r="4959">
          <cell r="D4959" t="str">
            <v>de</v>
          </cell>
          <cell r="E4959" t="str">
            <v>Dernier état</v>
          </cell>
          <cell r="F4959" t="str">
            <v>du</v>
          </cell>
          <cell r="G4959" t="str">
            <v>règlement</v>
          </cell>
        </row>
        <row r="4960">
          <cell r="D4960" t="str">
            <v xml:space="preserve"> </v>
          </cell>
          <cell r="E4960" t="str">
            <v>métier</v>
          </cell>
          <cell r="F4960" t="str">
            <v>d'</v>
          </cell>
          <cell r="G4960" t="str">
            <v>ERMES</v>
          </cell>
        </row>
        <row r="4961">
          <cell r="D4961" t="str">
            <v>du</v>
          </cell>
          <cell r="E4961" t="str">
            <v>compte bancaire</v>
          </cell>
          <cell r="F4961" t="str">
            <v>du</v>
          </cell>
          <cell r="G4961" t="str">
            <v>destinataire du règlement</v>
          </cell>
          <cell r="H4961" t="str">
            <v>d'</v>
          </cell>
          <cell r="I4961" t="str">
            <v>ERMES</v>
          </cell>
        </row>
        <row r="4962">
          <cell r="D4962" t="str">
            <v>du</v>
          </cell>
          <cell r="E4962" t="str">
            <v>règlement</v>
          </cell>
          <cell r="F4962" t="str">
            <v>d'</v>
          </cell>
          <cell r="G4962" t="str">
            <v>ERMES</v>
          </cell>
        </row>
        <row r="4963">
          <cell r="D4963" t="str">
            <v xml:space="preserve"> </v>
          </cell>
          <cell r="E4963" t="str">
            <v>SEPA</v>
          </cell>
          <cell r="F4963" t="str">
            <v>du</v>
          </cell>
          <cell r="G4963" t="str">
            <v>règlement</v>
          </cell>
        </row>
        <row r="4964">
          <cell r="D4964" t="str">
            <v>de l'</v>
          </cell>
          <cell r="E4964" t="str">
            <v>état</v>
          </cell>
          <cell r="F4964" t="str">
            <v xml:space="preserve"> </v>
          </cell>
          <cell r="G4964" t="str">
            <v>prévisionnelle</v>
          </cell>
        </row>
        <row r="4965">
          <cell r="D4965" t="str">
            <v>de l'</v>
          </cell>
          <cell r="E4965" t="str">
            <v>état</v>
          </cell>
          <cell r="F4965" t="str">
            <v xml:space="preserve"> </v>
          </cell>
          <cell r="G4965" t="str">
            <v>prévisionnelle</v>
          </cell>
        </row>
        <row r="4966">
          <cell r="D4966" t="str">
            <v xml:space="preserve"> </v>
          </cell>
          <cell r="E4966" t="str">
            <v>logique</v>
          </cell>
          <cell r="F4966" t="str">
            <v>de</v>
          </cell>
          <cell r="G4966" t="str">
            <v>création</v>
          </cell>
          <cell r="H4966" t="str">
            <v>de l'</v>
          </cell>
          <cell r="I4966" t="str">
            <v>état</v>
          </cell>
        </row>
        <row r="4967">
          <cell r="D4967" t="str">
            <v xml:space="preserve"> </v>
          </cell>
          <cell r="E4967" t="str">
            <v>physique</v>
          </cell>
          <cell r="F4967" t="str">
            <v>de</v>
          </cell>
          <cell r="G4967" t="str">
            <v>création</v>
          </cell>
          <cell r="H4967" t="str">
            <v>de l'</v>
          </cell>
          <cell r="I4967" t="str">
            <v>état</v>
          </cell>
        </row>
        <row r="4968">
          <cell r="D4968" t="str">
            <v>de l'</v>
          </cell>
          <cell r="E4968" t="str">
            <v>état</v>
          </cell>
          <cell r="F4968" t="str">
            <v xml:space="preserve"> </v>
          </cell>
          <cell r="G4968" t="str">
            <v>réglé</v>
          </cell>
        </row>
        <row r="4969">
          <cell r="D4969" t="str">
            <v>de l'</v>
          </cell>
          <cell r="E4969" t="str">
            <v>état</v>
          </cell>
          <cell r="F4969" t="str">
            <v xml:space="preserve"> </v>
          </cell>
          <cell r="G4969" t="str">
            <v>réglé</v>
          </cell>
        </row>
        <row r="4970">
          <cell r="D4970" t="str">
            <v xml:space="preserve"> </v>
          </cell>
          <cell r="E4970" t="str">
            <v>logique</v>
          </cell>
          <cell r="F4970" t="str">
            <v>de</v>
          </cell>
          <cell r="G4970" t="str">
            <v>création</v>
          </cell>
          <cell r="H4970" t="str">
            <v>de l'</v>
          </cell>
          <cell r="I4970" t="str">
            <v>état</v>
          </cell>
        </row>
        <row r="4971">
          <cell r="D4971" t="str">
            <v xml:space="preserve"> </v>
          </cell>
          <cell r="E4971" t="str">
            <v>physique</v>
          </cell>
          <cell r="F4971" t="str">
            <v>de</v>
          </cell>
          <cell r="G4971" t="str">
            <v>création</v>
          </cell>
          <cell r="H4971" t="str">
            <v>de l'</v>
          </cell>
          <cell r="I4971" t="str">
            <v>état</v>
          </cell>
        </row>
        <row r="4972">
          <cell r="D4972" t="str">
            <v>de l'</v>
          </cell>
          <cell r="E4972" t="str">
            <v>état</v>
          </cell>
          <cell r="F4972" t="str">
            <v xml:space="preserve"> </v>
          </cell>
          <cell r="G4972" t="str">
            <v>impayés</v>
          </cell>
        </row>
        <row r="4973">
          <cell r="D4973" t="str">
            <v>de l'</v>
          </cell>
          <cell r="E4973" t="str">
            <v>état</v>
          </cell>
          <cell r="F4973" t="str">
            <v xml:space="preserve"> </v>
          </cell>
          <cell r="G4973" t="str">
            <v>impayés</v>
          </cell>
        </row>
        <row r="4974">
          <cell r="D4974" t="str">
            <v xml:space="preserve"> </v>
          </cell>
          <cell r="E4974" t="str">
            <v>logique</v>
          </cell>
          <cell r="F4974" t="str">
            <v>de</v>
          </cell>
          <cell r="G4974" t="str">
            <v>création</v>
          </cell>
          <cell r="H4974" t="str">
            <v>de l'</v>
          </cell>
          <cell r="I4974" t="str">
            <v>état</v>
          </cell>
        </row>
        <row r="4975">
          <cell r="D4975" t="str">
            <v xml:space="preserve"> </v>
          </cell>
          <cell r="E4975" t="str">
            <v>physique</v>
          </cell>
          <cell r="F4975" t="str">
            <v>de</v>
          </cell>
          <cell r="G4975" t="str">
            <v>création</v>
          </cell>
          <cell r="H4975" t="str">
            <v>de l'</v>
          </cell>
          <cell r="I4975" t="str">
            <v>état</v>
          </cell>
        </row>
        <row r="4976">
          <cell r="D4976" t="str">
            <v>de l'</v>
          </cell>
          <cell r="E4976" t="str">
            <v>état</v>
          </cell>
          <cell r="F4976" t="str">
            <v xml:space="preserve"> </v>
          </cell>
          <cell r="G4976" t="str">
            <v>rejeté</v>
          </cell>
        </row>
        <row r="4977">
          <cell r="D4977" t="str">
            <v>de l'</v>
          </cell>
          <cell r="E4977" t="str">
            <v>état</v>
          </cell>
          <cell r="F4977" t="str">
            <v xml:space="preserve"> </v>
          </cell>
          <cell r="G4977" t="str">
            <v>rejeté</v>
          </cell>
        </row>
        <row r="4978">
          <cell r="D4978" t="str">
            <v xml:space="preserve"> </v>
          </cell>
          <cell r="E4978" t="str">
            <v>logique</v>
          </cell>
          <cell r="F4978" t="str">
            <v>de</v>
          </cell>
          <cell r="G4978" t="str">
            <v>création</v>
          </cell>
          <cell r="H4978" t="str">
            <v>de l'</v>
          </cell>
          <cell r="I4978" t="str">
            <v>état</v>
          </cell>
        </row>
        <row r="4979">
          <cell r="D4979" t="str">
            <v xml:space="preserve"> </v>
          </cell>
          <cell r="E4979" t="str">
            <v>physique</v>
          </cell>
          <cell r="F4979" t="str">
            <v>de</v>
          </cell>
          <cell r="G4979" t="str">
            <v>création</v>
          </cell>
          <cell r="H4979" t="str">
            <v>de l'</v>
          </cell>
          <cell r="I4979" t="str">
            <v>état</v>
          </cell>
        </row>
        <row r="4980">
          <cell r="D4980" t="str">
            <v>de l'</v>
          </cell>
          <cell r="E4980" t="str">
            <v>échéance</v>
          </cell>
          <cell r="F4980" t="str">
            <v xml:space="preserve"> </v>
          </cell>
        </row>
        <row r="4981">
          <cell r="D4981" t="str">
            <v>de l'</v>
          </cell>
          <cell r="E4981" t="str">
            <v>échéance</v>
          </cell>
        </row>
        <row r="4982">
          <cell r="D4982" t="str">
            <v xml:space="preserve"> </v>
          </cell>
          <cell r="E4982" t="str">
            <v>logique</v>
          </cell>
          <cell r="F4982" t="str">
            <v>de</v>
          </cell>
          <cell r="G4982" t="str">
            <v>mise à jour</v>
          </cell>
          <cell r="H4982" t="str">
            <v>de l'</v>
          </cell>
          <cell r="I4982" t="str">
            <v>échéance</v>
          </cell>
        </row>
        <row r="4983">
          <cell r="D4983" t="str">
            <v xml:space="preserve"> </v>
          </cell>
          <cell r="E4983" t="str">
            <v>physique</v>
          </cell>
          <cell r="F4983" t="str">
            <v>de</v>
          </cell>
          <cell r="G4983" t="str">
            <v>mise à jour</v>
          </cell>
          <cell r="H4983" t="str">
            <v>de l'</v>
          </cell>
          <cell r="I4983" t="str">
            <v>échéance</v>
          </cell>
        </row>
        <row r="4984">
          <cell r="D4984" t="str">
            <v>du</v>
          </cell>
          <cell r="E4984" t="str">
            <v>règlement</v>
          </cell>
          <cell r="F4984" t="str">
            <v>d'</v>
          </cell>
          <cell r="G4984" t="str">
            <v>ERMES</v>
          </cell>
        </row>
        <row r="4985">
          <cell r="D4985" t="str">
            <v>du</v>
          </cell>
          <cell r="E4985" t="str">
            <v>signalement</v>
          </cell>
          <cell r="F4985" t="str">
            <v>de</v>
          </cell>
          <cell r="G4985" t="str">
            <v>comptabilisation</v>
          </cell>
        </row>
        <row r="4986">
          <cell r="D4986" t="str">
            <v>d'</v>
          </cell>
          <cell r="E4986" t="str">
            <v>échéance</v>
          </cell>
          <cell r="F4986" t="str">
            <v xml:space="preserve"> </v>
          </cell>
          <cell r="G4986" t="str">
            <v>lié</v>
          </cell>
        </row>
        <row r="4987">
          <cell r="D4987" t="str">
            <v>du</v>
          </cell>
          <cell r="E4987" t="str">
            <v>type</v>
          </cell>
          <cell r="F4987" t="str">
            <v>de</v>
          </cell>
          <cell r="G4987" t="str">
            <v>mouvement financier</v>
          </cell>
        </row>
        <row r="4988">
          <cell r="D4988" t="str">
            <v>de la</v>
          </cell>
          <cell r="E4988" t="str">
            <v>date</v>
          </cell>
          <cell r="F4988" t="str">
            <v>du</v>
          </cell>
          <cell r="G4988" t="str">
            <v>mouvement financier</v>
          </cell>
        </row>
        <row r="4989">
          <cell r="D4989" t="str">
            <v>d'</v>
          </cell>
          <cell r="E4989" t="str">
            <v>ordre</v>
          </cell>
          <cell r="F4989" t="str">
            <v>du</v>
          </cell>
          <cell r="G4989" t="str">
            <v>mouvement financier</v>
          </cell>
        </row>
        <row r="4990">
          <cell r="D4990" t="str">
            <v>du</v>
          </cell>
          <cell r="E4990" t="str">
            <v>site de gestion</v>
          </cell>
          <cell r="F4990" t="str">
            <v>du</v>
          </cell>
          <cell r="G4990" t="str">
            <v>mouvement financier</v>
          </cell>
        </row>
        <row r="4991">
          <cell r="D4991" t="str">
            <v>du</v>
          </cell>
          <cell r="E4991" t="str">
            <v>mouvement financier</v>
          </cell>
          <cell r="F4991" t="str">
            <v>du</v>
          </cell>
          <cell r="G4991" t="str">
            <v>sinistre</v>
          </cell>
          <cell r="I4991" t="str">
            <v>ERMES</v>
          </cell>
        </row>
        <row r="4992">
          <cell r="D4992" t="str">
            <v>du</v>
          </cell>
          <cell r="E4992" t="str">
            <v>mouvement financier</v>
          </cell>
          <cell r="F4992" t="str">
            <v>du</v>
          </cell>
          <cell r="G4992" t="str">
            <v>sinistre</v>
          </cell>
          <cell r="I4992" t="str">
            <v>ERMES</v>
          </cell>
        </row>
        <row r="4993">
          <cell r="D4993" t="str">
            <v>du</v>
          </cell>
          <cell r="E4993" t="str">
            <v>mouvement financier</v>
          </cell>
          <cell r="F4993" t="str">
            <v>du</v>
          </cell>
          <cell r="G4993" t="str">
            <v>sinistre</v>
          </cell>
          <cell r="I4993" t="str">
            <v>ERMES</v>
          </cell>
        </row>
        <row r="4994">
          <cell r="D4994" t="str">
            <v>du</v>
          </cell>
          <cell r="E4994" t="str">
            <v>mouvement financier</v>
          </cell>
          <cell r="F4994" t="str">
            <v>du</v>
          </cell>
          <cell r="G4994" t="str">
            <v>sinistre</v>
          </cell>
          <cell r="I4994" t="str">
            <v>ERMES</v>
          </cell>
        </row>
        <row r="4995">
          <cell r="C4995" t="str">
            <v>dernière image</v>
          </cell>
          <cell r="D4995" t="str">
            <v>du</v>
          </cell>
          <cell r="E4995" t="str">
            <v>mouvement financier</v>
          </cell>
          <cell r="F4995" t="str">
            <v>du</v>
          </cell>
          <cell r="G4995" t="str">
            <v>sinistre</v>
          </cell>
          <cell r="I4995" t="str">
            <v>ERMES</v>
          </cell>
        </row>
        <row r="4996">
          <cell r="D4996" t="str">
            <v>de l'</v>
          </cell>
          <cell r="E4996" t="str">
            <v>application source</v>
          </cell>
        </row>
        <row r="4997">
          <cell r="D4997" t="str">
            <v>de la</v>
          </cell>
          <cell r="E4997" t="str">
            <v>table</v>
          </cell>
          <cell r="F4997" t="str">
            <v xml:space="preserve"> </v>
          </cell>
          <cell r="G4997" t="str">
            <v>source</v>
          </cell>
        </row>
        <row r="4998">
          <cell r="D4998" t="str">
            <v>du</v>
          </cell>
          <cell r="E4998" t="str">
            <v>type</v>
          </cell>
          <cell r="F4998" t="str">
            <v>de</v>
          </cell>
          <cell r="G4998" t="str">
            <v>mouvement financier</v>
          </cell>
        </row>
        <row r="4999">
          <cell r="D4999" t="str">
            <v>de la</v>
          </cell>
          <cell r="E4999" t="str">
            <v>date</v>
          </cell>
          <cell r="F4999" t="str">
            <v>du</v>
          </cell>
          <cell r="G4999" t="str">
            <v>mouvement financier</v>
          </cell>
        </row>
        <row r="5000">
          <cell r="D5000" t="str">
            <v>d'</v>
          </cell>
          <cell r="E5000" t="str">
            <v>ordre</v>
          </cell>
          <cell r="F5000" t="str">
            <v>du</v>
          </cell>
          <cell r="G5000" t="str">
            <v>mouvement financier</v>
          </cell>
        </row>
        <row r="5001">
          <cell r="D5001" t="str">
            <v>du</v>
          </cell>
          <cell r="E5001" t="str">
            <v>site de gestion</v>
          </cell>
          <cell r="F5001" t="str">
            <v>du</v>
          </cell>
          <cell r="G5001" t="str">
            <v>mouvement financier</v>
          </cell>
        </row>
        <row r="5002">
          <cell r="D5002" t="str">
            <v>de</v>
          </cell>
          <cell r="E5002" t="str">
            <v>valeur</v>
          </cell>
          <cell r="F5002" t="str">
            <v xml:space="preserve"> </v>
          </cell>
          <cell r="G5002" t="str">
            <v>corrigé</v>
          </cell>
        </row>
        <row r="5003">
          <cell r="D5003" t="str">
            <v>du</v>
          </cell>
          <cell r="E5003" t="str">
            <v>compte bancaire</v>
          </cell>
          <cell r="F5003" t="str">
            <v>du</v>
          </cell>
          <cell r="G5003" t="str">
            <v>mouvement financier</v>
          </cell>
          <cell r="H5003" t="str">
            <v>d'</v>
          </cell>
          <cell r="I5003" t="str">
            <v>ERMES</v>
          </cell>
        </row>
        <row r="5004">
          <cell r="D5004" t="str">
            <v>du</v>
          </cell>
          <cell r="E5004" t="str">
            <v>mouvement financier</v>
          </cell>
          <cell r="F5004" t="str">
            <v>d'</v>
          </cell>
          <cell r="G5004" t="str">
            <v>ERMES</v>
          </cell>
        </row>
        <row r="5005">
          <cell r="D5005" t="str">
            <v xml:space="preserve"> </v>
          </cell>
          <cell r="E5005" t="str">
            <v>SEPA</v>
          </cell>
          <cell r="F5005" t="str">
            <v>du</v>
          </cell>
          <cell r="G5005" t="str">
            <v>mouvement financier</v>
          </cell>
        </row>
        <row r="5006">
          <cell r="D5006" t="str">
            <v>du</v>
          </cell>
          <cell r="E5006" t="str">
            <v>mouvement financier</v>
          </cell>
          <cell r="F5006" t="str">
            <v>d'</v>
          </cell>
          <cell r="G5006" t="str">
            <v>ERMES</v>
          </cell>
        </row>
        <row r="5007">
          <cell r="D5007" t="str">
            <v>du</v>
          </cell>
          <cell r="E5007" t="str">
            <v>mouvement financier</v>
          </cell>
          <cell r="F5007" t="str">
            <v>d'</v>
          </cell>
          <cell r="G5007" t="str">
            <v>ERMES</v>
          </cell>
        </row>
        <row r="5008">
          <cell r="D5008" t="str">
            <v>de</v>
          </cell>
          <cell r="E5008" t="str">
            <v>règlement</v>
          </cell>
          <cell r="F5008" t="str">
            <v>du</v>
          </cell>
          <cell r="G5008" t="str">
            <v>mouvement financier</v>
          </cell>
          <cell r="H5008" t="str">
            <v>d'</v>
          </cell>
          <cell r="I5008" t="str">
            <v>ERMES</v>
          </cell>
        </row>
        <row r="5009">
          <cell r="D5009" t="str">
            <v>de</v>
          </cell>
          <cell r="E5009" t="str">
            <v>rejet</v>
          </cell>
          <cell r="F5009" t="str">
            <v>du</v>
          </cell>
          <cell r="G5009" t="str">
            <v>mouvement financier</v>
          </cell>
          <cell r="H5009" t="str">
            <v>d'</v>
          </cell>
          <cell r="I5009" t="str">
            <v>ERMES</v>
          </cell>
        </row>
        <row r="5010">
          <cell r="D5010" t="str">
            <v xml:space="preserve"> </v>
          </cell>
          <cell r="E5010" t="str">
            <v>logique</v>
          </cell>
          <cell r="F5010" t="str">
            <v>du</v>
          </cell>
          <cell r="G5010" t="str">
            <v>rejet</v>
          </cell>
          <cell r="H5010" t="str">
            <v>du</v>
          </cell>
          <cell r="I5010" t="str">
            <v>mouvement financier</v>
          </cell>
        </row>
        <row r="5011">
          <cell r="D5011" t="str">
            <v xml:space="preserve"> </v>
          </cell>
          <cell r="E5011" t="str">
            <v>physique</v>
          </cell>
          <cell r="F5011" t="str">
            <v>du</v>
          </cell>
          <cell r="G5011" t="str">
            <v>rejet</v>
          </cell>
          <cell r="H5011" t="str">
            <v>du</v>
          </cell>
          <cell r="I5011" t="str">
            <v>mouvement financier</v>
          </cell>
        </row>
        <row r="5012">
          <cell r="D5012" t="str">
            <v>du</v>
          </cell>
          <cell r="E5012" t="str">
            <v>motif</v>
          </cell>
          <cell r="F5012" t="str">
            <v>du</v>
          </cell>
          <cell r="G5012" t="str">
            <v>rejet</v>
          </cell>
          <cell r="H5012" t="str">
            <v>du</v>
          </cell>
          <cell r="I5012" t="str">
            <v>mouvement financier</v>
          </cell>
        </row>
        <row r="5013">
          <cell r="D5013" t="str">
            <v>du</v>
          </cell>
          <cell r="E5013" t="str">
            <v>compte</v>
          </cell>
          <cell r="F5013" t="str">
            <v>de</v>
          </cell>
          <cell r="G5013" t="str">
            <v>contrepartie</v>
          </cell>
          <cell r="H5013" t="str">
            <v>du</v>
          </cell>
          <cell r="I5013" t="str">
            <v>mouvement financier</v>
          </cell>
        </row>
        <row r="5014">
          <cell r="D5014" t="str">
            <v>de l'</v>
          </cell>
          <cell r="E5014" t="str">
            <v>état</v>
          </cell>
          <cell r="F5014" t="str">
            <v>du</v>
          </cell>
          <cell r="G5014" t="str">
            <v>mouvement financier</v>
          </cell>
          <cell r="H5014" t="str">
            <v>d'</v>
          </cell>
          <cell r="I5014" t="str">
            <v>ERMES</v>
          </cell>
        </row>
        <row r="5015">
          <cell r="D5015" t="str">
            <v>de l'</v>
          </cell>
          <cell r="E5015" t="str">
            <v>état</v>
          </cell>
          <cell r="F5015" t="str">
            <v>du</v>
          </cell>
          <cell r="G5015" t="str">
            <v>mouvement financier</v>
          </cell>
          <cell r="H5015" t="str">
            <v>d'</v>
          </cell>
          <cell r="I5015" t="str">
            <v>ERMES</v>
          </cell>
        </row>
        <row r="5016">
          <cell r="D5016" t="str">
            <v xml:space="preserve"> </v>
          </cell>
          <cell r="E5016" t="str">
            <v>logique</v>
          </cell>
          <cell r="F5016" t="str">
            <v>de l'</v>
          </cell>
          <cell r="G5016" t="str">
            <v>état</v>
          </cell>
          <cell r="H5016" t="str">
            <v>du</v>
          </cell>
          <cell r="I5016" t="str">
            <v>mouvement financier</v>
          </cell>
        </row>
        <row r="5017">
          <cell r="D5017" t="str">
            <v xml:space="preserve"> </v>
          </cell>
          <cell r="E5017" t="str">
            <v>physique</v>
          </cell>
          <cell r="F5017" t="str">
            <v>de l'</v>
          </cell>
          <cell r="G5017" t="str">
            <v>état</v>
          </cell>
          <cell r="H5017" t="str">
            <v>du</v>
          </cell>
          <cell r="I5017" t="str">
            <v>mouvement financier</v>
          </cell>
        </row>
        <row r="5018">
          <cell r="D5018" t="str">
            <v>du</v>
          </cell>
          <cell r="E5018" t="str">
            <v>rejet</v>
          </cell>
          <cell r="F5018" t="str">
            <v xml:space="preserve"> </v>
          </cell>
          <cell r="G5018" t="str">
            <v>SEPA</v>
          </cell>
          <cell r="H5018" t="str">
            <v>du</v>
          </cell>
          <cell r="I5018" t="str">
            <v>mouvement financier</v>
          </cell>
        </row>
        <row r="5019">
          <cell r="D5019" t="str">
            <v xml:space="preserve"> </v>
          </cell>
          <cell r="E5019" t="str">
            <v>nature</v>
          </cell>
          <cell r="F5019" t="str">
            <v>du</v>
          </cell>
          <cell r="G5019" t="str">
            <v>mouvement financier</v>
          </cell>
        </row>
        <row r="5020">
          <cell r="D5020" t="str">
            <v>du</v>
          </cell>
          <cell r="E5020" t="str">
            <v>règlement</v>
          </cell>
          <cell r="F5020" t="str">
            <v>du</v>
          </cell>
          <cell r="G5020" t="str">
            <v>financier</v>
          </cell>
        </row>
        <row r="5021">
          <cell r="D5021" t="str">
            <v>du</v>
          </cell>
          <cell r="E5021" t="str">
            <v>mouvement financier</v>
          </cell>
          <cell r="F5021" t="str">
            <v>du</v>
          </cell>
          <cell r="G5021" t="str">
            <v>financier</v>
          </cell>
        </row>
        <row r="5022">
          <cell r="D5022" t="str">
            <v>de l'</v>
          </cell>
          <cell r="E5022" t="str">
            <v>opération financière</v>
          </cell>
          <cell r="F5022" t="str">
            <v>du</v>
          </cell>
          <cell r="G5022" t="str">
            <v>financier</v>
          </cell>
        </row>
        <row r="5023">
          <cell r="D5023" t="str">
            <v>du</v>
          </cell>
          <cell r="E5023" t="str">
            <v>type</v>
          </cell>
          <cell r="F5023" t="str">
            <v>de</v>
          </cell>
          <cell r="G5023" t="str">
            <v>référence</v>
          </cell>
          <cell r="H5023" t="str">
            <v>du</v>
          </cell>
          <cell r="I5023" t="str">
            <v>compte bancaire</v>
          </cell>
        </row>
        <row r="5024">
          <cell r="D5024" t="str">
            <v>du</v>
          </cell>
          <cell r="E5024" t="str">
            <v>compte bancaire</v>
          </cell>
          <cell r="F5024" t="str">
            <v>du</v>
          </cell>
          <cell r="G5024" t="str">
            <v>donneur d'ordre</v>
          </cell>
          <cell r="H5024" t="str">
            <v>du</v>
          </cell>
          <cell r="I5024" t="str">
            <v>financier</v>
          </cell>
        </row>
        <row r="5025">
          <cell r="D5025" t="str">
            <v>du</v>
          </cell>
          <cell r="E5025" t="str">
            <v>compte bancaire</v>
          </cell>
          <cell r="F5025" t="str">
            <v>du</v>
          </cell>
          <cell r="G5025" t="str">
            <v>donneur d'ordre</v>
          </cell>
          <cell r="H5025" t="str">
            <v>du</v>
          </cell>
          <cell r="I5025" t="str">
            <v>financier</v>
          </cell>
        </row>
        <row r="5026">
          <cell r="D5026" t="str">
            <v>du</v>
          </cell>
          <cell r="E5026" t="str">
            <v>donneur d'ordre</v>
          </cell>
          <cell r="F5026" t="str">
            <v>du</v>
          </cell>
          <cell r="G5026" t="str">
            <v>financier</v>
          </cell>
        </row>
        <row r="5027">
          <cell r="D5027" t="str">
            <v>du</v>
          </cell>
          <cell r="E5027" t="str">
            <v>type</v>
          </cell>
          <cell r="F5027" t="str">
            <v>de</v>
          </cell>
          <cell r="G5027" t="str">
            <v>référence</v>
          </cell>
          <cell r="H5027" t="str">
            <v>du</v>
          </cell>
          <cell r="I5027" t="str">
            <v>compte bancaire</v>
          </cell>
        </row>
        <row r="5028">
          <cell r="D5028" t="str">
            <v>du</v>
          </cell>
          <cell r="E5028" t="str">
            <v>compte bancaire</v>
          </cell>
          <cell r="F5028" t="str">
            <v>du</v>
          </cell>
          <cell r="G5028" t="str">
            <v>Destinataire du règlement</v>
          </cell>
          <cell r="H5028" t="str">
            <v>du</v>
          </cell>
          <cell r="I5028" t="str">
            <v>financier</v>
          </cell>
        </row>
        <row r="5029">
          <cell r="D5029" t="str">
            <v>du</v>
          </cell>
          <cell r="E5029" t="str">
            <v>compte bancaire</v>
          </cell>
          <cell r="F5029" t="str">
            <v>du</v>
          </cell>
          <cell r="G5029" t="str">
            <v>Destinataire du règlement</v>
          </cell>
          <cell r="H5029" t="str">
            <v>du</v>
          </cell>
          <cell r="I5029" t="str">
            <v>financier</v>
          </cell>
        </row>
        <row r="5030">
          <cell r="D5030" t="str">
            <v>du</v>
          </cell>
          <cell r="E5030" t="str">
            <v>Destinataire du règlement</v>
          </cell>
          <cell r="F5030" t="str">
            <v>du</v>
          </cell>
          <cell r="G5030" t="str">
            <v>financier</v>
          </cell>
        </row>
        <row r="5031">
          <cell r="D5031" t="str">
            <v>du</v>
          </cell>
          <cell r="E5031" t="str">
            <v>Type de traitement</v>
          </cell>
        </row>
        <row r="5032">
          <cell r="D5032" t="str">
            <v>de la</v>
          </cell>
          <cell r="E5032" t="str">
            <v>Société d'assurance</v>
          </cell>
        </row>
        <row r="5033">
          <cell r="D5033" t="str">
            <v>du</v>
          </cell>
          <cell r="E5033" t="str">
            <v>type</v>
          </cell>
          <cell r="F5033" t="str">
            <v>de</v>
          </cell>
          <cell r="G5033" t="str">
            <v>référence</v>
          </cell>
        </row>
        <row r="5034">
          <cell r="D5034" t="str">
            <v>du</v>
          </cell>
          <cell r="E5034" t="str">
            <v>Produit d'Assurance</v>
          </cell>
        </row>
        <row r="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row>
        <row r="5037">
          <cell r="D5037" t="str">
            <v>de</v>
          </cell>
          <cell r="E5037" t="str">
            <v>sinistre</v>
          </cell>
          <cell r="F5037" t="str">
            <v>du</v>
          </cell>
          <cell r="G5037" t="str">
            <v>financier</v>
          </cell>
        </row>
        <row r="5038">
          <cell r="D5038" t="str">
            <v>du</v>
          </cell>
          <cell r="E5038" t="str">
            <v>correspondant</v>
          </cell>
          <cell r="F5038" t="str">
            <v>du</v>
          </cell>
          <cell r="G5038" t="str">
            <v>financier</v>
          </cell>
        </row>
        <row r="5039">
          <cell r="D5039" t="str">
            <v>du</v>
          </cell>
          <cell r="E5039" t="str">
            <v>mouvement financier</v>
          </cell>
        </row>
        <row r="5040">
          <cell r="D5040" t="str">
            <v>du</v>
          </cell>
          <cell r="E5040" t="str">
            <v>rejet</v>
          </cell>
          <cell r="F5040" t="str">
            <v>du</v>
          </cell>
          <cell r="G5040" t="str">
            <v>mouvement financier</v>
          </cell>
        </row>
        <row r="5041">
          <cell r="D5041" t="str">
            <v>du</v>
          </cell>
          <cell r="E5041" t="str">
            <v>motif</v>
          </cell>
          <cell r="F5041" t="str">
            <v>du</v>
          </cell>
          <cell r="G5041" t="str">
            <v>rejet</v>
          </cell>
          <cell r="H5041" t="str">
            <v>du</v>
          </cell>
          <cell r="I5041" t="str">
            <v>mouvement financier</v>
          </cell>
        </row>
        <row r="5042">
          <cell r="D5042" t="str">
            <v>du</v>
          </cell>
          <cell r="E5042" t="str">
            <v>suivi</v>
          </cell>
        </row>
        <row r="5043">
          <cell r="D5043" t="str">
            <v>de</v>
          </cell>
          <cell r="E5043" t="str">
            <v>traitement</v>
          </cell>
          <cell r="G5043" t="str">
            <v>financier</v>
          </cell>
          <cell r="H5043" t="str">
            <v>du</v>
          </cell>
          <cell r="I5043" t="str">
            <v>règlement</v>
          </cell>
        </row>
        <row r="5044">
          <cell r="D5044" t="str">
            <v>de</v>
          </cell>
          <cell r="E5044" t="str">
            <v>règlement complémentaire</v>
          </cell>
          <cell r="F5044" t="str">
            <v>d'</v>
          </cell>
          <cell r="G5044" t="str">
            <v>ERMES</v>
          </cell>
        </row>
        <row r="5045">
          <cell r="D5045" t="str">
            <v>de</v>
          </cell>
          <cell r="E5045" t="str">
            <v>compensation</v>
          </cell>
          <cell r="F5045" t="str">
            <v>du</v>
          </cell>
          <cell r="G5045" t="str">
            <v>règlement</v>
          </cell>
        </row>
        <row r="5046">
          <cell r="D5046" t="str">
            <v>du</v>
          </cell>
          <cell r="E5046" t="str">
            <v>suivi</v>
          </cell>
          <cell r="F5046" t="str">
            <v>de</v>
          </cell>
          <cell r="G5046" t="str">
            <v>compensation</v>
          </cell>
        </row>
        <row r="5047">
          <cell r="D5047" t="str">
            <v>du</v>
          </cell>
          <cell r="E5047" t="str">
            <v>suivi</v>
          </cell>
          <cell r="F5047" t="str">
            <v>des</v>
          </cell>
          <cell r="G5047" t="str">
            <v>règlement complémentaire</v>
          </cell>
        </row>
        <row r="5048">
          <cell r="D5048" t="str">
            <v>de</v>
          </cell>
          <cell r="E5048" t="str">
            <v>compensation</v>
          </cell>
          <cell r="G5048" t="str">
            <v>non terminé</v>
          </cell>
        </row>
        <row r="5049">
          <cell r="D5049" t="str">
            <v>de</v>
          </cell>
          <cell r="E5049" t="str">
            <v>jour</v>
          </cell>
          <cell r="F5049" t="str">
            <v>d'</v>
          </cell>
          <cell r="G5049" t="str">
            <v>attente</v>
          </cell>
          <cell r="H5049" t="str">
            <v>de</v>
          </cell>
          <cell r="I5049" t="str">
            <v>compensation</v>
          </cell>
        </row>
        <row r="5050">
          <cell r="D5050" t="str">
            <v>du</v>
          </cell>
          <cell r="E5050" t="str">
            <v>motif</v>
          </cell>
          <cell r="F5050" t="str">
            <v>du</v>
          </cell>
          <cell r="G5050" t="str">
            <v>rejet</v>
          </cell>
          <cell r="H5050" t="str">
            <v>du</v>
          </cell>
          <cell r="I5050" t="str">
            <v>mouvement financier</v>
          </cell>
        </row>
        <row r="5051">
          <cell r="D5051" t="str">
            <v>en</v>
          </cell>
          <cell r="E5051" t="str">
            <v>assurance collective</v>
          </cell>
        </row>
        <row r="5052">
          <cell r="D5052" t="str">
            <v>en</v>
          </cell>
          <cell r="E5052" t="str">
            <v>assurance collective</v>
          </cell>
        </row>
        <row r="5053">
          <cell r="D5053" t="str">
            <v>en</v>
          </cell>
          <cell r="E5053" t="str">
            <v>assurance collective</v>
          </cell>
        </row>
        <row r="5054">
          <cell r="D5054" t="str">
            <v>de</v>
          </cell>
          <cell r="E5054" t="str">
            <v>droits de vote</v>
          </cell>
        </row>
        <row r="5055">
          <cell r="D5055" t="str">
            <v>de</v>
          </cell>
          <cell r="E5055" t="str">
            <v>"bénéficiaire effectif"</v>
          </cell>
        </row>
        <row r="5056">
          <cell r="D5056" t="str">
            <v>de</v>
          </cell>
          <cell r="E5056" t="str">
            <v>salarié du groupe</v>
          </cell>
        </row>
        <row r="5057">
          <cell r="D5057" t="str">
            <v>d'</v>
          </cell>
          <cell r="E5057" t="str">
            <v>Intervention chirurgicale</v>
          </cell>
        </row>
        <row r="5058">
          <cell r="D5058" t="str">
            <v>de la</v>
          </cell>
          <cell r="E5058" t="str">
            <v>Catégorie socio-professionnelle</v>
          </cell>
        </row>
        <row r="5059">
          <cell r="D5059" t="str">
            <v>de</v>
          </cell>
          <cell r="E5059" t="str">
            <v>présence</v>
          </cell>
          <cell r="F5059" t="str">
            <v>d'un</v>
          </cell>
          <cell r="G5059" t="str">
            <v>procès-verbal</v>
          </cell>
        </row>
        <row r="5060">
          <cell r="D5060" t="str">
            <v>du</v>
          </cell>
          <cell r="E5060" t="str">
            <v>revenu de référence</v>
          </cell>
        </row>
        <row r="5061">
          <cell r="D5061" t="str">
            <v>du</v>
          </cell>
          <cell r="E5061" t="str">
            <v>revenu de remplacement</v>
          </cell>
        </row>
        <row r="5062">
          <cell r="D5062" t="str">
            <v>de</v>
          </cell>
          <cell r="E5062" t="str">
            <v>mise en jeu</v>
          </cell>
          <cell r="F5062" t="str">
            <v>de la</v>
          </cell>
          <cell r="G5062" t="str">
            <v>garantie décès</v>
          </cell>
        </row>
        <row r="5063">
          <cell r="D5063" t="str">
            <v>de la</v>
          </cell>
          <cell r="E5063" t="str">
            <v>profession</v>
          </cell>
          <cell r="G5063" t="str">
            <v>déclaré</v>
          </cell>
        </row>
        <row r="5064">
          <cell r="D5064" t="str">
            <v>de l'</v>
          </cell>
          <cell r="E5064" t="str">
            <v>hospitalisation</v>
          </cell>
          <cell r="G5064" t="str">
            <v>déclaré</v>
          </cell>
        </row>
        <row r="5065">
          <cell r="D5065" t="str">
            <v>du</v>
          </cell>
          <cell r="E5065" t="str">
            <v>Dossier</v>
          </cell>
          <cell r="G5065" t="str">
            <v>externe</v>
          </cell>
        </row>
        <row r="5066">
          <cell r="D5066" t="str">
            <v>du</v>
          </cell>
          <cell r="E5066" t="str">
            <v>justificatif</v>
          </cell>
          <cell r="F5066" t="str">
            <v>du</v>
          </cell>
          <cell r="G5066" t="str">
            <v>règlement</v>
          </cell>
        </row>
        <row r="5067">
          <cell r="D5067" t="str">
            <v>de la</v>
          </cell>
          <cell r="E5067" t="str">
            <v>situation</v>
          </cell>
          <cell r="F5067" t="str">
            <v>du</v>
          </cell>
          <cell r="G5067" t="str">
            <v>dossier</v>
          </cell>
        </row>
        <row r="5068">
          <cell r="D5068" t="str">
            <v>du</v>
          </cell>
          <cell r="E5068" t="str">
            <v>motif</v>
          </cell>
          <cell r="F5068" t="str">
            <v>de la</v>
          </cell>
          <cell r="G5068" t="str">
            <v>situation</v>
          </cell>
        </row>
        <row r="5069">
          <cell r="D5069" t="str">
            <v>du</v>
          </cell>
          <cell r="E5069" t="str">
            <v>régime sécurité sociale</v>
          </cell>
        </row>
        <row r="5070">
          <cell r="D5070" t="str">
            <v>du</v>
          </cell>
          <cell r="E5070" t="str">
            <v>Numéro de TVA intra communautaire</v>
          </cell>
          <cell r="F5070" t="str">
            <v>du</v>
          </cell>
          <cell r="G5070" t="str">
            <v>guichet</v>
          </cell>
        </row>
        <row r="5071">
          <cell r="D5071" t="str">
            <v>de la</v>
          </cell>
          <cell r="E5071" t="str">
            <v>langue</v>
          </cell>
          <cell r="F5071" t="str">
            <v>par</v>
          </cell>
          <cell r="G5071" t="str">
            <v>défaut</v>
          </cell>
          <cell r="H5071" t="str">
            <v>du</v>
          </cell>
          <cell r="I5071" t="str">
            <v>guichet</v>
          </cell>
        </row>
        <row r="5072">
          <cell r="D5072" t="str">
            <v>du</v>
          </cell>
          <cell r="E5072" t="str">
            <v>guichet</v>
          </cell>
          <cell r="F5072" t="str">
            <v>du</v>
          </cell>
          <cell r="G5072" t="str">
            <v>siège</v>
          </cell>
          <cell r="H5072" t="str">
            <v>de l'</v>
          </cell>
          <cell r="I5072" t="str">
            <v>établissement</v>
          </cell>
        </row>
        <row r="5073">
          <cell r="D5073" t="str">
            <v>du</v>
          </cell>
          <cell r="E5073" t="str">
            <v>site de gestion</v>
          </cell>
          <cell r="F5073" t="str">
            <v>du</v>
          </cell>
          <cell r="G5073" t="str">
            <v>guichet</v>
          </cell>
        </row>
        <row r="5074">
          <cell r="D5074" t="str">
            <v>du</v>
          </cell>
          <cell r="E5074" t="str">
            <v>responsable</v>
          </cell>
          <cell r="F5074" t="str">
            <v>du</v>
          </cell>
          <cell r="G5074" t="str">
            <v>Bureau du guichet</v>
          </cell>
        </row>
        <row r="5075">
          <cell r="D5075" t="str">
            <v>au</v>
          </cell>
          <cell r="E5075" t="str">
            <v>public</v>
          </cell>
          <cell r="F5075" t="str">
            <v>du</v>
          </cell>
          <cell r="G5075" t="str">
            <v>Bureau du guichet</v>
          </cell>
        </row>
        <row r="5076">
          <cell r="D5076" t="str">
            <v>d'</v>
          </cell>
          <cell r="E5076" t="str">
            <v>exonération cotisation</v>
          </cell>
        </row>
        <row r="5077">
          <cell r="D5077" t="str">
            <v>d'</v>
          </cell>
          <cell r="E5077" t="str">
            <v>exonération cotisation</v>
          </cell>
          <cell r="G5077" t="str">
            <v>autre garantie</v>
          </cell>
        </row>
        <row r="5078">
          <cell r="D5078" t="str">
            <v>des</v>
          </cell>
          <cell r="E5078" t="str">
            <v>Circonstance</v>
          </cell>
          <cell r="F5078" t="str">
            <v>du</v>
          </cell>
          <cell r="G5078" t="str">
            <v>Sinistre</v>
          </cell>
        </row>
        <row r="5079">
          <cell r="D5079" t="str">
            <v>du</v>
          </cell>
          <cell r="E5079" t="str">
            <v>jour</v>
          </cell>
        </row>
        <row r="5080">
          <cell r="D5080" t="str">
            <v>de la</v>
          </cell>
          <cell r="E5080" t="str">
            <v>prestation</v>
          </cell>
        </row>
        <row r="5081">
          <cell r="D5081" t="str">
            <v>de</v>
          </cell>
          <cell r="E5081" t="str">
            <v>mois d'ancienneté</v>
          </cell>
          <cell r="F5081" t="str">
            <v>dans l'</v>
          </cell>
          <cell r="G5081" t="str">
            <v>entreprise</v>
          </cell>
        </row>
        <row r="5082">
          <cell r="D5082" t="str">
            <v>de</v>
          </cell>
          <cell r="E5082" t="str">
            <v>mois d'ancienneté</v>
          </cell>
          <cell r="F5082" t="str">
            <v>dans la</v>
          </cell>
          <cell r="G5082" t="str">
            <v>branche assurance</v>
          </cell>
        </row>
        <row r="5083">
          <cell r="D5083" t="str">
            <v>de</v>
          </cell>
          <cell r="E5083" t="str">
            <v>job multiple</v>
          </cell>
        </row>
        <row r="5084">
          <cell r="D5084" t="str">
            <v>de la</v>
          </cell>
          <cell r="E5084" t="str">
            <v>franchise</v>
          </cell>
          <cell r="F5084" t="str">
            <v>du</v>
          </cell>
          <cell r="G5084" t="str">
            <v>régime sécurité sociale</v>
          </cell>
        </row>
        <row r="5085">
          <cell r="D5085" t="str">
            <v>du</v>
          </cell>
          <cell r="E5085" t="str">
            <v>remboursement</v>
          </cell>
          <cell r="F5085" t="str">
            <v>de la</v>
          </cell>
          <cell r="G5085" t="str">
            <v>sécurité sociale</v>
          </cell>
        </row>
        <row r="5086">
          <cell r="D5086" t="str">
            <v>de</v>
          </cell>
          <cell r="E5086" t="str">
            <v>temps de travail</v>
          </cell>
        </row>
        <row r="5087">
          <cell r="D5087" t="str">
            <v>d'</v>
          </cell>
          <cell r="E5087" t="str">
            <v>ouverture</v>
          </cell>
          <cell r="F5087" t="str">
            <v>des</v>
          </cell>
          <cell r="G5087" t="str">
            <v>droits</v>
          </cell>
          <cell r="H5087" t="str">
            <v>à la</v>
          </cell>
          <cell r="I5087" t="str">
            <v>sécurité sociale</v>
          </cell>
        </row>
        <row r="5088">
          <cell r="D5088" t="str">
            <v>de la</v>
          </cell>
          <cell r="E5088" t="str">
            <v>ville</v>
          </cell>
          <cell r="G5088" t="str">
            <v>déclaré</v>
          </cell>
          <cell r="H5088" t="str">
            <v>du</v>
          </cell>
          <cell r="I5088" t="str">
            <v>décès</v>
          </cell>
        </row>
        <row r="5089">
          <cell r="D5089" t="str">
            <v>des</v>
          </cell>
          <cell r="E5089" t="str">
            <v>impayés</v>
          </cell>
        </row>
        <row r="5090">
          <cell r="D5090" t="str">
            <v>de</v>
          </cell>
          <cell r="E5090" t="str">
            <v>portabilité</v>
          </cell>
          <cell r="F5090" t="str">
            <v>de la</v>
          </cell>
          <cell r="G5090" t="str">
            <v>prestation</v>
          </cell>
        </row>
        <row r="5091">
          <cell r="D5091" t="str">
            <v>du</v>
          </cell>
          <cell r="E5091" t="str">
            <v>type de bénéficiaire</v>
          </cell>
        </row>
        <row r="5092">
          <cell r="D5092" t="str">
            <v>de la</v>
          </cell>
          <cell r="E5092" t="str">
            <v>garantie</v>
          </cell>
          <cell r="F5092" t="str">
            <v>du</v>
          </cell>
          <cell r="G5092" t="str">
            <v>portefeuille</v>
          </cell>
          <cell r="H5092" t="str">
            <v>de l'</v>
          </cell>
          <cell r="I5092" t="str">
            <v>emprunteur</v>
          </cell>
        </row>
        <row r="5093">
          <cell r="D5093" t="str">
            <v>du</v>
          </cell>
          <cell r="E5093" t="str">
            <v>type de montant</v>
          </cell>
        </row>
        <row r="5094">
          <cell r="D5094" t="str">
            <v>de</v>
          </cell>
          <cell r="E5094" t="str">
            <v>départ à la retraite</v>
          </cell>
        </row>
        <row r="5095">
          <cell r="C5095" t="str">
            <v>limite</v>
          </cell>
          <cell r="D5095" t="str">
            <v>de</v>
          </cell>
          <cell r="E5095" t="str">
            <v>garantie</v>
          </cell>
        </row>
        <row r="5096">
          <cell r="C5096" t="str">
            <v>minimum</v>
          </cell>
          <cell r="D5096" t="str">
            <v>du</v>
          </cell>
          <cell r="E5096" t="str">
            <v>salarié</v>
          </cell>
          <cell r="F5096" t="str">
            <v>dans la</v>
          </cell>
          <cell r="G5096" t="str">
            <v>branche d'activité</v>
          </cell>
        </row>
        <row r="5097">
          <cell r="C5097" t="str">
            <v>minimum</v>
          </cell>
          <cell r="D5097" t="str">
            <v>pour</v>
          </cell>
          <cell r="E5097" t="str">
            <v>adhérer</v>
          </cell>
          <cell r="F5097" t="str">
            <v>au</v>
          </cell>
          <cell r="G5097" t="str">
            <v>contrat</v>
          </cell>
        </row>
        <row r="5098">
          <cell r="D5098" t="str">
            <v>pour l'</v>
          </cell>
          <cell r="E5098" t="str">
            <v>entrée</v>
          </cell>
          <cell r="F5098" t="str">
            <v>en</v>
          </cell>
          <cell r="G5098" t="str">
            <v>garantie</v>
          </cell>
        </row>
        <row r="5099">
          <cell r="D5099" t="str">
            <v>de</v>
          </cell>
          <cell r="E5099" t="str">
            <v>bénéficiaire couvert</v>
          </cell>
        </row>
        <row r="5100">
          <cell r="D5100" t="str">
            <v>de l'</v>
          </cell>
          <cell r="E5100" t="str">
            <v>adhésion obligatoire</v>
          </cell>
          <cell r="F5100" t="str">
            <v>des</v>
          </cell>
          <cell r="G5100" t="str">
            <v>salarié</v>
          </cell>
        </row>
        <row r="5101">
          <cell r="D5101" t="str">
            <v>du</v>
          </cell>
          <cell r="E5101" t="str">
            <v>Contrat</v>
          </cell>
          <cell r="F5101" t="str">
            <v xml:space="preserve"> </v>
          </cell>
          <cell r="G5101" t="str">
            <v>mise en conformité</v>
          </cell>
          <cell r="I5101" t="str">
            <v>CCN</v>
          </cell>
        </row>
        <row r="5102">
          <cell r="D5102" t="str">
            <v>de la</v>
          </cell>
          <cell r="E5102" t="str">
            <v>dérogation</v>
          </cell>
          <cell r="F5102" t="str">
            <v>au</v>
          </cell>
          <cell r="G5102" t="str">
            <v>formalités médicales</v>
          </cell>
        </row>
        <row r="5103">
          <cell r="D5103" t="str">
            <v>de la</v>
          </cell>
          <cell r="E5103" t="str">
            <v>subrogation</v>
          </cell>
          <cell r="F5103" t="str">
            <v>du</v>
          </cell>
          <cell r="G5103" t="str">
            <v>contrat entreprise</v>
          </cell>
        </row>
        <row r="5104">
          <cell r="D5104" t="str">
            <v>du</v>
          </cell>
          <cell r="E5104" t="str">
            <v>Droit</v>
          </cell>
          <cell r="F5104" t="str">
            <v>du</v>
          </cell>
          <cell r="G5104" t="str">
            <v>salarié</v>
          </cell>
          <cell r="H5104" t="str">
            <v>à la</v>
          </cell>
          <cell r="I5104" t="str">
            <v>portabilité</v>
          </cell>
        </row>
        <row r="5105">
          <cell r="D5105" t="str">
            <v>du</v>
          </cell>
          <cell r="E5105" t="str">
            <v>gestionnaire</v>
          </cell>
        </row>
        <row r="5106">
          <cell r="D5106" t="str">
            <v>de la</v>
          </cell>
          <cell r="E5106" t="str">
            <v>relation bénéficiaire</v>
          </cell>
          <cell r="F5106" t="str">
            <v>avec</v>
          </cell>
          <cell r="G5106" t="str">
            <v>souscripteur</v>
          </cell>
        </row>
        <row r="5107">
          <cell r="D5107" t="str">
            <v>de la</v>
          </cell>
          <cell r="E5107" t="str">
            <v>personne</v>
          </cell>
          <cell r="G5107" t="str">
            <v>affecté</v>
          </cell>
          <cell r="H5107" t="str">
            <v>au</v>
          </cell>
          <cell r="I5107" t="str">
            <v>contrat</v>
          </cell>
        </row>
        <row r="5108">
          <cell r="D5108" t="str">
            <v>de la</v>
          </cell>
          <cell r="E5108" t="str">
            <v>personne</v>
          </cell>
          <cell r="G5108" t="str">
            <v>ayant saisi</v>
          </cell>
          <cell r="H5108" t="str">
            <v>le</v>
          </cell>
          <cell r="I5108" t="str">
            <v>contrat</v>
          </cell>
        </row>
        <row r="5109">
          <cell r="D5109" t="str">
            <v>du</v>
          </cell>
          <cell r="E5109" t="str">
            <v>mode de déclaration</v>
          </cell>
          <cell r="F5109" t="str">
            <v>du</v>
          </cell>
          <cell r="G5109" t="str">
            <v>contrat</v>
          </cell>
        </row>
        <row r="5110">
          <cell r="D5110" t="str">
            <v>de</v>
          </cell>
          <cell r="E5110" t="str">
            <v>demande</v>
          </cell>
          <cell r="F5110" t="str">
            <v>de</v>
          </cell>
          <cell r="G5110" t="str">
            <v>résiliation</v>
          </cell>
        </row>
        <row r="5111">
          <cell r="D5111" t="str">
            <v>de</v>
          </cell>
          <cell r="E5111" t="str">
            <v>portabilité</v>
          </cell>
        </row>
        <row r="5112">
          <cell r="D5112" t="str">
            <v>de</v>
          </cell>
          <cell r="E5112" t="str">
            <v>signature</v>
          </cell>
          <cell r="F5112" t="str">
            <v>du</v>
          </cell>
          <cell r="G5112" t="str">
            <v>contrat</v>
          </cell>
        </row>
        <row r="5113">
          <cell r="D5113" t="str">
            <v>de la</v>
          </cell>
          <cell r="E5113" t="str">
            <v>Structure</v>
          </cell>
          <cell r="F5113" t="str">
            <v>de</v>
          </cell>
          <cell r="G5113" t="str">
            <v>cotisation</v>
          </cell>
          <cell r="H5113" t="str">
            <v>pour le</v>
          </cell>
          <cell r="I5113" t="str">
            <v>socle</v>
          </cell>
        </row>
        <row r="5114">
          <cell r="D5114" t="str">
            <v>de la</v>
          </cell>
          <cell r="E5114" t="str">
            <v>Structure</v>
          </cell>
          <cell r="F5114" t="str">
            <v>de</v>
          </cell>
          <cell r="G5114" t="str">
            <v>cotisation</v>
          </cell>
          <cell r="H5114" t="str">
            <v>pour les</v>
          </cell>
          <cell r="I5114" t="str">
            <v>option</v>
          </cell>
        </row>
        <row r="5115">
          <cell r="D5115" t="str">
            <v>de l'</v>
          </cell>
          <cell r="E5115" t="str">
            <v>envoi</v>
          </cell>
          <cell r="G5115" t="str">
            <v>Carte avance santé</v>
          </cell>
        </row>
        <row r="5116">
          <cell r="D5116" t="str">
            <v>du</v>
          </cell>
          <cell r="E5116" t="str">
            <v>contrat groupe</v>
          </cell>
          <cell r="G5116" t="str">
            <v>générique</v>
          </cell>
        </row>
        <row r="5117">
          <cell r="D5117" t="str">
            <v>de la</v>
          </cell>
          <cell r="E5117" t="str">
            <v>tranche de salaire</v>
          </cell>
        </row>
        <row r="5118">
          <cell r="D5118" t="str">
            <v>de l'</v>
          </cell>
          <cell r="E5118" t="str">
            <v>intermédiaire</v>
          </cell>
          <cell r="F5118" t="str">
            <v>de</v>
          </cell>
          <cell r="G5118" t="str">
            <v>commercialisation</v>
          </cell>
        </row>
        <row r="5119">
          <cell r="D5119" t="str">
            <v>du</v>
          </cell>
          <cell r="E5119" t="str">
            <v>mode de gestion</v>
          </cell>
          <cell r="F5119" t="str">
            <v>du</v>
          </cell>
          <cell r="G5119" t="str">
            <v>contrat</v>
          </cell>
        </row>
        <row r="5120">
          <cell r="D5120" t="str">
            <v>de</v>
          </cell>
          <cell r="E5120" t="str">
            <v>création</v>
          </cell>
          <cell r="F5120" t="str">
            <v>de l'</v>
          </cell>
          <cell r="G5120" t="str">
            <v>avenant du contrat</v>
          </cell>
        </row>
        <row r="5121">
          <cell r="C5121" t="str">
            <v>fin</v>
          </cell>
          <cell r="D5121" t="str">
            <v>de</v>
          </cell>
          <cell r="E5121" t="str">
            <v>portabilité</v>
          </cell>
        </row>
        <row r="5122">
          <cell r="D5122" t="str">
            <v>de</v>
          </cell>
          <cell r="E5122" t="str">
            <v>contrat</v>
          </cell>
          <cell r="G5122" t="str">
            <v>réel</v>
          </cell>
        </row>
        <row r="5123">
          <cell r="D5123" t="str">
            <v>de la</v>
          </cell>
          <cell r="E5123" t="str">
            <v>part employeur</v>
          </cell>
          <cell r="F5123" t="str">
            <v>du</v>
          </cell>
          <cell r="G5123" t="str">
            <v>type de tranche</v>
          </cell>
        </row>
        <row r="5124">
          <cell r="D5124" t="str">
            <v>du</v>
          </cell>
          <cell r="E5124" t="str">
            <v>contrat collectif</v>
          </cell>
          <cell r="F5124" t="str">
            <v>pour l'</v>
          </cell>
          <cell r="G5124" t="str">
            <v>adhésion</v>
          </cell>
        </row>
        <row r="5125">
          <cell r="D5125" t="str">
            <v>du</v>
          </cell>
          <cell r="E5125" t="str">
            <v>contrat résilié</v>
          </cell>
          <cell r="F5125" t="str">
            <v>pour</v>
          </cell>
          <cell r="G5125" t="str">
            <v>mise en conformité</v>
          </cell>
        </row>
        <row r="5126">
          <cell r="D5126" t="str">
            <v>du</v>
          </cell>
          <cell r="E5126" t="str">
            <v>statut étude</v>
          </cell>
          <cell r="F5126" t="str">
            <v>des</v>
          </cell>
          <cell r="G5126" t="str">
            <v>formalités médicales</v>
          </cell>
        </row>
        <row r="5127">
          <cell r="D5127" t="str">
            <v>de</v>
          </cell>
          <cell r="E5127" t="str">
            <v>tous les salariés au même Régime</v>
          </cell>
        </row>
        <row r="5128">
          <cell r="D5128" t="str">
            <v>de l'</v>
          </cell>
          <cell r="E5128" t="str">
            <v>ayant-droit</v>
          </cell>
          <cell r="G5128" t="str">
            <v>obligatoire</v>
          </cell>
        </row>
        <row r="5129">
          <cell r="D5129" t="str">
            <v>du</v>
          </cell>
          <cell r="E5129" t="str">
            <v>conjoint</v>
          </cell>
          <cell r="G5129" t="str">
            <v>garanti</v>
          </cell>
        </row>
        <row r="5130">
          <cell r="D5130" t="str">
            <v>du</v>
          </cell>
          <cell r="E5130" t="str">
            <v>contrat</v>
          </cell>
          <cell r="G5130" t="str">
            <v>issu d'une operation</v>
          </cell>
          <cell r="I5130" t="str">
            <v>portabilité</v>
          </cell>
        </row>
        <row r="5131">
          <cell r="D5131" t="str">
            <v>de</v>
          </cell>
          <cell r="E5131" t="str">
            <v>maintien</v>
          </cell>
          <cell r="F5131" t="str">
            <v>des</v>
          </cell>
          <cell r="G5131" t="str">
            <v>veufs</v>
          </cell>
        </row>
        <row r="5132">
          <cell r="D5132" t="str">
            <v>de</v>
          </cell>
          <cell r="E5132" t="str">
            <v>Mutualise contrat reel</v>
          </cell>
        </row>
        <row r="5133">
          <cell r="D5133" t="str">
            <v>de la</v>
          </cell>
          <cell r="E5133" t="str">
            <v>participation employeur</v>
          </cell>
        </row>
        <row r="5134">
          <cell r="D5134" t="str">
            <v>de</v>
          </cell>
          <cell r="E5134" t="str">
            <v>réassurance</v>
          </cell>
        </row>
        <row r="5135">
          <cell r="D5135" t="str">
            <v>du</v>
          </cell>
          <cell r="E5135" t="str">
            <v>Responsable</v>
          </cell>
        </row>
        <row r="5136">
          <cell r="D5136" t="str">
            <v>de</v>
          </cell>
          <cell r="E5136" t="str">
            <v>solidaire</v>
          </cell>
        </row>
        <row r="5137">
          <cell r="D5137" t="str">
            <v>de l'</v>
          </cell>
          <cell r="E5137" t="str">
            <v>Acte Fondateur</v>
          </cell>
        </row>
        <row r="5138">
          <cell r="D5138" t="str">
            <v>de la</v>
          </cell>
          <cell r="E5138" t="str">
            <v>catégorie salariale</v>
          </cell>
        </row>
        <row r="5139">
          <cell r="D5139" t="str">
            <v>du</v>
          </cell>
          <cell r="E5139" t="str">
            <v>CCN</v>
          </cell>
        </row>
        <row r="5140">
          <cell r="D5140" t="str">
            <v>du</v>
          </cell>
          <cell r="E5140" t="str">
            <v>contrat</v>
          </cell>
          <cell r="G5140" t="str">
            <v>spécifique</v>
          </cell>
        </row>
        <row r="5141">
          <cell r="D5141" t="str">
            <v>du</v>
          </cell>
          <cell r="E5141" t="str">
            <v>motif</v>
          </cell>
          <cell r="F5141" t="str">
            <v>de</v>
          </cell>
          <cell r="G5141" t="str">
            <v>refus</v>
          </cell>
          <cell r="H5141" t="str">
            <v>au</v>
          </cell>
          <cell r="I5141" t="str">
            <v>service de transmission des IJ</v>
          </cell>
        </row>
        <row r="5142">
          <cell r="D5142" t="str">
            <v>du</v>
          </cell>
          <cell r="E5142" t="str">
            <v>service de transmission des IJ</v>
          </cell>
        </row>
        <row r="5143">
          <cell r="D5143" t="str">
            <v>de</v>
          </cell>
          <cell r="E5143" t="str">
            <v>prélèvement</v>
          </cell>
          <cell r="F5143" t="str">
            <v>par</v>
          </cell>
          <cell r="G5143" t="str">
            <v>DSN</v>
          </cell>
        </row>
        <row r="5144">
          <cell r="D5144" t="str">
            <v>du</v>
          </cell>
          <cell r="E5144" t="str">
            <v>mode d'inscription</v>
          </cell>
          <cell r="F5144" t="str">
            <v>des</v>
          </cell>
          <cell r="G5144" t="str">
            <v>salarié</v>
          </cell>
          <cell r="H5144" t="str">
            <v>au</v>
          </cell>
          <cell r="I5144" t="str">
            <v>service de transmission des IJ</v>
          </cell>
        </row>
        <row r="5145">
          <cell r="D5145" t="str">
            <v>de la</v>
          </cell>
          <cell r="E5145" t="str">
            <v>CCN</v>
          </cell>
        </row>
        <row r="5146">
          <cell r="D5146" t="str">
            <v>de la</v>
          </cell>
          <cell r="E5146" t="str">
            <v>CCN</v>
          </cell>
          <cell r="G5146" t="str">
            <v>ACM</v>
          </cell>
        </row>
        <row r="5147">
          <cell r="D5147" t="str">
            <v>d'</v>
          </cell>
          <cell r="E5147" t="str">
            <v>autres personnes à charge</v>
          </cell>
        </row>
        <row r="5148">
          <cell r="D5148" t="str">
            <v>de</v>
          </cell>
          <cell r="E5148" t="str">
            <v>conjoint</v>
          </cell>
        </row>
        <row r="5149">
          <cell r="D5149" t="str">
            <v>de</v>
          </cell>
          <cell r="E5149" t="str">
            <v>salarié</v>
          </cell>
        </row>
        <row r="5150">
          <cell r="D5150" t="str">
            <v>d'</v>
          </cell>
          <cell r="E5150" t="str">
            <v>enfant</v>
          </cell>
        </row>
        <row r="5151">
          <cell r="D5151" t="str">
            <v>du</v>
          </cell>
          <cell r="E5151" t="str">
            <v>contrat collectif</v>
          </cell>
        </row>
        <row r="5152">
          <cell r="D5152" t="str">
            <v>de l'</v>
          </cell>
          <cell r="E5152" t="str">
            <v>association</v>
          </cell>
          <cell r="G5152" t="str">
            <v>DSN</v>
          </cell>
        </row>
        <row r="5153">
          <cell r="D5153" t="str">
            <v>d'</v>
          </cell>
          <cell r="E5153" t="str">
            <v>entreprise</v>
          </cell>
        </row>
        <row r="5154">
          <cell r="D5154" t="str">
            <v>de l'</v>
          </cell>
          <cell r="E5154" t="str">
            <v>edition</v>
          </cell>
          <cell r="F5154" t="str">
            <v>des</v>
          </cell>
          <cell r="G5154" t="str">
            <v>appel des cotisations</v>
          </cell>
        </row>
        <row r="5155">
          <cell r="D5155" t="str">
            <v>de l'</v>
          </cell>
          <cell r="E5155" t="str">
            <v>exclusion du renouvellement</v>
          </cell>
        </row>
        <row r="5156">
          <cell r="D5156" t="str">
            <v>de</v>
          </cell>
          <cell r="E5156" t="str">
            <v>prélèvement</v>
          </cell>
          <cell r="G5156" t="str">
            <v>géré</v>
          </cell>
          <cell r="H5156" t="str">
            <v>par</v>
          </cell>
          <cell r="I5156" t="str">
            <v>DSN</v>
          </cell>
        </row>
        <row r="5157">
          <cell r="D5157" t="str">
            <v>de l'</v>
          </cell>
          <cell r="E5157" t="str">
            <v>Offre</v>
          </cell>
          <cell r="G5157" t="str">
            <v>Assureur</v>
          </cell>
        </row>
        <row r="5158">
          <cell r="D5158" t="str">
            <v>du</v>
          </cell>
          <cell r="E5158" t="str">
            <v>mode de déclaration</v>
          </cell>
          <cell r="F5158" t="str">
            <v>du</v>
          </cell>
          <cell r="G5158" t="str">
            <v>contrat</v>
          </cell>
        </row>
        <row r="5159">
          <cell r="D5159" t="str">
            <v>du</v>
          </cell>
          <cell r="E5159" t="str">
            <v>type de contrat</v>
          </cell>
        </row>
        <row r="5160">
          <cell r="D5160" t="str">
            <v>de</v>
          </cell>
          <cell r="E5160" t="str">
            <v>contrat</v>
          </cell>
          <cell r="F5160" t="str">
            <v>du</v>
          </cell>
          <cell r="G5160" t="str">
            <v>Groupe Crédit Mutuel</v>
          </cell>
        </row>
        <row r="5161">
          <cell r="D5161" t="str">
            <v>de</v>
          </cell>
          <cell r="E5161" t="str">
            <v>contrat</v>
          </cell>
          <cell r="G5161" t="str">
            <v>bloqué</v>
          </cell>
        </row>
        <row r="5162">
          <cell r="D5162" t="str">
            <v>du</v>
          </cell>
          <cell r="E5162" t="str">
            <v>chargé de clientèle</v>
          </cell>
          <cell r="F5162" t="str">
            <v>du</v>
          </cell>
          <cell r="G5162" t="str">
            <v>contrat</v>
          </cell>
        </row>
        <row r="5163">
          <cell r="D5163" t="str">
            <v>du</v>
          </cell>
          <cell r="E5163" t="str">
            <v>salarié</v>
          </cell>
          <cell r="F5163" t="str">
            <v>du</v>
          </cell>
          <cell r="G5163" t="str">
            <v>contrat</v>
          </cell>
        </row>
        <row r="5164">
          <cell r="D5164" t="str">
            <v>de la</v>
          </cell>
          <cell r="E5164" t="str">
            <v>relation bénéficiaire</v>
          </cell>
          <cell r="F5164" t="str">
            <v>avec</v>
          </cell>
          <cell r="G5164" t="str">
            <v>souscripteur</v>
          </cell>
        </row>
        <row r="5165">
          <cell r="D5165" t="str">
            <v>de</v>
          </cell>
          <cell r="E5165" t="str">
            <v>avenant Contrat collectif</v>
          </cell>
        </row>
        <row r="5166">
          <cell r="D5166" t="str">
            <v>de</v>
          </cell>
          <cell r="E5166" t="str">
            <v>traitement</v>
          </cell>
          <cell r="F5166" t="str">
            <v>des</v>
          </cell>
          <cell r="G5166" t="str">
            <v>adhésion</v>
          </cell>
          <cell r="H5166" t="str">
            <v>d'un</v>
          </cell>
          <cell r="I5166" t="str">
            <v>contrat</v>
          </cell>
        </row>
        <row r="5167">
          <cell r="D5167" t="str">
            <v>du</v>
          </cell>
          <cell r="E5167" t="str">
            <v>mode de gestion</v>
          </cell>
          <cell r="F5167" t="str">
            <v>des</v>
          </cell>
          <cell r="G5167" t="str">
            <v>cotisations</v>
          </cell>
        </row>
        <row r="5168">
          <cell r="D5168" t="str">
            <v>d'</v>
          </cell>
          <cell r="E5168" t="str">
            <v>edition</v>
          </cell>
          <cell r="F5168" t="str">
            <v>des</v>
          </cell>
          <cell r="G5168" t="str">
            <v>volets de remboursement des prestations</v>
          </cell>
        </row>
        <row r="5169">
          <cell r="D5169" t="str">
            <v>du</v>
          </cell>
          <cell r="E5169" t="str">
            <v>produit d'assurance</v>
          </cell>
          <cell r="F5169" t="str">
            <v>du</v>
          </cell>
          <cell r="G5169" t="str">
            <v>contrat groupe</v>
          </cell>
          <cell r="I5169" t="str">
            <v>générique</v>
          </cell>
        </row>
        <row r="5170">
          <cell r="D5170" t="str">
            <v>de</v>
          </cell>
          <cell r="E5170" t="str">
            <v>gestion</v>
          </cell>
          <cell r="F5170" t="str">
            <v>des</v>
          </cell>
          <cell r="G5170" t="str">
            <v>cotisations</v>
          </cell>
        </row>
        <row r="5171">
          <cell r="D5171" t="str">
            <v>de</v>
          </cell>
          <cell r="E5171" t="str">
            <v>contrat chapeau</v>
          </cell>
          <cell r="I5171" t="str">
            <v>réel</v>
          </cell>
        </row>
        <row r="5172">
          <cell r="D5172" t="str">
            <v>de l'</v>
          </cell>
          <cell r="E5172" t="str">
            <v>élément</v>
          </cell>
          <cell r="F5172" t="str">
            <v>de la</v>
          </cell>
          <cell r="G5172" t="str">
            <v>structure</v>
          </cell>
          <cell r="H5172" t="str">
            <v>de</v>
          </cell>
          <cell r="I5172" t="str">
            <v>cotisation</v>
          </cell>
        </row>
        <row r="5173">
          <cell r="D5173" t="str">
            <v>de l'</v>
          </cell>
          <cell r="E5173" t="str">
            <v>élément</v>
          </cell>
          <cell r="F5173" t="str">
            <v>de la</v>
          </cell>
          <cell r="G5173" t="str">
            <v>structure</v>
          </cell>
          <cell r="I5173" t="str">
            <v>option</v>
          </cell>
        </row>
        <row r="5174">
          <cell r="D5174" t="str">
            <v>de la</v>
          </cell>
          <cell r="E5174" t="str">
            <v>part employeur</v>
          </cell>
        </row>
        <row r="5175">
          <cell r="D5175" t="str">
            <v>de la</v>
          </cell>
          <cell r="E5175" t="str">
            <v>part Comité d'entreprise</v>
          </cell>
        </row>
        <row r="5176">
          <cell r="D5176" t="str">
            <v>du</v>
          </cell>
        </row>
        <row r="5177">
          <cell r="D5177" t="str">
            <v>du</v>
          </cell>
        </row>
        <row r="5178">
          <cell r="D5178" t="str">
            <v>du</v>
          </cell>
        </row>
        <row r="5179">
          <cell r="D5179" t="str">
            <v>de la</v>
          </cell>
          <cell r="E5179" t="str">
            <v>part salariale</v>
          </cell>
        </row>
        <row r="5180">
          <cell r="D5180" t="str">
            <v>de</v>
          </cell>
          <cell r="E5180" t="str">
            <v xml:space="preserve">partition </v>
          </cell>
          <cell r="F5180" t="str">
            <v>du</v>
          </cell>
          <cell r="G5180" t="str">
            <v>contrat</v>
          </cell>
        </row>
        <row r="5181">
          <cell r="D5181" t="str">
            <v>de la</v>
          </cell>
          <cell r="E5181" t="str">
            <v>clé primaire</v>
          </cell>
          <cell r="F5181" t="str">
            <v>du</v>
          </cell>
          <cell r="G5181" t="str">
            <v>transfert pacte</v>
          </cell>
        </row>
        <row r="5182">
          <cell r="D5182" t="str">
            <v>du</v>
          </cell>
          <cell r="E5182" t="str">
            <v>produit d'assurance</v>
          </cell>
          <cell r="F5182" t="str">
            <v>du</v>
          </cell>
          <cell r="G5182" t="str">
            <v>contrat</v>
          </cell>
          <cell r="I5182" t="str">
            <v>origine</v>
          </cell>
        </row>
        <row r="5183">
          <cell r="D5183" t="str">
            <v>de</v>
          </cell>
          <cell r="E5183" t="str">
            <v>police</v>
          </cell>
          <cell r="F5183" t="str">
            <v>du</v>
          </cell>
          <cell r="G5183" t="str">
            <v>contrat</v>
          </cell>
          <cell r="I5183" t="str">
            <v>origine</v>
          </cell>
        </row>
        <row r="5184">
          <cell r="C5184" t="str">
            <v>interne</v>
          </cell>
          <cell r="D5184" t="str">
            <v>du</v>
          </cell>
          <cell r="E5184" t="str">
            <v>contrat</v>
          </cell>
          <cell r="F5184" t="str">
            <v>d'</v>
          </cell>
          <cell r="G5184" t="str">
            <v>origine</v>
          </cell>
        </row>
        <row r="5185">
          <cell r="D5185" t="str">
            <v>de</v>
          </cell>
          <cell r="E5185" t="str">
            <v>contrat</v>
          </cell>
          <cell r="F5185" t="str">
            <v>d'</v>
          </cell>
          <cell r="G5185" t="str">
            <v>origine</v>
          </cell>
        </row>
        <row r="5186">
          <cell r="D5186" t="str">
            <v>de l'</v>
          </cell>
          <cell r="E5186" t="str">
            <v>opération</v>
          </cell>
          <cell r="G5186" t="str">
            <v>GOA</v>
          </cell>
          <cell r="H5186" t="str">
            <v>du</v>
          </cell>
          <cell r="I5186" t="str">
            <v>rachat</v>
          </cell>
        </row>
        <row r="5187">
          <cell r="D5187" t="str">
            <v>du</v>
          </cell>
          <cell r="E5187" t="str">
            <v>produit d'assurance</v>
          </cell>
          <cell r="F5187" t="str">
            <v>du</v>
          </cell>
          <cell r="G5187" t="str">
            <v>contrat</v>
          </cell>
          <cell r="I5187" t="str">
            <v>cible</v>
          </cell>
        </row>
        <row r="5188">
          <cell r="D5188" t="str">
            <v>de</v>
          </cell>
          <cell r="E5188" t="str">
            <v>police</v>
          </cell>
          <cell r="F5188" t="str">
            <v>du</v>
          </cell>
          <cell r="G5188" t="str">
            <v>contrat</v>
          </cell>
          <cell r="I5188" t="str">
            <v>cible</v>
          </cell>
        </row>
        <row r="5189">
          <cell r="C5189" t="str">
            <v>interne</v>
          </cell>
          <cell r="D5189" t="str">
            <v>du</v>
          </cell>
          <cell r="E5189" t="str">
            <v>contrat</v>
          </cell>
          <cell r="G5189" t="str">
            <v>cible</v>
          </cell>
        </row>
        <row r="5190">
          <cell r="D5190" t="str">
            <v>de l'</v>
          </cell>
          <cell r="E5190" t="str">
            <v>opération</v>
          </cell>
          <cell r="G5190" t="str">
            <v>GOA</v>
          </cell>
          <cell r="H5190" t="str">
            <v>du</v>
          </cell>
          <cell r="I5190" t="str">
            <v>versement</v>
          </cell>
        </row>
        <row r="5191">
          <cell r="D5191" t="str">
            <v>de l'</v>
          </cell>
          <cell r="E5191" t="str">
            <v>opération</v>
          </cell>
          <cell r="F5191" t="str">
            <v>du</v>
          </cell>
          <cell r="G5191" t="str">
            <v>transfert pacte</v>
          </cell>
        </row>
        <row r="5192">
          <cell r="D5192" t="str">
            <v>d'</v>
          </cell>
          <cell r="E5192" t="str">
            <v>effet</v>
          </cell>
          <cell r="F5192" t="str">
            <v>du</v>
          </cell>
          <cell r="G5192" t="str">
            <v>transfert pacte</v>
          </cell>
        </row>
        <row r="5193">
          <cell r="D5193" t="str">
            <v>du</v>
          </cell>
          <cell r="E5193" t="str">
            <v>transfert pacte</v>
          </cell>
        </row>
        <row r="5194">
          <cell r="D5194" t="str">
            <v>du</v>
          </cell>
          <cell r="E5194" t="str">
            <v>mode</v>
          </cell>
          <cell r="F5194" t="str">
            <v>du</v>
          </cell>
          <cell r="G5194" t="str">
            <v>transfert pacte</v>
          </cell>
        </row>
        <row r="5195">
          <cell r="D5195" t="str">
            <v>de</v>
          </cell>
          <cell r="E5195" t="str">
            <v>transfert</v>
          </cell>
        </row>
        <row r="5196">
          <cell r="D5196" t="str">
            <v>de la</v>
          </cell>
          <cell r="E5196" t="str">
            <v>société concurrente</v>
          </cell>
        </row>
        <row r="5197">
          <cell r="D5197" t="str">
            <v>de la</v>
          </cell>
          <cell r="E5197" t="str">
            <v xml:space="preserve">collecte </v>
          </cell>
          <cell r="F5197" t="str">
            <v xml:space="preserve"> </v>
          </cell>
          <cell r="G5197" t="str">
            <v>origine</v>
          </cell>
        </row>
        <row r="5198">
          <cell r="D5198" t="str">
            <v>de l'</v>
          </cell>
          <cell r="E5198" t="str">
            <v>état</v>
          </cell>
          <cell r="F5198" t="str">
            <v>d'</v>
          </cell>
          <cell r="G5198" t="str">
            <v>avancement</v>
          </cell>
          <cell r="H5198" t="str">
            <v>du</v>
          </cell>
          <cell r="I5198" t="str">
            <v>transfert pacte</v>
          </cell>
        </row>
        <row r="5199">
          <cell r="D5199" t="str">
            <v>de la</v>
          </cell>
          <cell r="E5199" t="str">
            <v xml:space="preserve">collecte </v>
          </cell>
          <cell r="F5199" t="str">
            <v>du</v>
          </cell>
          <cell r="G5199" t="str">
            <v>rachat</v>
          </cell>
        </row>
        <row r="5204">
          <cell r="D5204" t="str">
            <v>de la</v>
          </cell>
          <cell r="E5204" t="str">
            <v>nature</v>
          </cell>
          <cell r="F5204" t="str">
            <v>de la</v>
          </cell>
          <cell r="G5204" t="str">
            <v>prestation</v>
          </cell>
        </row>
        <row r="5205">
          <cell r="D5205" t="str">
            <v>du</v>
          </cell>
          <cell r="E5205" t="str">
            <v>domaine assurance</v>
          </cell>
        </row>
        <row r="5206">
          <cell r="D5206" t="str">
            <v>de la</v>
          </cell>
          <cell r="E5206" t="str">
            <v>nature</v>
          </cell>
          <cell r="F5206" t="str">
            <v>des</v>
          </cell>
          <cell r="G5206" t="str">
            <v>assurances</v>
          </cell>
        </row>
        <row r="5207">
          <cell r="D5207" t="str">
            <v>de la</v>
          </cell>
          <cell r="E5207" t="str">
            <v>nature</v>
          </cell>
          <cell r="F5207" t="str">
            <v>du</v>
          </cell>
          <cell r="G5207" t="str">
            <v>prêt</v>
          </cell>
        </row>
        <row r="5208">
          <cell r="D5208" t="str">
            <v>de la</v>
          </cell>
          <cell r="E5208" t="str">
            <v>sous-nature</v>
          </cell>
          <cell r="F5208" t="str">
            <v>de la</v>
          </cell>
          <cell r="G5208" t="str">
            <v>prestation</v>
          </cell>
        </row>
        <row r="5209">
          <cell r="D5209" t="str">
            <v>de la</v>
          </cell>
          <cell r="E5209" t="str">
            <v>devise</v>
          </cell>
          <cell r="F5209" t="str">
            <v>et</v>
          </cell>
          <cell r="G5209" t="str">
            <v>cours de référence</v>
          </cell>
        </row>
        <row r="5210">
          <cell r="D5210" t="str">
            <v>de la</v>
          </cell>
          <cell r="E5210" t="str">
            <v>devise</v>
          </cell>
          <cell r="F5210" t="str">
            <v>et</v>
          </cell>
          <cell r="G5210" t="str">
            <v>cours de référence</v>
          </cell>
        </row>
        <row r="5211">
          <cell r="D5211" t="str">
            <v>de la</v>
          </cell>
          <cell r="E5211" t="str">
            <v>devise</v>
          </cell>
          <cell r="F5211" t="str">
            <v>et</v>
          </cell>
          <cell r="G5211" t="str">
            <v>cours de référence</v>
          </cell>
        </row>
        <row r="5212">
          <cell r="D5212" t="str">
            <v>de la</v>
          </cell>
          <cell r="E5212" t="str">
            <v>devise</v>
          </cell>
          <cell r="F5212" t="str">
            <v>et</v>
          </cell>
          <cell r="G5212" t="str">
            <v>cours de référence</v>
          </cell>
        </row>
        <row r="5213">
          <cell r="C5213" t="str">
            <v>dernière image</v>
          </cell>
          <cell r="D5213" t="str">
            <v>de la</v>
          </cell>
          <cell r="E5213" t="str">
            <v>devise</v>
          </cell>
          <cell r="F5213" t="str">
            <v>et</v>
          </cell>
          <cell r="G5213" t="str">
            <v>cours de référence</v>
          </cell>
        </row>
        <row r="5214">
          <cell r="D5214" t="str">
            <v>de l'</v>
          </cell>
          <cell r="E5214" t="str">
            <v>application source</v>
          </cell>
          <cell r="F5214" t="str">
            <v>de la</v>
          </cell>
          <cell r="G5214" t="str">
            <v>devise</v>
          </cell>
          <cell r="H5214" t="str">
            <v>et</v>
          </cell>
          <cell r="I5214" t="str">
            <v>cours de référence</v>
          </cell>
        </row>
        <row r="5215">
          <cell r="D5215" t="str">
            <v>de la</v>
          </cell>
          <cell r="E5215" t="str">
            <v>devise</v>
          </cell>
          <cell r="F5215" t="str">
            <v>du</v>
          </cell>
          <cell r="G5215" t="str">
            <v>mouvement financier</v>
          </cell>
        </row>
        <row r="5216">
          <cell r="D5216" t="str">
            <v>du</v>
          </cell>
          <cell r="E5216" t="str">
            <v>marché</v>
          </cell>
        </row>
        <row r="5217">
          <cell r="D5217" t="str">
            <v>du</v>
          </cell>
          <cell r="E5217" t="str">
            <v>cours de référence</v>
          </cell>
        </row>
        <row r="5218">
          <cell r="D5218" t="str">
            <v>du</v>
          </cell>
          <cell r="E5218" t="str">
            <v>cours de référence</v>
          </cell>
        </row>
        <row r="5219">
          <cell r="D5219" t="str">
            <v>du</v>
          </cell>
          <cell r="E5219" t="str">
            <v>cours de référence calculé</v>
          </cell>
        </row>
        <row r="5220">
          <cell r="D5220" t="str">
            <v>du</v>
          </cell>
          <cell r="E5220" t="str">
            <v>cours d'achat</v>
          </cell>
        </row>
        <row r="5221">
          <cell r="D5221" t="str">
            <v>du</v>
          </cell>
          <cell r="E5221" t="str">
            <v>cours d'achat</v>
          </cell>
        </row>
        <row r="5222">
          <cell r="D5222" t="str">
            <v>du</v>
          </cell>
          <cell r="E5222" t="str">
            <v>cours d'achat calculé</v>
          </cell>
        </row>
        <row r="5223">
          <cell r="D5223" t="str">
            <v>du</v>
          </cell>
          <cell r="E5223" t="str">
            <v>cours de vente</v>
          </cell>
        </row>
        <row r="5224">
          <cell r="D5224" t="str">
            <v>du</v>
          </cell>
          <cell r="E5224" t="str">
            <v>cours de vente</v>
          </cell>
        </row>
        <row r="5225">
          <cell r="D5225" t="str">
            <v>du</v>
          </cell>
          <cell r="E5225" t="str">
            <v>cours de vente calculé</v>
          </cell>
        </row>
        <row r="5226">
          <cell r="D5226" t="str">
            <v>de</v>
          </cell>
          <cell r="E5226" t="str">
            <v>référentiel entités</v>
          </cell>
        </row>
        <row r="5227">
          <cell r="D5227" t="str">
            <v>dans le</v>
          </cell>
          <cell r="E5227" t="str">
            <v>SID</v>
          </cell>
        </row>
        <row r="5228">
          <cell r="D5228" t="str">
            <v>de</v>
          </cell>
          <cell r="E5228" t="str">
            <v>référentiel entités</v>
          </cell>
        </row>
        <row r="5229">
          <cell r="D5229" t="str">
            <v>de</v>
          </cell>
          <cell r="E5229" t="str">
            <v>référentiel entités</v>
          </cell>
        </row>
        <row r="5230">
          <cell r="D5230" t="str">
            <v>de</v>
          </cell>
          <cell r="E5230" t="str">
            <v>dernière image</v>
          </cell>
          <cell r="F5230" t="str">
            <v>de</v>
          </cell>
          <cell r="G5230" t="str">
            <v>référentiel entités</v>
          </cell>
        </row>
        <row r="5231">
          <cell r="D5231" t="str">
            <v>de l'</v>
          </cell>
          <cell r="E5231" t="str">
            <v>application source</v>
          </cell>
          <cell r="F5231" t="str">
            <v>de</v>
          </cell>
          <cell r="G5231" t="str">
            <v>référentiel entités</v>
          </cell>
        </row>
        <row r="5232">
          <cell r="D5232" t="str">
            <v>de l'</v>
          </cell>
          <cell r="E5232" t="str">
            <v>etat</v>
          </cell>
          <cell r="F5232" t="str">
            <v>de</v>
          </cell>
          <cell r="G5232" t="str">
            <v>entité</v>
          </cell>
        </row>
        <row r="5233">
          <cell r="D5233" t="str">
            <v>de</v>
          </cell>
          <cell r="E5233" t="str">
            <v>entité</v>
          </cell>
        </row>
        <row r="5234">
          <cell r="D5234" t="str">
            <v>du</v>
          </cell>
          <cell r="E5234" t="str">
            <v>pays</v>
          </cell>
          <cell r="F5234" t="str">
            <v>de</v>
          </cell>
          <cell r="G5234" t="str">
            <v>entité</v>
          </cell>
        </row>
        <row r="5235">
          <cell r="D5235" t="str">
            <v>de la</v>
          </cell>
          <cell r="E5235" t="str">
            <v>fédération</v>
          </cell>
        </row>
        <row r="5236">
          <cell r="D5236" t="str">
            <v>de l'</v>
          </cell>
          <cell r="E5236" t="str">
            <v>établissement</v>
          </cell>
        </row>
        <row r="5237">
          <cell r="D5237" t="str">
            <v>du</v>
          </cell>
          <cell r="E5237" t="str">
            <v>guichet</v>
          </cell>
        </row>
        <row r="5238">
          <cell r="D5238" t="str">
            <v>de la</v>
          </cell>
          <cell r="E5238" t="str">
            <v>base</v>
          </cell>
          <cell r="G5238" t="str">
            <v>sociale</v>
          </cell>
        </row>
        <row r="5239">
          <cell r="D5239" t="str">
            <v>de la</v>
          </cell>
          <cell r="E5239" t="str">
            <v>base</v>
          </cell>
          <cell r="G5239" t="str">
            <v>IFRS</v>
          </cell>
        </row>
        <row r="5240">
          <cell r="D5240" t="str">
            <v>de la</v>
          </cell>
          <cell r="E5240" t="str">
            <v>base</v>
          </cell>
          <cell r="G5240" t="str">
            <v>référentiel</v>
          </cell>
          <cell r="H5240" t="str">
            <v>des</v>
          </cell>
          <cell r="I5240" t="str">
            <v>destination analytique</v>
          </cell>
        </row>
        <row r="5241">
          <cell r="D5241" t="str">
            <v>de la</v>
          </cell>
          <cell r="E5241" t="str">
            <v>société</v>
          </cell>
          <cell r="G5241" t="str">
            <v>consolidé</v>
          </cell>
        </row>
        <row r="5242">
          <cell r="D5242" t="str">
            <v>du</v>
          </cell>
          <cell r="E5242" t="str">
            <v>périmètre juridique</v>
          </cell>
        </row>
        <row r="5243">
          <cell r="D5243" t="str">
            <v>du</v>
          </cell>
          <cell r="E5243" t="str">
            <v>commentaire</v>
          </cell>
        </row>
        <row r="5244">
          <cell r="D5244" t="str">
            <v>de</v>
          </cell>
          <cell r="E5244" t="str">
            <v>création</v>
          </cell>
        </row>
        <row r="5245">
          <cell r="D5245" t="str">
            <v>de</v>
          </cell>
          <cell r="E5245" t="str">
            <v>création</v>
          </cell>
        </row>
        <row r="5246">
          <cell r="D5246" t="str">
            <v>de</v>
          </cell>
          <cell r="E5246" t="str">
            <v>modification</v>
          </cell>
        </row>
        <row r="5247">
          <cell r="D5247" t="str">
            <v>de</v>
          </cell>
          <cell r="E5247" t="str">
            <v>modification</v>
          </cell>
        </row>
      </sheetData>
      <sheetData sheetId="3"/>
      <sheetData sheetId="4"/>
      <sheetData sheetId="5"/>
      <sheetData sheetId="6"/>
      <sheetData sheetId="7"/>
      <sheetData sheetId="8"/>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BIB"/>
      <sheetName val="Type de champ"/>
      <sheetName val="Objets de gestion"/>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tables/table1.xml><?xml version="1.0" encoding="utf-8"?>
<table xmlns="http://schemas.openxmlformats.org/spreadsheetml/2006/main" id="4" name="Tableau4" displayName="Tableau4" ref="A1:L72" headerRowCount="0" totalsRowShown="0" headerRowDxfId="68" headerRowBorderDxfId="67" headerRowCellStyle="Accent1">
  <tableColumns count="12">
    <tableColumn id="1" name="Colonne1" headerRowDxfId="66" headerRowCellStyle="Accent1"/>
    <tableColumn id="2" name="Colonne2" headerRowDxfId="65" headerRowCellStyle="Accent1"/>
    <tableColumn id="3" name="Colonne3" headerRowDxfId="64" headerRowCellStyle="Accent1"/>
    <tableColumn id="4" name="Colonne4" headerRowDxfId="63" headerRowCellStyle="Accent1"/>
    <tableColumn id="5" name="Colonne5" headerRowDxfId="62" headerRowCellStyle="Accent1"/>
    <tableColumn id="6" name="Colonne6" headerRowDxfId="61" headerRowCellStyle="Accent1"/>
    <tableColumn id="7" name="Colonne7" headerRowDxfId="60" dataDxfId="59"/>
    <tableColumn id="8" name="Colonne8" headerRowDxfId="58" dataDxfId="57"/>
    <tableColumn id="9" name="Colonne9" headerRowDxfId="56" headerRowCellStyle="Accent1"/>
    <tableColumn id="10" name="Colonne10" headerRowDxfId="55" headerRowCellStyle="Accent1"/>
    <tableColumn id="11" name="Colonne11" headerRowDxfId="54" headerRowCellStyle="Accent1"/>
    <tableColumn id="12" name="Colonne12" headerRowDxfId="53" headerRowCellStyle="Accent1"/>
  </tableColumns>
  <tableStyleInfo name="TableStyleMedium2" showFirstColumn="0" showLastColumn="0" showRowStripes="1" showColumnStripes="0"/>
</table>
</file>

<file path=xl/tables/table2.xml><?xml version="1.0" encoding="utf-8"?>
<table xmlns="http://schemas.openxmlformats.org/spreadsheetml/2006/main" id="6" name="Tableau47" displayName="Tableau47" ref="A1:M157" headerRowCount="0" totalsRowShown="0" headerRowDxfId="52" headerRowBorderDxfId="51" headerRowCellStyle="Accent1">
  <tableColumns count="13">
    <tableColumn id="1" name="Colonne1" headerRowDxfId="50" headerRowCellStyle="Accent1"/>
    <tableColumn id="3" name="Colonne3" headerRowDxfId="49" headerRowCellStyle="Accent1"/>
    <tableColumn id="13" name="Colonne13" headerRowDxfId="48" headerRowCellStyle="Accent1"/>
    <tableColumn id="4" name="Colonne4" headerRowDxfId="47" headerRowCellStyle="Accent1"/>
    <tableColumn id="14" name="Colonne14" headerRowDxfId="46" headerRowCellStyle="Accent1"/>
    <tableColumn id="5" name="Colonne5" headerRowDxfId="45" headerRowCellStyle="Accent1"/>
    <tableColumn id="15" name="Colonne15" headerRowDxfId="44" headerRowCellStyle="Accent1"/>
    <tableColumn id="6" name="Colonne6" headerRowDxfId="43" headerRowCellStyle="Accent1"/>
    <tableColumn id="8" name="Colonne8" headerRowDxfId="42" dataDxfId="41"/>
    <tableColumn id="9" name="Colonne9" headerRowDxfId="40" headerRowCellStyle="Accent1"/>
    <tableColumn id="10" name="Colonne10" headerRowDxfId="39" headerRowCellStyle="Accent1"/>
    <tableColumn id="11" name="Colonne11" headerRowDxfId="38" headerRowCellStyle="Accent1"/>
    <tableColumn id="12" name="Colonne12" headerRowDxfId="37" headerRowCellStyle="Accent1"/>
  </tableColumns>
  <tableStyleInfo name="TableStyleMedium2" showFirstColumn="0" showLastColumn="0" showRowStripes="1" showColumnStripes="0"/>
</table>
</file>

<file path=xl/tables/table3.xml><?xml version="1.0" encoding="utf-8"?>
<table xmlns="http://schemas.openxmlformats.org/spreadsheetml/2006/main" id="5" name="Tableau5" displayName="Tableau5" ref="A1:F1895" totalsRowShown="0" headerRowDxfId="36" headerRowCellStyle="Normal" dataCellStyle="Normal">
  <autoFilter ref="A1:F1895"/>
  <sortState ref="A2:F1895">
    <sortCondition ref="C1:C1895"/>
  </sortState>
  <tableColumns count="6">
    <tableColumn id="1" name="Date ajout" dataDxfId="35" dataCellStyle="Normal"/>
    <tableColumn id="2" name="Used" dataCellStyle="Normal"/>
    <tableColumn id="3" name="Nom FR" dataCellStyle="Normal"/>
    <tableColumn id="4" name="Définition unique" dataCellStyle="Normal"/>
    <tableColumn id="5" name="Nom EN" dataCellStyle="Normal"/>
    <tableColumn id="6" name="Trigramme" dataCellStyle="Normal"/>
  </tableColumns>
  <tableStyleInfo name="TableStyleMedium2" showFirstColumn="0" showLastColumn="0" showRowStripes="1" showColumnStripes="0"/>
</table>
</file>

<file path=xl/tables/table4.xml><?xml version="1.0" encoding="utf-8"?>
<table xmlns="http://schemas.openxmlformats.org/spreadsheetml/2006/main" id="1" name="Tableau1" displayName="Tableau1" ref="A1:B43" totalsRowShown="0" headerRowDxfId="34" headerRowBorderDxfId="33" tableBorderDxfId="32">
  <autoFilter ref="A1:B43"/>
  <tableColumns count="2">
    <tableColumn id="1" name="Nom fr"/>
    <tableColumn id="2" name="Nom en"/>
  </tableColumns>
  <tableStyleInfo name="TableStyleMedium2" showFirstColumn="0" showLastColumn="0" showRowStripes="1" showColumnStripes="0"/>
</table>
</file>

<file path=xl/tables/table5.xml><?xml version="1.0" encoding="utf-8"?>
<table xmlns="http://schemas.openxmlformats.org/spreadsheetml/2006/main" id="2" name="PerimFct" displayName="PerimFct" ref="A1:F78" totalsRowShown="0" headerRowDxfId="31">
  <autoFilter ref="A1:F78"/>
  <sortState ref="A2:F78">
    <sortCondition ref="A2:A78"/>
  </sortState>
  <tableColumns count="6">
    <tableColumn id="1" name="Nom du BIB"/>
    <tableColumn id="4" name="ID Table"/>
    <tableColumn id="5" name="ROBIN"/>
    <tableColumn id="3" name="Nom anglais"/>
    <tableColumn id="6" name="Code du BIB"/>
    <tableColumn id="7" name="Remarque"/>
  </tableColumns>
  <tableStyleInfo name="TableStyleMedium2" showFirstColumn="0" showLastColumn="0" showRowStripes="1" showColumnStripes="0"/>
</table>
</file>

<file path=xl/tables/table6.xml><?xml version="1.0" encoding="utf-8"?>
<table xmlns="http://schemas.openxmlformats.org/spreadsheetml/2006/main" id="3" name="Nature5" displayName="Nature5" ref="A1:F15" totalsRowShown="0" headerRowDxfId="30" dataDxfId="29">
  <autoFilter ref="A1:F15"/>
  <sortState ref="A2:F15">
    <sortCondition ref="C4"/>
  </sortState>
  <tableColumns count="6">
    <tableColumn id="10" name="Catégorie" dataDxfId="28" dataCellStyle="Milliers"/>
    <tableColumn id="5" name="ID" dataDxfId="27" dataCellStyle="Milliers"/>
    <tableColumn id="20" name="Nom" dataDxfId="26"/>
    <tableColumn id="24" name="Définition unique" dataDxfId="25"/>
    <tableColumn id="2" name="libellé FR" dataDxfId="24"/>
    <tableColumn id="9" name="Libellé EN" dataDxfId="23"/>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I21"/>
  <sheetViews>
    <sheetView topLeftCell="A7" workbookViewId="0">
      <selection activeCell="C1" sqref="C1:I1"/>
    </sheetView>
  </sheetViews>
  <sheetFormatPr baseColWidth="10" defaultRowHeight="15" x14ac:dyDescent="0.25"/>
  <cols>
    <col min="1" max="1" width="21" bestFit="1" customWidth="1"/>
    <col min="3" max="3" width="21.5703125" bestFit="1" customWidth="1"/>
    <col min="4" max="4" width="19.140625" bestFit="1" customWidth="1"/>
    <col min="9" max="9" width="93.28515625" customWidth="1"/>
  </cols>
  <sheetData>
    <row r="1" spans="1:9" ht="21" x14ac:dyDescent="0.35">
      <c r="A1" s="29" t="s">
        <v>5428</v>
      </c>
      <c r="B1" s="29"/>
      <c r="C1" s="74" t="s">
        <v>5461</v>
      </c>
      <c r="D1" s="74"/>
      <c r="E1" s="74"/>
      <c r="F1" s="74"/>
      <c r="G1" s="74"/>
      <c r="H1" s="74"/>
      <c r="I1" s="74"/>
    </row>
    <row r="2" spans="1:9" ht="21" x14ac:dyDescent="0.35">
      <c r="A2" s="74"/>
      <c r="B2" s="74"/>
      <c r="C2" s="74"/>
      <c r="D2" s="74"/>
      <c r="E2" s="74"/>
      <c r="F2" s="74"/>
      <c r="G2" s="74"/>
      <c r="H2" s="74"/>
      <c r="I2" s="74"/>
    </row>
    <row r="3" spans="1:9" ht="15.75" x14ac:dyDescent="0.25">
      <c r="A3" s="30" t="s">
        <v>5429</v>
      </c>
      <c r="B3" s="30"/>
      <c r="C3" s="30" t="s">
        <v>5430</v>
      </c>
      <c r="D3" s="30" t="s">
        <v>5431</v>
      </c>
      <c r="E3" s="30"/>
      <c r="F3" s="30"/>
      <c r="G3" s="30"/>
      <c r="H3" s="30"/>
      <c r="I3" s="30"/>
    </row>
    <row r="4" spans="1:9" x14ac:dyDescent="0.25">
      <c r="A4" s="75"/>
      <c r="B4" s="75"/>
      <c r="C4" s="75"/>
      <c r="D4" s="75"/>
      <c r="E4" s="75"/>
      <c r="F4" s="75"/>
      <c r="G4" s="75"/>
      <c r="H4" s="75"/>
      <c r="I4" s="75"/>
    </row>
    <row r="5" spans="1:9" ht="18.75" x14ac:dyDescent="0.3">
      <c r="A5" s="76" t="s">
        <v>5432</v>
      </c>
      <c r="B5" s="76"/>
      <c r="C5" s="76"/>
      <c r="D5" s="76"/>
      <c r="E5" s="76"/>
      <c r="F5" s="76"/>
      <c r="G5" s="76"/>
      <c r="H5" s="76"/>
      <c r="I5" s="76"/>
    </row>
    <row r="6" spans="1:9" ht="18.75" x14ac:dyDescent="0.3">
      <c r="A6" s="76" t="s">
        <v>5783</v>
      </c>
      <c r="B6" s="76"/>
      <c r="C6" s="76"/>
      <c r="D6" s="76"/>
      <c r="E6" s="76"/>
      <c r="F6" s="76"/>
      <c r="G6" s="76"/>
      <c r="H6" s="76"/>
      <c r="I6" s="76"/>
    </row>
    <row r="7" spans="1:9" ht="18.75" x14ac:dyDescent="0.3">
      <c r="A7" s="77"/>
      <c r="B7" s="77"/>
      <c r="C7" s="77"/>
      <c r="D7" s="77"/>
      <c r="E7" s="77"/>
      <c r="F7" s="77"/>
      <c r="G7" s="77"/>
      <c r="H7" s="77"/>
      <c r="I7" s="77"/>
    </row>
    <row r="8" spans="1:9" x14ac:dyDescent="0.25">
      <c r="A8" s="73" t="s">
        <v>5433</v>
      </c>
      <c r="B8" s="73"/>
      <c r="C8" s="73"/>
      <c r="D8" s="73"/>
      <c r="E8" s="73"/>
      <c r="F8" s="73"/>
      <c r="G8" s="73"/>
      <c r="H8" s="73"/>
      <c r="I8" s="73"/>
    </row>
    <row r="9" spans="1:9" ht="15.75" x14ac:dyDescent="0.25">
      <c r="A9" s="32" t="s">
        <v>5434</v>
      </c>
      <c r="B9" s="80" t="s">
        <v>5436</v>
      </c>
      <c r="C9" s="80"/>
      <c r="D9" s="80"/>
      <c r="E9" s="80"/>
      <c r="F9" s="80"/>
      <c r="G9" s="80"/>
      <c r="H9" s="80"/>
      <c r="I9" s="80"/>
    </row>
    <row r="10" spans="1:9" ht="15.75" x14ac:dyDescent="0.25">
      <c r="A10" s="32"/>
      <c r="B10" s="81" t="s">
        <v>5439</v>
      </c>
      <c r="C10" s="80"/>
      <c r="D10" s="80"/>
      <c r="E10" s="80"/>
      <c r="F10" s="80"/>
      <c r="G10" s="80"/>
      <c r="H10" s="80"/>
      <c r="I10" s="80"/>
    </row>
    <row r="11" spans="1:9" ht="20.25" customHeight="1" x14ac:dyDescent="0.25">
      <c r="A11" s="82"/>
      <c r="B11" s="82"/>
      <c r="C11" s="82"/>
      <c r="D11" s="82"/>
      <c r="E11" s="82"/>
      <c r="F11" s="82"/>
      <c r="G11" s="82"/>
      <c r="H11" s="82"/>
      <c r="I11" s="82"/>
    </row>
    <row r="12" spans="1:9" ht="20.25" customHeight="1" x14ac:dyDescent="0.25">
      <c r="A12" s="83" t="s">
        <v>5435</v>
      </c>
      <c r="B12" s="83"/>
      <c r="C12" s="83"/>
      <c r="D12" s="83"/>
      <c r="E12" s="83"/>
      <c r="F12" s="83"/>
      <c r="G12" s="83"/>
      <c r="H12" s="83"/>
      <c r="I12" s="83"/>
    </row>
    <row r="13" spans="1:9" ht="15.75" x14ac:dyDescent="0.25">
      <c r="A13" s="32" t="s">
        <v>5434</v>
      </c>
      <c r="B13" s="78" t="s">
        <v>5784</v>
      </c>
      <c r="C13" s="78"/>
      <c r="D13" s="78"/>
      <c r="E13" s="78"/>
      <c r="F13" s="78"/>
      <c r="G13" s="78"/>
      <c r="H13" s="78"/>
      <c r="I13" s="78"/>
    </row>
    <row r="14" spans="1:9" x14ac:dyDescent="0.25">
      <c r="A14" s="2"/>
      <c r="B14" s="81" t="s">
        <v>5439</v>
      </c>
      <c r="C14" s="80"/>
      <c r="D14" s="80"/>
      <c r="E14" s="80"/>
      <c r="F14" s="80"/>
      <c r="G14" s="80"/>
      <c r="H14" s="80"/>
      <c r="I14" s="80"/>
    </row>
    <row r="15" spans="1:9" ht="18.75" x14ac:dyDescent="0.3">
      <c r="A15" s="77"/>
      <c r="B15" s="77"/>
      <c r="C15" s="77"/>
      <c r="D15" s="77"/>
      <c r="E15" s="77"/>
      <c r="F15" s="77"/>
      <c r="G15" s="77"/>
      <c r="H15" s="77"/>
      <c r="I15" s="77"/>
    </row>
    <row r="16" spans="1:9" x14ac:dyDescent="0.25">
      <c r="A16" s="79" t="s">
        <v>5437</v>
      </c>
      <c r="B16" s="79"/>
      <c r="C16" s="79"/>
      <c r="D16" s="79"/>
      <c r="E16" s="79"/>
      <c r="F16" s="79"/>
      <c r="G16" s="79"/>
      <c r="H16" s="79"/>
      <c r="I16" s="79"/>
    </row>
    <row r="17" spans="1:9" ht="147" customHeight="1" x14ac:dyDescent="0.25">
      <c r="A17" s="33" t="s">
        <v>5434</v>
      </c>
      <c r="B17" s="85" t="s">
        <v>5438</v>
      </c>
      <c r="C17" s="85"/>
      <c r="D17" s="85"/>
      <c r="E17" s="85"/>
      <c r="F17" s="85"/>
      <c r="G17" s="85"/>
      <c r="H17" s="85"/>
      <c r="I17" s="85"/>
    </row>
    <row r="18" spans="1:9" ht="18.75" x14ac:dyDescent="0.3">
      <c r="A18" s="77"/>
      <c r="B18" s="77"/>
      <c r="C18" s="77"/>
      <c r="D18" s="77"/>
      <c r="E18" s="77"/>
      <c r="F18" s="77"/>
      <c r="G18" s="77"/>
      <c r="H18" s="77"/>
      <c r="I18" s="77"/>
    </row>
    <row r="19" spans="1:9" x14ac:dyDescent="0.25">
      <c r="A19" s="87" t="s">
        <v>5785</v>
      </c>
      <c r="B19" s="87"/>
      <c r="C19" s="87"/>
      <c r="D19" s="87"/>
      <c r="E19" s="87"/>
      <c r="F19" s="87"/>
      <c r="G19" s="87"/>
      <c r="H19" s="87"/>
      <c r="I19" s="87"/>
    </row>
    <row r="20" spans="1:9" ht="15.75" x14ac:dyDescent="0.25">
      <c r="A20" s="31"/>
      <c r="B20" s="86" t="s">
        <v>5460</v>
      </c>
      <c r="C20" s="86"/>
      <c r="D20" s="86"/>
      <c r="E20" s="86"/>
      <c r="F20" s="86"/>
      <c r="G20" s="86"/>
      <c r="H20" s="86"/>
      <c r="I20" s="86"/>
    </row>
    <row r="21" spans="1:9" x14ac:dyDescent="0.25">
      <c r="A21" s="84"/>
      <c r="B21" s="84"/>
      <c r="C21" s="84"/>
      <c r="D21" s="84"/>
      <c r="E21" s="84"/>
      <c r="F21" s="84"/>
      <c r="G21" s="84"/>
      <c r="H21" s="84"/>
      <c r="I21" s="84"/>
    </row>
  </sheetData>
  <mergeCells count="20">
    <mergeCell ref="A21:I21"/>
    <mergeCell ref="B17:I17"/>
    <mergeCell ref="B20:I20"/>
    <mergeCell ref="B14:I14"/>
    <mergeCell ref="A18:I18"/>
    <mergeCell ref="A19:I19"/>
    <mergeCell ref="B13:I13"/>
    <mergeCell ref="A15:I15"/>
    <mergeCell ref="A16:I16"/>
    <mergeCell ref="B9:I9"/>
    <mergeCell ref="B10:I10"/>
    <mergeCell ref="A11:I11"/>
    <mergeCell ref="A12:I12"/>
    <mergeCell ref="A8:I8"/>
    <mergeCell ref="C1:I1"/>
    <mergeCell ref="A2:I2"/>
    <mergeCell ref="A4:I4"/>
    <mergeCell ref="A5:I5"/>
    <mergeCell ref="A6:I6"/>
    <mergeCell ref="A7: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L72"/>
  <sheetViews>
    <sheetView workbookViewId="0">
      <pane ySplit="1" topLeftCell="A2" activePane="bottomLeft" state="frozen"/>
      <selection pane="bottomLeft" activeCell="A2" sqref="A2"/>
    </sheetView>
  </sheetViews>
  <sheetFormatPr baseColWidth="10" defaultRowHeight="15" x14ac:dyDescent="0.25"/>
  <cols>
    <col min="1" max="1" width="15.140625" bestFit="1" customWidth="1"/>
    <col min="2" max="2" width="16.5703125" bestFit="1" customWidth="1"/>
    <col min="3" max="3" width="29.42578125" customWidth="1"/>
    <col min="4" max="4" width="26.28515625" customWidth="1"/>
    <col min="5" max="5" width="28.140625" customWidth="1"/>
    <col min="6" max="6" width="26.42578125" customWidth="1"/>
    <col min="7" max="7" width="11.5703125" style="22" customWidth="1"/>
    <col min="8" max="8" width="11.5703125" style="1" customWidth="1"/>
    <col min="9" max="9" width="35" customWidth="1"/>
    <col min="10" max="10" width="56.28515625" bestFit="1" customWidth="1"/>
    <col min="11" max="11" width="55" bestFit="1" customWidth="1"/>
    <col min="12" max="12" width="15.7109375" bestFit="1" customWidth="1"/>
  </cols>
  <sheetData>
    <row r="1" spans="1:12" ht="15.75" thickBot="1" x14ac:dyDescent="0.3">
      <c r="A1" s="18" t="s">
        <v>4511</v>
      </c>
      <c r="B1" s="19" t="s">
        <v>4499</v>
      </c>
      <c r="C1" s="19" t="s">
        <v>4503</v>
      </c>
      <c r="D1" s="19" t="s">
        <v>4504</v>
      </c>
      <c r="E1" s="19" t="s">
        <v>4505</v>
      </c>
      <c r="F1" s="19" t="s">
        <v>4506</v>
      </c>
      <c r="G1" s="21" t="s">
        <v>4500</v>
      </c>
      <c r="H1" s="25" t="s">
        <v>4501</v>
      </c>
      <c r="I1" s="20" t="s">
        <v>4502</v>
      </c>
      <c r="J1" s="20" t="s">
        <v>4508</v>
      </c>
      <c r="K1" s="20" t="s">
        <v>4507</v>
      </c>
      <c r="L1" s="20" t="s">
        <v>3956</v>
      </c>
    </row>
    <row r="2" spans="1:12" x14ac:dyDescent="0.25">
      <c r="G2" s="22" t="str">
        <f>IF(ISBLANK(A2),"",LOOKUP(A2,BIB!A:A,BIB!C:C))</f>
        <v/>
      </c>
      <c r="H2" s="46" t="str">
        <f>IF(AND(ISBLANK(A2),ISBLANK(B2),ISBLANK(C2)),"",IF(OR(ISBLANK(A2),ISBLANK(B2),ISBLANK(C2)),"-",LEN(Tableau4[[#This Row],[Colonne9]])))</f>
        <v/>
      </c>
      <c r="I2" s="45" t="str">
        <f>IF(AND(ISBLANK(A2),ISBLANK(B2),ISBLANK(C2)),"",IF(OR(ISBLANK(A2),ISBLANK(B2),ISBLANK(C2)),"à compléter",UPPER(LOOKUP(A2,BIB!A:A,BIB!B:B)&amp;LOOKUP(B2,'Type de table'!C:C,'Type de table'!B:B)
&amp;IF(COUNTIF('Objets de gestion'!C:C,F2)=0,"","_"&amp;LOOKUP(F2,'Objets de gestion'!C:C,'Objets de gestion'!F:F))
&amp;IF(COUNTIF('Objets de gestion'!C:C,E2)=0,"","_"&amp;LOOKUP(E2,'Objets de gestion'!C:C,'Objets de gestion'!F:F))
&amp;IF(COUNTIF('Objets de gestion'!C:C,D2)=0,"","_"&amp;LOOKUP(D2,'Objets de gestion'!C:C,'Objets de gestion'!F:F))
&amp;IF(COUNTIF('Objets de gestion'!C:C,C2)=0,"","_"&amp;LOOKUP(C2,'Objets de gestion'!C:C,'Objets de gestion'!F:F))
)))</f>
        <v/>
      </c>
      <c r="J2" s="45" t="str">
        <f>IF(AND(ISBLANK(A2),ISBLANK(B2),ISBLANK(C2)),"",IF(OR(ISBLANK(A2),ISBLANK(B2),ISBLANK(C2)),"-",
LOOKUP(B2,'Type de table'!C:C,'Type de table'!E:E)
&amp;IF(ISBLANK(C2),""," "&amp;C2)
&amp;IF(ISBLANK(D2),""," "&amp;D2)
&amp;IF(ISBLANK(E2),""," "&amp;E2)
&amp;IF(ISBLANK(F2),""," "&amp;F2)
))</f>
        <v/>
      </c>
      <c r="K2" s="45"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
      </c>
      <c r="L2" s="45" t="str">
        <f t="shared" ref="L2:L64" si="0">IF(AND(ISBLANK(A2),ISBLANK(B2),ISBLANK(C2)),"",IF(OR(ISBLANK(A2),ISBLANK(B2),ISBLANK(C2)),"-",B2))</f>
        <v/>
      </c>
    </row>
    <row r="3" spans="1:12" x14ac:dyDescent="0.25">
      <c r="G3" s="22" t="str">
        <f>IF(ISBLANK(A3),"",LOOKUP(A3,BIB!A:A,BIB!C:C))</f>
        <v/>
      </c>
      <c r="H3" s="46" t="str">
        <f>IF(AND(ISBLANK(A3),ISBLANK(B3),ISBLANK(C3)),"",IF(OR(ISBLANK(A3),ISBLANK(B3),ISBLANK(C3)),"-",LEN(Tableau4[[#This Row],[Colonne9]])))</f>
        <v/>
      </c>
      <c r="I3" s="45" t="str">
        <f>IF(AND(ISBLANK(A3),ISBLANK(B3),ISBLANK(C3)),"",IF(OR(ISBLANK(A3),ISBLANK(B3),ISBLANK(C3)),"à compléter",UPPER(LOOKUP(A3,BIB!A:A,BIB!B:B)&amp;LOOKUP(B3,'Type de table'!C:C,'Type de table'!B:B)
&amp;IF(COUNTIF('Objets de gestion'!C:C,F3)=0,"","_"&amp;LOOKUP(F3,'Objets de gestion'!C:C,'Objets de gestion'!F:F))
&amp;IF(COUNTIF('Objets de gestion'!C:C,E3)=0,"","_"&amp;LOOKUP(E3,'Objets de gestion'!C:C,'Objets de gestion'!F:F))
&amp;IF(COUNTIF('Objets de gestion'!C:C,D3)=0,"","_"&amp;LOOKUP(D3,'Objets de gestion'!C:C,'Objets de gestion'!F:F))
&amp;IF(COUNTIF('Objets de gestion'!C:C,C3)=0,"","_"&amp;LOOKUP(C3,'Objets de gestion'!C:C,'Objets de gestion'!F:F))
)))</f>
        <v/>
      </c>
      <c r="J3" s="45" t="str">
        <f>IF(AND(ISBLANK(A3),ISBLANK(B3),ISBLANK(C3)),"",IF(OR(ISBLANK(A3),ISBLANK(B3),ISBLANK(C3)),"-",
LOOKUP(B3,'Type de table'!C:C,'Type de table'!E:E)
&amp;IF(ISBLANK(C3),""," "&amp;C3)
&amp;IF(ISBLANK(D3),""," "&amp;D3)
&amp;IF(ISBLANK(E3),""," "&amp;E3)
&amp;IF(ISBLANK(F3),""," "&amp;F3)
))</f>
        <v/>
      </c>
      <c r="K3" s="45" t="str">
        <f>IF(AND(ISBLANK(A3),ISBLANK(B3),ISBLANK(C3)),"",IF(OR(ISBLANK(A3),ISBLANK(B3),ISBLANK(C3)),"-",
LOOKUP(B3,'Type de table'!C:C,'Type de table'!F:F)
&amp;IF(ISBLANK(C3),""," "&amp;LOOKUP(C3,'Objets de gestion'!C:C,'Objets de gestion'!E:E))
&amp;IF(ISBLANK(D3),""," "&amp;LOOKUP(D3,'Objets de gestion'!C:C,'Objets de gestion'!E:E))
&amp;IF(ISBLANK(E3),""," "&amp;LOOKUP(E3,'Objets de gestion'!C:C,'Objets de gestion'!E:E))
&amp;IF(ISBLANK(F3),""," "&amp;LOOKUP(F3,'Objets de gestion'!C:C,'Objets de gestion'!E:E))
))</f>
        <v/>
      </c>
      <c r="L3" s="45" t="str">
        <f t="shared" si="0"/>
        <v/>
      </c>
    </row>
    <row r="4" spans="1:12" x14ac:dyDescent="0.25">
      <c r="G4" s="22" t="str">
        <f>IF(ISBLANK(A4),"",LOOKUP(A4,BIB!A:A,BIB!C:C))</f>
        <v/>
      </c>
      <c r="H4" s="46" t="str">
        <f>IF(AND(ISBLANK(A4),ISBLANK(B4),ISBLANK(C4)),"",IF(OR(ISBLANK(A4),ISBLANK(B4),ISBLANK(C4)),"-",LEN(Tableau4[[#This Row],[Colonne9]])))</f>
        <v/>
      </c>
      <c r="I4" s="45" t="str">
        <f>IF(AND(ISBLANK(A4),ISBLANK(B4),ISBLANK(C4)),"",IF(OR(ISBLANK(A4),ISBLANK(B4),ISBLANK(C4)),"à compléter",UPPER(LOOKUP(A4,BIB!A:A,BIB!B:B)&amp;LOOKUP(B4,'Type de table'!C:C,'Type de table'!B:B)
&amp;IF(COUNTIF('Objets de gestion'!C:C,F4)=0,"","_"&amp;LOOKUP(F4,'Objets de gestion'!C:C,'Objets de gestion'!F:F))
&amp;IF(COUNTIF('Objets de gestion'!C:C,E4)=0,"","_"&amp;LOOKUP(E4,'Objets de gestion'!C:C,'Objets de gestion'!F:F))
&amp;IF(COUNTIF('Objets de gestion'!C:C,D4)=0,"","_"&amp;LOOKUP(D4,'Objets de gestion'!C:C,'Objets de gestion'!F:F))
&amp;IF(COUNTIF('Objets de gestion'!C:C,C4)=0,"","_"&amp;LOOKUP(C4,'Objets de gestion'!C:C,'Objets de gestion'!F:F))
)))</f>
        <v/>
      </c>
      <c r="J4" s="45" t="str">
        <f>IF(AND(ISBLANK(A4),ISBLANK(B4),ISBLANK(C4)),"",IF(OR(ISBLANK(A4),ISBLANK(B4),ISBLANK(C4)),"-",
LOOKUP(B4,'Type de table'!C:C,'Type de table'!E:E)
&amp;IF(ISBLANK(C4),""," "&amp;C4)
&amp;IF(ISBLANK(D4),""," "&amp;D4)
&amp;IF(ISBLANK(E4),""," "&amp;E4)
&amp;IF(ISBLANK(F4),""," "&amp;F4)
))</f>
        <v/>
      </c>
      <c r="K4" s="45" t="str">
        <f>IF(AND(ISBLANK(A4),ISBLANK(B4),ISBLANK(C4)),"",IF(OR(ISBLANK(A4),ISBLANK(B4),ISBLANK(C4)),"-",
LOOKUP(B4,'Type de table'!C:C,'Type de table'!F:F)
&amp;IF(ISBLANK(C4),""," "&amp;LOOKUP(C4,'Objets de gestion'!C:C,'Objets de gestion'!E:E))
&amp;IF(ISBLANK(D4),""," "&amp;LOOKUP(D4,'Objets de gestion'!C:C,'Objets de gestion'!E:E))
&amp;IF(ISBLANK(E4),""," "&amp;LOOKUP(E4,'Objets de gestion'!C:C,'Objets de gestion'!E:E))
&amp;IF(ISBLANK(F4),""," "&amp;LOOKUP(F4,'Objets de gestion'!C:C,'Objets de gestion'!E:E))
))</f>
        <v/>
      </c>
      <c r="L4" s="45" t="str">
        <f t="shared" si="0"/>
        <v/>
      </c>
    </row>
    <row r="5" spans="1:12" x14ac:dyDescent="0.25">
      <c r="G5" s="22" t="str">
        <f>IF(ISBLANK(A5),"",LOOKUP(A5,BIB!A:A,BIB!C:C))</f>
        <v/>
      </c>
      <c r="H5" s="46" t="str">
        <f>IF(AND(ISBLANK(A5),ISBLANK(B5),ISBLANK(C5)),"",IF(OR(ISBLANK(A5),ISBLANK(B5),ISBLANK(C5)),"-",LEN(Tableau4[[#This Row],[Colonne9]])))</f>
        <v/>
      </c>
      <c r="I5" s="45" t="str">
        <f>IF(AND(ISBLANK(A5),ISBLANK(B5),ISBLANK(C5)),"",IF(OR(ISBLANK(A5),ISBLANK(B5),ISBLANK(C5)),"à compléter",UPPER(LOOKUP(A5,BIB!A:A,BIB!B:B)&amp;LOOKUP(B5,'Type de table'!C:C,'Type de table'!B:B)
&amp;IF(COUNTIF('Objets de gestion'!C:C,F5)=0,"","_"&amp;LOOKUP(F5,'Objets de gestion'!C:C,'Objets de gestion'!F:F))
&amp;IF(COUNTIF('Objets de gestion'!C:C,E5)=0,"","_"&amp;LOOKUP(E5,'Objets de gestion'!C:C,'Objets de gestion'!F:F))
&amp;IF(COUNTIF('Objets de gestion'!C:C,D5)=0,"","_"&amp;LOOKUP(D5,'Objets de gestion'!C:C,'Objets de gestion'!F:F))
&amp;IF(COUNTIF('Objets de gestion'!C:C,C5)=0,"","_"&amp;LOOKUP(C5,'Objets de gestion'!C:C,'Objets de gestion'!F:F))
)))</f>
        <v/>
      </c>
      <c r="J5" s="45" t="str">
        <f>IF(AND(ISBLANK(A5),ISBLANK(B5),ISBLANK(C5)),"",IF(OR(ISBLANK(A5),ISBLANK(B5),ISBLANK(C5)),"-",
LOOKUP(B5,'Type de table'!C:C,'Type de table'!E:E)
&amp;IF(ISBLANK(C5),""," "&amp;C5)
&amp;IF(ISBLANK(D5),""," "&amp;D5)
&amp;IF(ISBLANK(E5),""," "&amp;E5)
&amp;IF(ISBLANK(F5),""," "&amp;F5)
))</f>
        <v/>
      </c>
      <c r="K5" s="45" t="str">
        <f>IF(AND(ISBLANK(A5),ISBLANK(B5),ISBLANK(C5)),"",IF(OR(ISBLANK(A5),ISBLANK(B5),ISBLANK(C5)),"-",
LOOKUP(B5,'Type de table'!C:C,'Type de table'!F:F)
&amp;IF(ISBLANK(C5),""," "&amp;LOOKUP(C5,'Objets de gestion'!C:C,'Objets de gestion'!E:E))
&amp;IF(ISBLANK(D5),""," "&amp;LOOKUP(D5,'Objets de gestion'!C:C,'Objets de gestion'!E:E))
&amp;IF(ISBLANK(E5),""," "&amp;LOOKUP(E5,'Objets de gestion'!C:C,'Objets de gestion'!E:E))
&amp;IF(ISBLANK(F5),""," "&amp;LOOKUP(F5,'Objets de gestion'!C:C,'Objets de gestion'!E:E))
))</f>
        <v/>
      </c>
      <c r="L5" s="45" t="str">
        <f t="shared" si="0"/>
        <v/>
      </c>
    </row>
    <row r="6" spans="1:12" x14ac:dyDescent="0.25">
      <c r="G6" s="22" t="str">
        <f>IF(ISBLANK(A6),"",LOOKUP(A6,BIB!A:A,BIB!C:C))</f>
        <v/>
      </c>
      <c r="H6" s="46" t="str">
        <f>IF(AND(ISBLANK(A6),ISBLANK(B6),ISBLANK(C6)),"",IF(OR(ISBLANK(A6),ISBLANK(B6),ISBLANK(C6)),"-",LEN(Tableau4[[#This Row],[Colonne9]])))</f>
        <v/>
      </c>
      <c r="I6" s="45" t="str">
        <f>IF(AND(ISBLANK(A6),ISBLANK(B6),ISBLANK(C6)),"",IF(OR(ISBLANK(A6),ISBLANK(B6),ISBLANK(C6)),"à compléter",UPPER(LOOKUP(A6,BIB!A:A,BIB!B:B)&amp;LOOKUP(B6,'Type de table'!C:C,'Type de table'!B:B)
&amp;IF(COUNTIF('Objets de gestion'!C:C,F6)=0,"","_"&amp;LOOKUP(F6,'Objets de gestion'!C:C,'Objets de gestion'!F:F))
&amp;IF(COUNTIF('Objets de gestion'!C:C,E6)=0,"","_"&amp;LOOKUP(E6,'Objets de gestion'!C:C,'Objets de gestion'!F:F))
&amp;IF(COUNTIF('Objets de gestion'!C:C,D6)=0,"","_"&amp;LOOKUP(D6,'Objets de gestion'!C:C,'Objets de gestion'!F:F))
&amp;IF(COUNTIF('Objets de gestion'!C:C,C6)=0,"","_"&amp;LOOKUP(C6,'Objets de gestion'!C:C,'Objets de gestion'!F:F))
)))</f>
        <v/>
      </c>
      <c r="J6" s="45" t="str">
        <f>IF(AND(ISBLANK(A6),ISBLANK(B6),ISBLANK(C6)),"",IF(OR(ISBLANK(A6),ISBLANK(B6),ISBLANK(C6)),"-",
LOOKUP(B6,'Type de table'!C:C,'Type de table'!E:E)
&amp;IF(ISBLANK(C6),""," "&amp;C6)
&amp;IF(ISBLANK(D6),""," "&amp;D6)
&amp;IF(ISBLANK(E6),""," "&amp;E6)
&amp;IF(ISBLANK(F6),""," "&amp;F6)
))</f>
        <v/>
      </c>
      <c r="K6" s="45" t="str">
        <f>IF(AND(ISBLANK(A6),ISBLANK(B6),ISBLANK(C6)),"",IF(OR(ISBLANK(A6),ISBLANK(B6),ISBLANK(C6)),"-",
LOOKUP(B6,'Type de table'!C:C,'Type de table'!F:F)
&amp;IF(ISBLANK(C6),""," "&amp;LOOKUP(C6,'Objets de gestion'!C:C,'Objets de gestion'!E:E))
&amp;IF(ISBLANK(D6),""," "&amp;LOOKUP(D6,'Objets de gestion'!C:C,'Objets de gestion'!E:E))
&amp;IF(ISBLANK(E6),""," "&amp;LOOKUP(E6,'Objets de gestion'!C:C,'Objets de gestion'!E:E))
&amp;IF(ISBLANK(F6),""," "&amp;LOOKUP(F6,'Objets de gestion'!C:C,'Objets de gestion'!E:E))
))</f>
        <v/>
      </c>
      <c r="L6" s="45" t="str">
        <f t="shared" si="0"/>
        <v/>
      </c>
    </row>
    <row r="7" spans="1:12" x14ac:dyDescent="0.25">
      <c r="G7" s="22" t="str">
        <f>IF(ISBLANK(A7),"",LOOKUP(A7,BIB!A:A,BIB!C:C))</f>
        <v/>
      </c>
      <c r="H7" s="46" t="str">
        <f>IF(AND(ISBLANK(A7),ISBLANK(B7),ISBLANK(C7)),"",IF(OR(ISBLANK(A7),ISBLANK(B7),ISBLANK(C7)),"-",LEN(Tableau4[[#This Row],[Colonne9]])))</f>
        <v/>
      </c>
      <c r="I7" s="45" t="str">
        <f>IF(AND(ISBLANK(A7),ISBLANK(B7),ISBLANK(C7)),"",IF(OR(ISBLANK(A7),ISBLANK(B7),ISBLANK(C7)),"à compléter",UPPER(LOOKUP(A7,BIB!A:A,BIB!B:B)&amp;LOOKUP(B7,'Type de table'!C:C,'Type de table'!B:B)
&amp;IF(COUNTIF('Objets de gestion'!C:C,F7)=0,"","_"&amp;LOOKUP(F7,'Objets de gestion'!C:C,'Objets de gestion'!F:F))
&amp;IF(COUNTIF('Objets de gestion'!C:C,E7)=0,"","_"&amp;LOOKUP(E7,'Objets de gestion'!C:C,'Objets de gestion'!F:F))
&amp;IF(COUNTIF('Objets de gestion'!C:C,D7)=0,"","_"&amp;LOOKUP(D7,'Objets de gestion'!C:C,'Objets de gestion'!F:F))
&amp;IF(COUNTIF('Objets de gestion'!C:C,C7)=0,"","_"&amp;LOOKUP(C7,'Objets de gestion'!C:C,'Objets de gestion'!F:F))
)))</f>
        <v/>
      </c>
      <c r="J7" s="45" t="str">
        <f>IF(AND(ISBLANK(A7),ISBLANK(B7),ISBLANK(C7)),"",IF(OR(ISBLANK(A7),ISBLANK(B7),ISBLANK(C7)),"-",
LOOKUP(B7,'Type de table'!C:C,'Type de table'!E:E)
&amp;IF(ISBLANK(C7),""," "&amp;C7)
&amp;IF(ISBLANK(D7),""," "&amp;D7)
&amp;IF(ISBLANK(E7),""," "&amp;E7)
&amp;IF(ISBLANK(F7),""," "&amp;F7)
))</f>
        <v/>
      </c>
      <c r="K7" s="45" t="str">
        <f>IF(AND(ISBLANK(A7),ISBLANK(B7),ISBLANK(C7)),"",IF(OR(ISBLANK(A7),ISBLANK(B7),ISBLANK(C7)),"-",
LOOKUP(B7,'Type de table'!C:C,'Type de table'!F:F)
&amp;IF(ISBLANK(C7),""," "&amp;LOOKUP(C7,'Objets de gestion'!C:C,'Objets de gestion'!E:E))
&amp;IF(ISBLANK(D7),""," "&amp;LOOKUP(D7,'Objets de gestion'!C:C,'Objets de gestion'!E:E))
&amp;IF(ISBLANK(E7),""," "&amp;LOOKUP(E7,'Objets de gestion'!C:C,'Objets de gestion'!E:E))
&amp;IF(ISBLANK(F7),""," "&amp;LOOKUP(F7,'Objets de gestion'!C:C,'Objets de gestion'!E:E))
))</f>
        <v/>
      </c>
      <c r="L7" s="45" t="str">
        <f t="shared" si="0"/>
        <v/>
      </c>
    </row>
    <row r="8" spans="1:12" x14ac:dyDescent="0.25">
      <c r="G8" s="22" t="str">
        <f>IF(ISBLANK(A8),"",LOOKUP(A8,BIB!A:A,BIB!C:C))</f>
        <v/>
      </c>
      <c r="H8" s="46" t="str">
        <f>IF(AND(ISBLANK(A8),ISBLANK(B8),ISBLANK(C8)),"",IF(OR(ISBLANK(A8),ISBLANK(B8),ISBLANK(C8)),"-",LEN(Tableau4[[#This Row],[Colonne9]])))</f>
        <v/>
      </c>
      <c r="I8" s="45" t="str">
        <f>IF(AND(ISBLANK(A8),ISBLANK(B8),ISBLANK(C8)),"",IF(OR(ISBLANK(A8),ISBLANK(B8),ISBLANK(C8)),"à compléter",UPPER(LOOKUP(A8,BIB!A:A,BIB!B:B)&amp;LOOKUP(B8,'Type de table'!C:C,'Type de table'!B:B)
&amp;IF(COUNTIF('Objets de gestion'!C:C,F8)=0,"","_"&amp;LOOKUP(F8,'Objets de gestion'!C:C,'Objets de gestion'!F:F))
&amp;IF(COUNTIF('Objets de gestion'!C:C,E8)=0,"","_"&amp;LOOKUP(E8,'Objets de gestion'!C:C,'Objets de gestion'!F:F))
&amp;IF(COUNTIF('Objets de gestion'!C:C,D8)=0,"","_"&amp;LOOKUP(D8,'Objets de gestion'!C:C,'Objets de gestion'!F:F))
&amp;IF(COUNTIF('Objets de gestion'!C:C,C8)=0,"","_"&amp;LOOKUP(C8,'Objets de gestion'!C:C,'Objets de gestion'!F:F))
)))</f>
        <v/>
      </c>
      <c r="J8" s="45" t="str">
        <f>IF(AND(ISBLANK(A8),ISBLANK(B8),ISBLANK(C8)),"",IF(OR(ISBLANK(A8),ISBLANK(B8),ISBLANK(C8)),"-",
LOOKUP(B8,'Type de table'!C:C,'Type de table'!E:E)
&amp;IF(ISBLANK(C8),""," "&amp;C8)
&amp;IF(ISBLANK(D8),""," "&amp;D8)
&amp;IF(ISBLANK(E8),""," "&amp;E8)
&amp;IF(ISBLANK(F8),""," "&amp;F8)
))</f>
        <v/>
      </c>
      <c r="K8" s="45" t="str">
        <f>IF(AND(ISBLANK(A8),ISBLANK(B8),ISBLANK(C8)),"",IF(OR(ISBLANK(A8),ISBLANK(B8),ISBLANK(C8)),"-",
LOOKUP(B8,'Type de table'!C:C,'Type de table'!F:F)
&amp;IF(ISBLANK(C8),""," "&amp;LOOKUP(C8,'Objets de gestion'!C:C,'Objets de gestion'!E:E))
&amp;IF(ISBLANK(D8),""," "&amp;LOOKUP(D8,'Objets de gestion'!C:C,'Objets de gestion'!E:E))
&amp;IF(ISBLANK(E8),""," "&amp;LOOKUP(E8,'Objets de gestion'!C:C,'Objets de gestion'!E:E))
&amp;IF(ISBLANK(F8),""," "&amp;LOOKUP(F8,'Objets de gestion'!C:C,'Objets de gestion'!E:E))
))</f>
        <v/>
      </c>
      <c r="L8" s="45" t="str">
        <f t="shared" si="0"/>
        <v/>
      </c>
    </row>
    <row r="9" spans="1:12" x14ac:dyDescent="0.25">
      <c r="G9" s="22" t="str">
        <f>IF(ISBLANK(A9),"",LOOKUP(A9,BIB!A:A,BIB!C:C))</f>
        <v/>
      </c>
      <c r="H9" s="46" t="str">
        <f>IF(AND(ISBLANK(A9),ISBLANK(B9),ISBLANK(C9)),"",IF(OR(ISBLANK(A9),ISBLANK(B9),ISBLANK(C9)),"-",LEN(Tableau4[[#This Row],[Colonne9]])))</f>
        <v/>
      </c>
      <c r="I9" s="45" t="str">
        <f>IF(AND(ISBLANK(A9),ISBLANK(B9),ISBLANK(C9)),"",IF(OR(ISBLANK(A9),ISBLANK(B9),ISBLANK(C9)),"à compléter",UPPER(LOOKUP(A9,BIB!A:A,BIB!B:B)&amp;LOOKUP(B9,'Type de table'!C:C,'Type de table'!B:B)
&amp;IF(COUNTIF('Objets de gestion'!C:C,F9)=0,"","_"&amp;LOOKUP(F9,'Objets de gestion'!C:C,'Objets de gestion'!F:F))
&amp;IF(COUNTIF('Objets de gestion'!C:C,E9)=0,"","_"&amp;LOOKUP(E9,'Objets de gestion'!C:C,'Objets de gestion'!F:F))
&amp;IF(COUNTIF('Objets de gestion'!C:C,D9)=0,"","_"&amp;LOOKUP(D9,'Objets de gestion'!C:C,'Objets de gestion'!F:F))
&amp;IF(COUNTIF('Objets de gestion'!C:C,C9)=0,"","_"&amp;LOOKUP(C9,'Objets de gestion'!C:C,'Objets de gestion'!F:F))
)))</f>
        <v/>
      </c>
      <c r="J9" s="45" t="str">
        <f>IF(AND(ISBLANK(A9),ISBLANK(B9),ISBLANK(C9)),"",IF(OR(ISBLANK(A9),ISBLANK(B9),ISBLANK(C9)),"-",
LOOKUP(B9,'Type de table'!C:C,'Type de table'!E:E)
&amp;IF(ISBLANK(C9),""," "&amp;C9)
&amp;IF(ISBLANK(D9),""," "&amp;D9)
&amp;IF(ISBLANK(E9),""," "&amp;E9)
&amp;IF(ISBLANK(F9),""," "&amp;F9)
))</f>
        <v/>
      </c>
      <c r="K9" s="45" t="str">
        <f>IF(AND(ISBLANK(A9),ISBLANK(B9),ISBLANK(C9)),"",IF(OR(ISBLANK(A9),ISBLANK(B9),ISBLANK(C9)),"-",
LOOKUP(B9,'Type de table'!C:C,'Type de table'!F:F)
&amp;IF(ISBLANK(C9),""," "&amp;LOOKUP(C9,'Objets de gestion'!C:C,'Objets de gestion'!E:E))
&amp;IF(ISBLANK(D9),""," "&amp;LOOKUP(D9,'Objets de gestion'!C:C,'Objets de gestion'!E:E))
&amp;IF(ISBLANK(E9),""," "&amp;LOOKUP(E9,'Objets de gestion'!C:C,'Objets de gestion'!E:E))
&amp;IF(ISBLANK(F9),""," "&amp;LOOKUP(F9,'Objets de gestion'!C:C,'Objets de gestion'!E:E))
))</f>
        <v/>
      </c>
      <c r="L9" s="45" t="str">
        <f t="shared" si="0"/>
        <v/>
      </c>
    </row>
    <row r="10" spans="1:12" x14ac:dyDescent="0.25">
      <c r="G10" s="22" t="str">
        <f>IF(ISBLANK(A10),"",LOOKUP(A10,BIB!A:A,BIB!C:C))</f>
        <v/>
      </c>
      <c r="H10" s="46" t="str">
        <f>IF(AND(ISBLANK(A10),ISBLANK(B10),ISBLANK(C10)),"",IF(OR(ISBLANK(A10),ISBLANK(B10),ISBLANK(C10)),"-",LEN(Tableau4[[#This Row],[Colonne9]])))</f>
        <v/>
      </c>
      <c r="I10" s="45" t="str">
        <f>IF(AND(ISBLANK(A10),ISBLANK(B10),ISBLANK(C10)),"",IF(OR(ISBLANK(A10),ISBLANK(B10),ISBLANK(C10)),"à compléter",UPPER(LOOKUP(A10,BIB!A:A,BIB!B:B)&amp;LOOKUP(B10,'Type de table'!C:C,'Type de table'!B:B)
&amp;IF(COUNTIF('Objets de gestion'!C:C,F10)=0,"","_"&amp;LOOKUP(F10,'Objets de gestion'!C:C,'Objets de gestion'!F:F))
&amp;IF(COUNTIF('Objets de gestion'!C:C,E10)=0,"","_"&amp;LOOKUP(E10,'Objets de gestion'!C:C,'Objets de gestion'!F:F))
&amp;IF(COUNTIF('Objets de gestion'!C:C,D10)=0,"","_"&amp;LOOKUP(D10,'Objets de gestion'!C:C,'Objets de gestion'!F:F))
&amp;IF(COUNTIF('Objets de gestion'!C:C,C10)=0,"","_"&amp;LOOKUP(C10,'Objets de gestion'!C:C,'Objets de gestion'!F:F))
)))</f>
        <v/>
      </c>
      <c r="J10" s="45" t="str">
        <f>IF(AND(ISBLANK(A10),ISBLANK(B10),ISBLANK(C10)),"",IF(OR(ISBLANK(A10),ISBLANK(B10),ISBLANK(C10)),"-",
LOOKUP(B10,'Type de table'!C:C,'Type de table'!E:E)
&amp;IF(ISBLANK(C10),""," "&amp;C10)
&amp;IF(ISBLANK(D10),""," "&amp;D10)
&amp;IF(ISBLANK(E10),""," "&amp;E10)
&amp;IF(ISBLANK(F10),""," "&amp;F10)
))</f>
        <v/>
      </c>
      <c r="K10" s="45" t="str">
        <f>IF(AND(ISBLANK(A10),ISBLANK(B10),ISBLANK(C10)),"",IF(OR(ISBLANK(A10),ISBLANK(B10),ISBLANK(C10)),"-",
LOOKUP(B10,'Type de table'!C:C,'Type de table'!F:F)
&amp;IF(ISBLANK(C10),""," "&amp;LOOKUP(C10,'Objets de gestion'!C:C,'Objets de gestion'!E:E))
&amp;IF(ISBLANK(D10),""," "&amp;LOOKUP(D10,'Objets de gestion'!C:C,'Objets de gestion'!E:E))
&amp;IF(ISBLANK(E10),""," "&amp;LOOKUP(E10,'Objets de gestion'!C:C,'Objets de gestion'!E:E))
&amp;IF(ISBLANK(F10),""," "&amp;LOOKUP(F10,'Objets de gestion'!C:C,'Objets de gestion'!E:E))
))</f>
        <v/>
      </c>
      <c r="L10" s="45" t="str">
        <f t="shared" si="0"/>
        <v/>
      </c>
    </row>
    <row r="11" spans="1:12" x14ac:dyDescent="0.25">
      <c r="G11" s="22" t="str">
        <f>IF(ISBLANK(A11),"",LOOKUP(A11,BIB!A:A,BIB!C:C))</f>
        <v/>
      </c>
      <c r="H11" s="46" t="str">
        <f>IF(AND(ISBLANK(A11),ISBLANK(B11),ISBLANK(C11)),"",IF(OR(ISBLANK(A11),ISBLANK(B11),ISBLANK(C11)),"-",LEN(Tableau4[[#This Row],[Colonne9]])))</f>
        <v/>
      </c>
      <c r="I11" s="45" t="str">
        <f>IF(AND(ISBLANK(A11),ISBLANK(B11),ISBLANK(C11)),"",IF(OR(ISBLANK(A11),ISBLANK(B11),ISBLANK(C11)),"à compléter",UPPER(LOOKUP(A11,BIB!A:A,BIB!B:B)&amp;LOOKUP(B11,'Type de table'!C:C,'Type de table'!B:B)
&amp;IF(COUNTIF('Objets de gestion'!C:C,F11)=0,"","_"&amp;LOOKUP(F11,'Objets de gestion'!C:C,'Objets de gestion'!F:F))
&amp;IF(COUNTIF('Objets de gestion'!C:C,E11)=0,"","_"&amp;LOOKUP(E11,'Objets de gestion'!C:C,'Objets de gestion'!F:F))
&amp;IF(COUNTIF('Objets de gestion'!C:C,D11)=0,"","_"&amp;LOOKUP(D11,'Objets de gestion'!C:C,'Objets de gestion'!F:F))
&amp;IF(COUNTIF('Objets de gestion'!C:C,C11)=0,"","_"&amp;LOOKUP(C11,'Objets de gestion'!C:C,'Objets de gestion'!F:F))
)))</f>
        <v/>
      </c>
      <c r="J11" s="45" t="str">
        <f>IF(AND(ISBLANK(A11),ISBLANK(B11),ISBLANK(C11)),"",IF(OR(ISBLANK(A11),ISBLANK(B11),ISBLANK(C11)),"-",
LOOKUP(B11,'Type de table'!C:C,'Type de table'!E:E)
&amp;IF(ISBLANK(C11),""," "&amp;C11)
&amp;IF(ISBLANK(D11),""," "&amp;D11)
&amp;IF(ISBLANK(E11),""," "&amp;E11)
&amp;IF(ISBLANK(F11),""," "&amp;F11)
))</f>
        <v/>
      </c>
      <c r="K11" s="45" t="str">
        <f>IF(AND(ISBLANK(A11),ISBLANK(B11),ISBLANK(C11)),"",IF(OR(ISBLANK(A11),ISBLANK(B11),ISBLANK(C11)),"-",
LOOKUP(B11,'Type de table'!C:C,'Type de table'!F:F)
&amp;IF(ISBLANK(C11),""," "&amp;LOOKUP(C11,'Objets de gestion'!C:C,'Objets de gestion'!E:E))
&amp;IF(ISBLANK(D11),""," "&amp;LOOKUP(D11,'Objets de gestion'!C:C,'Objets de gestion'!E:E))
&amp;IF(ISBLANK(E11),""," "&amp;LOOKUP(E11,'Objets de gestion'!C:C,'Objets de gestion'!E:E))
&amp;IF(ISBLANK(F11),""," "&amp;LOOKUP(F11,'Objets de gestion'!C:C,'Objets de gestion'!E:E))
))</f>
        <v/>
      </c>
      <c r="L11" s="45" t="str">
        <f t="shared" si="0"/>
        <v/>
      </c>
    </row>
    <row r="12" spans="1:12" x14ac:dyDescent="0.25">
      <c r="G12" s="22" t="str">
        <f>IF(ISBLANK(A12),"",LOOKUP(A12,BIB!A:A,BIB!C:C))</f>
        <v/>
      </c>
      <c r="H12" s="46" t="str">
        <f>IF(AND(ISBLANK(A12),ISBLANK(B12),ISBLANK(C12)),"",IF(OR(ISBLANK(A12),ISBLANK(B12),ISBLANK(C12)),"-",LEN(Tableau4[[#This Row],[Colonne9]])))</f>
        <v/>
      </c>
      <c r="I12" s="45" t="str">
        <f>IF(AND(ISBLANK(A12),ISBLANK(B12),ISBLANK(C12)),"",IF(OR(ISBLANK(A12),ISBLANK(B12),ISBLANK(C12)),"à compléter",UPPER(LOOKUP(A12,BIB!A:A,BIB!B:B)&amp;LOOKUP(B12,'Type de table'!C:C,'Type de table'!B:B)
&amp;IF(COUNTIF('Objets de gestion'!C:C,F12)=0,"","_"&amp;LOOKUP(F12,'Objets de gestion'!C:C,'Objets de gestion'!F:F))
&amp;IF(COUNTIF('Objets de gestion'!C:C,E12)=0,"","_"&amp;LOOKUP(E12,'Objets de gestion'!C:C,'Objets de gestion'!F:F))
&amp;IF(COUNTIF('Objets de gestion'!C:C,D12)=0,"","_"&amp;LOOKUP(D12,'Objets de gestion'!C:C,'Objets de gestion'!F:F))
&amp;IF(COUNTIF('Objets de gestion'!C:C,C12)=0,"","_"&amp;LOOKUP(C12,'Objets de gestion'!C:C,'Objets de gestion'!F:F))
)))</f>
        <v/>
      </c>
      <c r="J12" s="45" t="str">
        <f>IF(AND(ISBLANK(A12),ISBLANK(B12),ISBLANK(C12)),"",IF(OR(ISBLANK(A12),ISBLANK(B12),ISBLANK(C12)),"-",
LOOKUP(B12,'Type de table'!C:C,'Type de table'!E:E)
&amp;IF(ISBLANK(C12),""," "&amp;C12)
&amp;IF(ISBLANK(D12),""," "&amp;D12)
&amp;IF(ISBLANK(E12),""," "&amp;E12)
&amp;IF(ISBLANK(F12),""," "&amp;F12)
))</f>
        <v/>
      </c>
      <c r="K12" s="45" t="str">
        <f>IF(AND(ISBLANK(A12),ISBLANK(B12),ISBLANK(C12)),"",IF(OR(ISBLANK(A12),ISBLANK(B12),ISBLANK(C12)),"-",
LOOKUP(B12,'Type de table'!C:C,'Type de table'!F:F)
&amp;IF(ISBLANK(C12),""," "&amp;LOOKUP(C12,'Objets de gestion'!C:C,'Objets de gestion'!E:E))
&amp;IF(ISBLANK(D12),""," "&amp;LOOKUP(D12,'Objets de gestion'!C:C,'Objets de gestion'!E:E))
&amp;IF(ISBLANK(E12),""," "&amp;LOOKUP(E12,'Objets de gestion'!C:C,'Objets de gestion'!E:E))
&amp;IF(ISBLANK(F12),""," "&amp;LOOKUP(F12,'Objets de gestion'!C:C,'Objets de gestion'!E:E))
))</f>
        <v/>
      </c>
      <c r="L12" s="45" t="str">
        <f t="shared" si="0"/>
        <v/>
      </c>
    </row>
    <row r="13" spans="1:12" x14ac:dyDescent="0.25">
      <c r="G13" s="22" t="str">
        <f>IF(ISBLANK(A13),"",LOOKUP(A13,BIB!A:A,BIB!C:C))</f>
        <v/>
      </c>
      <c r="H13" s="46" t="str">
        <f>IF(AND(ISBLANK(A13),ISBLANK(B13),ISBLANK(C13)),"",IF(OR(ISBLANK(A13),ISBLANK(B13),ISBLANK(C13)),"-",LEN(Tableau4[[#This Row],[Colonne9]])))</f>
        <v/>
      </c>
      <c r="I13" s="45" t="str">
        <f>IF(AND(ISBLANK(A13),ISBLANK(B13),ISBLANK(C13)),"",IF(OR(ISBLANK(A13),ISBLANK(B13),ISBLANK(C13)),"à compléter",UPPER(LOOKUP(A13,BIB!A:A,BIB!B:B)&amp;LOOKUP(B13,'Type de table'!C:C,'Type de table'!B:B)
&amp;IF(COUNTIF('Objets de gestion'!C:C,F13)=0,"","_"&amp;LOOKUP(F13,'Objets de gestion'!C:C,'Objets de gestion'!F:F))
&amp;IF(COUNTIF('Objets de gestion'!C:C,E13)=0,"","_"&amp;LOOKUP(E13,'Objets de gestion'!C:C,'Objets de gestion'!F:F))
&amp;IF(COUNTIF('Objets de gestion'!C:C,D13)=0,"","_"&amp;LOOKUP(D13,'Objets de gestion'!C:C,'Objets de gestion'!F:F))
&amp;IF(COUNTIF('Objets de gestion'!C:C,C13)=0,"","_"&amp;LOOKUP(C13,'Objets de gestion'!C:C,'Objets de gestion'!F:F))
)))</f>
        <v/>
      </c>
      <c r="J13" s="45" t="str">
        <f>IF(AND(ISBLANK(A13),ISBLANK(B13),ISBLANK(C13)),"",IF(OR(ISBLANK(A13),ISBLANK(B13),ISBLANK(C13)),"-",
LOOKUP(B13,'Type de table'!C:C,'Type de table'!E:E)
&amp;IF(ISBLANK(C13),""," "&amp;C13)
&amp;IF(ISBLANK(D13),""," "&amp;D13)
&amp;IF(ISBLANK(E13),""," "&amp;E13)
&amp;IF(ISBLANK(F13),""," "&amp;F13)
))</f>
        <v/>
      </c>
      <c r="K13" s="45" t="str">
        <f>IF(AND(ISBLANK(A13),ISBLANK(B13),ISBLANK(C13)),"",IF(OR(ISBLANK(A13),ISBLANK(B13),ISBLANK(C13)),"-",
LOOKUP(B13,'Type de table'!C:C,'Type de table'!F:F)
&amp;IF(ISBLANK(C13),""," "&amp;LOOKUP(C13,'Objets de gestion'!C:C,'Objets de gestion'!E:E))
&amp;IF(ISBLANK(D13),""," "&amp;LOOKUP(D13,'Objets de gestion'!C:C,'Objets de gestion'!E:E))
&amp;IF(ISBLANK(E13),""," "&amp;LOOKUP(E13,'Objets de gestion'!C:C,'Objets de gestion'!E:E))
&amp;IF(ISBLANK(F13),""," "&amp;LOOKUP(F13,'Objets de gestion'!C:C,'Objets de gestion'!E:E))
))</f>
        <v/>
      </c>
      <c r="L13" s="45" t="str">
        <f t="shared" si="0"/>
        <v/>
      </c>
    </row>
    <row r="14" spans="1:12" x14ac:dyDescent="0.25">
      <c r="G14" s="22" t="str">
        <f>IF(ISBLANK(A14),"",LOOKUP(A14,BIB!A:A,BIB!C:C))</f>
        <v/>
      </c>
      <c r="H14" s="46" t="str">
        <f>IF(AND(ISBLANK(A14),ISBLANK(B14),ISBLANK(C14)),"",IF(OR(ISBLANK(A14),ISBLANK(B14),ISBLANK(C14)),"-",LEN(Tableau4[[#This Row],[Colonne9]])))</f>
        <v/>
      </c>
      <c r="I14" s="45" t="str">
        <f>IF(AND(ISBLANK(A14),ISBLANK(B14),ISBLANK(C14)),"",IF(OR(ISBLANK(A14),ISBLANK(B14),ISBLANK(C14)),"à compléter",UPPER(LOOKUP(A14,BIB!A:A,BIB!B:B)&amp;LOOKUP(B14,'Type de table'!C:C,'Type de table'!B:B)
&amp;IF(COUNTIF('Objets de gestion'!C:C,F14)=0,"","_"&amp;LOOKUP(F14,'Objets de gestion'!C:C,'Objets de gestion'!F:F))
&amp;IF(COUNTIF('Objets de gestion'!C:C,E14)=0,"","_"&amp;LOOKUP(E14,'Objets de gestion'!C:C,'Objets de gestion'!F:F))
&amp;IF(COUNTIF('Objets de gestion'!C:C,D14)=0,"","_"&amp;LOOKUP(D14,'Objets de gestion'!C:C,'Objets de gestion'!F:F))
&amp;IF(COUNTIF('Objets de gestion'!C:C,C14)=0,"","_"&amp;LOOKUP(C14,'Objets de gestion'!C:C,'Objets de gestion'!F:F))
)))</f>
        <v/>
      </c>
      <c r="J14" s="45" t="str">
        <f>IF(AND(ISBLANK(A14),ISBLANK(B14),ISBLANK(C14)),"",IF(OR(ISBLANK(A14),ISBLANK(B14),ISBLANK(C14)),"-",
LOOKUP(B14,'Type de table'!C:C,'Type de table'!E:E)
&amp;IF(ISBLANK(C14),""," "&amp;C14)
&amp;IF(ISBLANK(D14),""," "&amp;D14)
&amp;IF(ISBLANK(E14),""," "&amp;E14)
&amp;IF(ISBLANK(F14),""," "&amp;F14)
))</f>
        <v/>
      </c>
      <c r="K14" s="45" t="str">
        <f>IF(AND(ISBLANK(A14),ISBLANK(B14),ISBLANK(C14)),"",IF(OR(ISBLANK(A14),ISBLANK(B14),ISBLANK(C14)),"-",
LOOKUP(B14,'Type de table'!C:C,'Type de table'!F:F)
&amp;IF(ISBLANK(C14),""," "&amp;LOOKUP(C14,'Objets de gestion'!C:C,'Objets de gestion'!E:E))
&amp;IF(ISBLANK(D14),""," "&amp;LOOKUP(D14,'Objets de gestion'!C:C,'Objets de gestion'!E:E))
&amp;IF(ISBLANK(E14),""," "&amp;LOOKUP(E14,'Objets de gestion'!C:C,'Objets de gestion'!E:E))
&amp;IF(ISBLANK(F14),""," "&amp;LOOKUP(F14,'Objets de gestion'!C:C,'Objets de gestion'!E:E))
))</f>
        <v/>
      </c>
      <c r="L14" s="45" t="str">
        <f t="shared" si="0"/>
        <v/>
      </c>
    </row>
    <row r="15" spans="1:12" x14ac:dyDescent="0.25">
      <c r="G15" s="22" t="str">
        <f>IF(ISBLANK(A15),"",LOOKUP(A15,BIB!A:A,BIB!C:C))</f>
        <v/>
      </c>
      <c r="H15" s="46" t="str">
        <f>IF(AND(ISBLANK(A15),ISBLANK(B15),ISBLANK(C15)),"",IF(OR(ISBLANK(A15),ISBLANK(B15),ISBLANK(C15)),"-",LEN(Tableau4[[#This Row],[Colonne9]])))</f>
        <v/>
      </c>
      <c r="I15" s="45" t="str">
        <f>IF(AND(ISBLANK(A15),ISBLANK(B15),ISBLANK(C15)),"",IF(OR(ISBLANK(A15),ISBLANK(B15),ISBLANK(C15)),"à compléter",UPPER(LOOKUP(A15,BIB!A:A,BIB!B:B)&amp;LOOKUP(B15,'Type de table'!C:C,'Type de table'!B:B)
&amp;IF(COUNTIF('Objets de gestion'!C:C,F15)=0,"","_"&amp;LOOKUP(F15,'Objets de gestion'!C:C,'Objets de gestion'!F:F))
&amp;IF(COUNTIF('Objets de gestion'!C:C,E15)=0,"","_"&amp;LOOKUP(E15,'Objets de gestion'!C:C,'Objets de gestion'!F:F))
&amp;IF(COUNTIF('Objets de gestion'!C:C,D15)=0,"","_"&amp;LOOKUP(D15,'Objets de gestion'!C:C,'Objets de gestion'!F:F))
&amp;IF(COUNTIF('Objets de gestion'!C:C,C15)=0,"","_"&amp;LOOKUP(C15,'Objets de gestion'!C:C,'Objets de gestion'!F:F))
)))</f>
        <v/>
      </c>
      <c r="J15" s="45" t="str">
        <f>IF(AND(ISBLANK(A15),ISBLANK(B15),ISBLANK(C15)),"",IF(OR(ISBLANK(A15),ISBLANK(B15),ISBLANK(C15)),"-",
LOOKUP(B15,'Type de table'!C:C,'Type de table'!E:E)
&amp;IF(ISBLANK(C15),""," "&amp;C15)
&amp;IF(ISBLANK(D15),""," "&amp;D15)
&amp;IF(ISBLANK(E15),""," "&amp;E15)
&amp;IF(ISBLANK(F15),""," "&amp;F15)
))</f>
        <v/>
      </c>
      <c r="K15" s="45" t="str">
        <f>IF(AND(ISBLANK(A15),ISBLANK(B15),ISBLANK(C15)),"",IF(OR(ISBLANK(A15),ISBLANK(B15),ISBLANK(C15)),"-",
LOOKUP(B15,'Type de table'!C:C,'Type de table'!F:F)
&amp;IF(ISBLANK(C15),""," "&amp;LOOKUP(C15,'Objets de gestion'!C:C,'Objets de gestion'!E:E))
&amp;IF(ISBLANK(D15),""," "&amp;LOOKUP(D15,'Objets de gestion'!C:C,'Objets de gestion'!E:E))
&amp;IF(ISBLANK(E15),""," "&amp;LOOKUP(E15,'Objets de gestion'!C:C,'Objets de gestion'!E:E))
&amp;IF(ISBLANK(F15),""," "&amp;LOOKUP(F15,'Objets de gestion'!C:C,'Objets de gestion'!E:E))
))</f>
        <v/>
      </c>
      <c r="L15" s="45" t="str">
        <f t="shared" si="0"/>
        <v/>
      </c>
    </row>
    <row r="16" spans="1:12" x14ac:dyDescent="0.25">
      <c r="G16" s="22" t="str">
        <f>IF(ISBLANK(A16),"",LOOKUP(A16,BIB!A:A,BIB!C:C))</f>
        <v/>
      </c>
      <c r="H16" s="46" t="str">
        <f>IF(AND(ISBLANK(A16),ISBLANK(B16),ISBLANK(C16)),"",IF(OR(ISBLANK(A16),ISBLANK(B16),ISBLANK(C16)),"-",LEN(Tableau4[[#This Row],[Colonne9]])))</f>
        <v/>
      </c>
      <c r="I16" s="45" t="str">
        <f>IF(AND(ISBLANK(A16),ISBLANK(B16),ISBLANK(C16)),"",IF(OR(ISBLANK(A16),ISBLANK(B16),ISBLANK(C16)),"à compléter",UPPER(LOOKUP(A16,BIB!A:A,BIB!B:B)&amp;LOOKUP(B16,'Type de table'!C:C,'Type de table'!B:B)
&amp;IF(COUNTIF('Objets de gestion'!C:C,F16)=0,"","_"&amp;LOOKUP(F16,'Objets de gestion'!C:C,'Objets de gestion'!F:F))
&amp;IF(COUNTIF('Objets de gestion'!C:C,E16)=0,"","_"&amp;LOOKUP(E16,'Objets de gestion'!C:C,'Objets de gestion'!F:F))
&amp;IF(COUNTIF('Objets de gestion'!C:C,D16)=0,"","_"&amp;LOOKUP(D16,'Objets de gestion'!C:C,'Objets de gestion'!F:F))
&amp;IF(COUNTIF('Objets de gestion'!C:C,C16)=0,"","_"&amp;LOOKUP(C16,'Objets de gestion'!C:C,'Objets de gestion'!F:F))
)))</f>
        <v/>
      </c>
      <c r="J16" s="45" t="str">
        <f>IF(AND(ISBLANK(A16),ISBLANK(B16),ISBLANK(C16)),"",IF(OR(ISBLANK(A16),ISBLANK(B16),ISBLANK(C16)),"-",
LOOKUP(B16,'Type de table'!C:C,'Type de table'!E:E)
&amp;IF(ISBLANK(C16),""," "&amp;C16)
&amp;IF(ISBLANK(D16),""," "&amp;D16)
&amp;IF(ISBLANK(E16),""," "&amp;E16)
&amp;IF(ISBLANK(F16),""," "&amp;F16)
))</f>
        <v/>
      </c>
      <c r="K16" s="45" t="str">
        <f>IF(AND(ISBLANK(A16),ISBLANK(B16),ISBLANK(C16)),"",IF(OR(ISBLANK(A16),ISBLANK(B16),ISBLANK(C16)),"-",
LOOKUP(B16,'Type de table'!C:C,'Type de table'!F:F)
&amp;IF(ISBLANK(C16),""," "&amp;LOOKUP(C16,'Objets de gestion'!C:C,'Objets de gestion'!E:E))
&amp;IF(ISBLANK(D16),""," "&amp;LOOKUP(D16,'Objets de gestion'!C:C,'Objets de gestion'!E:E))
&amp;IF(ISBLANK(E16),""," "&amp;LOOKUP(E16,'Objets de gestion'!C:C,'Objets de gestion'!E:E))
&amp;IF(ISBLANK(F16),""," "&amp;LOOKUP(F16,'Objets de gestion'!C:C,'Objets de gestion'!E:E))
))</f>
        <v/>
      </c>
      <c r="L16" s="45" t="str">
        <f t="shared" si="0"/>
        <v/>
      </c>
    </row>
    <row r="17" spans="7:12" x14ac:dyDescent="0.25">
      <c r="G17" s="22" t="str">
        <f>IF(ISBLANK(A17),"",LOOKUP(A17,BIB!A:A,BIB!C:C))</f>
        <v/>
      </c>
      <c r="H17" s="46" t="str">
        <f>IF(AND(ISBLANK(A17),ISBLANK(B17),ISBLANK(C17)),"",IF(OR(ISBLANK(A17),ISBLANK(B17),ISBLANK(C17)),"-",LEN(Tableau4[[#This Row],[Colonne9]])))</f>
        <v/>
      </c>
      <c r="I17" s="45" t="str">
        <f>IF(AND(ISBLANK(A17),ISBLANK(B17),ISBLANK(C17)),"",IF(OR(ISBLANK(A17),ISBLANK(B17),ISBLANK(C17)),"à compléter",UPPER(LOOKUP(A17,BIB!A:A,BIB!B:B)&amp;LOOKUP(B17,'Type de table'!C:C,'Type de table'!B:B)
&amp;IF(COUNTIF('Objets de gestion'!C:C,F17)=0,"","_"&amp;LOOKUP(F17,'Objets de gestion'!C:C,'Objets de gestion'!F:F))
&amp;IF(COUNTIF('Objets de gestion'!C:C,E17)=0,"","_"&amp;LOOKUP(E17,'Objets de gestion'!C:C,'Objets de gestion'!F:F))
&amp;IF(COUNTIF('Objets de gestion'!C:C,D17)=0,"","_"&amp;LOOKUP(D17,'Objets de gestion'!C:C,'Objets de gestion'!F:F))
&amp;IF(COUNTIF('Objets de gestion'!C:C,C17)=0,"","_"&amp;LOOKUP(C17,'Objets de gestion'!C:C,'Objets de gestion'!F:F))
)))</f>
        <v/>
      </c>
      <c r="J17" s="45" t="str">
        <f>IF(AND(ISBLANK(A17),ISBLANK(B17),ISBLANK(C17)),"",IF(OR(ISBLANK(A17),ISBLANK(B17),ISBLANK(C17)),"-",
LOOKUP(B17,'Type de table'!C:C,'Type de table'!E:E)
&amp;IF(ISBLANK(C17),""," "&amp;C17)
&amp;IF(ISBLANK(D17),""," "&amp;D17)
&amp;IF(ISBLANK(E17),""," "&amp;E17)
&amp;IF(ISBLANK(F17),""," "&amp;F17)
))</f>
        <v/>
      </c>
      <c r="K17" s="45" t="str">
        <f>IF(AND(ISBLANK(A17),ISBLANK(B17),ISBLANK(C17)),"",IF(OR(ISBLANK(A17),ISBLANK(B17),ISBLANK(C17)),"-",
LOOKUP(B17,'Type de table'!C:C,'Type de table'!F:F)
&amp;IF(ISBLANK(C17),""," "&amp;LOOKUP(C17,'Objets de gestion'!C:C,'Objets de gestion'!E:E))
&amp;IF(ISBLANK(D17),""," "&amp;LOOKUP(D17,'Objets de gestion'!C:C,'Objets de gestion'!E:E))
&amp;IF(ISBLANK(E17),""," "&amp;LOOKUP(E17,'Objets de gestion'!C:C,'Objets de gestion'!E:E))
&amp;IF(ISBLANK(F17),""," "&amp;LOOKUP(F17,'Objets de gestion'!C:C,'Objets de gestion'!E:E))
))</f>
        <v/>
      </c>
      <c r="L17" s="45" t="str">
        <f t="shared" si="0"/>
        <v/>
      </c>
    </row>
    <row r="18" spans="7:12" x14ac:dyDescent="0.25">
      <c r="G18" s="22" t="str">
        <f>IF(ISBLANK(A18),"",LOOKUP(A18,BIB!A:A,BIB!C:C))</f>
        <v/>
      </c>
      <c r="H18" s="46" t="str">
        <f>IF(AND(ISBLANK(A18),ISBLANK(B18),ISBLANK(C18)),"",IF(OR(ISBLANK(A18),ISBLANK(B18),ISBLANK(C18)),"-",LEN(Tableau4[[#This Row],[Colonne9]])))</f>
        <v/>
      </c>
      <c r="I18" s="45" t="str">
        <f>IF(AND(ISBLANK(A18),ISBLANK(B18),ISBLANK(C18)),"",IF(OR(ISBLANK(A18),ISBLANK(B18),ISBLANK(C18)),"à compléter",UPPER(LOOKUP(A18,BIB!A:A,BIB!B:B)&amp;LOOKUP(B18,'Type de table'!C:C,'Type de table'!B:B)
&amp;IF(COUNTIF('Objets de gestion'!C:C,F18)=0,"","_"&amp;LOOKUP(F18,'Objets de gestion'!C:C,'Objets de gestion'!F:F))
&amp;IF(COUNTIF('Objets de gestion'!C:C,E18)=0,"","_"&amp;LOOKUP(E18,'Objets de gestion'!C:C,'Objets de gestion'!F:F))
&amp;IF(COUNTIF('Objets de gestion'!C:C,D18)=0,"","_"&amp;LOOKUP(D18,'Objets de gestion'!C:C,'Objets de gestion'!F:F))
&amp;IF(COUNTIF('Objets de gestion'!C:C,C18)=0,"","_"&amp;LOOKUP(C18,'Objets de gestion'!C:C,'Objets de gestion'!F:F))
)))</f>
        <v/>
      </c>
      <c r="J18" s="45" t="str">
        <f>IF(AND(ISBLANK(A18),ISBLANK(B18),ISBLANK(C18)),"",IF(OR(ISBLANK(A18),ISBLANK(B18),ISBLANK(C18)),"-",
LOOKUP(B18,'Type de table'!C:C,'Type de table'!E:E)
&amp;IF(ISBLANK(C18),""," "&amp;C18)
&amp;IF(ISBLANK(D18),""," "&amp;D18)
&amp;IF(ISBLANK(E18),""," "&amp;E18)
&amp;IF(ISBLANK(F18),""," "&amp;F18)
))</f>
        <v/>
      </c>
      <c r="K18" s="45" t="str">
        <f>IF(AND(ISBLANK(A18),ISBLANK(B18),ISBLANK(C18)),"",IF(OR(ISBLANK(A18),ISBLANK(B18),ISBLANK(C18)),"-",
LOOKUP(B18,'Type de table'!C:C,'Type de table'!F:F)
&amp;IF(ISBLANK(C18),""," "&amp;LOOKUP(C18,'Objets de gestion'!C:C,'Objets de gestion'!E:E))
&amp;IF(ISBLANK(D18),""," "&amp;LOOKUP(D18,'Objets de gestion'!C:C,'Objets de gestion'!E:E))
&amp;IF(ISBLANK(E18),""," "&amp;LOOKUP(E18,'Objets de gestion'!C:C,'Objets de gestion'!E:E))
&amp;IF(ISBLANK(F18),""," "&amp;LOOKUP(F18,'Objets de gestion'!C:C,'Objets de gestion'!E:E))
))</f>
        <v/>
      </c>
      <c r="L18" s="45" t="str">
        <f t="shared" si="0"/>
        <v/>
      </c>
    </row>
    <row r="19" spans="7:12" x14ac:dyDescent="0.25">
      <c r="G19" s="22" t="str">
        <f>IF(ISBLANK(A19),"",LOOKUP(A19,BIB!A:A,BIB!C:C))</f>
        <v/>
      </c>
      <c r="H19" s="46" t="str">
        <f>IF(AND(ISBLANK(A19),ISBLANK(B19),ISBLANK(C19)),"",IF(OR(ISBLANK(A19),ISBLANK(B19),ISBLANK(C19)),"-",LEN(Tableau4[[#This Row],[Colonne9]])))</f>
        <v/>
      </c>
      <c r="I19" s="45" t="str">
        <f>IF(AND(ISBLANK(A19),ISBLANK(B19),ISBLANK(C19)),"",IF(OR(ISBLANK(A19),ISBLANK(B19),ISBLANK(C19)),"à compléter",UPPER(LOOKUP(A19,BIB!A:A,BIB!B:B)&amp;LOOKUP(B19,'Type de table'!C:C,'Type de table'!B:B)
&amp;IF(COUNTIF('Objets de gestion'!C:C,F19)=0,"","_"&amp;LOOKUP(F19,'Objets de gestion'!C:C,'Objets de gestion'!F:F))
&amp;IF(COUNTIF('Objets de gestion'!C:C,E19)=0,"","_"&amp;LOOKUP(E19,'Objets de gestion'!C:C,'Objets de gestion'!F:F))
&amp;IF(COUNTIF('Objets de gestion'!C:C,D19)=0,"","_"&amp;LOOKUP(D19,'Objets de gestion'!C:C,'Objets de gestion'!F:F))
&amp;IF(COUNTIF('Objets de gestion'!C:C,C19)=0,"","_"&amp;LOOKUP(C19,'Objets de gestion'!C:C,'Objets de gestion'!F:F))
)))</f>
        <v/>
      </c>
      <c r="J19" s="45" t="str">
        <f>IF(AND(ISBLANK(A19),ISBLANK(B19),ISBLANK(C19)),"",IF(OR(ISBLANK(A19),ISBLANK(B19),ISBLANK(C19)),"-",
LOOKUP(B19,'Type de table'!C:C,'Type de table'!E:E)
&amp;IF(ISBLANK(C19),""," "&amp;C19)
&amp;IF(ISBLANK(D19),""," "&amp;D19)
&amp;IF(ISBLANK(E19),""," "&amp;E19)
&amp;IF(ISBLANK(F19),""," "&amp;F19)
))</f>
        <v/>
      </c>
      <c r="K19" s="45" t="str">
        <f>IF(AND(ISBLANK(A19),ISBLANK(B19),ISBLANK(C19)),"",IF(OR(ISBLANK(A19),ISBLANK(B19),ISBLANK(C19)),"-",
LOOKUP(B19,'Type de table'!C:C,'Type de table'!F:F)
&amp;IF(ISBLANK(C19),""," "&amp;LOOKUP(C19,'Objets de gestion'!C:C,'Objets de gestion'!E:E))
&amp;IF(ISBLANK(D19),""," "&amp;LOOKUP(D19,'Objets de gestion'!C:C,'Objets de gestion'!E:E))
&amp;IF(ISBLANK(E19),""," "&amp;LOOKUP(E19,'Objets de gestion'!C:C,'Objets de gestion'!E:E))
&amp;IF(ISBLANK(F19),""," "&amp;LOOKUP(F19,'Objets de gestion'!C:C,'Objets de gestion'!E:E))
))</f>
        <v/>
      </c>
      <c r="L19" s="45" t="str">
        <f t="shared" si="0"/>
        <v/>
      </c>
    </row>
    <row r="20" spans="7:12" x14ac:dyDescent="0.25">
      <c r="G20" s="22" t="str">
        <f>IF(ISBLANK(A20),"",LOOKUP(A20,BIB!A:A,BIB!C:C))</f>
        <v/>
      </c>
      <c r="H20" s="46" t="str">
        <f>IF(AND(ISBLANK(A20),ISBLANK(B20),ISBLANK(C20)),"",IF(OR(ISBLANK(A20),ISBLANK(B20),ISBLANK(C20)),"-",LEN(Tableau4[[#This Row],[Colonne9]])))</f>
        <v/>
      </c>
      <c r="I20" s="45" t="str">
        <f>IF(AND(ISBLANK(A20),ISBLANK(B20),ISBLANK(C20)),"",IF(OR(ISBLANK(A20),ISBLANK(B20),ISBLANK(C20)),"à compléter",UPPER(LOOKUP(A20,BIB!A:A,BIB!B:B)&amp;LOOKUP(B20,'Type de table'!C:C,'Type de table'!B:B)
&amp;IF(COUNTIF('Objets de gestion'!C:C,F20)=0,"","_"&amp;LOOKUP(F20,'Objets de gestion'!C:C,'Objets de gestion'!F:F))
&amp;IF(COUNTIF('Objets de gestion'!C:C,E20)=0,"","_"&amp;LOOKUP(E20,'Objets de gestion'!C:C,'Objets de gestion'!F:F))
&amp;IF(COUNTIF('Objets de gestion'!C:C,D20)=0,"","_"&amp;LOOKUP(D20,'Objets de gestion'!C:C,'Objets de gestion'!F:F))
&amp;IF(COUNTIF('Objets de gestion'!C:C,C20)=0,"","_"&amp;LOOKUP(C20,'Objets de gestion'!C:C,'Objets de gestion'!F:F))
)))</f>
        <v/>
      </c>
      <c r="J20" s="45" t="str">
        <f>IF(AND(ISBLANK(A20),ISBLANK(B20),ISBLANK(C20)),"",IF(OR(ISBLANK(A20),ISBLANK(B20),ISBLANK(C20)),"-",
LOOKUP(B20,'Type de table'!C:C,'Type de table'!E:E)
&amp;IF(ISBLANK(C20),""," "&amp;C20)
&amp;IF(ISBLANK(D20),""," "&amp;D20)
&amp;IF(ISBLANK(E20),""," "&amp;E20)
&amp;IF(ISBLANK(F20),""," "&amp;F20)
))</f>
        <v/>
      </c>
      <c r="K20" s="45" t="str">
        <f>IF(AND(ISBLANK(A20),ISBLANK(B20),ISBLANK(C20)),"",IF(OR(ISBLANK(A20),ISBLANK(B20),ISBLANK(C20)),"-",
LOOKUP(B20,'Type de table'!C:C,'Type de table'!F:F)
&amp;IF(ISBLANK(C20),""," "&amp;LOOKUP(C20,'Objets de gestion'!C:C,'Objets de gestion'!E:E))
&amp;IF(ISBLANK(D20),""," "&amp;LOOKUP(D20,'Objets de gestion'!C:C,'Objets de gestion'!E:E))
&amp;IF(ISBLANK(E20),""," "&amp;LOOKUP(E20,'Objets de gestion'!C:C,'Objets de gestion'!E:E))
&amp;IF(ISBLANK(F20),""," "&amp;LOOKUP(F20,'Objets de gestion'!C:C,'Objets de gestion'!E:E))
))</f>
        <v/>
      </c>
      <c r="L20" s="45" t="str">
        <f t="shared" si="0"/>
        <v/>
      </c>
    </row>
    <row r="21" spans="7:12" x14ac:dyDescent="0.25">
      <c r="G21" s="22" t="str">
        <f>IF(ISBLANK(A21),"",LOOKUP(A21,BIB!A:A,BIB!C:C))</f>
        <v/>
      </c>
      <c r="H21" s="46" t="str">
        <f>IF(AND(ISBLANK(A21),ISBLANK(B21),ISBLANK(C21)),"",IF(OR(ISBLANK(A21),ISBLANK(B21),ISBLANK(C21)),"-",LEN(Tableau4[[#This Row],[Colonne9]])))</f>
        <v/>
      </c>
      <c r="I21" s="45" t="str">
        <f>IF(AND(ISBLANK(A21),ISBLANK(B21),ISBLANK(C21)),"",IF(OR(ISBLANK(A21),ISBLANK(B21),ISBLANK(C21)),"à compléter",UPPER(LOOKUP(A21,BIB!A:A,BIB!B:B)&amp;LOOKUP(B21,'Type de table'!C:C,'Type de table'!B:B)
&amp;IF(COUNTIF('Objets de gestion'!C:C,F21)=0,"","_"&amp;LOOKUP(F21,'Objets de gestion'!C:C,'Objets de gestion'!F:F))
&amp;IF(COUNTIF('Objets de gestion'!C:C,E21)=0,"","_"&amp;LOOKUP(E21,'Objets de gestion'!C:C,'Objets de gestion'!F:F))
&amp;IF(COUNTIF('Objets de gestion'!C:C,D21)=0,"","_"&amp;LOOKUP(D21,'Objets de gestion'!C:C,'Objets de gestion'!F:F))
&amp;IF(COUNTIF('Objets de gestion'!C:C,C21)=0,"","_"&amp;LOOKUP(C21,'Objets de gestion'!C:C,'Objets de gestion'!F:F))
)))</f>
        <v/>
      </c>
      <c r="J21" s="45" t="str">
        <f>IF(AND(ISBLANK(A21),ISBLANK(B21),ISBLANK(C21)),"",IF(OR(ISBLANK(A21),ISBLANK(B21),ISBLANK(C21)),"-",
LOOKUP(B21,'Type de table'!C:C,'Type de table'!E:E)
&amp;IF(ISBLANK(C21),""," "&amp;C21)
&amp;IF(ISBLANK(D21),""," "&amp;D21)
&amp;IF(ISBLANK(E21),""," "&amp;E21)
&amp;IF(ISBLANK(F21),""," "&amp;F21)
))</f>
        <v/>
      </c>
      <c r="K21" s="45" t="str">
        <f>IF(AND(ISBLANK(A21),ISBLANK(B21),ISBLANK(C21)),"",IF(OR(ISBLANK(A21),ISBLANK(B21),ISBLANK(C21)),"-",
LOOKUP(B21,'Type de table'!C:C,'Type de table'!F:F)
&amp;IF(ISBLANK(C21),""," "&amp;LOOKUP(C21,'Objets de gestion'!C:C,'Objets de gestion'!E:E))
&amp;IF(ISBLANK(D21),""," "&amp;LOOKUP(D21,'Objets de gestion'!C:C,'Objets de gestion'!E:E))
&amp;IF(ISBLANK(E21),""," "&amp;LOOKUP(E21,'Objets de gestion'!C:C,'Objets de gestion'!E:E))
&amp;IF(ISBLANK(F21),""," "&amp;LOOKUP(F21,'Objets de gestion'!C:C,'Objets de gestion'!E:E))
))</f>
        <v/>
      </c>
      <c r="L21" s="45" t="str">
        <f t="shared" si="0"/>
        <v/>
      </c>
    </row>
    <row r="22" spans="7:12" x14ac:dyDescent="0.25">
      <c r="G22" s="22" t="str">
        <f>IF(ISBLANK(A22),"",LOOKUP(A22,BIB!A:A,BIB!C:C))</f>
        <v/>
      </c>
      <c r="H22" s="46" t="str">
        <f>IF(AND(ISBLANK(A22),ISBLANK(B22),ISBLANK(C22)),"",IF(OR(ISBLANK(A22),ISBLANK(B22),ISBLANK(C22)),"-",LEN(Tableau4[[#This Row],[Colonne9]])))</f>
        <v/>
      </c>
      <c r="I22" s="45" t="str">
        <f>IF(AND(ISBLANK(A22),ISBLANK(B22),ISBLANK(C22)),"",IF(OR(ISBLANK(A22),ISBLANK(B22),ISBLANK(C22)),"à compléter",UPPER(LOOKUP(A22,BIB!A:A,BIB!B:B)&amp;LOOKUP(B22,'Type de table'!C:C,'Type de table'!B:B)
&amp;IF(COUNTIF('Objets de gestion'!C:C,F22)=0,"","_"&amp;LOOKUP(F22,'Objets de gestion'!C:C,'Objets de gestion'!F:F))
&amp;IF(COUNTIF('Objets de gestion'!C:C,E22)=0,"","_"&amp;LOOKUP(E22,'Objets de gestion'!C:C,'Objets de gestion'!F:F))
&amp;IF(COUNTIF('Objets de gestion'!C:C,D22)=0,"","_"&amp;LOOKUP(D22,'Objets de gestion'!C:C,'Objets de gestion'!F:F))
&amp;IF(COUNTIF('Objets de gestion'!C:C,C22)=0,"","_"&amp;LOOKUP(C22,'Objets de gestion'!C:C,'Objets de gestion'!F:F))
)))</f>
        <v/>
      </c>
      <c r="J22" s="45" t="str">
        <f>IF(AND(ISBLANK(A22),ISBLANK(B22),ISBLANK(C22)),"",IF(OR(ISBLANK(A22),ISBLANK(B22),ISBLANK(C22)),"-",
LOOKUP(B22,'Type de table'!C:C,'Type de table'!E:E)
&amp;IF(ISBLANK(C22),""," "&amp;C22)
&amp;IF(ISBLANK(D22),""," "&amp;D22)
&amp;IF(ISBLANK(E22),""," "&amp;E22)
&amp;IF(ISBLANK(F22),""," "&amp;F22)
))</f>
        <v/>
      </c>
      <c r="K22" s="45" t="str">
        <f>IF(AND(ISBLANK(A22),ISBLANK(B22),ISBLANK(C22)),"",IF(OR(ISBLANK(A22),ISBLANK(B22),ISBLANK(C22)),"-",
LOOKUP(B22,'Type de table'!C:C,'Type de table'!F:F)
&amp;IF(ISBLANK(C22),""," "&amp;LOOKUP(C22,'Objets de gestion'!C:C,'Objets de gestion'!E:E))
&amp;IF(ISBLANK(D22),""," "&amp;LOOKUP(D22,'Objets de gestion'!C:C,'Objets de gestion'!E:E))
&amp;IF(ISBLANK(E22),""," "&amp;LOOKUP(E22,'Objets de gestion'!C:C,'Objets de gestion'!E:E))
&amp;IF(ISBLANK(F22),""," "&amp;LOOKUP(F22,'Objets de gestion'!C:C,'Objets de gestion'!E:E))
))</f>
        <v/>
      </c>
      <c r="L22" s="45" t="str">
        <f t="shared" si="0"/>
        <v/>
      </c>
    </row>
    <row r="23" spans="7:12" x14ac:dyDescent="0.25">
      <c r="G23" s="22" t="str">
        <f>IF(ISBLANK(A23),"",LOOKUP(A23,BIB!A:A,BIB!C:C))</f>
        <v/>
      </c>
      <c r="H23" s="46" t="str">
        <f>IF(AND(ISBLANK(A23),ISBLANK(B23),ISBLANK(C23)),"",IF(OR(ISBLANK(A23),ISBLANK(B23),ISBLANK(C23)),"-",LEN(Tableau4[[#This Row],[Colonne9]])))</f>
        <v/>
      </c>
      <c r="I23" s="45" t="str">
        <f>IF(AND(ISBLANK(A23),ISBLANK(B23),ISBLANK(C23)),"",IF(OR(ISBLANK(A23),ISBLANK(B23),ISBLANK(C23)),"à compléter",UPPER(LOOKUP(A23,BIB!A:A,BIB!B:B)&amp;LOOKUP(B23,'Type de table'!C:C,'Type de table'!B:B)
&amp;IF(COUNTIF('Objets de gestion'!C:C,F23)=0,"","_"&amp;LOOKUP(F23,'Objets de gestion'!C:C,'Objets de gestion'!F:F))
&amp;IF(COUNTIF('Objets de gestion'!C:C,E23)=0,"","_"&amp;LOOKUP(E23,'Objets de gestion'!C:C,'Objets de gestion'!F:F))
&amp;IF(COUNTIF('Objets de gestion'!C:C,D23)=0,"","_"&amp;LOOKUP(D23,'Objets de gestion'!C:C,'Objets de gestion'!F:F))
&amp;IF(COUNTIF('Objets de gestion'!C:C,C23)=0,"","_"&amp;LOOKUP(C23,'Objets de gestion'!C:C,'Objets de gestion'!F:F))
)))</f>
        <v/>
      </c>
      <c r="J23" s="45" t="str">
        <f>IF(AND(ISBLANK(A23),ISBLANK(B23),ISBLANK(C23)),"",IF(OR(ISBLANK(A23),ISBLANK(B23),ISBLANK(C23)),"-",
LOOKUP(B23,'Type de table'!C:C,'Type de table'!E:E)
&amp;IF(ISBLANK(C23),""," "&amp;C23)
&amp;IF(ISBLANK(D23),""," "&amp;D23)
&amp;IF(ISBLANK(E23),""," "&amp;E23)
&amp;IF(ISBLANK(F23),""," "&amp;F23)
))</f>
        <v/>
      </c>
      <c r="K23" s="45" t="str">
        <f>IF(AND(ISBLANK(A23),ISBLANK(B23),ISBLANK(C23)),"",IF(OR(ISBLANK(A23),ISBLANK(B23),ISBLANK(C23)),"-",
LOOKUP(B23,'Type de table'!C:C,'Type de table'!F:F)
&amp;IF(ISBLANK(C23),""," "&amp;LOOKUP(C23,'Objets de gestion'!C:C,'Objets de gestion'!E:E))
&amp;IF(ISBLANK(D23),""," "&amp;LOOKUP(D23,'Objets de gestion'!C:C,'Objets de gestion'!E:E))
&amp;IF(ISBLANK(E23),""," "&amp;LOOKUP(E23,'Objets de gestion'!C:C,'Objets de gestion'!E:E))
&amp;IF(ISBLANK(F23),""," "&amp;LOOKUP(F23,'Objets de gestion'!C:C,'Objets de gestion'!E:E))
))</f>
        <v/>
      </c>
      <c r="L23" s="45" t="str">
        <f t="shared" si="0"/>
        <v/>
      </c>
    </row>
    <row r="24" spans="7:12" x14ac:dyDescent="0.25">
      <c r="G24" s="22" t="str">
        <f>IF(ISBLANK(A24),"",LOOKUP(A24,BIB!A:A,BIB!C:C))</f>
        <v/>
      </c>
      <c r="H24" s="46" t="str">
        <f>IF(AND(ISBLANK(A24),ISBLANK(B24),ISBLANK(C24)),"",IF(OR(ISBLANK(A24),ISBLANK(B24),ISBLANK(C24)),"-",LEN(Tableau4[[#This Row],[Colonne9]])))</f>
        <v/>
      </c>
      <c r="I24" s="45" t="str">
        <f>IF(AND(ISBLANK(A24),ISBLANK(B24),ISBLANK(C24)),"",IF(OR(ISBLANK(A24),ISBLANK(B24),ISBLANK(C24)),"à compléter",UPPER(LOOKUP(A24,BIB!A:A,BIB!B:B)&amp;LOOKUP(B24,'Type de table'!C:C,'Type de table'!B:B)
&amp;IF(COUNTIF('Objets de gestion'!C:C,F24)=0,"","_"&amp;LOOKUP(F24,'Objets de gestion'!C:C,'Objets de gestion'!F:F))
&amp;IF(COUNTIF('Objets de gestion'!C:C,E24)=0,"","_"&amp;LOOKUP(E24,'Objets de gestion'!C:C,'Objets de gestion'!F:F))
&amp;IF(COUNTIF('Objets de gestion'!C:C,D24)=0,"","_"&amp;LOOKUP(D24,'Objets de gestion'!C:C,'Objets de gestion'!F:F))
&amp;IF(COUNTIF('Objets de gestion'!C:C,C24)=0,"","_"&amp;LOOKUP(C24,'Objets de gestion'!C:C,'Objets de gestion'!F:F))
)))</f>
        <v/>
      </c>
      <c r="J24" s="45" t="str">
        <f>IF(AND(ISBLANK(A24),ISBLANK(B24),ISBLANK(C24)),"",IF(OR(ISBLANK(A24),ISBLANK(B24),ISBLANK(C24)),"-",
LOOKUP(B24,'Type de table'!C:C,'Type de table'!E:E)
&amp;IF(ISBLANK(C24),""," "&amp;C24)
&amp;IF(ISBLANK(D24),""," "&amp;D24)
&amp;IF(ISBLANK(E24),""," "&amp;E24)
&amp;IF(ISBLANK(F24),""," "&amp;F24)
))</f>
        <v/>
      </c>
      <c r="K24" s="45" t="str">
        <f>IF(AND(ISBLANK(A24),ISBLANK(B24),ISBLANK(C24)),"",IF(OR(ISBLANK(A24),ISBLANK(B24),ISBLANK(C24)),"-",
LOOKUP(B24,'Type de table'!C:C,'Type de table'!F:F)
&amp;IF(ISBLANK(C24),""," "&amp;LOOKUP(C24,'Objets de gestion'!C:C,'Objets de gestion'!E:E))
&amp;IF(ISBLANK(D24),""," "&amp;LOOKUP(D24,'Objets de gestion'!C:C,'Objets de gestion'!E:E))
&amp;IF(ISBLANK(E24),""," "&amp;LOOKUP(E24,'Objets de gestion'!C:C,'Objets de gestion'!E:E))
&amp;IF(ISBLANK(F24),""," "&amp;LOOKUP(F24,'Objets de gestion'!C:C,'Objets de gestion'!E:E))
))</f>
        <v/>
      </c>
      <c r="L24" s="45" t="str">
        <f t="shared" si="0"/>
        <v/>
      </c>
    </row>
    <row r="25" spans="7:12" x14ac:dyDescent="0.25">
      <c r="G25" s="22" t="str">
        <f>IF(ISBLANK(A25),"",LOOKUP(A25,BIB!A:A,BIB!C:C))</f>
        <v/>
      </c>
      <c r="H25" s="46" t="str">
        <f>IF(AND(ISBLANK(A25),ISBLANK(B25),ISBLANK(C25)),"",IF(OR(ISBLANK(A25),ISBLANK(B25),ISBLANK(C25)),"-",LEN(Tableau4[[#This Row],[Colonne9]])))</f>
        <v/>
      </c>
      <c r="I25" s="45" t="str">
        <f>IF(AND(ISBLANK(A25),ISBLANK(B25),ISBLANK(C25)),"",IF(OR(ISBLANK(A25),ISBLANK(B25),ISBLANK(C25)),"à compléter",UPPER(LOOKUP(A25,BIB!A:A,BIB!B:B)&amp;LOOKUP(B25,'Type de table'!C:C,'Type de table'!B:B)
&amp;IF(COUNTIF('Objets de gestion'!C:C,F25)=0,"","_"&amp;LOOKUP(F25,'Objets de gestion'!C:C,'Objets de gestion'!F:F))
&amp;IF(COUNTIF('Objets de gestion'!C:C,E25)=0,"","_"&amp;LOOKUP(E25,'Objets de gestion'!C:C,'Objets de gestion'!F:F))
&amp;IF(COUNTIF('Objets de gestion'!C:C,D25)=0,"","_"&amp;LOOKUP(D25,'Objets de gestion'!C:C,'Objets de gestion'!F:F))
&amp;IF(COUNTIF('Objets de gestion'!C:C,C25)=0,"","_"&amp;LOOKUP(C25,'Objets de gestion'!C:C,'Objets de gestion'!F:F))
)))</f>
        <v/>
      </c>
      <c r="J25" s="45" t="str">
        <f>IF(AND(ISBLANK(A25),ISBLANK(B25),ISBLANK(C25)),"",IF(OR(ISBLANK(A25),ISBLANK(B25),ISBLANK(C25)),"-",
LOOKUP(B25,'Type de table'!C:C,'Type de table'!E:E)
&amp;IF(ISBLANK(C25),""," "&amp;C25)
&amp;IF(ISBLANK(D25),""," "&amp;D25)
&amp;IF(ISBLANK(E25),""," "&amp;E25)
&amp;IF(ISBLANK(F25),""," "&amp;F25)
))</f>
        <v/>
      </c>
      <c r="K25" s="45" t="str">
        <f>IF(AND(ISBLANK(A25),ISBLANK(B25),ISBLANK(C25)),"",IF(OR(ISBLANK(A25),ISBLANK(B25),ISBLANK(C25)),"-",
LOOKUP(B25,'Type de table'!C:C,'Type de table'!F:F)
&amp;IF(ISBLANK(C25),""," "&amp;LOOKUP(C25,'Objets de gestion'!C:C,'Objets de gestion'!E:E))
&amp;IF(ISBLANK(D25),""," "&amp;LOOKUP(D25,'Objets de gestion'!C:C,'Objets de gestion'!E:E))
&amp;IF(ISBLANK(E25),""," "&amp;LOOKUP(E25,'Objets de gestion'!C:C,'Objets de gestion'!E:E))
&amp;IF(ISBLANK(F25),""," "&amp;LOOKUP(F25,'Objets de gestion'!C:C,'Objets de gestion'!E:E))
))</f>
        <v/>
      </c>
      <c r="L25" s="45" t="str">
        <f t="shared" si="0"/>
        <v/>
      </c>
    </row>
    <row r="26" spans="7:12" x14ac:dyDescent="0.25">
      <c r="G26" s="22" t="str">
        <f>IF(ISBLANK(A26),"",LOOKUP(A26,BIB!A:A,BIB!C:C))</f>
        <v/>
      </c>
      <c r="H26" s="46" t="str">
        <f>IF(AND(ISBLANK(A26),ISBLANK(B26),ISBLANK(C26)),"",IF(OR(ISBLANK(A26),ISBLANK(B26),ISBLANK(C26)),"-",LEN(Tableau4[[#This Row],[Colonne9]])))</f>
        <v/>
      </c>
      <c r="I26" s="45" t="str">
        <f>IF(AND(ISBLANK(A26),ISBLANK(B26),ISBLANK(C26)),"",IF(OR(ISBLANK(A26),ISBLANK(B26),ISBLANK(C26)),"à compléter",UPPER(LOOKUP(A26,BIB!A:A,BIB!B:B)&amp;LOOKUP(B26,'Type de table'!C:C,'Type de table'!B:B)
&amp;IF(COUNTIF('Objets de gestion'!C:C,F26)=0,"","_"&amp;LOOKUP(F26,'Objets de gestion'!C:C,'Objets de gestion'!F:F))
&amp;IF(COUNTIF('Objets de gestion'!C:C,E26)=0,"","_"&amp;LOOKUP(E26,'Objets de gestion'!C:C,'Objets de gestion'!F:F))
&amp;IF(COUNTIF('Objets de gestion'!C:C,D26)=0,"","_"&amp;LOOKUP(D26,'Objets de gestion'!C:C,'Objets de gestion'!F:F))
&amp;IF(COUNTIF('Objets de gestion'!C:C,C26)=0,"","_"&amp;LOOKUP(C26,'Objets de gestion'!C:C,'Objets de gestion'!F:F))
)))</f>
        <v/>
      </c>
      <c r="J26" s="45" t="str">
        <f>IF(AND(ISBLANK(A26),ISBLANK(B26),ISBLANK(C26)),"",IF(OR(ISBLANK(A26),ISBLANK(B26),ISBLANK(C26)),"-",
LOOKUP(B26,'Type de table'!C:C,'Type de table'!E:E)
&amp;IF(ISBLANK(C26),""," "&amp;C26)
&amp;IF(ISBLANK(D26),""," "&amp;D26)
&amp;IF(ISBLANK(E26),""," "&amp;E26)
&amp;IF(ISBLANK(F26),""," "&amp;F26)
))</f>
        <v/>
      </c>
      <c r="K26" s="45" t="str">
        <f>IF(AND(ISBLANK(A26),ISBLANK(B26),ISBLANK(C26)),"",IF(OR(ISBLANK(A26),ISBLANK(B26),ISBLANK(C26)),"-",
LOOKUP(B26,'Type de table'!C:C,'Type de table'!F:F)
&amp;IF(ISBLANK(C26),""," "&amp;LOOKUP(C26,'Objets de gestion'!C:C,'Objets de gestion'!E:E))
&amp;IF(ISBLANK(D26),""," "&amp;LOOKUP(D26,'Objets de gestion'!C:C,'Objets de gestion'!E:E))
&amp;IF(ISBLANK(E26),""," "&amp;LOOKUP(E26,'Objets de gestion'!C:C,'Objets de gestion'!E:E))
&amp;IF(ISBLANK(F26),""," "&amp;LOOKUP(F26,'Objets de gestion'!C:C,'Objets de gestion'!E:E))
))</f>
        <v/>
      </c>
      <c r="L26" s="45" t="str">
        <f t="shared" si="0"/>
        <v/>
      </c>
    </row>
    <row r="27" spans="7:12" x14ac:dyDescent="0.25">
      <c r="G27" s="22" t="str">
        <f>IF(ISBLANK(A27),"",LOOKUP(A27,BIB!A:A,BIB!C:C))</f>
        <v/>
      </c>
      <c r="H27" s="46" t="str">
        <f>IF(AND(ISBLANK(A27),ISBLANK(B27),ISBLANK(C27)),"",IF(OR(ISBLANK(A27),ISBLANK(B27),ISBLANK(C27)),"-",LEN(Tableau4[[#This Row],[Colonne9]])))</f>
        <v/>
      </c>
      <c r="I27" s="45" t="str">
        <f>IF(AND(ISBLANK(A27),ISBLANK(B27),ISBLANK(C27)),"",IF(OR(ISBLANK(A27),ISBLANK(B27),ISBLANK(C27)),"à compléter",UPPER(LOOKUP(A27,BIB!A:A,BIB!B:B)&amp;LOOKUP(B27,'Type de table'!C:C,'Type de table'!B:B)
&amp;IF(COUNTIF('Objets de gestion'!C:C,F27)=0,"","_"&amp;LOOKUP(F27,'Objets de gestion'!C:C,'Objets de gestion'!F:F))
&amp;IF(COUNTIF('Objets de gestion'!C:C,E27)=0,"","_"&amp;LOOKUP(E27,'Objets de gestion'!C:C,'Objets de gestion'!F:F))
&amp;IF(COUNTIF('Objets de gestion'!C:C,D27)=0,"","_"&amp;LOOKUP(D27,'Objets de gestion'!C:C,'Objets de gestion'!F:F))
&amp;IF(COUNTIF('Objets de gestion'!C:C,C27)=0,"","_"&amp;LOOKUP(C27,'Objets de gestion'!C:C,'Objets de gestion'!F:F))
)))</f>
        <v/>
      </c>
      <c r="J27" s="45" t="str">
        <f>IF(AND(ISBLANK(A27),ISBLANK(B27),ISBLANK(C27)),"",IF(OR(ISBLANK(A27),ISBLANK(B27),ISBLANK(C27)),"-",
LOOKUP(B27,'Type de table'!C:C,'Type de table'!E:E)
&amp;IF(ISBLANK(C27),""," "&amp;C27)
&amp;IF(ISBLANK(D27),""," "&amp;D27)
&amp;IF(ISBLANK(E27),""," "&amp;E27)
&amp;IF(ISBLANK(F27),""," "&amp;F27)
))</f>
        <v/>
      </c>
      <c r="K27" s="45" t="str">
        <f>IF(AND(ISBLANK(A27),ISBLANK(B27),ISBLANK(C27)),"",IF(OR(ISBLANK(A27),ISBLANK(B27),ISBLANK(C27)),"-",
LOOKUP(B27,'Type de table'!C:C,'Type de table'!F:F)
&amp;IF(ISBLANK(C27),""," "&amp;LOOKUP(C27,'Objets de gestion'!C:C,'Objets de gestion'!E:E))
&amp;IF(ISBLANK(D27),""," "&amp;LOOKUP(D27,'Objets de gestion'!C:C,'Objets de gestion'!E:E))
&amp;IF(ISBLANK(E27),""," "&amp;LOOKUP(E27,'Objets de gestion'!C:C,'Objets de gestion'!E:E))
&amp;IF(ISBLANK(F27),""," "&amp;LOOKUP(F27,'Objets de gestion'!C:C,'Objets de gestion'!E:E))
))</f>
        <v/>
      </c>
      <c r="L27" s="45" t="str">
        <f t="shared" si="0"/>
        <v/>
      </c>
    </row>
    <row r="28" spans="7:12" x14ac:dyDescent="0.25">
      <c r="G28" s="22" t="str">
        <f>IF(ISBLANK(A28),"",LOOKUP(A28,BIB!A:A,BIB!C:C))</f>
        <v/>
      </c>
      <c r="H28" s="46" t="str">
        <f>IF(AND(ISBLANK(A28),ISBLANK(B28),ISBLANK(C28)),"",IF(OR(ISBLANK(A28),ISBLANK(B28),ISBLANK(C28)),"-",LEN(Tableau4[[#This Row],[Colonne9]])))</f>
        <v/>
      </c>
      <c r="I28" s="45" t="str">
        <f>IF(AND(ISBLANK(A28),ISBLANK(B28),ISBLANK(C28)),"",IF(OR(ISBLANK(A28),ISBLANK(B28),ISBLANK(C28)),"à compléter",UPPER(LOOKUP(A28,BIB!A:A,BIB!B:B)&amp;LOOKUP(B28,'Type de table'!C:C,'Type de table'!B:B)
&amp;IF(COUNTIF('Objets de gestion'!C:C,F28)=0,"","_"&amp;LOOKUP(F28,'Objets de gestion'!C:C,'Objets de gestion'!F:F))
&amp;IF(COUNTIF('Objets de gestion'!C:C,E28)=0,"","_"&amp;LOOKUP(E28,'Objets de gestion'!C:C,'Objets de gestion'!F:F))
&amp;IF(COUNTIF('Objets de gestion'!C:C,D28)=0,"","_"&amp;LOOKUP(D28,'Objets de gestion'!C:C,'Objets de gestion'!F:F))
&amp;IF(COUNTIF('Objets de gestion'!C:C,C28)=0,"","_"&amp;LOOKUP(C28,'Objets de gestion'!C:C,'Objets de gestion'!F:F))
)))</f>
        <v/>
      </c>
      <c r="J28" s="45" t="str">
        <f>IF(AND(ISBLANK(A28),ISBLANK(B28),ISBLANK(C28)),"",IF(OR(ISBLANK(A28),ISBLANK(B28),ISBLANK(C28)),"-",
LOOKUP(B28,'Type de table'!C:C,'Type de table'!E:E)
&amp;IF(ISBLANK(C28),""," "&amp;C28)
&amp;IF(ISBLANK(D28),""," "&amp;D28)
&amp;IF(ISBLANK(E28),""," "&amp;E28)
&amp;IF(ISBLANK(F28),""," "&amp;F28)
))</f>
        <v/>
      </c>
      <c r="K28" s="45" t="str">
        <f>IF(AND(ISBLANK(A28),ISBLANK(B28),ISBLANK(C28)),"",IF(OR(ISBLANK(A28),ISBLANK(B28),ISBLANK(C28)),"-",
LOOKUP(B28,'Type de table'!C:C,'Type de table'!F:F)
&amp;IF(ISBLANK(C28),""," "&amp;LOOKUP(C28,'Objets de gestion'!C:C,'Objets de gestion'!E:E))
&amp;IF(ISBLANK(D28),""," "&amp;LOOKUP(D28,'Objets de gestion'!C:C,'Objets de gestion'!E:E))
&amp;IF(ISBLANK(E28),""," "&amp;LOOKUP(E28,'Objets de gestion'!C:C,'Objets de gestion'!E:E))
&amp;IF(ISBLANK(F28),""," "&amp;LOOKUP(F28,'Objets de gestion'!C:C,'Objets de gestion'!E:E))
))</f>
        <v/>
      </c>
      <c r="L28" s="45" t="str">
        <f t="shared" si="0"/>
        <v/>
      </c>
    </row>
    <row r="29" spans="7:12" x14ac:dyDescent="0.25">
      <c r="G29" s="22" t="str">
        <f>IF(ISBLANK(A29),"",LOOKUP(A29,BIB!A:A,BIB!C:C))</f>
        <v/>
      </c>
      <c r="H29" s="46" t="str">
        <f>IF(AND(ISBLANK(A29),ISBLANK(B29),ISBLANK(C29)),"",IF(OR(ISBLANK(A29),ISBLANK(B29),ISBLANK(C29)),"-",LEN(Tableau4[[#This Row],[Colonne9]])))</f>
        <v/>
      </c>
      <c r="I29" s="45" t="str">
        <f>IF(AND(ISBLANK(A29),ISBLANK(B29),ISBLANK(C29)),"",IF(OR(ISBLANK(A29),ISBLANK(B29),ISBLANK(C29)),"à compléter",UPPER(LOOKUP(A29,BIB!A:A,BIB!B:B)&amp;LOOKUP(B29,'Type de table'!C:C,'Type de table'!B:B)
&amp;IF(COUNTIF('Objets de gestion'!C:C,F29)=0,"","_"&amp;LOOKUP(F29,'Objets de gestion'!C:C,'Objets de gestion'!F:F))
&amp;IF(COUNTIF('Objets de gestion'!C:C,E29)=0,"","_"&amp;LOOKUP(E29,'Objets de gestion'!C:C,'Objets de gestion'!F:F))
&amp;IF(COUNTIF('Objets de gestion'!C:C,D29)=0,"","_"&amp;LOOKUP(D29,'Objets de gestion'!C:C,'Objets de gestion'!F:F))
&amp;IF(COUNTIF('Objets de gestion'!C:C,C29)=0,"","_"&amp;LOOKUP(C29,'Objets de gestion'!C:C,'Objets de gestion'!F:F))
)))</f>
        <v/>
      </c>
      <c r="J29" s="45" t="str">
        <f>IF(AND(ISBLANK(A29),ISBLANK(B29),ISBLANK(C29)),"",IF(OR(ISBLANK(A29),ISBLANK(B29),ISBLANK(C29)),"-",
LOOKUP(B29,'Type de table'!C:C,'Type de table'!E:E)
&amp;IF(ISBLANK(C29),""," "&amp;C29)
&amp;IF(ISBLANK(D29),""," "&amp;D29)
&amp;IF(ISBLANK(E29),""," "&amp;E29)
&amp;IF(ISBLANK(F29),""," "&amp;F29)
))</f>
        <v/>
      </c>
      <c r="K29" s="45" t="str">
        <f>IF(AND(ISBLANK(A29),ISBLANK(B29),ISBLANK(C29)),"",IF(OR(ISBLANK(A29),ISBLANK(B29),ISBLANK(C29)),"-",
LOOKUP(B29,'Type de table'!C:C,'Type de table'!F:F)
&amp;IF(ISBLANK(C29),""," "&amp;LOOKUP(C29,'Objets de gestion'!C:C,'Objets de gestion'!E:E))
&amp;IF(ISBLANK(D29),""," "&amp;LOOKUP(D29,'Objets de gestion'!C:C,'Objets de gestion'!E:E))
&amp;IF(ISBLANK(E29),""," "&amp;LOOKUP(E29,'Objets de gestion'!C:C,'Objets de gestion'!E:E))
&amp;IF(ISBLANK(F29),""," "&amp;LOOKUP(F29,'Objets de gestion'!C:C,'Objets de gestion'!E:E))
))</f>
        <v/>
      </c>
      <c r="L29" s="45" t="str">
        <f t="shared" si="0"/>
        <v/>
      </c>
    </row>
    <row r="30" spans="7:12" x14ac:dyDescent="0.25">
      <c r="G30" s="22" t="str">
        <f>IF(ISBLANK(A30),"",LOOKUP(A30,BIB!A:A,BIB!C:C))</f>
        <v/>
      </c>
      <c r="H30" s="46" t="str">
        <f>IF(AND(ISBLANK(A30),ISBLANK(B30),ISBLANK(C30)),"",IF(OR(ISBLANK(A30),ISBLANK(B30),ISBLANK(C30)),"-",LEN(Tableau4[[#This Row],[Colonne9]])))</f>
        <v/>
      </c>
      <c r="I30" s="45" t="str">
        <f>IF(AND(ISBLANK(A30),ISBLANK(B30),ISBLANK(C30)),"",IF(OR(ISBLANK(A30),ISBLANK(B30),ISBLANK(C30)),"à compléter",UPPER(LOOKUP(A30,BIB!A:A,BIB!B:B)&amp;LOOKUP(B30,'Type de table'!C:C,'Type de table'!B:B)
&amp;IF(COUNTIF('Objets de gestion'!C:C,F30)=0,"","_"&amp;LOOKUP(F30,'Objets de gestion'!C:C,'Objets de gestion'!F:F))
&amp;IF(COUNTIF('Objets de gestion'!C:C,E30)=0,"","_"&amp;LOOKUP(E30,'Objets de gestion'!C:C,'Objets de gestion'!F:F))
&amp;IF(COUNTIF('Objets de gestion'!C:C,D30)=0,"","_"&amp;LOOKUP(D30,'Objets de gestion'!C:C,'Objets de gestion'!F:F))
&amp;IF(COUNTIF('Objets de gestion'!C:C,C30)=0,"","_"&amp;LOOKUP(C30,'Objets de gestion'!C:C,'Objets de gestion'!F:F))
)))</f>
        <v/>
      </c>
      <c r="J30" s="45" t="str">
        <f>IF(AND(ISBLANK(A30),ISBLANK(B30),ISBLANK(C30)),"",IF(OR(ISBLANK(A30),ISBLANK(B30),ISBLANK(C30)),"-",
LOOKUP(B30,'Type de table'!C:C,'Type de table'!E:E)
&amp;IF(ISBLANK(C30),""," "&amp;C30)
&amp;IF(ISBLANK(D30),""," "&amp;D30)
&amp;IF(ISBLANK(E30),""," "&amp;E30)
&amp;IF(ISBLANK(F30),""," "&amp;F30)
))</f>
        <v/>
      </c>
      <c r="K30" s="45" t="str">
        <f>IF(AND(ISBLANK(A30),ISBLANK(B30),ISBLANK(C30)),"",IF(OR(ISBLANK(A30),ISBLANK(B30),ISBLANK(C30)),"-",
LOOKUP(B30,'Type de table'!C:C,'Type de table'!F:F)
&amp;IF(ISBLANK(C30),""," "&amp;LOOKUP(C30,'Objets de gestion'!C:C,'Objets de gestion'!E:E))
&amp;IF(ISBLANK(D30),""," "&amp;LOOKUP(D30,'Objets de gestion'!C:C,'Objets de gestion'!E:E))
&amp;IF(ISBLANK(E30),""," "&amp;LOOKUP(E30,'Objets de gestion'!C:C,'Objets de gestion'!E:E))
&amp;IF(ISBLANK(F30),""," "&amp;LOOKUP(F30,'Objets de gestion'!C:C,'Objets de gestion'!E:E))
))</f>
        <v/>
      </c>
      <c r="L30" s="45" t="str">
        <f t="shared" si="0"/>
        <v/>
      </c>
    </row>
    <row r="31" spans="7:12" x14ac:dyDescent="0.25">
      <c r="G31" s="22" t="str">
        <f>IF(ISBLANK(A31),"",LOOKUP(A31,BIB!A:A,BIB!C:C))</f>
        <v/>
      </c>
      <c r="H31" s="46" t="str">
        <f>IF(AND(ISBLANK(A31),ISBLANK(B31),ISBLANK(C31)),"",IF(OR(ISBLANK(A31),ISBLANK(B31),ISBLANK(C31)),"-",LEN(Tableau4[[#This Row],[Colonne9]])))</f>
        <v/>
      </c>
      <c r="I31" s="45" t="str">
        <f>IF(AND(ISBLANK(A31),ISBLANK(B31),ISBLANK(C31)),"",IF(OR(ISBLANK(A31),ISBLANK(B31),ISBLANK(C31)),"à compléter",UPPER(LOOKUP(A31,BIB!A:A,BIB!B:B)&amp;LOOKUP(B31,'Type de table'!C:C,'Type de table'!B:B)
&amp;IF(COUNTIF('Objets de gestion'!C:C,F31)=0,"","_"&amp;LOOKUP(F31,'Objets de gestion'!C:C,'Objets de gestion'!F:F))
&amp;IF(COUNTIF('Objets de gestion'!C:C,E31)=0,"","_"&amp;LOOKUP(E31,'Objets de gestion'!C:C,'Objets de gestion'!F:F))
&amp;IF(COUNTIF('Objets de gestion'!C:C,D31)=0,"","_"&amp;LOOKUP(D31,'Objets de gestion'!C:C,'Objets de gestion'!F:F))
&amp;IF(COUNTIF('Objets de gestion'!C:C,C31)=0,"","_"&amp;LOOKUP(C31,'Objets de gestion'!C:C,'Objets de gestion'!F:F))
)))</f>
        <v/>
      </c>
      <c r="J31" s="45" t="str">
        <f>IF(AND(ISBLANK(A31),ISBLANK(B31),ISBLANK(C31)),"",IF(OR(ISBLANK(A31),ISBLANK(B31),ISBLANK(C31)),"-",
LOOKUP(B31,'Type de table'!C:C,'Type de table'!E:E)
&amp;IF(ISBLANK(C31),""," "&amp;C31)
&amp;IF(ISBLANK(D31),""," "&amp;D31)
&amp;IF(ISBLANK(E31),""," "&amp;E31)
&amp;IF(ISBLANK(F31),""," "&amp;F31)
))</f>
        <v/>
      </c>
      <c r="K31" s="45" t="str">
        <f>IF(AND(ISBLANK(A31),ISBLANK(B31),ISBLANK(C31)),"",IF(OR(ISBLANK(A31),ISBLANK(B31),ISBLANK(C31)),"-",
LOOKUP(B31,'Type de table'!C:C,'Type de table'!F:F)
&amp;IF(ISBLANK(C31),""," "&amp;LOOKUP(C31,'Objets de gestion'!C:C,'Objets de gestion'!E:E))
&amp;IF(ISBLANK(D31),""," "&amp;LOOKUP(D31,'Objets de gestion'!C:C,'Objets de gestion'!E:E))
&amp;IF(ISBLANK(E31),""," "&amp;LOOKUP(E31,'Objets de gestion'!C:C,'Objets de gestion'!E:E))
&amp;IF(ISBLANK(F31),""," "&amp;LOOKUP(F31,'Objets de gestion'!C:C,'Objets de gestion'!E:E))
))</f>
        <v/>
      </c>
      <c r="L31" s="45" t="str">
        <f t="shared" si="0"/>
        <v/>
      </c>
    </row>
    <row r="32" spans="7:12" x14ac:dyDescent="0.25">
      <c r="G32" s="22" t="str">
        <f>IF(ISBLANK(A32),"",LOOKUP(A32,BIB!A:A,BIB!C:C))</f>
        <v/>
      </c>
      <c r="H32" s="46" t="str">
        <f>IF(AND(ISBLANK(A32),ISBLANK(B32),ISBLANK(C32)),"",IF(OR(ISBLANK(A32),ISBLANK(B32),ISBLANK(C32)),"-",LEN(Tableau4[[#This Row],[Colonne9]])))</f>
        <v/>
      </c>
      <c r="I32" s="45" t="str">
        <f>IF(AND(ISBLANK(A32),ISBLANK(B32),ISBLANK(C32)),"",IF(OR(ISBLANK(A32),ISBLANK(B32),ISBLANK(C32)),"à compléter",UPPER(LOOKUP(A32,BIB!A:A,BIB!B:B)&amp;LOOKUP(B32,'Type de table'!C:C,'Type de table'!B:B)
&amp;IF(COUNTIF('Objets de gestion'!C:C,F32)=0,"","_"&amp;LOOKUP(F32,'Objets de gestion'!C:C,'Objets de gestion'!F:F))
&amp;IF(COUNTIF('Objets de gestion'!C:C,E32)=0,"","_"&amp;LOOKUP(E32,'Objets de gestion'!C:C,'Objets de gestion'!F:F))
&amp;IF(COUNTIF('Objets de gestion'!C:C,D32)=0,"","_"&amp;LOOKUP(D32,'Objets de gestion'!C:C,'Objets de gestion'!F:F))
&amp;IF(COUNTIF('Objets de gestion'!C:C,C32)=0,"","_"&amp;LOOKUP(C32,'Objets de gestion'!C:C,'Objets de gestion'!F:F))
)))</f>
        <v/>
      </c>
      <c r="J32" s="45" t="str">
        <f>IF(AND(ISBLANK(A32),ISBLANK(B32),ISBLANK(C32)),"",IF(OR(ISBLANK(A32),ISBLANK(B32),ISBLANK(C32)),"-",
LOOKUP(B32,'Type de table'!C:C,'Type de table'!E:E)
&amp;IF(ISBLANK(C32),""," "&amp;C32)
&amp;IF(ISBLANK(D32),""," "&amp;D32)
&amp;IF(ISBLANK(E32),""," "&amp;E32)
&amp;IF(ISBLANK(F32),""," "&amp;F32)
))</f>
        <v/>
      </c>
      <c r="K32" s="45" t="str">
        <f>IF(AND(ISBLANK(A32),ISBLANK(B32),ISBLANK(C32)),"",IF(OR(ISBLANK(A32),ISBLANK(B32),ISBLANK(C32)),"-",
LOOKUP(B32,'Type de table'!C:C,'Type de table'!F:F)
&amp;IF(ISBLANK(C32),""," "&amp;LOOKUP(C32,'Objets de gestion'!C:C,'Objets de gestion'!E:E))
&amp;IF(ISBLANK(D32),""," "&amp;LOOKUP(D32,'Objets de gestion'!C:C,'Objets de gestion'!E:E))
&amp;IF(ISBLANK(E32),""," "&amp;LOOKUP(E32,'Objets de gestion'!C:C,'Objets de gestion'!E:E))
&amp;IF(ISBLANK(F32),""," "&amp;LOOKUP(F32,'Objets de gestion'!C:C,'Objets de gestion'!E:E))
))</f>
        <v/>
      </c>
      <c r="L32" s="45" t="str">
        <f t="shared" si="0"/>
        <v/>
      </c>
    </row>
    <row r="33" spans="7:12" x14ac:dyDescent="0.25">
      <c r="G33" s="22" t="str">
        <f>IF(ISBLANK(A33),"",LOOKUP(A33,BIB!A:A,BIB!C:C))</f>
        <v/>
      </c>
      <c r="H33" s="46" t="str">
        <f>IF(AND(ISBLANK(A33),ISBLANK(B33),ISBLANK(C33)),"",IF(OR(ISBLANK(A33),ISBLANK(B33),ISBLANK(C33)),"-",LEN(Tableau4[[#This Row],[Colonne9]])))</f>
        <v/>
      </c>
      <c r="I33" s="45" t="str">
        <f>IF(AND(ISBLANK(A33),ISBLANK(B33),ISBLANK(C33)),"",IF(OR(ISBLANK(A33),ISBLANK(B33),ISBLANK(C33)),"à compléter",UPPER(LOOKUP(A33,BIB!A:A,BIB!B:B)&amp;LOOKUP(B33,'Type de table'!C:C,'Type de table'!B:B)
&amp;IF(COUNTIF('Objets de gestion'!C:C,F33)=0,"","_"&amp;LOOKUP(F33,'Objets de gestion'!C:C,'Objets de gestion'!F:F))
&amp;IF(COUNTIF('Objets de gestion'!C:C,E33)=0,"","_"&amp;LOOKUP(E33,'Objets de gestion'!C:C,'Objets de gestion'!F:F))
&amp;IF(COUNTIF('Objets de gestion'!C:C,D33)=0,"","_"&amp;LOOKUP(D33,'Objets de gestion'!C:C,'Objets de gestion'!F:F))
&amp;IF(COUNTIF('Objets de gestion'!C:C,C33)=0,"","_"&amp;LOOKUP(C33,'Objets de gestion'!C:C,'Objets de gestion'!F:F))
)))</f>
        <v/>
      </c>
      <c r="J33" s="45" t="str">
        <f>IF(AND(ISBLANK(A33),ISBLANK(B33),ISBLANK(C33)),"",IF(OR(ISBLANK(A33),ISBLANK(B33),ISBLANK(C33)),"-",
LOOKUP(B33,'Type de table'!C:C,'Type de table'!E:E)
&amp;IF(ISBLANK(C33),""," "&amp;C33)
&amp;IF(ISBLANK(D33),""," "&amp;D33)
&amp;IF(ISBLANK(E33),""," "&amp;E33)
&amp;IF(ISBLANK(F33),""," "&amp;F33)
))</f>
        <v/>
      </c>
      <c r="K33" s="45" t="str">
        <f>IF(AND(ISBLANK(A33),ISBLANK(B33),ISBLANK(C33)),"",IF(OR(ISBLANK(A33),ISBLANK(B33),ISBLANK(C33)),"-",
LOOKUP(B33,'Type de table'!C:C,'Type de table'!F:F)
&amp;IF(ISBLANK(C33),""," "&amp;LOOKUP(C33,'Objets de gestion'!C:C,'Objets de gestion'!E:E))
&amp;IF(ISBLANK(D33),""," "&amp;LOOKUP(D33,'Objets de gestion'!C:C,'Objets de gestion'!E:E))
&amp;IF(ISBLANK(E33),""," "&amp;LOOKUP(E33,'Objets de gestion'!C:C,'Objets de gestion'!E:E))
&amp;IF(ISBLANK(F33),""," "&amp;LOOKUP(F33,'Objets de gestion'!C:C,'Objets de gestion'!E:E))
))</f>
        <v/>
      </c>
      <c r="L33" s="45" t="str">
        <f t="shared" si="0"/>
        <v/>
      </c>
    </row>
    <row r="34" spans="7:12" x14ac:dyDescent="0.25">
      <c r="G34" s="22" t="str">
        <f>IF(ISBLANK(A34),"",LOOKUP(A34,BIB!A:A,BIB!C:C))</f>
        <v/>
      </c>
      <c r="H34" s="46" t="str">
        <f>IF(AND(ISBLANK(A34),ISBLANK(B34),ISBLANK(C34)),"",IF(OR(ISBLANK(A34),ISBLANK(B34),ISBLANK(C34)),"-",LEN(Tableau4[[#This Row],[Colonne9]])))</f>
        <v/>
      </c>
      <c r="I34" s="45" t="str">
        <f>IF(AND(ISBLANK(A34),ISBLANK(B34),ISBLANK(C34)),"",IF(OR(ISBLANK(A34),ISBLANK(B34),ISBLANK(C34)),"à compléter",UPPER(LOOKUP(A34,BIB!A:A,BIB!B:B)&amp;LOOKUP(B34,'Type de table'!C:C,'Type de table'!B:B)
&amp;IF(COUNTIF('Objets de gestion'!C:C,F34)=0,"","_"&amp;LOOKUP(F34,'Objets de gestion'!C:C,'Objets de gestion'!F:F))
&amp;IF(COUNTIF('Objets de gestion'!C:C,E34)=0,"","_"&amp;LOOKUP(E34,'Objets de gestion'!C:C,'Objets de gestion'!F:F))
&amp;IF(COUNTIF('Objets de gestion'!C:C,D34)=0,"","_"&amp;LOOKUP(D34,'Objets de gestion'!C:C,'Objets de gestion'!F:F))
&amp;IF(COUNTIF('Objets de gestion'!C:C,C34)=0,"","_"&amp;LOOKUP(C34,'Objets de gestion'!C:C,'Objets de gestion'!F:F))
)))</f>
        <v/>
      </c>
      <c r="J34" s="45" t="str">
        <f>IF(AND(ISBLANK(A34),ISBLANK(B34),ISBLANK(C34)),"",IF(OR(ISBLANK(A34),ISBLANK(B34),ISBLANK(C34)),"-",
LOOKUP(B34,'Type de table'!C:C,'Type de table'!E:E)
&amp;IF(ISBLANK(C34),""," "&amp;C34)
&amp;IF(ISBLANK(D34),""," "&amp;D34)
&amp;IF(ISBLANK(E34),""," "&amp;E34)
&amp;IF(ISBLANK(F34),""," "&amp;F34)
))</f>
        <v/>
      </c>
      <c r="K34" s="45" t="str">
        <f>IF(AND(ISBLANK(A34),ISBLANK(B34),ISBLANK(C34)),"",IF(OR(ISBLANK(A34),ISBLANK(B34),ISBLANK(C34)),"-",
LOOKUP(B34,'Type de table'!C:C,'Type de table'!F:F)
&amp;IF(ISBLANK(C34),""," "&amp;LOOKUP(C34,'Objets de gestion'!C:C,'Objets de gestion'!E:E))
&amp;IF(ISBLANK(D34),""," "&amp;LOOKUP(D34,'Objets de gestion'!C:C,'Objets de gestion'!E:E))
&amp;IF(ISBLANK(E34),""," "&amp;LOOKUP(E34,'Objets de gestion'!C:C,'Objets de gestion'!E:E))
&amp;IF(ISBLANK(F34),""," "&amp;LOOKUP(F34,'Objets de gestion'!C:C,'Objets de gestion'!E:E))
))</f>
        <v/>
      </c>
      <c r="L34" s="45" t="str">
        <f t="shared" si="0"/>
        <v/>
      </c>
    </row>
    <row r="35" spans="7:12" x14ac:dyDescent="0.25">
      <c r="G35" s="22" t="str">
        <f>IF(ISBLANK(A35),"",LOOKUP(A35,BIB!A:A,BIB!C:C))</f>
        <v/>
      </c>
      <c r="H35" s="46" t="str">
        <f>IF(AND(ISBLANK(A35),ISBLANK(B35),ISBLANK(C35)),"",IF(OR(ISBLANK(A35),ISBLANK(B35),ISBLANK(C35)),"-",LEN(Tableau4[[#This Row],[Colonne9]])))</f>
        <v/>
      </c>
      <c r="I35" s="45" t="str">
        <f>IF(AND(ISBLANK(A35),ISBLANK(B35),ISBLANK(C35)),"",IF(OR(ISBLANK(A35),ISBLANK(B35),ISBLANK(C35)),"à compléter",UPPER(LOOKUP(A35,BIB!A:A,BIB!B:B)&amp;LOOKUP(B35,'Type de table'!C:C,'Type de table'!B:B)
&amp;IF(COUNTIF('Objets de gestion'!C:C,F35)=0,"","_"&amp;LOOKUP(F35,'Objets de gestion'!C:C,'Objets de gestion'!F:F))
&amp;IF(COUNTIF('Objets de gestion'!C:C,E35)=0,"","_"&amp;LOOKUP(E35,'Objets de gestion'!C:C,'Objets de gestion'!F:F))
&amp;IF(COUNTIF('Objets de gestion'!C:C,D35)=0,"","_"&amp;LOOKUP(D35,'Objets de gestion'!C:C,'Objets de gestion'!F:F))
&amp;IF(COUNTIF('Objets de gestion'!C:C,C35)=0,"","_"&amp;LOOKUP(C35,'Objets de gestion'!C:C,'Objets de gestion'!F:F))
)))</f>
        <v/>
      </c>
      <c r="J35" s="45" t="str">
        <f>IF(AND(ISBLANK(A35),ISBLANK(B35),ISBLANK(C35)),"",IF(OR(ISBLANK(A35),ISBLANK(B35),ISBLANK(C35)),"-",
LOOKUP(B35,'Type de table'!C:C,'Type de table'!E:E)
&amp;IF(ISBLANK(C35),""," "&amp;C35)
&amp;IF(ISBLANK(D35),""," "&amp;D35)
&amp;IF(ISBLANK(E35),""," "&amp;E35)
&amp;IF(ISBLANK(F35),""," "&amp;F35)
))</f>
        <v/>
      </c>
      <c r="K35" s="45" t="str">
        <f>IF(AND(ISBLANK(A35),ISBLANK(B35),ISBLANK(C35)),"",IF(OR(ISBLANK(A35),ISBLANK(B35),ISBLANK(C35)),"-",
LOOKUP(B35,'Type de table'!C:C,'Type de table'!F:F)
&amp;IF(ISBLANK(C35),""," "&amp;LOOKUP(C35,'Objets de gestion'!C:C,'Objets de gestion'!E:E))
&amp;IF(ISBLANK(D35),""," "&amp;LOOKUP(D35,'Objets de gestion'!C:C,'Objets de gestion'!E:E))
&amp;IF(ISBLANK(E35),""," "&amp;LOOKUP(E35,'Objets de gestion'!C:C,'Objets de gestion'!E:E))
&amp;IF(ISBLANK(F35),""," "&amp;LOOKUP(F35,'Objets de gestion'!C:C,'Objets de gestion'!E:E))
))</f>
        <v/>
      </c>
      <c r="L35" s="45" t="str">
        <f t="shared" si="0"/>
        <v/>
      </c>
    </row>
    <row r="36" spans="7:12" x14ac:dyDescent="0.25">
      <c r="G36" s="22" t="str">
        <f>IF(ISBLANK(A36),"",LOOKUP(A36,BIB!A:A,BIB!C:C))</f>
        <v/>
      </c>
      <c r="H36" s="46" t="str">
        <f>IF(AND(ISBLANK(A36),ISBLANK(B36),ISBLANK(C36)),"",IF(OR(ISBLANK(A36),ISBLANK(B36),ISBLANK(C36)),"-",LEN(Tableau4[[#This Row],[Colonne9]])))</f>
        <v/>
      </c>
      <c r="I36" s="45" t="str">
        <f>IF(AND(ISBLANK(A36),ISBLANK(B36),ISBLANK(C36)),"",IF(OR(ISBLANK(A36),ISBLANK(B36),ISBLANK(C36)),"à compléter",UPPER(LOOKUP(A36,BIB!A:A,BIB!B:B)&amp;LOOKUP(B36,'Type de table'!C:C,'Type de table'!B:B)
&amp;IF(COUNTIF('Objets de gestion'!C:C,F36)=0,"","_"&amp;LOOKUP(F36,'Objets de gestion'!C:C,'Objets de gestion'!F:F))
&amp;IF(COUNTIF('Objets de gestion'!C:C,E36)=0,"","_"&amp;LOOKUP(E36,'Objets de gestion'!C:C,'Objets de gestion'!F:F))
&amp;IF(COUNTIF('Objets de gestion'!C:C,D36)=0,"","_"&amp;LOOKUP(D36,'Objets de gestion'!C:C,'Objets de gestion'!F:F))
&amp;IF(COUNTIF('Objets de gestion'!C:C,C36)=0,"","_"&amp;LOOKUP(C36,'Objets de gestion'!C:C,'Objets de gestion'!F:F))
)))</f>
        <v/>
      </c>
      <c r="J36" s="45" t="str">
        <f>IF(AND(ISBLANK(A36),ISBLANK(B36),ISBLANK(C36)),"",IF(OR(ISBLANK(A36),ISBLANK(B36),ISBLANK(C36)),"-",
LOOKUP(B36,'Type de table'!C:C,'Type de table'!E:E)
&amp;IF(ISBLANK(C36),""," "&amp;C36)
&amp;IF(ISBLANK(D36),""," "&amp;D36)
&amp;IF(ISBLANK(E36),""," "&amp;E36)
&amp;IF(ISBLANK(F36),""," "&amp;F36)
))</f>
        <v/>
      </c>
      <c r="K36" s="45" t="str">
        <f>IF(AND(ISBLANK(A36),ISBLANK(B36),ISBLANK(C36)),"",IF(OR(ISBLANK(A36),ISBLANK(B36),ISBLANK(C36)),"-",
LOOKUP(B36,'Type de table'!C:C,'Type de table'!F:F)
&amp;IF(ISBLANK(C36),""," "&amp;LOOKUP(C36,'Objets de gestion'!C:C,'Objets de gestion'!E:E))
&amp;IF(ISBLANK(D36),""," "&amp;LOOKUP(D36,'Objets de gestion'!C:C,'Objets de gestion'!E:E))
&amp;IF(ISBLANK(E36),""," "&amp;LOOKUP(E36,'Objets de gestion'!C:C,'Objets de gestion'!E:E))
&amp;IF(ISBLANK(F36),""," "&amp;LOOKUP(F36,'Objets de gestion'!C:C,'Objets de gestion'!E:E))
))</f>
        <v/>
      </c>
      <c r="L36" s="45" t="str">
        <f t="shared" si="0"/>
        <v/>
      </c>
    </row>
    <row r="37" spans="7:12" x14ac:dyDescent="0.25">
      <c r="G37" s="22" t="str">
        <f>IF(ISBLANK(A37),"",LOOKUP(A37,BIB!A:A,BIB!C:C))</f>
        <v/>
      </c>
      <c r="H37" s="46" t="str">
        <f>IF(AND(ISBLANK(A37),ISBLANK(B37),ISBLANK(C37)),"",IF(OR(ISBLANK(A37),ISBLANK(B37),ISBLANK(C37)),"-",LEN(Tableau4[[#This Row],[Colonne9]])))</f>
        <v/>
      </c>
      <c r="I37" s="45" t="str">
        <f>IF(AND(ISBLANK(A37),ISBLANK(B37),ISBLANK(C37)),"",IF(OR(ISBLANK(A37),ISBLANK(B37),ISBLANK(C37)),"à compléter",UPPER(LOOKUP(A37,BIB!A:A,BIB!B:B)&amp;LOOKUP(B37,'Type de table'!C:C,'Type de table'!B:B)
&amp;IF(COUNTIF('Objets de gestion'!C:C,F37)=0,"","_"&amp;LOOKUP(F37,'Objets de gestion'!C:C,'Objets de gestion'!F:F))
&amp;IF(COUNTIF('Objets de gestion'!C:C,E37)=0,"","_"&amp;LOOKUP(E37,'Objets de gestion'!C:C,'Objets de gestion'!F:F))
&amp;IF(COUNTIF('Objets de gestion'!C:C,D37)=0,"","_"&amp;LOOKUP(D37,'Objets de gestion'!C:C,'Objets de gestion'!F:F))
&amp;IF(COUNTIF('Objets de gestion'!C:C,C37)=0,"","_"&amp;LOOKUP(C37,'Objets de gestion'!C:C,'Objets de gestion'!F:F))
)))</f>
        <v/>
      </c>
      <c r="J37" s="45" t="str">
        <f>IF(AND(ISBLANK(A37),ISBLANK(B37),ISBLANK(C37)),"",IF(OR(ISBLANK(A37),ISBLANK(B37),ISBLANK(C37)),"-",
LOOKUP(B37,'Type de table'!C:C,'Type de table'!E:E)
&amp;IF(ISBLANK(C37),""," "&amp;C37)
&amp;IF(ISBLANK(D37),""," "&amp;D37)
&amp;IF(ISBLANK(E37),""," "&amp;E37)
&amp;IF(ISBLANK(F37),""," "&amp;F37)
))</f>
        <v/>
      </c>
      <c r="K37" s="45" t="str">
        <f>IF(AND(ISBLANK(A37),ISBLANK(B37),ISBLANK(C37)),"",IF(OR(ISBLANK(A37),ISBLANK(B37),ISBLANK(C37)),"-",
LOOKUP(B37,'Type de table'!C:C,'Type de table'!F:F)
&amp;IF(ISBLANK(C37),""," "&amp;LOOKUP(C37,'Objets de gestion'!C:C,'Objets de gestion'!E:E))
&amp;IF(ISBLANK(D37),""," "&amp;LOOKUP(D37,'Objets de gestion'!C:C,'Objets de gestion'!E:E))
&amp;IF(ISBLANK(E37),""," "&amp;LOOKUP(E37,'Objets de gestion'!C:C,'Objets de gestion'!E:E))
&amp;IF(ISBLANK(F37),""," "&amp;LOOKUP(F37,'Objets de gestion'!C:C,'Objets de gestion'!E:E))
))</f>
        <v/>
      </c>
      <c r="L37" s="45" t="str">
        <f t="shared" si="0"/>
        <v/>
      </c>
    </row>
    <row r="38" spans="7:12" x14ac:dyDescent="0.25">
      <c r="G38" s="22" t="str">
        <f>IF(ISBLANK(A38),"",LOOKUP(A38,BIB!A:A,BIB!C:C))</f>
        <v/>
      </c>
      <c r="H38" s="46" t="str">
        <f>IF(AND(ISBLANK(A38),ISBLANK(B38),ISBLANK(C38)),"",IF(OR(ISBLANK(A38),ISBLANK(B38),ISBLANK(C38)),"-",LEN(Tableau4[[#This Row],[Colonne9]])))</f>
        <v/>
      </c>
      <c r="I38" s="45" t="str">
        <f>IF(AND(ISBLANK(A38),ISBLANK(B38),ISBLANK(C38)),"",IF(OR(ISBLANK(A38),ISBLANK(B38),ISBLANK(C38)),"à compléter",UPPER(LOOKUP(A38,BIB!A:A,BIB!B:B)&amp;LOOKUP(B38,'Type de table'!C:C,'Type de table'!B:B)
&amp;IF(COUNTIF('Objets de gestion'!C:C,F38)=0,"","_"&amp;LOOKUP(F38,'Objets de gestion'!C:C,'Objets de gestion'!F:F))
&amp;IF(COUNTIF('Objets de gestion'!C:C,E38)=0,"","_"&amp;LOOKUP(E38,'Objets de gestion'!C:C,'Objets de gestion'!F:F))
&amp;IF(COUNTIF('Objets de gestion'!C:C,D38)=0,"","_"&amp;LOOKUP(D38,'Objets de gestion'!C:C,'Objets de gestion'!F:F))
&amp;IF(COUNTIF('Objets de gestion'!C:C,C38)=0,"","_"&amp;LOOKUP(C38,'Objets de gestion'!C:C,'Objets de gestion'!F:F))
)))</f>
        <v/>
      </c>
      <c r="J38" s="45" t="str">
        <f>IF(AND(ISBLANK(A38),ISBLANK(B38),ISBLANK(C38)),"",IF(OR(ISBLANK(A38),ISBLANK(B38),ISBLANK(C38)),"-",
LOOKUP(B38,'Type de table'!C:C,'Type de table'!E:E)
&amp;IF(ISBLANK(C38),""," "&amp;C38)
&amp;IF(ISBLANK(D38),""," "&amp;D38)
&amp;IF(ISBLANK(E38),""," "&amp;E38)
&amp;IF(ISBLANK(F38),""," "&amp;F38)
))</f>
        <v/>
      </c>
      <c r="K38" s="45" t="str">
        <f>IF(AND(ISBLANK(A38),ISBLANK(B38),ISBLANK(C38)),"",IF(OR(ISBLANK(A38),ISBLANK(B38),ISBLANK(C38)),"-",
LOOKUP(B38,'Type de table'!C:C,'Type de table'!F:F)
&amp;IF(ISBLANK(C38),""," "&amp;LOOKUP(C38,'Objets de gestion'!C:C,'Objets de gestion'!E:E))
&amp;IF(ISBLANK(D38),""," "&amp;LOOKUP(D38,'Objets de gestion'!C:C,'Objets de gestion'!E:E))
&amp;IF(ISBLANK(E38),""," "&amp;LOOKUP(E38,'Objets de gestion'!C:C,'Objets de gestion'!E:E))
&amp;IF(ISBLANK(F38),""," "&amp;LOOKUP(F38,'Objets de gestion'!C:C,'Objets de gestion'!E:E))
))</f>
        <v/>
      </c>
      <c r="L38" s="45" t="str">
        <f t="shared" si="0"/>
        <v/>
      </c>
    </row>
    <row r="39" spans="7:12" x14ac:dyDescent="0.25">
      <c r="G39" s="22" t="str">
        <f>IF(ISBLANK(A39),"",LOOKUP(A39,BIB!A:A,BIB!C:C))</f>
        <v/>
      </c>
      <c r="H39" s="46" t="str">
        <f>IF(AND(ISBLANK(A39),ISBLANK(B39),ISBLANK(C39)),"",IF(OR(ISBLANK(A39),ISBLANK(B39),ISBLANK(C39)),"-",LEN(Tableau4[[#This Row],[Colonne9]])))</f>
        <v/>
      </c>
      <c r="I39" s="45" t="str">
        <f>IF(AND(ISBLANK(A39),ISBLANK(B39),ISBLANK(C39)),"",IF(OR(ISBLANK(A39),ISBLANK(B39),ISBLANK(C39)),"à compléter",UPPER(LOOKUP(A39,BIB!A:A,BIB!B:B)&amp;LOOKUP(B39,'Type de table'!C:C,'Type de table'!B:B)
&amp;IF(COUNTIF('Objets de gestion'!C:C,F39)=0,"","_"&amp;LOOKUP(F39,'Objets de gestion'!C:C,'Objets de gestion'!F:F))
&amp;IF(COUNTIF('Objets de gestion'!C:C,E39)=0,"","_"&amp;LOOKUP(E39,'Objets de gestion'!C:C,'Objets de gestion'!F:F))
&amp;IF(COUNTIF('Objets de gestion'!C:C,D39)=0,"","_"&amp;LOOKUP(D39,'Objets de gestion'!C:C,'Objets de gestion'!F:F))
&amp;IF(COUNTIF('Objets de gestion'!C:C,C39)=0,"","_"&amp;LOOKUP(C39,'Objets de gestion'!C:C,'Objets de gestion'!F:F))
)))</f>
        <v/>
      </c>
      <c r="J39" s="45" t="str">
        <f>IF(AND(ISBLANK(A39),ISBLANK(B39),ISBLANK(C39)),"",IF(OR(ISBLANK(A39),ISBLANK(B39),ISBLANK(C39)),"-",
LOOKUP(B39,'Type de table'!C:C,'Type de table'!E:E)
&amp;IF(ISBLANK(C39),""," "&amp;C39)
&amp;IF(ISBLANK(D39),""," "&amp;D39)
&amp;IF(ISBLANK(E39),""," "&amp;E39)
&amp;IF(ISBLANK(F39),""," "&amp;F39)
))</f>
        <v/>
      </c>
      <c r="K39" s="45" t="str">
        <f>IF(AND(ISBLANK(A39),ISBLANK(B39),ISBLANK(C39)),"",IF(OR(ISBLANK(A39),ISBLANK(B39),ISBLANK(C39)),"-",
LOOKUP(B39,'Type de table'!C:C,'Type de table'!F:F)
&amp;IF(ISBLANK(C39),""," "&amp;LOOKUP(C39,'Objets de gestion'!C:C,'Objets de gestion'!E:E))
&amp;IF(ISBLANK(D39),""," "&amp;LOOKUP(D39,'Objets de gestion'!C:C,'Objets de gestion'!E:E))
&amp;IF(ISBLANK(E39),""," "&amp;LOOKUP(E39,'Objets de gestion'!C:C,'Objets de gestion'!E:E))
&amp;IF(ISBLANK(F39),""," "&amp;LOOKUP(F39,'Objets de gestion'!C:C,'Objets de gestion'!E:E))
))</f>
        <v/>
      </c>
      <c r="L39" s="45" t="str">
        <f t="shared" si="0"/>
        <v/>
      </c>
    </row>
    <row r="40" spans="7:12" x14ac:dyDescent="0.25">
      <c r="G40" s="22" t="str">
        <f>IF(ISBLANK(A40),"",LOOKUP(A40,BIB!A:A,BIB!C:C))</f>
        <v/>
      </c>
      <c r="H40" s="46" t="str">
        <f>IF(AND(ISBLANK(A40),ISBLANK(B40),ISBLANK(C40)),"",IF(OR(ISBLANK(A40),ISBLANK(B40),ISBLANK(C40)),"-",LEN(Tableau4[[#This Row],[Colonne9]])))</f>
        <v/>
      </c>
      <c r="I40" s="45" t="str">
        <f>IF(AND(ISBLANK(A40),ISBLANK(B40),ISBLANK(C40)),"",IF(OR(ISBLANK(A40),ISBLANK(B40),ISBLANK(C40)),"à compléter",UPPER(LOOKUP(A40,BIB!A:A,BIB!B:B)&amp;LOOKUP(B40,'Type de table'!C:C,'Type de table'!B:B)
&amp;IF(COUNTIF('Objets de gestion'!C:C,F40)=0,"","_"&amp;LOOKUP(F40,'Objets de gestion'!C:C,'Objets de gestion'!F:F))
&amp;IF(COUNTIF('Objets de gestion'!C:C,E40)=0,"","_"&amp;LOOKUP(E40,'Objets de gestion'!C:C,'Objets de gestion'!F:F))
&amp;IF(COUNTIF('Objets de gestion'!C:C,D40)=0,"","_"&amp;LOOKUP(D40,'Objets de gestion'!C:C,'Objets de gestion'!F:F))
&amp;IF(COUNTIF('Objets de gestion'!C:C,C40)=0,"","_"&amp;LOOKUP(C40,'Objets de gestion'!C:C,'Objets de gestion'!F:F))
)))</f>
        <v/>
      </c>
      <c r="J40" s="45" t="str">
        <f>IF(AND(ISBLANK(A40),ISBLANK(B40),ISBLANK(C40)),"",IF(OR(ISBLANK(A40),ISBLANK(B40),ISBLANK(C40)),"-",
LOOKUP(B40,'Type de table'!C:C,'Type de table'!E:E)
&amp;IF(ISBLANK(C40),""," "&amp;C40)
&amp;IF(ISBLANK(D40),""," "&amp;D40)
&amp;IF(ISBLANK(E40),""," "&amp;E40)
&amp;IF(ISBLANK(F40),""," "&amp;F40)
))</f>
        <v/>
      </c>
      <c r="K40" s="45" t="str">
        <f>IF(AND(ISBLANK(A40),ISBLANK(B40),ISBLANK(C40)),"",IF(OR(ISBLANK(A40),ISBLANK(B40),ISBLANK(C40)),"-",
LOOKUP(B40,'Type de table'!C:C,'Type de table'!F:F)
&amp;IF(ISBLANK(C40),""," "&amp;LOOKUP(C40,'Objets de gestion'!C:C,'Objets de gestion'!E:E))
&amp;IF(ISBLANK(D40),""," "&amp;LOOKUP(D40,'Objets de gestion'!C:C,'Objets de gestion'!E:E))
&amp;IF(ISBLANK(E40),""," "&amp;LOOKUP(E40,'Objets de gestion'!C:C,'Objets de gestion'!E:E))
&amp;IF(ISBLANK(F40),""," "&amp;LOOKUP(F40,'Objets de gestion'!C:C,'Objets de gestion'!E:E))
))</f>
        <v/>
      </c>
      <c r="L40" s="45" t="str">
        <f t="shared" si="0"/>
        <v/>
      </c>
    </row>
    <row r="41" spans="7:12" x14ac:dyDescent="0.25">
      <c r="G41" s="22" t="str">
        <f>IF(ISBLANK(A41),"",LOOKUP(A41,BIB!A:A,BIB!C:C))</f>
        <v/>
      </c>
      <c r="H41" s="46" t="str">
        <f>IF(AND(ISBLANK(A41),ISBLANK(B41),ISBLANK(C41)),"",IF(OR(ISBLANK(A41),ISBLANK(B41),ISBLANK(C41)),"-",LEN(Tableau4[[#This Row],[Colonne9]])))</f>
        <v/>
      </c>
      <c r="I41" s="45" t="str">
        <f>IF(AND(ISBLANK(A41),ISBLANK(B41),ISBLANK(C41)),"",IF(OR(ISBLANK(A41),ISBLANK(B41),ISBLANK(C41)),"à compléter",UPPER(LOOKUP(A41,BIB!A:A,BIB!B:B)&amp;LOOKUP(B41,'Type de table'!C:C,'Type de table'!B:B)
&amp;IF(COUNTIF('Objets de gestion'!C:C,F41)=0,"","_"&amp;LOOKUP(F41,'Objets de gestion'!C:C,'Objets de gestion'!F:F))
&amp;IF(COUNTIF('Objets de gestion'!C:C,E41)=0,"","_"&amp;LOOKUP(E41,'Objets de gestion'!C:C,'Objets de gestion'!F:F))
&amp;IF(COUNTIF('Objets de gestion'!C:C,D41)=0,"","_"&amp;LOOKUP(D41,'Objets de gestion'!C:C,'Objets de gestion'!F:F))
&amp;IF(COUNTIF('Objets de gestion'!C:C,C41)=0,"","_"&amp;LOOKUP(C41,'Objets de gestion'!C:C,'Objets de gestion'!F:F))
)))</f>
        <v/>
      </c>
      <c r="J41" s="45" t="str">
        <f>IF(AND(ISBLANK(A41),ISBLANK(B41),ISBLANK(C41)),"",IF(OR(ISBLANK(A41),ISBLANK(B41),ISBLANK(C41)),"-",
LOOKUP(B41,'Type de table'!C:C,'Type de table'!E:E)
&amp;IF(ISBLANK(C41),""," "&amp;C41)
&amp;IF(ISBLANK(D41),""," "&amp;D41)
&amp;IF(ISBLANK(E41),""," "&amp;E41)
&amp;IF(ISBLANK(F41),""," "&amp;F41)
))</f>
        <v/>
      </c>
      <c r="K41" s="45" t="str">
        <f>IF(AND(ISBLANK(A41),ISBLANK(B41),ISBLANK(C41)),"",IF(OR(ISBLANK(A41),ISBLANK(B41),ISBLANK(C41)),"-",
LOOKUP(B41,'Type de table'!C:C,'Type de table'!F:F)
&amp;IF(ISBLANK(C41),""," "&amp;LOOKUP(C41,'Objets de gestion'!C:C,'Objets de gestion'!E:E))
&amp;IF(ISBLANK(D41),""," "&amp;LOOKUP(D41,'Objets de gestion'!C:C,'Objets de gestion'!E:E))
&amp;IF(ISBLANK(E41),""," "&amp;LOOKUP(E41,'Objets de gestion'!C:C,'Objets de gestion'!E:E))
&amp;IF(ISBLANK(F41),""," "&amp;LOOKUP(F41,'Objets de gestion'!C:C,'Objets de gestion'!E:E))
))</f>
        <v/>
      </c>
      <c r="L41" s="45" t="str">
        <f t="shared" si="0"/>
        <v/>
      </c>
    </row>
    <row r="42" spans="7:12" x14ac:dyDescent="0.25">
      <c r="G42" s="22" t="str">
        <f>IF(ISBLANK(A42),"",LOOKUP(A42,BIB!A:A,BIB!C:C))</f>
        <v/>
      </c>
      <c r="H42" s="46" t="str">
        <f>IF(AND(ISBLANK(A42),ISBLANK(B42),ISBLANK(C42)),"",IF(OR(ISBLANK(A42),ISBLANK(B42),ISBLANK(C42)),"-",LEN(Tableau4[[#This Row],[Colonne9]])))</f>
        <v/>
      </c>
      <c r="I42" s="45" t="str">
        <f>IF(AND(ISBLANK(A42),ISBLANK(B42),ISBLANK(C42)),"",IF(OR(ISBLANK(A42),ISBLANK(B42),ISBLANK(C42)),"à compléter",UPPER(LOOKUP(A42,BIB!A:A,BIB!B:B)&amp;LOOKUP(B42,'Type de table'!C:C,'Type de table'!B:B)
&amp;IF(COUNTIF('Objets de gestion'!C:C,F42)=0,"","_"&amp;LOOKUP(F42,'Objets de gestion'!C:C,'Objets de gestion'!F:F))
&amp;IF(COUNTIF('Objets de gestion'!C:C,E42)=0,"","_"&amp;LOOKUP(E42,'Objets de gestion'!C:C,'Objets de gestion'!F:F))
&amp;IF(COUNTIF('Objets de gestion'!C:C,D42)=0,"","_"&amp;LOOKUP(D42,'Objets de gestion'!C:C,'Objets de gestion'!F:F))
&amp;IF(COUNTIF('Objets de gestion'!C:C,C42)=0,"","_"&amp;LOOKUP(C42,'Objets de gestion'!C:C,'Objets de gestion'!F:F))
)))</f>
        <v/>
      </c>
      <c r="J42" s="45" t="str">
        <f>IF(AND(ISBLANK(A42),ISBLANK(B42),ISBLANK(C42)),"",IF(OR(ISBLANK(A42),ISBLANK(B42),ISBLANK(C42)),"-",
LOOKUP(B42,'Type de table'!C:C,'Type de table'!E:E)
&amp;IF(ISBLANK(C42),""," "&amp;C42)
&amp;IF(ISBLANK(D42),""," "&amp;D42)
&amp;IF(ISBLANK(E42),""," "&amp;E42)
&amp;IF(ISBLANK(F42),""," "&amp;F42)
))</f>
        <v/>
      </c>
      <c r="K42" s="45" t="str">
        <f>IF(AND(ISBLANK(A42),ISBLANK(B42),ISBLANK(C42)),"",IF(OR(ISBLANK(A42),ISBLANK(B42),ISBLANK(C42)),"-",
LOOKUP(B42,'Type de table'!C:C,'Type de table'!F:F)
&amp;IF(ISBLANK(C42),""," "&amp;LOOKUP(C42,'Objets de gestion'!C:C,'Objets de gestion'!E:E))
&amp;IF(ISBLANK(D42),""," "&amp;LOOKUP(D42,'Objets de gestion'!C:C,'Objets de gestion'!E:E))
&amp;IF(ISBLANK(E42),""," "&amp;LOOKUP(E42,'Objets de gestion'!C:C,'Objets de gestion'!E:E))
&amp;IF(ISBLANK(F42),""," "&amp;LOOKUP(F42,'Objets de gestion'!C:C,'Objets de gestion'!E:E))
))</f>
        <v/>
      </c>
      <c r="L42" s="45" t="str">
        <f t="shared" si="0"/>
        <v/>
      </c>
    </row>
    <row r="43" spans="7:12" x14ac:dyDescent="0.25">
      <c r="G43" s="22" t="str">
        <f>IF(ISBLANK(A43),"",LOOKUP(A43,BIB!A:A,BIB!C:C))</f>
        <v/>
      </c>
      <c r="H43" s="46" t="str">
        <f>IF(AND(ISBLANK(A43),ISBLANK(B43),ISBLANK(C43)),"",IF(OR(ISBLANK(A43),ISBLANK(B43),ISBLANK(C43)),"-",LEN(Tableau4[[#This Row],[Colonne9]])))</f>
        <v/>
      </c>
      <c r="I43" s="45" t="str">
        <f>IF(AND(ISBLANK(A43),ISBLANK(B43),ISBLANK(C43)),"",IF(OR(ISBLANK(A43),ISBLANK(B43),ISBLANK(C43)),"à compléter",UPPER(LOOKUP(A43,BIB!A:A,BIB!B:B)&amp;LOOKUP(B43,'Type de table'!C:C,'Type de table'!B:B)
&amp;IF(COUNTIF('Objets de gestion'!C:C,F43)=0,"","_"&amp;LOOKUP(F43,'Objets de gestion'!C:C,'Objets de gestion'!F:F))
&amp;IF(COUNTIF('Objets de gestion'!C:C,E43)=0,"","_"&amp;LOOKUP(E43,'Objets de gestion'!C:C,'Objets de gestion'!F:F))
&amp;IF(COUNTIF('Objets de gestion'!C:C,D43)=0,"","_"&amp;LOOKUP(D43,'Objets de gestion'!C:C,'Objets de gestion'!F:F))
&amp;IF(COUNTIF('Objets de gestion'!C:C,C43)=0,"","_"&amp;LOOKUP(C43,'Objets de gestion'!C:C,'Objets de gestion'!F:F))
)))</f>
        <v/>
      </c>
      <c r="J43" s="45" t="str">
        <f>IF(AND(ISBLANK(A43),ISBLANK(B43),ISBLANK(C43)),"",IF(OR(ISBLANK(A43),ISBLANK(B43),ISBLANK(C43)),"-",
LOOKUP(B43,'Type de table'!C:C,'Type de table'!E:E)
&amp;IF(ISBLANK(C43),""," "&amp;C43)
&amp;IF(ISBLANK(D43),""," "&amp;D43)
&amp;IF(ISBLANK(E43),""," "&amp;E43)
&amp;IF(ISBLANK(F43),""," "&amp;F43)
))</f>
        <v/>
      </c>
      <c r="K43" s="45" t="str">
        <f>IF(AND(ISBLANK(A43),ISBLANK(B43),ISBLANK(C43)),"",IF(OR(ISBLANK(A43),ISBLANK(B43),ISBLANK(C43)),"-",
LOOKUP(B43,'Type de table'!C:C,'Type de table'!F:F)
&amp;IF(ISBLANK(C43),""," "&amp;LOOKUP(C43,'Objets de gestion'!C:C,'Objets de gestion'!E:E))
&amp;IF(ISBLANK(D43),""," "&amp;LOOKUP(D43,'Objets de gestion'!C:C,'Objets de gestion'!E:E))
&amp;IF(ISBLANK(E43),""," "&amp;LOOKUP(E43,'Objets de gestion'!C:C,'Objets de gestion'!E:E))
&amp;IF(ISBLANK(F43),""," "&amp;LOOKUP(F43,'Objets de gestion'!C:C,'Objets de gestion'!E:E))
))</f>
        <v/>
      </c>
      <c r="L43" s="45" t="str">
        <f t="shared" si="0"/>
        <v/>
      </c>
    </row>
    <row r="44" spans="7:12" x14ac:dyDescent="0.25">
      <c r="G44" s="22" t="str">
        <f>IF(ISBLANK(A44),"",LOOKUP(A44,BIB!A:A,BIB!C:C))</f>
        <v/>
      </c>
      <c r="H44" s="46" t="str">
        <f>IF(AND(ISBLANK(A44),ISBLANK(B44),ISBLANK(C44)),"",IF(OR(ISBLANK(A44),ISBLANK(B44),ISBLANK(C44)),"-",LEN(Tableau4[[#This Row],[Colonne9]])))</f>
        <v/>
      </c>
      <c r="I44" s="45" t="str">
        <f>IF(AND(ISBLANK(A44),ISBLANK(B44),ISBLANK(C44)),"",IF(OR(ISBLANK(A44),ISBLANK(B44),ISBLANK(C44)),"à compléter",UPPER(LOOKUP(A44,BIB!A:A,BIB!B:B)&amp;LOOKUP(B44,'Type de table'!C:C,'Type de table'!B:B)
&amp;IF(COUNTIF('Objets de gestion'!C:C,F44)=0,"","_"&amp;LOOKUP(F44,'Objets de gestion'!C:C,'Objets de gestion'!F:F))
&amp;IF(COUNTIF('Objets de gestion'!C:C,E44)=0,"","_"&amp;LOOKUP(E44,'Objets de gestion'!C:C,'Objets de gestion'!F:F))
&amp;IF(COUNTIF('Objets de gestion'!C:C,D44)=0,"","_"&amp;LOOKUP(D44,'Objets de gestion'!C:C,'Objets de gestion'!F:F))
&amp;IF(COUNTIF('Objets de gestion'!C:C,C44)=0,"","_"&amp;LOOKUP(C44,'Objets de gestion'!C:C,'Objets de gestion'!F:F))
)))</f>
        <v/>
      </c>
      <c r="J44" s="45" t="str">
        <f>IF(AND(ISBLANK(A44),ISBLANK(B44),ISBLANK(C44)),"",IF(OR(ISBLANK(A44),ISBLANK(B44),ISBLANK(C44)),"-",
LOOKUP(B44,'Type de table'!C:C,'Type de table'!E:E)
&amp;IF(ISBLANK(C44),""," "&amp;C44)
&amp;IF(ISBLANK(D44),""," "&amp;D44)
&amp;IF(ISBLANK(E44),""," "&amp;E44)
&amp;IF(ISBLANK(F44),""," "&amp;F44)
))</f>
        <v/>
      </c>
      <c r="K44" s="45" t="str">
        <f>IF(AND(ISBLANK(A44),ISBLANK(B44),ISBLANK(C44)),"",IF(OR(ISBLANK(A44),ISBLANK(B44),ISBLANK(C44)),"-",
LOOKUP(B44,'Type de table'!C:C,'Type de table'!F:F)
&amp;IF(ISBLANK(C44),""," "&amp;LOOKUP(C44,'Objets de gestion'!C:C,'Objets de gestion'!E:E))
&amp;IF(ISBLANK(D44),""," "&amp;LOOKUP(D44,'Objets de gestion'!C:C,'Objets de gestion'!E:E))
&amp;IF(ISBLANK(E44),""," "&amp;LOOKUP(E44,'Objets de gestion'!C:C,'Objets de gestion'!E:E))
&amp;IF(ISBLANK(F44),""," "&amp;LOOKUP(F44,'Objets de gestion'!C:C,'Objets de gestion'!E:E))
))</f>
        <v/>
      </c>
      <c r="L44" s="45" t="str">
        <f t="shared" si="0"/>
        <v/>
      </c>
    </row>
    <row r="45" spans="7:12" x14ac:dyDescent="0.25">
      <c r="G45" s="22" t="str">
        <f>IF(ISBLANK(A45),"",LOOKUP(A45,BIB!A:A,BIB!C:C))</f>
        <v/>
      </c>
      <c r="H45" s="46" t="str">
        <f>IF(AND(ISBLANK(A45),ISBLANK(B45),ISBLANK(C45)),"",IF(OR(ISBLANK(A45),ISBLANK(B45),ISBLANK(C45)),"-",LEN(Tableau4[[#This Row],[Colonne9]])))</f>
        <v/>
      </c>
      <c r="I45" s="45" t="str">
        <f>IF(AND(ISBLANK(A45),ISBLANK(B45),ISBLANK(C45)),"",IF(OR(ISBLANK(A45),ISBLANK(B45),ISBLANK(C45)),"à compléter",UPPER(LOOKUP(A45,BIB!A:A,BIB!B:B)&amp;LOOKUP(B45,'Type de table'!C:C,'Type de table'!B:B)
&amp;IF(COUNTIF('Objets de gestion'!C:C,F45)=0,"","_"&amp;LOOKUP(F45,'Objets de gestion'!C:C,'Objets de gestion'!F:F))
&amp;IF(COUNTIF('Objets de gestion'!C:C,E45)=0,"","_"&amp;LOOKUP(E45,'Objets de gestion'!C:C,'Objets de gestion'!F:F))
&amp;IF(COUNTIF('Objets de gestion'!C:C,D45)=0,"","_"&amp;LOOKUP(D45,'Objets de gestion'!C:C,'Objets de gestion'!F:F))
&amp;IF(COUNTIF('Objets de gestion'!C:C,C45)=0,"","_"&amp;LOOKUP(C45,'Objets de gestion'!C:C,'Objets de gestion'!F:F))
)))</f>
        <v/>
      </c>
      <c r="J45" s="45" t="str">
        <f>IF(AND(ISBLANK(A45),ISBLANK(B45),ISBLANK(C45)),"",IF(OR(ISBLANK(A45),ISBLANK(B45),ISBLANK(C45)),"-",
LOOKUP(B45,'Type de table'!C:C,'Type de table'!E:E)
&amp;IF(ISBLANK(C45),""," "&amp;C45)
&amp;IF(ISBLANK(D45),""," "&amp;D45)
&amp;IF(ISBLANK(E45),""," "&amp;E45)
&amp;IF(ISBLANK(F45),""," "&amp;F45)
))</f>
        <v/>
      </c>
      <c r="K45" s="45" t="str">
        <f>IF(AND(ISBLANK(A45),ISBLANK(B45),ISBLANK(C45)),"",IF(OR(ISBLANK(A45),ISBLANK(B45),ISBLANK(C45)),"-",
LOOKUP(B45,'Type de table'!C:C,'Type de table'!F:F)
&amp;IF(ISBLANK(C45),""," "&amp;LOOKUP(C45,'Objets de gestion'!C:C,'Objets de gestion'!E:E))
&amp;IF(ISBLANK(D45),""," "&amp;LOOKUP(D45,'Objets de gestion'!C:C,'Objets de gestion'!E:E))
&amp;IF(ISBLANK(E45),""," "&amp;LOOKUP(E45,'Objets de gestion'!C:C,'Objets de gestion'!E:E))
&amp;IF(ISBLANK(F45),""," "&amp;LOOKUP(F45,'Objets de gestion'!C:C,'Objets de gestion'!E:E))
))</f>
        <v/>
      </c>
      <c r="L45" s="45" t="str">
        <f t="shared" si="0"/>
        <v/>
      </c>
    </row>
    <row r="46" spans="7:12" x14ac:dyDescent="0.25">
      <c r="G46" s="22" t="str">
        <f>IF(ISBLANK(A46),"",LOOKUP(A46,BIB!A:A,BIB!C:C))</f>
        <v/>
      </c>
      <c r="H46" s="46" t="str">
        <f>IF(AND(ISBLANK(A46),ISBLANK(B46),ISBLANK(C46)),"",IF(OR(ISBLANK(A46),ISBLANK(B46),ISBLANK(C46)),"-",LEN(Tableau4[[#This Row],[Colonne9]])))</f>
        <v/>
      </c>
      <c r="I46" s="45" t="str">
        <f>IF(AND(ISBLANK(A46),ISBLANK(B46),ISBLANK(C46)),"",IF(OR(ISBLANK(A46),ISBLANK(B46),ISBLANK(C46)),"à compléter",UPPER(LOOKUP(A46,BIB!A:A,BIB!B:B)&amp;LOOKUP(B46,'Type de table'!C:C,'Type de table'!B:B)
&amp;IF(COUNTIF('Objets de gestion'!C:C,F46)=0,"","_"&amp;LOOKUP(F46,'Objets de gestion'!C:C,'Objets de gestion'!F:F))
&amp;IF(COUNTIF('Objets de gestion'!C:C,E46)=0,"","_"&amp;LOOKUP(E46,'Objets de gestion'!C:C,'Objets de gestion'!F:F))
&amp;IF(COUNTIF('Objets de gestion'!C:C,D46)=0,"","_"&amp;LOOKUP(D46,'Objets de gestion'!C:C,'Objets de gestion'!F:F))
&amp;IF(COUNTIF('Objets de gestion'!C:C,C46)=0,"","_"&amp;LOOKUP(C46,'Objets de gestion'!C:C,'Objets de gestion'!F:F))
)))</f>
        <v/>
      </c>
      <c r="J46" s="45" t="str">
        <f>IF(AND(ISBLANK(A46),ISBLANK(B46),ISBLANK(C46)),"",IF(OR(ISBLANK(A46),ISBLANK(B46),ISBLANK(C46)),"-",
LOOKUP(B46,'Type de table'!C:C,'Type de table'!E:E)
&amp;IF(ISBLANK(C46),""," "&amp;C46)
&amp;IF(ISBLANK(D46),""," "&amp;D46)
&amp;IF(ISBLANK(E46),""," "&amp;E46)
&amp;IF(ISBLANK(F46),""," "&amp;F46)
))</f>
        <v/>
      </c>
      <c r="K46" s="45" t="str">
        <f>IF(AND(ISBLANK(A46),ISBLANK(B46),ISBLANK(C46)),"",IF(OR(ISBLANK(A46),ISBLANK(B46),ISBLANK(C46)),"-",
LOOKUP(B46,'Type de table'!C:C,'Type de table'!F:F)
&amp;IF(ISBLANK(C46),""," "&amp;LOOKUP(C46,'Objets de gestion'!C:C,'Objets de gestion'!E:E))
&amp;IF(ISBLANK(D46),""," "&amp;LOOKUP(D46,'Objets de gestion'!C:C,'Objets de gestion'!E:E))
&amp;IF(ISBLANK(E46),""," "&amp;LOOKUP(E46,'Objets de gestion'!C:C,'Objets de gestion'!E:E))
&amp;IF(ISBLANK(F46),""," "&amp;LOOKUP(F46,'Objets de gestion'!C:C,'Objets de gestion'!E:E))
))</f>
        <v/>
      </c>
      <c r="L46" s="45" t="str">
        <f t="shared" si="0"/>
        <v/>
      </c>
    </row>
    <row r="47" spans="7:12" x14ac:dyDescent="0.25">
      <c r="G47" s="22" t="str">
        <f>IF(ISBLANK(A47),"",LOOKUP(A47,BIB!A:A,BIB!C:C))</f>
        <v/>
      </c>
      <c r="H47" s="46" t="str">
        <f>IF(AND(ISBLANK(A47),ISBLANK(B47),ISBLANK(C47)),"",IF(OR(ISBLANK(A47),ISBLANK(B47),ISBLANK(C47)),"-",LEN(Tableau4[[#This Row],[Colonne9]])))</f>
        <v/>
      </c>
      <c r="I47" s="45" t="str">
        <f>IF(AND(ISBLANK(A47),ISBLANK(B47),ISBLANK(C47)),"",IF(OR(ISBLANK(A47),ISBLANK(B47),ISBLANK(C47)),"à compléter",UPPER(LOOKUP(A47,BIB!A:A,BIB!B:B)&amp;LOOKUP(B47,'Type de table'!C:C,'Type de table'!B:B)
&amp;IF(COUNTIF('Objets de gestion'!C:C,F47)=0,"","_"&amp;LOOKUP(F47,'Objets de gestion'!C:C,'Objets de gestion'!F:F))
&amp;IF(COUNTIF('Objets de gestion'!C:C,E47)=0,"","_"&amp;LOOKUP(E47,'Objets de gestion'!C:C,'Objets de gestion'!F:F))
&amp;IF(COUNTIF('Objets de gestion'!C:C,D47)=0,"","_"&amp;LOOKUP(D47,'Objets de gestion'!C:C,'Objets de gestion'!F:F))
&amp;IF(COUNTIF('Objets de gestion'!C:C,C47)=0,"","_"&amp;LOOKUP(C47,'Objets de gestion'!C:C,'Objets de gestion'!F:F))
)))</f>
        <v/>
      </c>
      <c r="J47" s="45" t="str">
        <f>IF(AND(ISBLANK(A47),ISBLANK(B47),ISBLANK(C47)),"",IF(OR(ISBLANK(A47),ISBLANK(B47),ISBLANK(C47)),"-",
LOOKUP(B47,'Type de table'!C:C,'Type de table'!E:E)
&amp;IF(ISBLANK(C47),""," "&amp;C47)
&amp;IF(ISBLANK(D47),""," "&amp;D47)
&amp;IF(ISBLANK(E47),""," "&amp;E47)
&amp;IF(ISBLANK(F47),""," "&amp;F47)
))</f>
        <v/>
      </c>
      <c r="K47" s="45" t="str">
        <f>IF(AND(ISBLANK(A47),ISBLANK(B47),ISBLANK(C47)),"",IF(OR(ISBLANK(A47),ISBLANK(B47),ISBLANK(C47)),"-",
LOOKUP(B47,'Type de table'!C:C,'Type de table'!F:F)
&amp;IF(ISBLANK(C47),""," "&amp;LOOKUP(C47,'Objets de gestion'!C:C,'Objets de gestion'!E:E))
&amp;IF(ISBLANK(D47),""," "&amp;LOOKUP(D47,'Objets de gestion'!C:C,'Objets de gestion'!E:E))
&amp;IF(ISBLANK(E47),""," "&amp;LOOKUP(E47,'Objets de gestion'!C:C,'Objets de gestion'!E:E))
&amp;IF(ISBLANK(F47),""," "&amp;LOOKUP(F47,'Objets de gestion'!C:C,'Objets de gestion'!E:E))
))</f>
        <v/>
      </c>
      <c r="L47" s="45" t="str">
        <f t="shared" si="0"/>
        <v/>
      </c>
    </row>
    <row r="48" spans="7:12" x14ac:dyDescent="0.25">
      <c r="G48" s="22" t="str">
        <f>IF(ISBLANK(A48),"",LOOKUP(A48,BIB!A:A,BIB!C:C))</f>
        <v/>
      </c>
      <c r="H48" s="46" t="str">
        <f>IF(AND(ISBLANK(A48),ISBLANK(B48),ISBLANK(C48)),"",IF(OR(ISBLANK(A48),ISBLANK(B48),ISBLANK(C48)),"-",LEN(Tableau4[[#This Row],[Colonne9]])))</f>
        <v/>
      </c>
      <c r="I48" s="45" t="str">
        <f>IF(AND(ISBLANK(A48),ISBLANK(B48),ISBLANK(C48)),"",IF(OR(ISBLANK(A48),ISBLANK(B48),ISBLANK(C48)),"à compléter",UPPER(LOOKUP(A48,BIB!A:A,BIB!B:B)&amp;LOOKUP(B48,'Type de table'!C:C,'Type de table'!B:B)
&amp;IF(COUNTIF('Objets de gestion'!C:C,F48)=0,"","_"&amp;LOOKUP(F48,'Objets de gestion'!C:C,'Objets de gestion'!F:F))
&amp;IF(COUNTIF('Objets de gestion'!C:C,E48)=0,"","_"&amp;LOOKUP(E48,'Objets de gestion'!C:C,'Objets de gestion'!F:F))
&amp;IF(COUNTIF('Objets de gestion'!C:C,D48)=0,"","_"&amp;LOOKUP(D48,'Objets de gestion'!C:C,'Objets de gestion'!F:F))
&amp;IF(COUNTIF('Objets de gestion'!C:C,C48)=0,"","_"&amp;LOOKUP(C48,'Objets de gestion'!C:C,'Objets de gestion'!F:F))
)))</f>
        <v/>
      </c>
      <c r="J48" s="45" t="str">
        <f>IF(AND(ISBLANK(A48),ISBLANK(B48),ISBLANK(C48)),"",IF(OR(ISBLANK(A48),ISBLANK(B48),ISBLANK(C48)),"-",
LOOKUP(B48,'Type de table'!C:C,'Type de table'!E:E)
&amp;IF(ISBLANK(C48),""," "&amp;C48)
&amp;IF(ISBLANK(D48),""," "&amp;D48)
&amp;IF(ISBLANK(E48),""," "&amp;E48)
&amp;IF(ISBLANK(F48),""," "&amp;F48)
))</f>
        <v/>
      </c>
      <c r="K48" s="45" t="str">
        <f>IF(AND(ISBLANK(A48),ISBLANK(B48),ISBLANK(C48)),"",IF(OR(ISBLANK(A48),ISBLANK(B48),ISBLANK(C48)),"-",
LOOKUP(B48,'Type de table'!C:C,'Type de table'!F:F)
&amp;IF(ISBLANK(C48),""," "&amp;LOOKUP(C48,'Objets de gestion'!C:C,'Objets de gestion'!E:E))
&amp;IF(ISBLANK(D48),""," "&amp;LOOKUP(D48,'Objets de gestion'!C:C,'Objets de gestion'!E:E))
&amp;IF(ISBLANK(E48),""," "&amp;LOOKUP(E48,'Objets de gestion'!C:C,'Objets de gestion'!E:E))
&amp;IF(ISBLANK(F48),""," "&amp;LOOKUP(F48,'Objets de gestion'!C:C,'Objets de gestion'!E:E))
))</f>
        <v/>
      </c>
      <c r="L48" s="45" t="str">
        <f t="shared" si="0"/>
        <v/>
      </c>
    </row>
    <row r="49" spans="7:12" x14ac:dyDescent="0.25">
      <c r="G49" s="22" t="str">
        <f>IF(ISBLANK(A49),"",LOOKUP(A49,BIB!A:A,BIB!C:C))</f>
        <v/>
      </c>
      <c r="H49" s="46" t="str">
        <f>IF(AND(ISBLANK(A49),ISBLANK(B49),ISBLANK(C49)),"",IF(OR(ISBLANK(A49),ISBLANK(B49),ISBLANK(C49)),"-",LEN(Tableau4[[#This Row],[Colonne9]])))</f>
        <v/>
      </c>
      <c r="I49" s="45" t="str">
        <f>IF(AND(ISBLANK(A49),ISBLANK(B49),ISBLANK(C49)),"",IF(OR(ISBLANK(A49),ISBLANK(B49),ISBLANK(C49)),"à compléter",UPPER(LOOKUP(A49,BIB!A:A,BIB!B:B)&amp;LOOKUP(B49,'Type de table'!C:C,'Type de table'!B:B)
&amp;IF(COUNTIF('Objets de gestion'!C:C,F49)=0,"","_"&amp;LOOKUP(F49,'Objets de gestion'!C:C,'Objets de gestion'!F:F))
&amp;IF(COUNTIF('Objets de gestion'!C:C,E49)=0,"","_"&amp;LOOKUP(E49,'Objets de gestion'!C:C,'Objets de gestion'!F:F))
&amp;IF(COUNTIF('Objets de gestion'!C:C,D49)=0,"","_"&amp;LOOKUP(D49,'Objets de gestion'!C:C,'Objets de gestion'!F:F))
&amp;IF(COUNTIF('Objets de gestion'!C:C,C49)=0,"","_"&amp;LOOKUP(C49,'Objets de gestion'!C:C,'Objets de gestion'!F:F))
)))</f>
        <v/>
      </c>
      <c r="J49" s="45" t="str">
        <f>IF(AND(ISBLANK(A49),ISBLANK(B49),ISBLANK(C49)),"",IF(OR(ISBLANK(A49),ISBLANK(B49),ISBLANK(C49)),"-",
LOOKUP(B49,'Type de table'!C:C,'Type de table'!E:E)
&amp;IF(ISBLANK(C49),""," "&amp;C49)
&amp;IF(ISBLANK(D49),""," "&amp;D49)
&amp;IF(ISBLANK(E49),""," "&amp;E49)
&amp;IF(ISBLANK(F49),""," "&amp;F49)
))</f>
        <v/>
      </c>
      <c r="K49" s="45" t="str">
        <f>IF(AND(ISBLANK(A49),ISBLANK(B49),ISBLANK(C49)),"",IF(OR(ISBLANK(A49),ISBLANK(B49),ISBLANK(C49)),"-",
LOOKUP(B49,'Type de table'!C:C,'Type de table'!F:F)
&amp;IF(ISBLANK(C49),""," "&amp;LOOKUP(C49,'Objets de gestion'!C:C,'Objets de gestion'!E:E))
&amp;IF(ISBLANK(D49),""," "&amp;LOOKUP(D49,'Objets de gestion'!C:C,'Objets de gestion'!E:E))
&amp;IF(ISBLANK(E49),""," "&amp;LOOKUP(E49,'Objets de gestion'!C:C,'Objets de gestion'!E:E))
&amp;IF(ISBLANK(F49),""," "&amp;LOOKUP(F49,'Objets de gestion'!C:C,'Objets de gestion'!E:E))
))</f>
        <v/>
      </c>
      <c r="L49" s="45" t="str">
        <f t="shared" si="0"/>
        <v/>
      </c>
    </row>
    <row r="50" spans="7:12" x14ac:dyDescent="0.25">
      <c r="G50" s="22" t="str">
        <f>IF(ISBLANK(A50),"",LOOKUP(A50,BIB!A:A,BIB!C:C))</f>
        <v/>
      </c>
      <c r="H50" s="46" t="str">
        <f>IF(AND(ISBLANK(A50),ISBLANK(B50),ISBLANK(C50)),"",IF(OR(ISBLANK(A50),ISBLANK(B50),ISBLANK(C50)),"-",LEN(Tableau4[[#This Row],[Colonne9]])))</f>
        <v/>
      </c>
      <c r="I50" s="45" t="str">
        <f>IF(AND(ISBLANK(A50),ISBLANK(B50),ISBLANK(C50)),"",IF(OR(ISBLANK(A50),ISBLANK(B50),ISBLANK(C50)),"à compléter",UPPER(LOOKUP(A50,BIB!A:A,BIB!B:B)&amp;LOOKUP(B50,'Type de table'!C:C,'Type de table'!B:B)
&amp;IF(COUNTIF('Objets de gestion'!C:C,F50)=0,"","_"&amp;LOOKUP(F50,'Objets de gestion'!C:C,'Objets de gestion'!F:F))
&amp;IF(COUNTIF('Objets de gestion'!C:C,E50)=0,"","_"&amp;LOOKUP(E50,'Objets de gestion'!C:C,'Objets de gestion'!F:F))
&amp;IF(COUNTIF('Objets de gestion'!C:C,D50)=0,"","_"&amp;LOOKUP(D50,'Objets de gestion'!C:C,'Objets de gestion'!F:F))
&amp;IF(COUNTIF('Objets de gestion'!C:C,C50)=0,"","_"&amp;LOOKUP(C50,'Objets de gestion'!C:C,'Objets de gestion'!F:F))
)))</f>
        <v/>
      </c>
      <c r="J50" s="45" t="str">
        <f>IF(AND(ISBLANK(A50),ISBLANK(B50),ISBLANK(C50)),"",IF(OR(ISBLANK(A50),ISBLANK(B50),ISBLANK(C50)),"-",
LOOKUP(B50,'Type de table'!C:C,'Type de table'!E:E)
&amp;IF(ISBLANK(C50),""," "&amp;C50)
&amp;IF(ISBLANK(D50),""," "&amp;D50)
&amp;IF(ISBLANK(E50),""," "&amp;E50)
&amp;IF(ISBLANK(F50),""," "&amp;F50)
))</f>
        <v/>
      </c>
      <c r="K50" s="45" t="str">
        <f>IF(AND(ISBLANK(A50),ISBLANK(B50),ISBLANK(C50)),"",IF(OR(ISBLANK(A50),ISBLANK(B50),ISBLANK(C50)),"-",
LOOKUP(B50,'Type de table'!C:C,'Type de table'!F:F)
&amp;IF(ISBLANK(C50),""," "&amp;LOOKUP(C50,'Objets de gestion'!C:C,'Objets de gestion'!E:E))
&amp;IF(ISBLANK(D50),""," "&amp;LOOKUP(D50,'Objets de gestion'!C:C,'Objets de gestion'!E:E))
&amp;IF(ISBLANK(E50),""," "&amp;LOOKUP(E50,'Objets de gestion'!C:C,'Objets de gestion'!E:E))
&amp;IF(ISBLANK(F50),""," "&amp;LOOKUP(F50,'Objets de gestion'!C:C,'Objets de gestion'!E:E))
))</f>
        <v/>
      </c>
      <c r="L50" s="45" t="str">
        <f t="shared" si="0"/>
        <v/>
      </c>
    </row>
    <row r="51" spans="7:12" x14ac:dyDescent="0.25">
      <c r="G51" s="22" t="str">
        <f>IF(ISBLANK(A51),"",LOOKUP(A51,BIB!A:A,BIB!C:C))</f>
        <v/>
      </c>
      <c r="H51" s="46" t="str">
        <f>IF(AND(ISBLANK(A51),ISBLANK(B51),ISBLANK(C51)),"",IF(OR(ISBLANK(A51),ISBLANK(B51),ISBLANK(C51)),"-",LEN(Tableau4[[#This Row],[Colonne9]])))</f>
        <v/>
      </c>
      <c r="I51" s="45" t="str">
        <f>IF(AND(ISBLANK(A51),ISBLANK(B51),ISBLANK(C51)),"",IF(OR(ISBLANK(A51),ISBLANK(B51),ISBLANK(C51)),"à compléter",UPPER(LOOKUP(A51,BIB!A:A,BIB!B:B)&amp;LOOKUP(B51,'Type de table'!C:C,'Type de table'!B:B)
&amp;IF(COUNTIF('Objets de gestion'!C:C,F51)=0,"","_"&amp;LOOKUP(F51,'Objets de gestion'!C:C,'Objets de gestion'!F:F))
&amp;IF(COUNTIF('Objets de gestion'!C:C,E51)=0,"","_"&amp;LOOKUP(E51,'Objets de gestion'!C:C,'Objets de gestion'!F:F))
&amp;IF(COUNTIF('Objets de gestion'!C:C,D51)=0,"","_"&amp;LOOKUP(D51,'Objets de gestion'!C:C,'Objets de gestion'!F:F))
&amp;IF(COUNTIF('Objets de gestion'!C:C,C51)=0,"","_"&amp;LOOKUP(C51,'Objets de gestion'!C:C,'Objets de gestion'!F:F))
)))</f>
        <v/>
      </c>
      <c r="J51" s="45" t="str">
        <f>IF(AND(ISBLANK(A51),ISBLANK(B51),ISBLANK(C51)),"",IF(OR(ISBLANK(A51),ISBLANK(B51),ISBLANK(C51)),"-",
LOOKUP(B51,'Type de table'!C:C,'Type de table'!E:E)
&amp;IF(ISBLANK(C51),""," "&amp;C51)
&amp;IF(ISBLANK(D51),""," "&amp;D51)
&amp;IF(ISBLANK(E51),""," "&amp;E51)
&amp;IF(ISBLANK(F51),""," "&amp;F51)
))</f>
        <v/>
      </c>
      <c r="K51" s="45" t="str">
        <f>IF(AND(ISBLANK(A51),ISBLANK(B51),ISBLANK(C51)),"",IF(OR(ISBLANK(A51),ISBLANK(B51),ISBLANK(C51)),"-",
LOOKUP(B51,'Type de table'!C:C,'Type de table'!F:F)
&amp;IF(ISBLANK(C51),""," "&amp;LOOKUP(C51,'Objets de gestion'!C:C,'Objets de gestion'!E:E))
&amp;IF(ISBLANK(D51),""," "&amp;LOOKUP(D51,'Objets de gestion'!C:C,'Objets de gestion'!E:E))
&amp;IF(ISBLANK(E51),""," "&amp;LOOKUP(E51,'Objets de gestion'!C:C,'Objets de gestion'!E:E))
&amp;IF(ISBLANK(F51),""," "&amp;LOOKUP(F51,'Objets de gestion'!C:C,'Objets de gestion'!E:E))
))</f>
        <v/>
      </c>
      <c r="L51" s="45" t="str">
        <f t="shared" si="0"/>
        <v/>
      </c>
    </row>
    <row r="52" spans="7:12" x14ac:dyDescent="0.25">
      <c r="G52" s="22" t="str">
        <f>IF(ISBLANK(A52),"",LOOKUP(A52,BIB!A:A,BIB!C:C))</f>
        <v/>
      </c>
      <c r="H52" s="46" t="str">
        <f>IF(AND(ISBLANK(A52),ISBLANK(B52),ISBLANK(C52)),"",IF(OR(ISBLANK(A52),ISBLANK(B52),ISBLANK(C52)),"-",LEN(Tableau4[[#This Row],[Colonne9]])))</f>
        <v/>
      </c>
      <c r="I52" s="45" t="str">
        <f>IF(AND(ISBLANK(A52),ISBLANK(B52),ISBLANK(C52)),"",IF(OR(ISBLANK(A52),ISBLANK(B52),ISBLANK(C52)),"à compléter",UPPER(LOOKUP(A52,BIB!A:A,BIB!B:B)&amp;LOOKUP(B52,'Type de table'!C:C,'Type de table'!B:B)
&amp;IF(COUNTIF('Objets de gestion'!C:C,F52)=0,"","_"&amp;LOOKUP(F52,'Objets de gestion'!C:C,'Objets de gestion'!F:F))
&amp;IF(COUNTIF('Objets de gestion'!C:C,E52)=0,"","_"&amp;LOOKUP(E52,'Objets de gestion'!C:C,'Objets de gestion'!F:F))
&amp;IF(COUNTIF('Objets de gestion'!C:C,D52)=0,"","_"&amp;LOOKUP(D52,'Objets de gestion'!C:C,'Objets de gestion'!F:F))
&amp;IF(COUNTIF('Objets de gestion'!C:C,C52)=0,"","_"&amp;LOOKUP(C52,'Objets de gestion'!C:C,'Objets de gestion'!F:F))
)))</f>
        <v/>
      </c>
      <c r="J52" s="45" t="str">
        <f>IF(AND(ISBLANK(A52),ISBLANK(B52),ISBLANK(C52)),"",IF(OR(ISBLANK(A52),ISBLANK(B52),ISBLANK(C52)),"-",
LOOKUP(B52,'Type de table'!C:C,'Type de table'!E:E)
&amp;IF(ISBLANK(C52),""," "&amp;C52)
&amp;IF(ISBLANK(D52),""," "&amp;D52)
&amp;IF(ISBLANK(E52),""," "&amp;E52)
&amp;IF(ISBLANK(F52),""," "&amp;F52)
))</f>
        <v/>
      </c>
      <c r="K52" s="45" t="str">
        <f>IF(AND(ISBLANK(A52),ISBLANK(B52),ISBLANK(C52)),"",IF(OR(ISBLANK(A52),ISBLANK(B52),ISBLANK(C52)),"-",
LOOKUP(B52,'Type de table'!C:C,'Type de table'!F:F)
&amp;IF(ISBLANK(C52),""," "&amp;LOOKUP(C52,'Objets de gestion'!C:C,'Objets de gestion'!E:E))
&amp;IF(ISBLANK(D52),""," "&amp;LOOKUP(D52,'Objets de gestion'!C:C,'Objets de gestion'!E:E))
&amp;IF(ISBLANK(E52),""," "&amp;LOOKUP(E52,'Objets de gestion'!C:C,'Objets de gestion'!E:E))
&amp;IF(ISBLANK(F52),""," "&amp;LOOKUP(F52,'Objets de gestion'!C:C,'Objets de gestion'!E:E))
))</f>
        <v/>
      </c>
      <c r="L52" s="45" t="str">
        <f t="shared" si="0"/>
        <v/>
      </c>
    </row>
    <row r="53" spans="7:12" x14ac:dyDescent="0.25">
      <c r="G53" s="22" t="str">
        <f>IF(ISBLANK(A53),"",LOOKUP(A53,BIB!A:A,BIB!C:C))</f>
        <v/>
      </c>
      <c r="H53" s="46" t="str">
        <f>IF(AND(ISBLANK(A53),ISBLANK(B53),ISBLANK(C53)),"",IF(OR(ISBLANK(A53),ISBLANK(B53),ISBLANK(C53)),"-",LEN(Tableau4[[#This Row],[Colonne9]])))</f>
        <v/>
      </c>
      <c r="I53" s="45" t="str">
        <f>IF(AND(ISBLANK(A53),ISBLANK(B53),ISBLANK(C53)),"",IF(OR(ISBLANK(A53),ISBLANK(B53),ISBLANK(C53)),"à compléter",UPPER(LOOKUP(A53,BIB!A:A,BIB!B:B)&amp;LOOKUP(B53,'Type de table'!C:C,'Type de table'!B:B)
&amp;IF(COUNTIF('Objets de gestion'!C:C,F53)=0,"","_"&amp;LOOKUP(F53,'Objets de gestion'!C:C,'Objets de gestion'!F:F))
&amp;IF(COUNTIF('Objets de gestion'!C:C,E53)=0,"","_"&amp;LOOKUP(E53,'Objets de gestion'!C:C,'Objets de gestion'!F:F))
&amp;IF(COUNTIF('Objets de gestion'!C:C,D53)=0,"","_"&amp;LOOKUP(D53,'Objets de gestion'!C:C,'Objets de gestion'!F:F))
&amp;IF(COUNTIF('Objets de gestion'!C:C,C53)=0,"","_"&amp;LOOKUP(C53,'Objets de gestion'!C:C,'Objets de gestion'!F:F))
)))</f>
        <v/>
      </c>
      <c r="J53" s="45" t="str">
        <f>IF(AND(ISBLANK(A53),ISBLANK(B53),ISBLANK(C53)),"",IF(OR(ISBLANK(A53),ISBLANK(B53),ISBLANK(C53)),"-",
LOOKUP(B53,'Type de table'!C:C,'Type de table'!E:E)
&amp;IF(ISBLANK(C53),""," "&amp;C53)
&amp;IF(ISBLANK(D53),""," "&amp;D53)
&amp;IF(ISBLANK(E53),""," "&amp;E53)
&amp;IF(ISBLANK(F53),""," "&amp;F53)
))</f>
        <v/>
      </c>
      <c r="K53" s="45" t="str">
        <f>IF(AND(ISBLANK(A53),ISBLANK(B53),ISBLANK(C53)),"",IF(OR(ISBLANK(A53),ISBLANK(B53),ISBLANK(C53)),"-",
LOOKUP(B53,'Type de table'!C:C,'Type de table'!F:F)
&amp;IF(ISBLANK(C53),""," "&amp;LOOKUP(C53,'Objets de gestion'!C:C,'Objets de gestion'!E:E))
&amp;IF(ISBLANK(D53),""," "&amp;LOOKUP(D53,'Objets de gestion'!C:C,'Objets de gestion'!E:E))
&amp;IF(ISBLANK(E53),""," "&amp;LOOKUP(E53,'Objets de gestion'!C:C,'Objets de gestion'!E:E))
&amp;IF(ISBLANK(F53),""," "&amp;LOOKUP(F53,'Objets de gestion'!C:C,'Objets de gestion'!E:E))
))</f>
        <v/>
      </c>
      <c r="L53" s="45" t="str">
        <f t="shared" si="0"/>
        <v/>
      </c>
    </row>
    <row r="54" spans="7:12" x14ac:dyDescent="0.25">
      <c r="G54" s="22" t="str">
        <f>IF(ISBLANK(A54),"",LOOKUP(A54,BIB!A:A,BIB!C:C))</f>
        <v/>
      </c>
      <c r="H54" s="46" t="str">
        <f>IF(AND(ISBLANK(A54),ISBLANK(B54),ISBLANK(C54)),"",IF(OR(ISBLANK(A54),ISBLANK(B54),ISBLANK(C54)),"-",LEN(Tableau4[[#This Row],[Colonne9]])))</f>
        <v/>
      </c>
      <c r="I54" s="45" t="str">
        <f>IF(AND(ISBLANK(A54),ISBLANK(B54),ISBLANK(C54)),"",IF(OR(ISBLANK(A54),ISBLANK(B54),ISBLANK(C54)),"à compléter",UPPER(LOOKUP(A54,BIB!A:A,BIB!B:B)&amp;LOOKUP(B54,'Type de table'!C:C,'Type de table'!B:B)
&amp;IF(COUNTIF('Objets de gestion'!C:C,F54)=0,"","_"&amp;LOOKUP(F54,'Objets de gestion'!C:C,'Objets de gestion'!F:F))
&amp;IF(COUNTIF('Objets de gestion'!C:C,E54)=0,"","_"&amp;LOOKUP(E54,'Objets de gestion'!C:C,'Objets de gestion'!F:F))
&amp;IF(COUNTIF('Objets de gestion'!C:C,D54)=0,"","_"&amp;LOOKUP(D54,'Objets de gestion'!C:C,'Objets de gestion'!F:F))
&amp;IF(COUNTIF('Objets de gestion'!C:C,C54)=0,"","_"&amp;LOOKUP(C54,'Objets de gestion'!C:C,'Objets de gestion'!F:F))
)))</f>
        <v/>
      </c>
      <c r="J54" s="45" t="str">
        <f>IF(AND(ISBLANK(A54),ISBLANK(B54),ISBLANK(C54)),"",IF(OR(ISBLANK(A54),ISBLANK(B54),ISBLANK(C54)),"-",
LOOKUP(B54,'Type de table'!C:C,'Type de table'!E:E)
&amp;IF(ISBLANK(C54),""," "&amp;C54)
&amp;IF(ISBLANK(D54),""," "&amp;D54)
&amp;IF(ISBLANK(E54),""," "&amp;E54)
&amp;IF(ISBLANK(F54),""," "&amp;F54)
))</f>
        <v/>
      </c>
      <c r="K54" s="45" t="str">
        <f>IF(AND(ISBLANK(A54),ISBLANK(B54),ISBLANK(C54)),"",IF(OR(ISBLANK(A54),ISBLANK(B54),ISBLANK(C54)),"-",
LOOKUP(B54,'Type de table'!C:C,'Type de table'!F:F)
&amp;IF(ISBLANK(C54),""," "&amp;LOOKUP(C54,'Objets de gestion'!C:C,'Objets de gestion'!E:E))
&amp;IF(ISBLANK(D54),""," "&amp;LOOKUP(D54,'Objets de gestion'!C:C,'Objets de gestion'!E:E))
&amp;IF(ISBLANK(E54),""," "&amp;LOOKUP(E54,'Objets de gestion'!C:C,'Objets de gestion'!E:E))
&amp;IF(ISBLANK(F54),""," "&amp;LOOKUP(F54,'Objets de gestion'!C:C,'Objets de gestion'!E:E))
))</f>
        <v/>
      </c>
      <c r="L54" s="45" t="str">
        <f t="shared" si="0"/>
        <v/>
      </c>
    </row>
    <row r="55" spans="7:12" x14ac:dyDescent="0.25">
      <c r="G55" s="22" t="str">
        <f>IF(ISBLANK(A55),"",LOOKUP(A55,BIB!A:A,BIB!C:C))</f>
        <v/>
      </c>
      <c r="H55" s="46" t="str">
        <f>IF(AND(ISBLANK(A55),ISBLANK(B55),ISBLANK(C55)),"",IF(OR(ISBLANK(A55),ISBLANK(B55),ISBLANK(C55)),"-",LEN(Tableau4[[#This Row],[Colonne9]])))</f>
        <v/>
      </c>
      <c r="I55" s="45" t="str">
        <f>IF(AND(ISBLANK(A55),ISBLANK(B55),ISBLANK(C55)),"",IF(OR(ISBLANK(A55),ISBLANK(B55),ISBLANK(C55)),"à compléter",UPPER(LOOKUP(A55,BIB!A:A,BIB!B:B)&amp;LOOKUP(B55,'Type de table'!C:C,'Type de table'!B:B)
&amp;IF(COUNTIF('Objets de gestion'!C:C,F55)=0,"","_"&amp;LOOKUP(F55,'Objets de gestion'!C:C,'Objets de gestion'!F:F))
&amp;IF(COUNTIF('Objets de gestion'!C:C,E55)=0,"","_"&amp;LOOKUP(E55,'Objets de gestion'!C:C,'Objets de gestion'!F:F))
&amp;IF(COUNTIF('Objets de gestion'!C:C,D55)=0,"","_"&amp;LOOKUP(D55,'Objets de gestion'!C:C,'Objets de gestion'!F:F))
&amp;IF(COUNTIF('Objets de gestion'!C:C,C55)=0,"","_"&amp;LOOKUP(C55,'Objets de gestion'!C:C,'Objets de gestion'!F:F))
)))</f>
        <v/>
      </c>
      <c r="J55" s="45" t="str">
        <f>IF(AND(ISBLANK(A55),ISBLANK(B55),ISBLANK(C55)),"",IF(OR(ISBLANK(A55),ISBLANK(B55),ISBLANK(C55)),"-",
LOOKUP(B55,'Type de table'!C:C,'Type de table'!E:E)
&amp;IF(ISBLANK(C55),""," "&amp;C55)
&amp;IF(ISBLANK(D55),""," "&amp;D55)
&amp;IF(ISBLANK(E55),""," "&amp;E55)
&amp;IF(ISBLANK(F55),""," "&amp;F55)
))</f>
        <v/>
      </c>
      <c r="K55" s="45" t="str">
        <f>IF(AND(ISBLANK(A55),ISBLANK(B55),ISBLANK(C55)),"",IF(OR(ISBLANK(A55),ISBLANK(B55),ISBLANK(C55)),"-",
LOOKUP(B55,'Type de table'!C:C,'Type de table'!F:F)
&amp;IF(ISBLANK(C55),""," "&amp;LOOKUP(C55,'Objets de gestion'!C:C,'Objets de gestion'!E:E))
&amp;IF(ISBLANK(D55),""," "&amp;LOOKUP(D55,'Objets de gestion'!C:C,'Objets de gestion'!E:E))
&amp;IF(ISBLANK(E55),""," "&amp;LOOKUP(E55,'Objets de gestion'!C:C,'Objets de gestion'!E:E))
&amp;IF(ISBLANK(F55),""," "&amp;LOOKUP(F55,'Objets de gestion'!C:C,'Objets de gestion'!E:E))
))</f>
        <v/>
      </c>
      <c r="L55" s="45" t="str">
        <f t="shared" si="0"/>
        <v/>
      </c>
    </row>
    <row r="56" spans="7:12" x14ac:dyDescent="0.25">
      <c r="G56" s="22" t="str">
        <f>IF(ISBLANK(A56),"",LOOKUP(A56,BIB!A:A,BIB!C:C))</f>
        <v/>
      </c>
      <c r="H56" s="46" t="str">
        <f>IF(AND(ISBLANK(A56),ISBLANK(B56),ISBLANK(C56)),"",IF(OR(ISBLANK(A56),ISBLANK(B56),ISBLANK(C56)),"-",LEN(Tableau4[[#This Row],[Colonne9]])))</f>
        <v/>
      </c>
      <c r="I56" s="45" t="str">
        <f>IF(AND(ISBLANK(A56),ISBLANK(B56),ISBLANK(C56)),"",IF(OR(ISBLANK(A56),ISBLANK(B56),ISBLANK(C56)),"à compléter",UPPER(LOOKUP(A56,BIB!A:A,BIB!B:B)&amp;LOOKUP(B56,'Type de table'!C:C,'Type de table'!B:B)
&amp;IF(COUNTIF('Objets de gestion'!C:C,F56)=0,"","_"&amp;LOOKUP(F56,'Objets de gestion'!C:C,'Objets de gestion'!F:F))
&amp;IF(COUNTIF('Objets de gestion'!C:C,E56)=0,"","_"&amp;LOOKUP(E56,'Objets de gestion'!C:C,'Objets de gestion'!F:F))
&amp;IF(COUNTIF('Objets de gestion'!C:C,D56)=0,"","_"&amp;LOOKUP(D56,'Objets de gestion'!C:C,'Objets de gestion'!F:F))
&amp;IF(COUNTIF('Objets de gestion'!C:C,C56)=0,"","_"&amp;LOOKUP(C56,'Objets de gestion'!C:C,'Objets de gestion'!F:F))
)))</f>
        <v/>
      </c>
      <c r="J56" s="45" t="str">
        <f>IF(AND(ISBLANK(A56),ISBLANK(B56),ISBLANK(C56)),"",IF(OR(ISBLANK(A56),ISBLANK(B56),ISBLANK(C56)),"-",
LOOKUP(B56,'Type de table'!C:C,'Type de table'!E:E)
&amp;IF(ISBLANK(C56),""," "&amp;C56)
&amp;IF(ISBLANK(D56),""," "&amp;D56)
&amp;IF(ISBLANK(E56),""," "&amp;E56)
&amp;IF(ISBLANK(F56),""," "&amp;F56)
))</f>
        <v/>
      </c>
      <c r="K56" s="45" t="str">
        <f>IF(AND(ISBLANK(A56),ISBLANK(B56),ISBLANK(C56)),"",IF(OR(ISBLANK(A56),ISBLANK(B56),ISBLANK(C56)),"-",
LOOKUP(B56,'Type de table'!C:C,'Type de table'!F:F)
&amp;IF(ISBLANK(C56),""," "&amp;LOOKUP(C56,'Objets de gestion'!C:C,'Objets de gestion'!E:E))
&amp;IF(ISBLANK(D56),""," "&amp;LOOKUP(D56,'Objets de gestion'!C:C,'Objets de gestion'!E:E))
&amp;IF(ISBLANK(E56),""," "&amp;LOOKUP(E56,'Objets de gestion'!C:C,'Objets de gestion'!E:E))
&amp;IF(ISBLANK(F56),""," "&amp;LOOKUP(F56,'Objets de gestion'!C:C,'Objets de gestion'!E:E))
))</f>
        <v/>
      </c>
      <c r="L56" s="45" t="str">
        <f t="shared" si="0"/>
        <v/>
      </c>
    </row>
    <row r="57" spans="7:12" x14ac:dyDescent="0.25">
      <c r="G57" s="22" t="str">
        <f>IF(ISBLANK(A57),"",LOOKUP(A57,BIB!A:A,BIB!C:C))</f>
        <v/>
      </c>
      <c r="H57" s="46" t="str">
        <f>IF(AND(ISBLANK(A57),ISBLANK(B57),ISBLANK(C57)),"",IF(OR(ISBLANK(A57),ISBLANK(B57),ISBLANK(C57)),"-",LEN(Tableau4[[#This Row],[Colonne9]])))</f>
        <v/>
      </c>
      <c r="I57" s="45" t="str">
        <f>IF(AND(ISBLANK(A57),ISBLANK(B57),ISBLANK(C57)),"",IF(OR(ISBLANK(A57),ISBLANK(B57),ISBLANK(C57)),"à compléter",UPPER(LOOKUP(A57,BIB!A:A,BIB!B:B)&amp;LOOKUP(B57,'Type de table'!C:C,'Type de table'!B:B)
&amp;IF(COUNTIF('Objets de gestion'!C:C,F57)=0,"","_"&amp;LOOKUP(F57,'Objets de gestion'!C:C,'Objets de gestion'!F:F))
&amp;IF(COUNTIF('Objets de gestion'!C:C,E57)=0,"","_"&amp;LOOKUP(E57,'Objets de gestion'!C:C,'Objets de gestion'!F:F))
&amp;IF(COUNTIF('Objets de gestion'!C:C,D57)=0,"","_"&amp;LOOKUP(D57,'Objets de gestion'!C:C,'Objets de gestion'!F:F))
&amp;IF(COUNTIF('Objets de gestion'!C:C,C57)=0,"","_"&amp;LOOKUP(C57,'Objets de gestion'!C:C,'Objets de gestion'!F:F))
)))</f>
        <v/>
      </c>
      <c r="J57" s="45" t="str">
        <f>IF(AND(ISBLANK(A57),ISBLANK(B57),ISBLANK(C57)),"",IF(OR(ISBLANK(A57),ISBLANK(B57),ISBLANK(C57)),"-",
LOOKUP(B57,'Type de table'!C:C,'Type de table'!E:E)
&amp;IF(ISBLANK(C57),""," "&amp;C57)
&amp;IF(ISBLANK(D57),""," "&amp;D57)
&amp;IF(ISBLANK(E57),""," "&amp;E57)
&amp;IF(ISBLANK(F57),""," "&amp;F57)
))</f>
        <v/>
      </c>
      <c r="K57" s="45" t="str">
        <f>IF(AND(ISBLANK(A57),ISBLANK(B57),ISBLANK(C57)),"",IF(OR(ISBLANK(A57),ISBLANK(B57),ISBLANK(C57)),"-",
LOOKUP(B57,'Type de table'!C:C,'Type de table'!F:F)
&amp;IF(ISBLANK(C57),""," "&amp;LOOKUP(C57,'Objets de gestion'!C:C,'Objets de gestion'!E:E))
&amp;IF(ISBLANK(D57),""," "&amp;LOOKUP(D57,'Objets de gestion'!C:C,'Objets de gestion'!E:E))
&amp;IF(ISBLANK(E57),""," "&amp;LOOKUP(E57,'Objets de gestion'!C:C,'Objets de gestion'!E:E))
&amp;IF(ISBLANK(F57),""," "&amp;LOOKUP(F57,'Objets de gestion'!C:C,'Objets de gestion'!E:E))
))</f>
        <v/>
      </c>
      <c r="L57" s="45" t="str">
        <f t="shared" si="0"/>
        <v/>
      </c>
    </row>
    <row r="58" spans="7:12" x14ac:dyDescent="0.25">
      <c r="G58" s="22" t="str">
        <f>IF(ISBLANK(A58),"",LOOKUP(A58,BIB!A:A,BIB!C:C))</f>
        <v/>
      </c>
      <c r="H58" s="46" t="str">
        <f>IF(AND(ISBLANK(A58),ISBLANK(B58),ISBLANK(C58)),"",IF(OR(ISBLANK(A58),ISBLANK(B58),ISBLANK(C58)),"-",LEN(Tableau4[[#This Row],[Colonne9]])))</f>
        <v/>
      </c>
      <c r="I58" s="45" t="str">
        <f>IF(AND(ISBLANK(A58),ISBLANK(B58),ISBLANK(C58)),"",IF(OR(ISBLANK(A58),ISBLANK(B58),ISBLANK(C58)),"à compléter",UPPER(LOOKUP(A58,BIB!A:A,BIB!B:B)&amp;LOOKUP(B58,'Type de table'!C:C,'Type de table'!B:B)
&amp;IF(COUNTIF('Objets de gestion'!C:C,F58)=0,"","_"&amp;LOOKUP(F58,'Objets de gestion'!C:C,'Objets de gestion'!F:F))
&amp;IF(COUNTIF('Objets de gestion'!C:C,E58)=0,"","_"&amp;LOOKUP(E58,'Objets de gestion'!C:C,'Objets de gestion'!F:F))
&amp;IF(COUNTIF('Objets de gestion'!C:C,D58)=0,"","_"&amp;LOOKUP(D58,'Objets de gestion'!C:C,'Objets de gestion'!F:F))
&amp;IF(COUNTIF('Objets de gestion'!C:C,C58)=0,"","_"&amp;LOOKUP(C58,'Objets de gestion'!C:C,'Objets de gestion'!F:F))
)))</f>
        <v/>
      </c>
      <c r="J58" s="45" t="str">
        <f>IF(AND(ISBLANK(A58),ISBLANK(B58),ISBLANK(C58)),"",IF(OR(ISBLANK(A58),ISBLANK(B58),ISBLANK(C58)),"-",
LOOKUP(B58,'Type de table'!C:C,'Type de table'!E:E)
&amp;IF(ISBLANK(C58),""," "&amp;C58)
&amp;IF(ISBLANK(D58),""," "&amp;D58)
&amp;IF(ISBLANK(E58),""," "&amp;E58)
&amp;IF(ISBLANK(F58),""," "&amp;F58)
))</f>
        <v/>
      </c>
      <c r="K58" s="45" t="str">
        <f>IF(AND(ISBLANK(A58),ISBLANK(B58),ISBLANK(C58)),"",IF(OR(ISBLANK(A58),ISBLANK(B58),ISBLANK(C58)),"-",
LOOKUP(B58,'Type de table'!C:C,'Type de table'!F:F)
&amp;IF(ISBLANK(C58),""," "&amp;LOOKUP(C58,'Objets de gestion'!C:C,'Objets de gestion'!E:E))
&amp;IF(ISBLANK(D58),""," "&amp;LOOKUP(D58,'Objets de gestion'!C:C,'Objets de gestion'!E:E))
&amp;IF(ISBLANK(E58),""," "&amp;LOOKUP(E58,'Objets de gestion'!C:C,'Objets de gestion'!E:E))
&amp;IF(ISBLANK(F58),""," "&amp;LOOKUP(F58,'Objets de gestion'!C:C,'Objets de gestion'!E:E))
))</f>
        <v/>
      </c>
      <c r="L58" s="45" t="str">
        <f t="shared" si="0"/>
        <v/>
      </c>
    </row>
    <row r="59" spans="7:12" x14ac:dyDescent="0.25">
      <c r="G59" s="22" t="str">
        <f>IF(ISBLANK(A59),"",LOOKUP(A59,BIB!A:A,BIB!C:C))</f>
        <v/>
      </c>
      <c r="H59" s="46" t="str">
        <f>IF(AND(ISBLANK(A59),ISBLANK(B59),ISBLANK(C59)),"",IF(OR(ISBLANK(A59),ISBLANK(B59),ISBLANK(C59)),"-",LEN(Tableau4[[#This Row],[Colonne9]])))</f>
        <v/>
      </c>
      <c r="I59" s="45" t="str">
        <f>IF(AND(ISBLANK(A59),ISBLANK(B59),ISBLANK(C59)),"",IF(OR(ISBLANK(A59),ISBLANK(B59),ISBLANK(C59)),"à compléter",UPPER(LOOKUP(A59,BIB!A:A,BIB!B:B)&amp;LOOKUP(B59,'Type de table'!C:C,'Type de table'!B:B)
&amp;IF(COUNTIF('Objets de gestion'!C:C,F59)=0,"","_"&amp;LOOKUP(F59,'Objets de gestion'!C:C,'Objets de gestion'!F:F))
&amp;IF(COUNTIF('Objets de gestion'!C:C,E59)=0,"","_"&amp;LOOKUP(E59,'Objets de gestion'!C:C,'Objets de gestion'!F:F))
&amp;IF(COUNTIF('Objets de gestion'!C:C,D59)=0,"","_"&amp;LOOKUP(D59,'Objets de gestion'!C:C,'Objets de gestion'!F:F))
&amp;IF(COUNTIF('Objets de gestion'!C:C,C59)=0,"","_"&amp;LOOKUP(C59,'Objets de gestion'!C:C,'Objets de gestion'!F:F))
)))</f>
        <v/>
      </c>
      <c r="J59" s="45" t="str">
        <f>IF(AND(ISBLANK(A59),ISBLANK(B59),ISBLANK(C59)),"",IF(OR(ISBLANK(A59),ISBLANK(B59),ISBLANK(C59)),"-",
LOOKUP(B59,'Type de table'!C:C,'Type de table'!E:E)
&amp;IF(ISBLANK(C59),""," "&amp;C59)
&amp;IF(ISBLANK(D59),""," "&amp;D59)
&amp;IF(ISBLANK(E59),""," "&amp;E59)
&amp;IF(ISBLANK(F59),""," "&amp;F59)
))</f>
        <v/>
      </c>
      <c r="K59" s="45" t="str">
        <f>IF(AND(ISBLANK(A59),ISBLANK(B59),ISBLANK(C59)),"",IF(OR(ISBLANK(A59),ISBLANK(B59),ISBLANK(C59)),"-",
LOOKUP(B59,'Type de table'!C:C,'Type de table'!F:F)
&amp;IF(ISBLANK(C59),""," "&amp;LOOKUP(C59,'Objets de gestion'!C:C,'Objets de gestion'!E:E))
&amp;IF(ISBLANK(D59),""," "&amp;LOOKUP(D59,'Objets de gestion'!C:C,'Objets de gestion'!E:E))
&amp;IF(ISBLANK(E59),""," "&amp;LOOKUP(E59,'Objets de gestion'!C:C,'Objets de gestion'!E:E))
&amp;IF(ISBLANK(F59),""," "&amp;LOOKUP(F59,'Objets de gestion'!C:C,'Objets de gestion'!E:E))
))</f>
        <v/>
      </c>
      <c r="L59" s="45" t="str">
        <f t="shared" si="0"/>
        <v/>
      </c>
    </row>
    <row r="60" spans="7:12" x14ac:dyDescent="0.25">
      <c r="G60" s="22" t="str">
        <f>IF(ISBLANK(A60),"",LOOKUP(A60,BIB!A:A,BIB!C:C))</f>
        <v/>
      </c>
      <c r="H60" s="46" t="str">
        <f>IF(AND(ISBLANK(A60),ISBLANK(B60),ISBLANK(C60)),"",IF(OR(ISBLANK(A60),ISBLANK(B60),ISBLANK(C60)),"-",LEN(Tableau4[[#This Row],[Colonne9]])))</f>
        <v/>
      </c>
      <c r="I60" s="45" t="str">
        <f>IF(AND(ISBLANK(A60),ISBLANK(B60),ISBLANK(C60)),"",IF(OR(ISBLANK(A60),ISBLANK(B60),ISBLANK(C60)),"à compléter",UPPER(LOOKUP(A60,BIB!A:A,BIB!B:B)&amp;LOOKUP(B60,'Type de table'!C:C,'Type de table'!B:B)
&amp;IF(COUNTIF('Objets de gestion'!C:C,F60)=0,"","_"&amp;LOOKUP(F60,'Objets de gestion'!C:C,'Objets de gestion'!F:F))
&amp;IF(COUNTIF('Objets de gestion'!C:C,E60)=0,"","_"&amp;LOOKUP(E60,'Objets de gestion'!C:C,'Objets de gestion'!F:F))
&amp;IF(COUNTIF('Objets de gestion'!C:C,D60)=0,"","_"&amp;LOOKUP(D60,'Objets de gestion'!C:C,'Objets de gestion'!F:F))
&amp;IF(COUNTIF('Objets de gestion'!C:C,C60)=0,"","_"&amp;LOOKUP(C60,'Objets de gestion'!C:C,'Objets de gestion'!F:F))
)))</f>
        <v/>
      </c>
      <c r="J60" s="45" t="str">
        <f>IF(AND(ISBLANK(A60),ISBLANK(B60),ISBLANK(C60)),"",IF(OR(ISBLANK(A60),ISBLANK(B60),ISBLANK(C60)),"-",
LOOKUP(B60,'Type de table'!C:C,'Type de table'!E:E)
&amp;IF(ISBLANK(C60),""," "&amp;C60)
&amp;IF(ISBLANK(D60),""," "&amp;D60)
&amp;IF(ISBLANK(E60),""," "&amp;E60)
&amp;IF(ISBLANK(F60),""," "&amp;F60)
))</f>
        <v/>
      </c>
      <c r="K60" s="45" t="str">
        <f>IF(AND(ISBLANK(A60),ISBLANK(B60),ISBLANK(C60)),"",IF(OR(ISBLANK(A60),ISBLANK(B60),ISBLANK(C60)),"-",
LOOKUP(B60,'Type de table'!C:C,'Type de table'!F:F)
&amp;IF(ISBLANK(C60),""," "&amp;LOOKUP(C60,'Objets de gestion'!C:C,'Objets de gestion'!E:E))
&amp;IF(ISBLANK(D60),""," "&amp;LOOKUP(D60,'Objets de gestion'!C:C,'Objets de gestion'!E:E))
&amp;IF(ISBLANK(E60),""," "&amp;LOOKUP(E60,'Objets de gestion'!C:C,'Objets de gestion'!E:E))
&amp;IF(ISBLANK(F60),""," "&amp;LOOKUP(F60,'Objets de gestion'!C:C,'Objets de gestion'!E:E))
))</f>
        <v/>
      </c>
      <c r="L60" s="45" t="str">
        <f t="shared" si="0"/>
        <v/>
      </c>
    </row>
    <row r="61" spans="7:12" x14ac:dyDescent="0.25">
      <c r="G61" s="22" t="str">
        <f>IF(ISBLANK(A61),"",LOOKUP(A61,BIB!A:A,BIB!C:C))</f>
        <v/>
      </c>
      <c r="H61" s="46" t="str">
        <f>IF(AND(ISBLANK(A61),ISBLANK(B61),ISBLANK(C61)),"",IF(OR(ISBLANK(A61),ISBLANK(B61),ISBLANK(C61)),"-",LEN(Tableau4[[#This Row],[Colonne9]])))</f>
        <v/>
      </c>
      <c r="I61" s="45" t="str">
        <f>IF(AND(ISBLANK(A61),ISBLANK(B61),ISBLANK(C61)),"",IF(OR(ISBLANK(A61),ISBLANK(B61),ISBLANK(C61)),"à compléter",UPPER(LOOKUP(A61,BIB!A:A,BIB!B:B)&amp;LOOKUP(B61,'Type de table'!C:C,'Type de table'!B:B)
&amp;IF(COUNTIF('Objets de gestion'!C:C,F61)=0,"","_"&amp;LOOKUP(F61,'Objets de gestion'!C:C,'Objets de gestion'!F:F))
&amp;IF(COUNTIF('Objets de gestion'!C:C,E61)=0,"","_"&amp;LOOKUP(E61,'Objets de gestion'!C:C,'Objets de gestion'!F:F))
&amp;IF(COUNTIF('Objets de gestion'!C:C,D61)=0,"","_"&amp;LOOKUP(D61,'Objets de gestion'!C:C,'Objets de gestion'!F:F))
&amp;IF(COUNTIF('Objets de gestion'!C:C,C61)=0,"","_"&amp;LOOKUP(C61,'Objets de gestion'!C:C,'Objets de gestion'!F:F))
)))</f>
        <v/>
      </c>
      <c r="J61" s="45" t="str">
        <f>IF(AND(ISBLANK(A61),ISBLANK(B61),ISBLANK(C61)),"",IF(OR(ISBLANK(A61),ISBLANK(B61),ISBLANK(C61)),"-",
LOOKUP(B61,'Type de table'!C:C,'Type de table'!E:E)
&amp;IF(ISBLANK(C61),""," "&amp;C61)
&amp;IF(ISBLANK(D61),""," "&amp;D61)
&amp;IF(ISBLANK(E61),""," "&amp;E61)
&amp;IF(ISBLANK(F61),""," "&amp;F61)
))</f>
        <v/>
      </c>
      <c r="K61" s="45" t="str">
        <f>IF(AND(ISBLANK(A61),ISBLANK(B61),ISBLANK(C61)),"",IF(OR(ISBLANK(A61),ISBLANK(B61),ISBLANK(C61)),"-",
LOOKUP(B61,'Type de table'!C:C,'Type de table'!F:F)
&amp;IF(ISBLANK(C61),""," "&amp;LOOKUP(C61,'Objets de gestion'!C:C,'Objets de gestion'!E:E))
&amp;IF(ISBLANK(D61),""," "&amp;LOOKUP(D61,'Objets de gestion'!C:C,'Objets de gestion'!E:E))
&amp;IF(ISBLANK(E61),""," "&amp;LOOKUP(E61,'Objets de gestion'!C:C,'Objets de gestion'!E:E))
&amp;IF(ISBLANK(F61),""," "&amp;LOOKUP(F61,'Objets de gestion'!C:C,'Objets de gestion'!E:E))
))</f>
        <v/>
      </c>
      <c r="L61" s="45" t="str">
        <f t="shared" si="0"/>
        <v/>
      </c>
    </row>
    <row r="62" spans="7:12" x14ac:dyDescent="0.25">
      <c r="G62" s="22" t="str">
        <f>IF(ISBLANK(A62),"",LOOKUP(A62,BIB!A:A,BIB!C:C))</f>
        <v/>
      </c>
      <c r="H62" s="46" t="str">
        <f>IF(AND(ISBLANK(A62),ISBLANK(B62),ISBLANK(C62)),"",IF(OR(ISBLANK(A62),ISBLANK(B62),ISBLANK(C62)),"-",LEN(Tableau4[[#This Row],[Colonne9]])))</f>
        <v/>
      </c>
      <c r="I62" s="45" t="str">
        <f>IF(AND(ISBLANK(A62),ISBLANK(B62),ISBLANK(C62)),"",IF(OR(ISBLANK(A62),ISBLANK(B62),ISBLANK(C62)),"à compléter",UPPER(LOOKUP(A62,BIB!A:A,BIB!B:B)&amp;LOOKUP(B62,'Type de table'!C:C,'Type de table'!B:B)
&amp;IF(COUNTIF('Objets de gestion'!C:C,F62)=0,"","_"&amp;LOOKUP(F62,'Objets de gestion'!C:C,'Objets de gestion'!F:F))
&amp;IF(COUNTIF('Objets de gestion'!C:C,E62)=0,"","_"&amp;LOOKUP(E62,'Objets de gestion'!C:C,'Objets de gestion'!F:F))
&amp;IF(COUNTIF('Objets de gestion'!C:C,D62)=0,"","_"&amp;LOOKUP(D62,'Objets de gestion'!C:C,'Objets de gestion'!F:F))
&amp;IF(COUNTIF('Objets de gestion'!C:C,C62)=0,"","_"&amp;LOOKUP(C62,'Objets de gestion'!C:C,'Objets de gestion'!F:F))
)))</f>
        <v/>
      </c>
      <c r="J62" s="45" t="str">
        <f>IF(AND(ISBLANK(A62),ISBLANK(B62),ISBLANK(C62)),"",IF(OR(ISBLANK(A62),ISBLANK(B62),ISBLANK(C62)),"-",
LOOKUP(B62,'Type de table'!C:C,'Type de table'!E:E)
&amp;IF(ISBLANK(C62),""," "&amp;C62)
&amp;IF(ISBLANK(D62),""," "&amp;D62)
&amp;IF(ISBLANK(E62),""," "&amp;E62)
&amp;IF(ISBLANK(F62),""," "&amp;F62)
))</f>
        <v/>
      </c>
      <c r="K62" s="45" t="str">
        <f>IF(AND(ISBLANK(A62),ISBLANK(B62),ISBLANK(C62)),"",IF(OR(ISBLANK(A62),ISBLANK(B62),ISBLANK(C62)),"-",
LOOKUP(B62,'Type de table'!C:C,'Type de table'!F:F)
&amp;IF(ISBLANK(C62),""," "&amp;LOOKUP(C62,'Objets de gestion'!C:C,'Objets de gestion'!E:E))
&amp;IF(ISBLANK(D62),""," "&amp;LOOKUP(D62,'Objets de gestion'!C:C,'Objets de gestion'!E:E))
&amp;IF(ISBLANK(E62),""," "&amp;LOOKUP(E62,'Objets de gestion'!C:C,'Objets de gestion'!E:E))
&amp;IF(ISBLANK(F62),""," "&amp;LOOKUP(F62,'Objets de gestion'!C:C,'Objets de gestion'!E:E))
))</f>
        <v/>
      </c>
      <c r="L62" s="45" t="str">
        <f t="shared" si="0"/>
        <v/>
      </c>
    </row>
    <row r="63" spans="7:12" x14ac:dyDescent="0.25">
      <c r="G63" s="22" t="str">
        <f>IF(ISBLANK(A63),"",LOOKUP(A63,BIB!A:A,BIB!C:C))</f>
        <v/>
      </c>
      <c r="H63" s="46" t="str">
        <f>IF(AND(ISBLANK(A63),ISBLANK(B63),ISBLANK(C63)),"",IF(OR(ISBLANK(A63),ISBLANK(B63),ISBLANK(C63)),"-",LEN(Tableau4[[#This Row],[Colonne9]])))</f>
        <v/>
      </c>
      <c r="I63" s="45" t="str">
        <f>IF(AND(ISBLANK(A63),ISBLANK(B63),ISBLANK(C63)),"",IF(OR(ISBLANK(A63),ISBLANK(B63),ISBLANK(C63)),"à compléter",UPPER(LOOKUP(A63,BIB!A:A,BIB!B:B)&amp;LOOKUP(B63,'Type de table'!C:C,'Type de table'!B:B)
&amp;IF(COUNTIF('Objets de gestion'!C:C,F63)=0,"","_"&amp;LOOKUP(F63,'Objets de gestion'!C:C,'Objets de gestion'!F:F))
&amp;IF(COUNTIF('Objets de gestion'!C:C,E63)=0,"","_"&amp;LOOKUP(E63,'Objets de gestion'!C:C,'Objets de gestion'!F:F))
&amp;IF(COUNTIF('Objets de gestion'!C:C,D63)=0,"","_"&amp;LOOKUP(D63,'Objets de gestion'!C:C,'Objets de gestion'!F:F))
&amp;IF(COUNTIF('Objets de gestion'!C:C,C63)=0,"","_"&amp;LOOKUP(C63,'Objets de gestion'!C:C,'Objets de gestion'!F:F))
)))</f>
        <v/>
      </c>
      <c r="J63" s="45" t="str">
        <f>IF(AND(ISBLANK(A63),ISBLANK(B63),ISBLANK(C63)),"",IF(OR(ISBLANK(A63),ISBLANK(B63),ISBLANK(C63)),"-",
LOOKUP(B63,'Type de table'!C:C,'Type de table'!E:E)
&amp;IF(ISBLANK(C63),""," "&amp;C63)
&amp;IF(ISBLANK(D63),""," "&amp;D63)
&amp;IF(ISBLANK(E63),""," "&amp;E63)
&amp;IF(ISBLANK(F63),""," "&amp;F63)
))</f>
        <v/>
      </c>
      <c r="K63" s="45" t="str">
        <f>IF(AND(ISBLANK(A63),ISBLANK(B63),ISBLANK(C63)),"",IF(OR(ISBLANK(A63),ISBLANK(B63),ISBLANK(C63)),"-",
LOOKUP(B63,'Type de table'!C:C,'Type de table'!F:F)
&amp;IF(ISBLANK(C63),""," "&amp;LOOKUP(C63,'Objets de gestion'!C:C,'Objets de gestion'!E:E))
&amp;IF(ISBLANK(D63),""," "&amp;LOOKUP(D63,'Objets de gestion'!C:C,'Objets de gestion'!E:E))
&amp;IF(ISBLANK(E63),""," "&amp;LOOKUP(E63,'Objets de gestion'!C:C,'Objets de gestion'!E:E))
&amp;IF(ISBLANK(F63),""," "&amp;LOOKUP(F63,'Objets de gestion'!C:C,'Objets de gestion'!E:E))
))</f>
        <v/>
      </c>
      <c r="L63" s="45" t="str">
        <f t="shared" si="0"/>
        <v/>
      </c>
    </row>
    <row r="64" spans="7:12" x14ac:dyDescent="0.25">
      <c r="G64" s="22" t="str">
        <f>IF(ISBLANK(A64),"",LOOKUP(A64,BIB!A:A,BIB!C:C))</f>
        <v/>
      </c>
      <c r="H64" s="46" t="str">
        <f>IF(AND(ISBLANK(A64),ISBLANK(B64),ISBLANK(C64)),"",IF(OR(ISBLANK(A64),ISBLANK(B64),ISBLANK(C64)),"-",LEN(Tableau4[[#This Row],[Colonne9]])))</f>
        <v/>
      </c>
      <c r="I64" s="45" t="str">
        <f>IF(AND(ISBLANK(A64),ISBLANK(B64),ISBLANK(C64)),"",IF(OR(ISBLANK(A64),ISBLANK(B64),ISBLANK(C64)),"à compléter",UPPER(LOOKUP(A64,BIB!A:A,BIB!B:B)&amp;LOOKUP(B64,'Type de table'!C:C,'Type de table'!B:B)
&amp;IF(COUNTIF('Objets de gestion'!C:C,F64)=0,"","_"&amp;LOOKUP(F64,'Objets de gestion'!C:C,'Objets de gestion'!F:F))
&amp;IF(COUNTIF('Objets de gestion'!C:C,E64)=0,"","_"&amp;LOOKUP(E64,'Objets de gestion'!C:C,'Objets de gestion'!F:F))
&amp;IF(COUNTIF('Objets de gestion'!C:C,D64)=0,"","_"&amp;LOOKUP(D64,'Objets de gestion'!C:C,'Objets de gestion'!F:F))
&amp;IF(COUNTIF('Objets de gestion'!C:C,C64)=0,"","_"&amp;LOOKUP(C64,'Objets de gestion'!C:C,'Objets de gestion'!F:F))
)))</f>
        <v/>
      </c>
      <c r="J64" s="45" t="str">
        <f>IF(AND(ISBLANK(A64),ISBLANK(B64),ISBLANK(C64)),"",IF(OR(ISBLANK(A64),ISBLANK(B64),ISBLANK(C64)),"-",
LOOKUP(B64,'Type de table'!C:C,'Type de table'!E:E)
&amp;IF(ISBLANK(C64),""," "&amp;C64)
&amp;IF(ISBLANK(D64),""," "&amp;D64)
&amp;IF(ISBLANK(E64),""," "&amp;E64)
&amp;IF(ISBLANK(F64),""," "&amp;F64)
))</f>
        <v/>
      </c>
      <c r="K64" s="45" t="str">
        <f>IF(AND(ISBLANK(A64),ISBLANK(B64),ISBLANK(C64)),"",IF(OR(ISBLANK(A64),ISBLANK(B64),ISBLANK(C64)),"-",
LOOKUP(B64,'Type de table'!C:C,'Type de table'!F:F)
&amp;IF(ISBLANK(C64),""," "&amp;LOOKUP(C64,'Objets de gestion'!C:C,'Objets de gestion'!E:E))
&amp;IF(ISBLANK(D64),""," "&amp;LOOKUP(D64,'Objets de gestion'!C:C,'Objets de gestion'!E:E))
&amp;IF(ISBLANK(E64),""," "&amp;LOOKUP(E64,'Objets de gestion'!C:C,'Objets de gestion'!E:E))
&amp;IF(ISBLANK(F64),""," "&amp;LOOKUP(F64,'Objets de gestion'!C:C,'Objets de gestion'!E:E))
))</f>
        <v/>
      </c>
      <c r="L64" s="45" t="str">
        <f t="shared" si="0"/>
        <v/>
      </c>
    </row>
    <row r="65" spans="7:12" x14ac:dyDescent="0.25">
      <c r="G65" s="22" t="str">
        <f>IF(ISBLANK(A65),"",LOOKUP(A65,BIB!A:A,BIB!C:C))</f>
        <v/>
      </c>
      <c r="H65" s="46" t="str">
        <f>IF(AND(ISBLANK(A65),ISBLANK(B65),ISBLANK(C65)),"",IF(OR(ISBLANK(A65),ISBLANK(B65),ISBLANK(C65)),"-",LEN(Tableau4[[#This Row],[Colonne9]])))</f>
        <v/>
      </c>
      <c r="I65" s="45" t="str">
        <f>IF(AND(ISBLANK(A65),ISBLANK(B65),ISBLANK(C65)),"",IF(OR(ISBLANK(A65),ISBLANK(B65),ISBLANK(C65)),"à compléter",UPPER(LOOKUP(A65,BIB!A:A,BIB!B:B)&amp;LOOKUP(B65,'Type de table'!C:C,'Type de table'!B:B)
&amp;IF(COUNTIF('Objets de gestion'!C:C,F65)=0,"","_"&amp;LOOKUP(F65,'Objets de gestion'!C:C,'Objets de gestion'!F:F))
&amp;IF(COUNTIF('Objets de gestion'!C:C,E65)=0,"","_"&amp;LOOKUP(E65,'Objets de gestion'!C:C,'Objets de gestion'!F:F))
&amp;IF(COUNTIF('Objets de gestion'!C:C,D65)=0,"","_"&amp;LOOKUP(D65,'Objets de gestion'!C:C,'Objets de gestion'!F:F))
&amp;IF(COUNTIF('Objets de gestion'!C:C,C65)=0,"","_"&amp;LOOKUP(C65,'Objets de gestion'!C:C,'Objets de gestion'!F:F))
)))</f>
        <v/>
      </c>
      <c r="J65" s="45" t="str">
        <f>IF(AND(ISBLANK(A65),ISBLANK(B65),ISBLANK(C65)),"",IF(OR(ISBLANK(A65),ISBLANK(B65),ISBLANK(C65)),"-",
LOOKUP(B65,'Type de table'!C:C,'Type de table'!E:E)
&amp;IF(ISBLANK(C65),""," "&amp;C65)
&amp;IF(ISBLANK(D65),""," "&amp;D65)
&amp;IF(ISBLANK(E65),""," "&amp;E65)
&amp;IF(ISBLANK(F65),""," "&amp;F65)
))</f>
        <v/>
      </c>
      <c r="K65" s="45" t="str">
        <f>IF(AND(ISBLANK(A65),ISBLANK(B65),ISBLANK(C65)),"",IF(OR(ISBLANK(A65),ISBLANK(B65),ISBLANK(C65)),"-",
LOOKUP(B65,'Type de table'!C:C,'Type de table'!F:F)
&amp;IF(ISBLANK(C65),""," "&amp;LOOKUP(C65,'Objets de gestion'!C:C,'Objets de gestion'!E:E))
&amp;IF(ISBLANK(D65),""," "&amp;LOOKUP(D65,'Objets de gestion'!C:C,'Objets de gestion'!E:E))
&amp;IF(ISBLANK(E65),""," "&amp;LOOKUP(E65,'Objets de gestion'!C:C,'Objets de gestion'!E:E))
&amp;IF(ISBLANK(F65),""," "&amp;LOOKUP(F65,'Objets de gestion'!C:C,'Objets de gestion'!E:E))
))</f>
        <v/>
      </c>
      <c r="L65" s="45" t="str">
        <f t="shared" ref="L65:L72" si="1">IF(AND(ISBLANK(A65),ISBLANK(B65),ISBLANK(C65)),"",IF(OR(ISBLANK(A65),ISBLANK(B65),ISBLANK(C65)),"-",B65))</f>
        <v/>
      </c>
    </row>
    <row r="66" spans="7:12" x14ac:dyDescent="0.25">
      <c r="G66" s="22" t="str">
        <f>IF(ISBLANK(A66),"",LOOKUP(A66,BIB!A:A,BIB!C:C))</f>
        <v/>
      </c>
      <c r="H66" s="46" t="str">
        <f>IF(AND(ISBLANK(A66),ISBLANK(B66),ISBLANK(C66)),"",IF(OR(ISBLANK(A66),ISBLANK(B66),ISBLANK(C66)),"-",LEN(Tableau4[[#This Row],[Colonne9]])))</f>
        <v/>
      </c>
      <c r="I66" s="45" t="str">
        <f>IF(AND(ISBLANK(A66),ISBLANK(B66),ISBLANK(C66)),"",IF(OR(ISBLANK(A66),ISBLANK(B66),ISBLANK(C66)),"à compléter",UPPER(LOOKUP(A66,BIB!A:A,BIB!B:B)&amp;LOOKUP(B66,'Type de table'!C:C,'Type de table'!B:B)
&amp;IF(COUNTIF('Objets de gestion'!C:C,F66)=0,"","_"&amp;LOOKUP(F66,'Objets de gestion'!C:C,'Objets de gestion'!F:F))
&amp;IF(COUNTIF('Objets de gestion'!C:C,E66)=0,"","_"&amp;LOOKUP(E66,'Objets de gestion'!C:C,'Objets de gestion'!F:F))
&amp;IF(COUNTIF('Objets de gestion'!C:C,D66)=0,"","_"&amp;LOOKUP(D66,'Objets de gestion'!C:C,'Objets de gestion'!F:F))
&amp;IF(COUNTIF('Objets de gestion'!C:C,C66)=0,"","_"&amp;LOOKUP(C66,'Objets de gestion'!C:C,'Objets de gestion'!F:F))
)))</f>
        <v/>
      </c>
      <c r="J66" s="45" t="str">
        <f>IF(AND(ISBLANK(A66),ISBLANK(B66),ISBLANK(C66)),"",IF(OR(ISBLANK(A66),ISBLANK(B66),ISBLANK(C66)),"-",
LOOKUP(B66,'Type de table'!C:C,'Type de table'!E:E)
&amp;IF(ISBLANK(C66),""," "&amp;C66)
&amp;IF(ISBLANK(D66),""," "&amp;D66)
&amp;IF(ISBLANK(E66),""," "&amp;E66)
&amp;IF(ISBLANK(F66),""," "&amp;F66)
))</f>
        <v/>
      </c>
      <c r="K66" s="45" t="str">
        <f>IF(AND(ISBLANK(A66),ISBLANK(B66),ISBLANK(C66)),"",IF(OR(ISBLANK(A66),ISBLANK(B66),ISBLANK(C66)),"-",
LOOKUP(B66,'Type de table'!C:C,'Type de table'!F:F)
&amp;IF(ISBLANK(C66),""," "&amp;LOOKUP(C66,'Objets de gestion'!C:C,'Objets de gestion'!E:E))
&amp;IF(ISBLANK(D66),""," "&amp;LOOKUP(D66,'Objets de gestion'!C:C,'Objets de gestion'!E:E))
&amp;IF(ISBLANK(E66),""," "&amp;LOOKUP(E66,'Objets de gestion'!C:C,'Objets de gestion'!E:E))
&amp;IF(ISBLANK(F66),""," "&amp;LOOKUP(F66,'Objets de gestion'!C:C,'Objets de gestion'!E:E))
))</f>
        <v/>
      </c>
      <c r="L66" s="45" t="str">
        <f t="shared" si="1"/>
        <v/>
      </c>
    </row>
    <row r="67" spans="7:12" x14ac:dyDescent="0.25">
      <c r="G67" s="22" t="str">
        <f>IF(ISBLANK(A67),"",LOOKUP(A67,BIB!A:A,BIB!C:C))</f>
        <v/>
      </c>
      <c r="H67" s="46" t="str">
        <f>IF(AND(ISBLANK(A67),ISBLANK(B67),ISBLANK(C67)),"",IF(OR(ISBLANK(A67),ISBLANK(B67),ISBLANK(C67)),"-",LEN(Tableau4[[#This Row],[Colonne9]])))</f>
        <v/>
      </c>
      <c r="I67" s="45" t="str">
        <f>IF(AND(ISBLANK(A67),ISBLANK(B67),ISBLANK(C67)),"",IF(OR(ISBLANK(A67),ISBLANK(B67),ISBLANK(C67)),"à compléter",UPPER(LOOKUP(A67,BIB!A:A,BIB!B:B)&amp;LOOKUP(B67,'Type de table'!C:C,'Type de table'!B:B)
&amp;IF(COUNTIF('Objets de gestion'!C:C,F67)=0,"","_"&amp;LOOKUP(F67,'Objets de gestion'!C:C,'Objets de gestion'!F:F))
&amp;IF(COUNTIF('Objets de gestion'!C:C,E67)=0,"","_"&amp;LOOKUP(E67,'Objets de gestion'!C:C,'Objets de gestion'!F:F))
&amp;IF(COUNTIF('Objets de gestion'!C:C,D67)=0,"","_"&amp;LOOKUP(D67,'Objets de gestion'!C:C,'Objets de gestion'!F:F))
&amp;IF(COUNTIF('Objets de gestion'!C:C,C67)=0,"","_"&amp;LOOKUP(C67,'Objets de gestion'!C:C,'Objets de gestion'!F:F))
)))</f>
        <v/>
      </c>
      <c r="J67" s="45" t="str">
        <f>IF(AND(ISBLANK(A67),ISBLANK(B67),ISBLANK(C67)),"",IF(OR(ISBLANK(A67),ISBLANK(B67),ISBLANK(C67)),"-",
LOOKUP(B67,'Type de table'!C:C,'Type de table'!E:E)
&amp;IF(ISBLANK(C67),""," "&amp;C67)
&amp;IF(ISBLANK(D67),""," "&amp;D67)
&amp;IF(ISBLANK(E67),""," "&amp;E67)
&amp;IF(ISBLANK(F67),""," "&amp;F67)
))</f>
        <v/>
      </c>
      <c r="K67" s="45" t="str">
        <f>IF(AND(ISBLANK(A67),ISBLANK(B67),ISBLANK(C67)),"",IF(OR(ISBLANK(A67),ISBLANK(B67),ISBLANK(C67)),"-",
LOOKUP(B67,'Type de table'!C:C,'Type de table'!F:F)
&amp;IF(ISBLANK(C67),""," "&amp;LOOKUP(C67,'Objets de gestion'!C:C,'Objets de gestion'!E:E))
&amp;IF(ISBLANK(D67),""," "&amp;LOOKUP(D67,'Objets de gestion'!C:C,'Objets de gestion'!E:E))
&amp;IF(ISBLANK(E67),""," "&amp;LOOKUP(E67,'Objets de gestion'!C:C,'Objets de gestion'!E:E))
&amp;IF(ISBLANK(F67),""," "&amp;LOOKUP(F67,'Objets de gestion'!C:C,'Objets de gestion'!E:E))
))</f>
        <v/>
      </c>
      <c r="L67" s="45" t="str">
        <f t="shared" si="1"/>
        <v/>
      </c>
    </row>
    <row r="68" spans="7:12" x14ac:dyDescent="0.25">
      <c r="G68" s="22" t="str">
        <f>IF(ISBLANK(A68),"",LOOKUP(A68,BIB!A:A,BIB!C:C))</f>
        <v/>
      </c>
      <c r="H68" s="46" t="str">
        <f>IF(AND(ISBLANK(A68),ISBLANK(B68),ISBLANK(C68)),"",IF(OR(ISBLANK(A68),ISBLANK(B68),ISBLANK(C68)),"-",LEN(Tableau4[[#This Row],[Colonne9]])))</f>
        <v/>
      </c>
      <c r="I68" s="45" t="str">
        <f>IF(AND(ISBLANK(A68),ISBLANK(B68),ISBLANK(C68)),"",IF(OR(ISBLANK(A68),ISBLANK(B68),ISBLANK(C68)),"à compléter",UPPER(LOOKUP(A68,BIB!A:A,BIB!B:B)&amp;LOOKUP(B68,'Type de table'!C:C,'Type de table'!B:B)
&amp;IF(COUNTIF('Objets de gestion'!C:C,F68)=0,"","_"&amp;LOOKUP(F68,'Objets de gestion'!C:C,'Objets de gestion'!F:F))
&amp;IF(COUNTIF('Objets de gestion'!C:C,E68)=0,"","_"&amp;LOOKUP(E68,'Objets de gestion'!C:C,'Objets de gestion'!F:F))
&amp;IF(COUNTIF('Objets de gestion'!C:C,D68)=0,"","_"&amp;LOOKUP(D68,'Objets de gestion'!C:C,'Objets de gestion'!F:F))
&amp;IF(COUNTIF('Objets de gestion'!C:C,C68)=0,"","_"&amp;LOOKUP(C68,'Objets de gestion'!C:C,'Objets de gestion'!F:F))
)))</f>
        <v/>
      </c>
      <c r="J68" s="45" t="str">
        <f>IF(AND(ISBLANK(A68),ISBLANK(B68),ISBLANK(C68)),"",IF(OR(ISBLANK(A68),ISBLANK(B68),ISBLANK(C68)),"-",
LOOKUP(B68,'Type de table'!C:C,'Type de table'!E:E)
&amp;IF(ISBLANK(C68),""," "&amp;C68)
&amp;IF(ISBLANK(D68),""," "&amp;D68)
&amp;IF(ISBLANK(E68),""," "&amp;E68)
&amp;IF(ISBLANK(F68),""," "&amp;F68)
))</f>
        <v/>
      </c>
      <c r="K68" s="45" t="str">
        <f>IF(AND(ISBLANK(A68),ISBLANK(B68),ISBLANK(C68)),"",IF(OR(ISBLANK(A68),ISBLANK(B68),ISBLANK(C68)),"-",
LOOKUP(B68,'Type de table'!C:C,'Type de table'!F:F)
&amp;IF(ISBLANK(C68),""," "&amp;LOOKUP(C68,'Objets de gestion'!C:C,'Objets de gestion'!E:E))
&amp;IF(ISBLANK(D68),""," "&amp;LOOKUP(D68,'Objets de gestion'!C:C,'Objets de gestion'!E:E))
&amp;IF(ISBLANK(E68),""," "&amp;LOOKUP(E68,'Objets de gestion'!C:C,'Objets de gestion'!E:E))
&amp;IF(ISBLANK(F68),""," "&amp;LOOKUP(F68,'Objets de gestion'!C:C,'Objets de gestion'!E:E))
))</f>
        <v/>
      </c>
      <c r="L68" s="45" t="str">
        <f t="shared" si="1"/>
        <v/>
      </c>
    </row>
    <row r="69" spans="7:12" x14ac:dyDescent="0.25">
      <c r="G69" s="22" t="str">
        <f>IF(ISBLANK(A69),"",LOOKUP(A69,BIB!A:A,BIB!C:C))</f>
        <v/>
      </c>
      <c r="H69" s="46" t="str">
        <f>IF(AND(ISBLANK(A69),ISBLANK(B69),ISBLANK(C69)),"",IF(OR(ISBLANK(A69),ISBLANK(B69),ISBLANK(C69)),"-",LEN(Tableau4[[#This Row],[Colonne9]])))</f>
        <v/>
      </c>
      <c r="I69" s="45" t="str">
        <f>IF(AND(ISBLANK(A69),ISBLANK(B69),ISBLANK(C69)),"",IF(OR(ISBLANK(A69),ISBLANK(B69),ISBLANK(C69)),"à compléter",UPPER(LOOKUP(A69,BIB!A:A,BIB!B:B)&amp;LOOKUP(B69,'Type de table'!C:C,'Type de table'!B:B)
&amp;IF(COUNTIF('Objets de gestion'!C:C,F69)=0,"","_"&amp;LOOKUP(F69,'Objets de gestion'!C:C,'Objets de gestion'!F:F))
&amp;IF(COUNTIF('Objets de gestion'!C:C,E69)=0,"","_"&amp;LOOKUP(E69,'Objets de gestion'!C:C,'Objets de gestion'!F:F))
&amp;IF(COUNTIF('Objets de gestion'!C:C,D69)=0,"","_"&amp;LOOKUP(D69,'Objets de gestion'!C:C,'Objets de gestion'!F:F))
&amp;IF(COUNTIF('Objets de gestion'!C:C,C69)=0,"","_"&amp;LOOKUP(C69,'Objets de gestion'!C:C,'Objets de gestion'!F:F))
)))</f>
        <v/>
      </c>
      <c r="J69" s="45" t="str">
        <f>IF(AND(ISBLANK(A69),ISBLANK(B69),ISBLANK(C69)),"",IF(OR(ISBLANK(A69),ISBLANK(B69),ISBLANK(C69)),"-",
LOOKUP(B69,'Type de table'!C:C,'Type de table'!E:E)
&amp;IF(ISBLANK(C69),""," "&amp;C69)
&amp;IF(ISBLANK(D69),""," "&amp;D69)
&amp;IF(ISBLANK(E69),""," "&amp;E69)
&amp;IF(ISBLANK(F69),""," "&amp;F69)
))</f>
        <v/>
      </c>
      <c r="K69" s="45" t="str">
        <f>IF(AND(ISBLANK(A69),ISBLANK(B69),ISBLANK(C69)),"",IF(OR(ISBLANK(A69),ISBLANK(B69),ISBLANK(C69)),"-",
LOOKUP(B69,'Type de table'!C:C,'Type de table'!F:F)
&amp;IF(ISBLANK(C69),""," "&amp;LOOKUP(C69,'Objets de gestion'!C:C,'Objets de gestion'!E:E))
&amp;IF(ISBLANK(D69),""," "&amp;LOOKUP(D69,'Objets de gestion'!C:C,'Objets de gestion'!E:E))
&amp;IF(ISBLANK(E69),""," "&amp;LOOKUP(E69,'Objets de gestion'!C:C,'Objets de gestion'!E:E))
&amp;IF(ISBLANK(F69),""," "&amp;LOOKUP(F69,'Objets de gestion'!C:C,'Objets de gestion'!E:E))
))</f>
        <v/>
      </c>
      <c r="L69" s="45" t="str">
        <f t="shared" si="1"/>
        <v/>
      </c>
    </row>
    <row r="70" spans="7:12" x14ac:dyDescent="0.25">
      <c r="G70" s="22" t="str">
        <f>IF(ISBLANK(A70),"",LOOKUP(A70,BIB!A:A,BIB!C:C))</f>
        <v/>
      </c>
      <c r="H70" s="46" t="str">
        <f>IF(AND(ISBLANK(A70),ISBLANK(B70),ISBLANK(C70)),"",IF(OR(ISBLANK(A70),ISBLANK(B70),ISBLANK(C70)),"-",LEN(Tableau4[[#This Row],[Colonne9]])))</f>
        <v/>
      </c>
      <c r="I70" s="45" t="str">
        <f>IF(AND(ISBLANK(A70),ISBLANK(B70),ISBLANK(C70)),"",IF(OR(ISBLANK(A70),ISBLANK(B70),ISBLANK(C70)),"à compléter",UPPER(LOOKUP(A70,BIB!A:A,BIB!B:B)&amp;LOOKUP(B70,'Type de table'!C:C,'Type de table'!B:B)
&amp;IF(COUNTIF('Objets de gestion'!C:C,F70)=0,"","_"&amp;LOOKUP(F70,'Objets de gestion'!C:C,'Objets de gestion'!F:F))
&amp;IF(COUNTIF('Objets de gestion'!C:C,E70)=0,"","_"&amp;LOOKUP(E70,'Objets de gestion'!C:C,'Objets de gestion'!F:F))
&amp;IF(COUNTIF('Objets de gestion'!C:C,D70)=0,"","_"&amp;LOOKUP(D70,'Objets de gestion'!C:C,'Objets de gestion'!F:F))
&amp;IF(COUNTIF('Objets de gestion'!C:C,C70)=0,"","_"&amp;LOOKUP(C70,'Objets de gestion'!C:C,'Objets de gestion'!F:F))
)))</f>
        <v/>
      </c>
      <c r="J70" s="45" t="str">
        <f>IF(AND(ISBLANK(A70),ISBLANK(B70),ISBLANK(C70)),"",IF(OR(ISBLANK(A70),ISBLANK(B70),ISBLANK(C70)),"-",
LOOKUP(B70,'Type de table'!C:C,'Type de table'!E:E)
&amp;IF(ISBLANK(C70),""," "&amp;C70)
&amp;IF(ISBLANK(D70),""," "&amp;D70)
&amp;IF(ISBLANK(E70),""," "&amp;E70)
&amp;IF(ISBLANK(F70),""," "&amp;F70)
))</f>
        <v/>
      </c>
      <c r="K70" s="45" t="str">
        <f>IF(AND(ISBLANK(A70),ISBLANK(B70),ISBLANK(C70)),"",IF(OR(ISBLANK(A70),ISBLANK(B70),ISBLANK(C70)),"-",
LOOKUP(B70,'Type de table'!C:C,'Type de table'!F:F)
&amp;IF(ISBLANK(C70),""," "&amp;LOOKUP(C70,'Objets de gestion'!C:C,'Objets de gestion'!E:E))
&amp;IF(ISBLANK(D70),""," "&amp;LOOKUP(D70,'Objets de gestion'!C:C,'Objets de gestion'!E:E))
&amp;IF(ISBLANK(E70),""," "&amp;LOOKUP(E70,'Objets de gestion'!C:C,'Objets de gestion'!E:E))
&amp;IF(ISBLANK(F70),""," "&amp;LOOKUP(F70,'Objets de gestion'!C:C,'Objets de gestion'!E:E))
))</f>
        <v/>
      </c>
      <c r="L70" s="45" t="str">
        <f t="shared" si="1"/>
        <v/>
      </c>
    </row>
    <row r="71" spans="7:12" x14ac:dyDescent="0.25">
      <c r="G71" s="22" t="str">
        <f>IF(ISBLANK(A71),"",LOOKUP(A71,BIB!A:A,BIB!C:C))</f>
        <v/>
      </c>
      <c r="H71" s="46" t="str">
        <f>IF(AND(ISBLANK(A71),ISBLANK(B71),ISBLANK(C71)),"",IF(OR(ISBLANK(A71),ISBLANK(B71),ISBLANK(C71)),"-",LEN(Tableau4[[#This Row],[Colonne9]])))</f>
        <v/>
      </c>
      <c r="I71" s="45" t="str">
        <f>IF(AND(ISBLANK(A71),ISBLANK(B71),ISBLANK(C71)),"",IF(OR(ISBLANK(A71),ISBLANK(B71),ISBLANK(C71)),"à compléter",UPPER(LOOKUP(A71,BIB!A:A,BIB!B:B)&amp;LOOKUP(B71,'Type de table'!C:C,'Type de table'!B:B)
&amp;IF(COUNTIF('Objets de gestion'!C:C,F71)=0,"","_"&amp;LOOKUP(F71,'Objets de gestion'!C:C,'Objets de gestion'!F:F))
&amp;IF(COUNTIF('Objets de gestion'!C:C,E71)=0,"","_"&amp;LOOKUP(E71,'Objets de gestion'!C:C,'Objets de gestion'!F:F))
&amp;IF(COUNTIF('Objets de gestion'!C:C,D71)=0,"","_"&amp;LOOKUP(D71,'Objets de gestion'!C:C,'Objets de gestion'!F:F))
&amp;IF(COUNTIF('Objets de gestion'!C:C,C71)=0,"","_"&amp;LOOKUP(C71,'Objets de gestion'!C:C,'Objets de gestion'!F:F))
)))</f>
        <v/>
      </c>
      <c r="J71" s="45" t="str">
        <f>IF(AND(ISBLANK(A71),ISBLANK(B71),ISBLANK(C71)),"",IF(OR(ISBLANK(A71),ISBLANK(B71),ISBLANK(C71)),"-",
LOOKUP(B71,'Type de table'!C:C,'Type de table'!E:E)
&amp;IF(ISBLANK(C71),""," "&amp;C71)
&amp;IF(ISBLANK(D71),""," "&amp;D71)
&amp;IF(ISBLANK(E71),""," "&amp;E71)
&amp;IF(ISBLANK(F71),""," "&amp;F71)
))</f>
        <v/>
      </c>
      <c r="K71" s="45" t="str">
        <f>IF(AND(ISBLANK(A71),ISBLANK(B71),ISBLANK(C71)),"",IF(OR(ISBLANK(A71),ISBLANK(B71),ISBLANK(C71)),"-",
LOOKUP(B71,'Type de table'!C:C,'Type de table'!F:F)
&amp;IF(ISBLANK(C71),""," "&amp;LOOKUP(C71,'Objets de gestion'!C:C,'Objets de gestion'!E:E))
&amp;IF(ISBLANK(D71),""," "&amp;LOOKUP(D71,'Objets de gestion'!C:C,'Objets de gestion'!E:E))
&amp;IF(ISBLANK(E71),""," "&amp;LOOKUP(E71,'Objets de gestion'!C:C,'Objets de gestion'!E:E))
&amp;IF(ISBLANK(F71),""," "&amp;LOOKUP(F71,'Objets de gestion'!C:C,'Objets de gestion'!E:E))
))</f>
        <v/>
      </c>
      <c r="L71" s="45" t="str">
        <f t="shared" si="1"/>
        <v/>
      </c>
    </row>
    <row r="72" spans="7:12" x14ac:dyDescent="0.25">
      <c r="G72" s="22" t="str">
        <f>IF(ISBLANK(A72),"",LOOKUP(A72,BIB!A:A,BIB!C:C))</f>
        <v/>
      </c>
      <c r="H72" s="46" t="str">
        <f>IF(AND(ISBLANK(A72),ISBLANK(B72),ISBLANK(C72)),"",IF(OR(ISBLANK(A72),ISBLANK(B72),ISBLANK(C72)),"-",LEN(Tableau4[[#This Row],[Colonne9]])))</f>
        <v/>
      </c>
      <c r="I72" s="45" t="str">
        <f>IF(AND(ISBLANK(A72),ISBLANK(B72),ISBLANK(C72)),"",IF(OR(ISBLANK(A72),ISBLANK(B72),ISBLANK(C72)),"à compléter",UPPER(LOOKUP(A72,BIB!A:A,BIB!B:B)&amp;LOOKUP(B72,'Type de table'!C:C,'Type de table'!B:B)
&amp;IF(COUNTIF('Objets de gestion'!C:C,F72)=0,"","_"&amp;LOOKUP(F72,'Objets de gestion'!C:C,'Objets de gestion'!F:F))
&amp;IF(COUNTIF('Objets de gestion'!C:C,E72)=0,"","_"&amp;LOOKUP(E72,'Objets de gestion'!C:C,'Objets de gestion'!F:F))
&amp;IF(COUNTIF('Objets de gestion'!C:C,D72)=0,"","_"&amp;LOOKUP(D72,'Objets de gestion'!C:C,'Objets de gestion'!F:F))
&amp;IF(COUNTIF('Objets de gestion'!C:C,C72)=0,"","_"&amp;LOOKUP(C72,'Objets de gestion'!C:C,'Objets de gestion'!F:F))
)))</f>
        <v/>
      </c>
      <c r="J72" s="45" t="str">
        <f>IF(AND(ISBLANK(A72),ISBLANK(B72),ISBLANK(C72)),"",IF(OR(ISBLANK(A72),ISBLANK(B72),ISBLANK(C72)),"-",
LOOKUP(B72,'Type de table'!C:C,'Type de table'!E:E)
&amp;IF(ISBLANK(C72),""," "&amp;C72)
&amp;IF(ISBLANK(D72),""," "&amp;D72)
&amp;IF(ISBLANK(E72),""," "&amp;E72)
&amp;IF(ISBLANK(F72),""," "&amp;F72)
))</f>
        <v/>
      </c>
      <c r="K72" s="45" t="str">
        <f>IF(AND(ISBLANK(A72),ISBLANK(B72),ISBLANK(C72)),"",IF(OR(ISBLANK(A72),ISBLANK(B72),ISBLANK(C72)),"-",
LOOKUP(B72,'Type de table'!C:C,'Type de table'!F:F)
&amp;IF(ISBLANK(C72),""," "&amp;LOOKUP(C72,'Objets de gestion'!C:C,'Objets de gestion'!E:E))
&amp;IF(ISBLANK(D72),""," "&amp;LOOKUP(D72,'Objets de gestion'!C:C,'Objets de gestion'!E:E))
&amp;IF(ISBLANK(E72),""," "&amp;LOOKUP(E72,'Objets de gestion'!C:C,'Objets de gestion'!E:E))
&amp;IF(ISBLANK(F72),""," "&amp;LOOKUP(F72,'Objets de gestion'!C:C,'Objets de gestion'!E:E))
))</f>
        <v/>
      </c>
      <c r="L72" s="45" t="str">
        <f t="shared" si="1"/>
        <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BIB!$A$2:$A$275</xm:f>
          </x14:formula1>
          <xm:sqref>A2:A1048576</xm:sqref>
        </x14:dataValidation>
        <x14:dataValidation type="list" allowBlank="1" showInputMessage="1" showErrorMessage="1">
          <x14:formula1>
            <xm:f>'Type de table'!$C$2:$C$15</xm:f>
          </x14:formula1>
          <xm:sqref>B2:B72</xm:sqref>
        </x14:dataValidation>
        <x14:dataValidation type="list" allowBlank="1" showInputMessage="1" showErrorMessage="1">
          <x14:formula1>
            <xm:f>'Objets de gestion'!$C$2:$C$10359</xm:f>
          </x14:formula1>
          <xm:sqref>C2:F72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M157"/>
  <sheetViews>
    <sheetView tabSelected="1" workbookViewId="0">
      <pane ySplit="1" topLeftCell="A2" activePane="bottomLeft" state="frozen"/>
      <selection activeCell="B1" sqref="B1"/>
      <selection pane="bottomLeft" activeCell="A14" sqref="A14"/>
    </sheetView>
  </sheetViews>
  <sheetFormatPr baseColWidth="10" defaultRowHeight="15" x14ac:dyDescent="0.25"/>
  <cols>
    <col min="1" max="1" width="46.140625" bestFit="1" customWidth="1"/>
    <col min="2" max="2" width="29.42578125" customWidth="1"/>
    <col min="3" max="3" width="12.140625" customWidth="1"/>
    <col min="4" max="4" width="26.28515625" customWidth="1"/>
    <col min="5" max="5" width="12.42578125" customWidth="1"/>
    <col min="6" max="6" width="28.140625" customWidth="1"/>
    <col min="7" max="7" width="12.5703125" customWidth="1"/>
    <col min="8" max="8" width="26.42578125" customWidth="1"/>
    <col min="9" max="9" width="11.5703125" style="27" customWidth="1"/>
    <col min="10" max="10" width="39" bestFit="1" customWidth="1"/>
    <col min="11" max="11" width="56.28515625" bestFit="1" customWidth="1"/>
    <col min="12" max="12" width="55" bestFit="1" customWidth="1"/>
    <col min="13" max="13" width="46.140625" bestFit="1" customWidth="1"/>
  </cols>
  <sheetData>
    <row r="1" spans="1:13" s="12" customFormat="1" ht="15.75" thickBot="1" x14ac:dyDescent="0.3">
      <c r="A1" s="19" t="s">
        <v>4511</v>
      </c>
      <c r="B1" s="19" t="s">
        <v>4503</v>
      </c>
      <c r="C1" s="19" t="s">
        <v>4512</v>
      </c>
      <c r="D1" s="19" t="s">
        <v>4504</v>
      </c>
      <c r="E1" s="19" t="s">
        <v>4513</v>
      </c>
      <c r="F1" s="19" t="s">
        <v>4505</v>
      </c>
      <c r="G1" s="19" t="s">
        <v>4514</v>
      </c>
      <c r="H1" s="19" t="s">
        <v>4506</v>
      </c>
      <c r="I1" s="26" t="s">
        <v>4501</v>
      </c>
      <c r="J1" s="20" t="s">
        <v>4502</v>
      </c>
      <c r="K1" s="20" t="s">
        <v>4508</v>
      </c>
      <c r="L1" s="20" t="s">
        <v>4507</v>
      </c>
      <c r="M1" s="20" t="s">
        <v>4515</v>
      </c>
    </row>
    <row r="2" spans="1:13" s="57" customFormat="1" ht="15.75" x14ac:dyDescent="0.25">
      <c r="A2" s="70" t="s">
        <v>4213</v>
      </c>
      <c r="B2" s="57" t="s">
        <v>4623</v>
      </c>
      <c r="C2" s="57" t="s">
        <v>16</v>
      </c>
      <c r="D2" s="57" t="s">
        <v>5876</v>
      </c>
      <c r="I2" s="58">
        <f>IF(AND(ISBLANK(A2),ISBLANK(B2)),"",IF(OR(ISBLANK(A2),ISBLANK(B2)),"-",LEN(Tableau47[[#This Row],[Colonne9]])))</f>
        <v>7</v>
      </c>
      <c r="J2" s="59" t="str">
        <f>IF(AND(ISBLANK(A2),ISBLANK(B2)),"",IF(OR(ISBLANK(A2),ISBLANK(B2)),"à compléter",
IF(H2=0,"",LOOKUP(H2,'Objets de gestion'!C:C,'Objets de gestion'!F:F)&amp;"_")
&amp;IF(F2=0,"",LOOKUP(F2,'Objets de gestion'!C:C,'Objets de gestion'!F:F)&amp;"_")
&amp;IF(D2=0,"",LOOKUP(D2,'Objets de gestion'!C:C,'Objets de gestion'!F:F)&amp;"_")
&amp;IF(B2=0,"",LOOKUP(B2,'Objets de gestion'!C:C,'Objets de gestion'!F:F))
))</f>
        <v>ORD_NBR</v>
      </c>
      <c r="K2" s="57" t="str">
        <f t="shared" ref="K2:K65" si="0">IF(AND(ISBLANK(A2),ISBLANK(B2)),"",IF(OR(ISBLANK(A2),ISBLANK(B2)),"-",
B2&amp;" "&amp;IF(ISBLANK(D2),"",C2&amp;" "&amp;D2&amp;" ")&amp;IF(ISBLANK(F2),"",E2&amp;" "&amp;F2&amp;" ")&amp;IF(ISBLANK(H2),"",G2&amp;" "&amp;H2&amp;" ")))</f>
        <v xml:space="preserve">numéro d' ordre </v>
      </c>
      <c r="L2" s="57" t="str">
        <f>IF(AND(ISBLANK(A2),ISBLANK(B2)),"",IF(OR(ISBLANK(A2),ISBLANK(B2)),"-",
IF(ISBLANK(B2),"",LOOKUP(B2,'Objets de gestion'!C:C,'Objets de gestion'!E:E))
&amp;IF(ISBLANK(C2),""," "&amp;LOOKUP(C2,Articles!A:A,Articles!B:B))
&amp;IF(ISBLANK(D2),""," "&amp;LOOKUP(D2,'Objets de gestion'!C:C,'Objets de gestion'!E:E))
&amp;IF(ISBLANK(E2),""," "&amp;LOOKUP(E2,Articles!A:A,Articles!B:B))
&amp;IF(ISBLANK(F2),""," "&amp;LOOKUP(F2,'Objets de gestion'!C:C,'Objets de gestion'!E:E))
&amp;IF(ISBLANK(G2),""," "&amp;LOOKUP(G2,Articles!A:A,Articles!B:B))
&amp;IF(ISBLANK(H2),""," "&amp;LOOKUP(H2,'Objets de gestion'!C:C,'Objets de gestion'!E:E))
))</f>
        <v>number of the Order</v>
      </c>
      <c r="M2" s="57" t="str">
        <f t="shared" ref="M2:M65" si="1">IF(AND(ISBLANK(A2),ISBLANK(B2)),"",IF(OR(ISBLANK(A2),ISBLANK(B2)),"-",
A2))</f>
        <v>Acteur en assurance</v>
      </c>
    </row>
    <row r="3" spans="1:13" s="57" customFormat="1" ht="15.75" x14ac:dyDescent="0.25">
      <c r="A3" s="57" t="s">
        <v>4213</v>
      </c>
      <c r="B3" s="57" t="s">
        <v>1227</v>
      </c>
      <c r="C3" s="57" t="s">
        <v>23</v>
      </c>
      <c r="D3" s="57" t="s">
        <v>1204</v>
      </c>
      <c r="I3" s="58">
        <f>IF(AND(ISBLANK(A3),ISBLANK(B3)),"",IF(OR(ISBLANK(A3),ISBLANK(B3)),"-",LEN(Tableau47[[#This Row],[Colonne9]])))</f>
        <v>10</v>
      </c>
      <c r="J3" s="59" t="str">
        <f>IF(AND(ISBLANK(A3),ISBLANK(B3)),"",IF(OR(ISBLANK(A3),ISBLANK(B3)),"à compléter",
IF(H3=0,"",LOOKUP(H3,'Objets de gestion'!C:C,'Objets de gestion'!F:F)&amp;"_")
&amp;IF(F3=0,"",LOOKUP(F3,'Objets de gestion'!C:C,'Objets de gestion'!F:F)&amp;"_")
&amp;IF(D3=0,"",LOOKUP(D3,'Objets de gestion'!C:C,'Objets de gestion'!F:F)&amp;"_")
&amp;IF(B3=0,"",LOOKUP(B3,'Objets de gestion'!C:C,'Objets de gestion'!F:F))
))</f>
        <v>LFC_STADAT</v>
      </c>
      <c r="K3" s="57" t="str">
        <f t="shared" si="0"/>
        <v xml:space="preserve">Date de début de cycle de vie </v>
      </c>
      <c r="L3" s="57" t="str">
        <f>IF(AND(ISBLANK(A3),ISBLANK(B3)),"",IF(OR(ISBLANK(A3),ISBLANK(B3)),"-",
IF(ISBLANK(B3),"",LOOKUP(B3,'Objets de gestion'!C:C,'Objets de gestion'!E:E))
&amp;IF(ISBLANK(C3),""," "&amp;LOOKUP(C3,Articles!A:A,Articles!B:B))
&amp;IF(ISBLANK(D3),""," "&amp;LOOKUP(D3,'Objets de gestion'!C:C,'Objets de gestion'!E:E))
&amp;IF(ISBLANK(E3),""," "&amp;LOOKUP(E3,Articles!A:A,Articles!B:B))
&amp;IF(ISBLANK(F3),""," "&amp;LOOKUP(F3,'Objets de gestion'!C:C,'Objets de gestion'!E:E))
&amp;IF(ISBLANK(G3),""," "&amp;LOOKUP(G3,Articles!A:A,Articles!B:B))
&amp;IF(ISBLANK(H3),""," "&amp;LOOKUP(H3,'Objets de gestion'!C:C,'Objets de gestion'!E:E))
))</f>
        <v>Start date of the lifecycle</v>
      </c>
      <c r="M3" s="57" t="str">
        <f t="shared" si="1"/>
        <v>Acteur en assurance</v>
      </c>
    </row>
    <row r="4" spans="1:13" s="57" customFormat="1" ht="15.75" x14ac:dyDescent="0.25">
      <c r="A4" s="57" t="s">
        <v>4213</v>
      </c>
      <c r="B4" s="57" t="s">
        <v>1230</v>
      </c>
      <c r="C4" s="57" t="s">
        <v>23</v>
      </c>
      <c r="D4" s="57" t="s">
        <v>1204</v>
      </c>
      <c r="I4" s="58">
        <f>IF(AND(ISBLANK(A4),ISBLANK(B4)),"",IF(OR(ISBLANK(A4),ISBLANK(B4)),"-",LEN(Tableau47[[#This Row],[Colonne9]])))</f>
        <v>10</v>
      </c>
      <c r="J4" s="59" t="str">
        <f>IF(AND(ISBLANK(A4),ISBLANK(B4)),"",IF(OR(ISBLANK(A4),ISBLANK(B4)),"à compléter",
IF(H4=0,"",LOOKUP(H4,'Objets de gestion'!C:C,'Objets de gestion'!F:F)&amp;"_")
&amp;IF(F4=0,"",LOOKUP(F4,'Objets de gestion'!C:C,'Objets de gestion'!F:F)&amp;"_")
&amp;IF(D4=0,"",LOOKUP(D4,'Objets de gestion'!C:C,'Objets de gestion'!F:F)&amp;"_")
&amp;IF(B4=0,"",LOOKUP(B4,'Objets de gestion'!C:C,'Objets de gestion'!F:F))
))</f>
        <v>LFC_ENDDAT</v>
      </c>
      <c r="K4" s="57" t="str">
        <f t="shared" ref="K4" si="2">IF(AND(ISBLANK(A4),ISBLANK(B4)),"",IF(OR(ISBLANK(A4),ISBLANK(B4)),"-",
B4&amp;" "&amp;IF(ISBLANK(D4),"",C4&amp;" "&amp;D4&amp;" ")&amp;IF(ISBLANK(F4),"",E4&amp;" "&amp;F4&amp;" ")&amp;IF(ISBLANK(H4),"",G4&amp;" "&amp;H4&amp;" ")))</f>
        <v xml:space="preserve">Date de fin de cycle de vie </v>
      </c>
      <c r="L4" s="57" t="str">
        <f>IF(AND(ISBLANK(A4),ISBLANK(B4)),"",IF(OR(ISBLANK(A4),ISBLANK(B4)),"-",
IF(ISBLANK(B4),"",LOOKUP(B4,'Objets de gestion'!C:C,'Objets de gestion'!E:E))
&amp;IF(ISBLANK(C4),""," "&amp;LOOKUP(C4,Articles!A:A,Articles!B:B))
&amp;IF(ISBLANK(D4),""," "&amp;LOOKUP(D4,'Objets de gestion'!C:C,'Objets de gestion'!E:E))
&amp;IF(ISBLANK(E4),""," "&amp;LOOKUP(E4,Articles!A:A,Articles!B:B))
&amp;IF(ISBLANK(F4),""," "&amp;LOOKUP(F4,'Objets de gestion'!C:C,'Objets de gestion'!E:E))
&amp;IF(ISBLANK(G4),""," "&amp;LOOKUP(G4,Articles!A:A,Articles!B:B))
&amp;IF(ISBLANK(H4),""," "&amp;LOOKUP(H4,'Objets de gestion'!C:C,'Objets de gestion'!E:E))
))</f>
        <v>End date of the lifecycle</v>
      </c>
      <c r="M4" s="57" t="str">
        <f t="shared" ref="M4" si="3">IF(AND(ISBLANK(A4),ISBLANK(B4)),"",IF(OR(ISBLANK(A4),ISBLANK(B4)),"-",
A4))</f>
        <v>Acteur en assurance</v>
      </c>
    </row>
    <row r="5" spans="1:13" s="57" customFormat="1" ht="15.75" x14ac:dyDescent="0.25">
      <c r="A5" s="57" t="s">
        <v>4213</v>
      </c>
      <c r="B5" s="57" t="s">
        <v>758</v>
      </c>
      <c r="C5" s="57" t="s">
        <v>31</v>
      </c>
      <c r="D5" s="57" t="s">
        <v>5877</v>
      </c>
      <c r="E5" s="57" t="s">
        <v>31</v>
      </c>
      <c r="F5" s="57" t="s">
        <v>3459</v>
      </c>
      <c r="I5" s="58">
        <f>IF(AND(ISBLANK(A5),ISBLANK(B5)),"",IF(OR(ISBLANK(A5),ISBLANK(B5)),"-",LEN(Tableau47[[#This Row],[Colonne9]])))</f>
        <v>11</v>
      </c>
      <c r="J5" s="59" t="str">
        <f>IF(AND(ISBLANK(A5),ISBLANK(B5)),"",IF(OR(ISBLANK(A5),ISBLANK(B5)),"à compléter",
IF(H5=0,"",LOOKUP(H5,'Objets de gestion'!C:C,'Objets de gestion'!F:F)&amp;"_")
&amp;IF(F5=0,"",LOOKUP(F5,'Objets de gestion'!C:C,'Objets de gestion'!F:F)&amp;"_")
&amp;IF(D5=0,"",LOOKUP(D5,'Objets de gestion'!C:C,'Objets de gestion'!F:F)&amp;"_")
&amp;IF(B5=0,"",LOOKUP(B5,'Objets de gestion'!C:C,'Objets de gestion'!F:F))
))</f>
        <v>ROL_PRD_COD</v>
      </c>
      <c r="K5" s="57" t="str">
        <f t="shared" si="0"/>
        <v xml:space="preserve">code du produit du rôle </v>
      </c>
      <c r="L5" s="57" t="str">
        <f>IF(AND(ISBLANK(A5),ISBLANK(B5)),"",IF(OR(ISBLANK(A5),ISBLANK(B5)),"-",
IF(ISBLANK(B5),"",LOOKUP(B5,'Objets de gestion'!C:C,'Objets de gestion'!E:E))
&amp;IF(ISBLANK(C5),""," "&amp;LOOKUP(C5,Articles!A:A,Articles!B:B))
&amp;IF(ISBLANK(D5),""," "&amp;LOOKUP(D5,'Objets de gestion'!C:C,'Objets de gestion'!E:E))
&amp;IF(ISBLANK(E5),""," "&amp;LOOKUP(E5,Articles!A:A,Articles!B:B))
&amp;IF(ISBLANK(F5),""," "&amp;LOOKUP(F5,'Objets de gestion'!C:C,'Objets de gestion'!E:E))
&amp;IF(ISBLANK(G5),""," "&amp;LOOKUP(G5,Articles!A:A,Articles!B:B))
&amp;IF(ISBLANK(H5),""," "&amp;LOOKUP(H5,'Objets de gestion'!C:C,'Objets de gestion'!E:E))
))</f>
        <v>code of the product of the role</v>
      </c>
      <c r="M5" s="57" t="str">
        <f t="shared" si="1"/>
        <v>Acteur en assurance</v>
      </c>
    </row>
    <row r="6" spans="1:13" s="57" customFormat="1" ht="15.75" x14ac:dyDescent="0.25">
      <c r="A6" s="57" t="s">
        <v>4213</v>
      </c>
      <c r="B6" s="57" t="s">
        <v>5565</v>
      </c>
      <c r="I6" s="58">
        <f>IF(AND(ISBLANK(A6),ISBLANK(B6)),"",IF(OR(ISBLANK(A6),ISBLANK(B6)),"-",LEN(Tableau47[[#This Row],[Colonne9]])))</f>
        <v>3</v>
      </c>
      <c r="J6" s="59" t="str">
        <f>IF(AND(ISBLANK(A6),ISBLANK(B6)),"",IF(OR(ISBLANK(A6),ISBLANK(B6)),"à compléter",
IF(H6=0,"",LOOKUP(H6,'Objets de gestion'!C:C,'Objets de gestion'!F:F)&amp;"_")
&amp;IF(F6=0,"",LOOKUP(F6,'Objets de gestion'!C:C,'Objets de gestion'!F:F)&amp;"_")
&amp;IF(D6=0,"",LOOKUP(D6,'Objets de gestion'!C:C,'Objets de gestion'!F:F)&amp;"_")
&amp;IF(B6=0,"",LOOKUP(B6,'Objets de gestion'!C:C,'Objets de gestion'!F:F))
))</f>
        <v>CCN</v>
      </c>
      <c r="K6" s="57" t="str">
        <f t="shared" si="0"/>
        <v xml:space="preserve">CCN </v>
      </c>
      <c r="L6" s="57" t="str">
        <f>IF(AND(ISBLANK(A6),ISBLANK(B6)),"",IF(OR(ISBLANK(A6),ISBLANK(B6)),"-",
IF(ISBLANK(B6),"",LOOKUP(B6,'Objets de gestion'!C:C,'Objets de gestion'!E:E))
&amp;IF(ISBLANK(C6),""," "&amp;LOOKUP(C6,Articles!A:A,Articles!B:B))
&amp;IF(ISBLANK(D6),""," "&amp;LOOKUP(D6,'Objets de gestion'!C:C,'Objets de gestion'!E:E))
&amp;IF(ISBLANK(E6),""," "&amp;LOOKUP(E6,Articles!A:A,Articles!B:B))
&amp;IF(ISBLANK(F6),""," "&amp;LOOKUP(F6,'Objets de gestion'!C:C,'Objets de gestion'!E:E))
&amp;IF(ISBLANK(G6),""," "&amp;LOOKUP(G6,Articles!A:A,Articles!B:B))
&amp;IF(ISBLANK(H6),""," "&amp;LOOKUP(H6,'Objets de gestion'!C:C,'Objets de gestion'!E:E))
))</f>
        <v>CCN</v>
      </c>
      <c r="M6" s="57" t="str">
        <f t="shared" si="1"/>
        <v>Acteur en assurance</v>
      </c>
    </row>
    <row r="7" spans="1:13" s="57" customFormat="1" ht="15.75" x14ac:dyDescent="0.25">
      <c r="A7" s="57" t="s">
        <v>4213</v>
      </c>
      <c r="B7" s="57" t="s">
        <v>5879</v>
      </c>
      <c r="I7" s="58">
        <f>IF(AND(ISBLANK(A7),ISBLANK(B7)),"",IF(OR(ISBLANK(A7),ISBLANK(B7)),"-",LEN(Tableau47[[#This Row],[Colonne9]])))</f>
        <v>6</v>
      </c>
      <c r="J7" s="59" t="str">
        <f>IF(AND(ISBLANK(A7),ISBLANK(B7)),"",IF(OR(ISBLANK(A7),ISBLANK(B7)),"à compléter",
IF(H7=0,"",LOOKUP(H7,'Objets de gestion'!C:C,'Objets de gestion'!F:F)&amp;"_")
&amp;IF(F7=0,"",LOOKUP(F7,'Objets de gestion'!C:C,'Objets de gestion'!F:F)&amp;"_")
&amp;IF(D7=0,"",LOOKUP(D7,'Objets de gestion'!C:C,'Objets de gestion'!F:F)&amp;"_")
&amp;IF(B7=0,"",LOOKUP(B7,'Objets de gestion'!C:C,'Objets de gestion'!F:F))
))</f>
        <v>SEASTM</v>
      </c>
      <c r="K7" s="57" t="str">
        <f t="shared" si="0"/>
        <v xml:space="preserve">saisonnalité des tiers moraux </v>
      </c>
      <c r="L7" s="57" t="str">
        <f>IF(AND(ISBLANK(A7),ISBLANK(B7)),"",IF(OR(ISBLANK(A7),ISBLANK(B7)),"-",
IF(ISBLANK(B7),"",LOOKUP(B7,'Objets de gestion'!C:C,'Objets de gestion'!E:E))
&amp;IF(ISBLANK(C7),""," "&amp;LOOKUP(C7,Articles!A:A,Articles!B:B))
&amp;IF(ISBLANK(D7),""," "&amp;LOOKUP(D7,'Objets de gestion'!C:C,'Objets de gestion'!E:E))
&amp;IF(ISBLANK(E7),""," "&amp;LOOKUP(E7,Articles!A:A,Articles!B:B))
&amp;IF(ISBLANK(F7),""," "&amp;LOOKUP(F7,'Objets de gestion'!C:C,'Objets de gestion'!E:E))
&amp;IF(ISBLANK(G7),""," "&amp;LOOKUP(G7,Articles!A:A,Articles!B:B))
&amp;IF(ISBLANK(H7),""," "&amp;LOOKUP(H7,'Objets de gestion'!C:C,'Objets de gestion'!E:E))
))</f>
        <v>seasonality of moral third parties</v>
      </c>
      <c r="M7" s="57" t="str">
        <f t="shared" si="1"/>
        <v>Acteur en assurance</v>
      </c>
    </row>
    <row r="8" spans="1:13" s="57" customFormat="1" ht="15.75" x14ac:dyDescent="0.25">
      <c r="I8" s="58" t="str">
        <f>IF(AND(ISBLANK(A8),ISBLANK(B8)),"",IF(OR(ISBLANK(A8),ISBLANK(B8)),"-",LEN(Tableau47[[#This Row],[Colonne9]])))</f>
        <v/>
      </c>
      <c r="J8" s="59" t="str">
        <f>IF(AND(ISBLANK(A8),ISBLANK(B8)),"",IF(OR(ISBLANK(A8),ISBLANK(B8)),"à compléter",
IF(H8=0,"",LOOKUP(H8,'Objets de gestion'!C:C,'Objets de gestion'!F:F)&amp;"_")
&amp;IF(F8=0,"",LOOKUP(F8,'Objets de gestion'!C:C,'Objets de gestion'!F:F)&amp;"_")
&amp;IF(D8=0,"",LOOKUP(D8,'Objets de gestion'!C:C,'Objets de gestion'!F:F)&amp;"_")
&amp;IF(B8=0,"",LOOKUP(B8,'Objets de gestion'!C:C,'Objets de gestion'!F:F))
))</f>
        <v/>
      </c>
      <c r="K8" s="57" t="str">
        <f t="shared" si="0"/>
        <v/>
      </c>
      <c r="L8" s="57" t="str">
        <f>IF(AND(ISBLANK(A8),ISBLANK(B8)),"",IF(OR(ISBLANK(A8),ISBLANK(B8)),"-",
IF(ISBLANK(B8),"",LOOKUP(B8,'Objets de gestion'!C:C,'Objets de gestion'!E:E))
&amp;IF(ISBLANK(C8),""," "&amp;LOOKUP(C8,Articles!A:A,Articles!B:B))
&amp;IF(ISBLANK(D8),""," "&amp;LOOKUP(D8,'Objets de gestion'!C:C,'Objets de gestion'!E:E))
&amp;IF(ISBLANK(E8),""," "&amp;LOOKUP(E8,Articles!A:A,Articles!B:B))
&amp;IF(ISBLANK(F8),""," "&amp;LOOKUP(F8,'Objets de gestion'!C:C,'Objets de gestion'!E:E))
&amp;IF(ISBLANK(G8),""," "&amp;LOOKUP(G8,Articles!A:A,Articles!B:B))
&amp;IF(ISBLANK(H8),""," "&amp;LOOKUP(H8,'Objets de gestion'!C:C,'Objets de gestion'!E:E))
))</f>
        <v/>
      </c>
      <c r="M8" s="57" t="str">
        <f t="shared" si="1"/>
        <v/>
      </c>
    </row>
    <row r="9" spans="1:13" s="57" customFormat="1" ht="15.75" x14ac:dyDescent="0.25">
      <c r="I9" s="58" t="str">
        <f>IF(AND(ISBLANK(A9),ISBLANK(B9)),"",IF(OR(ISBLANK(A9),ISBLANK(B9)),"-",LEN(Tableau47[[#This Row],[Colonne9]])))</f>
        <v/>
      </c>
      <c r="J9" s="59" t="str">
        <f>IF(AND(ISBLANK(A9),ISBLANK(B9)),"",IF(OR(ISBLANK(A9),ISBLANK(B9)),"à compléter",
IF(H9=0,"",LOOKUP(H9,'Objets de gestion'!C:C,'Objets de gestion'!F:F)&amp;"_")
&amp;IF(F9=0,"",LOOKUP(F9,'Objets de gestion'!C:C,'Objets de gestion'!F:F)&amp;"_")
&amp;IF(D9=0,"",LOOKUP(D9,'Objets de gestion'!C:C,'Objets de gestion'!F:F)&amp;"_")
&amp;IF(B9=0,"",LOOKUP(B9,'Objets de gestion'!C:C,'Objets de gestion'!F:F))
))</f>
        <v/>
      </c>
      <c r="K9" s="57" t="str">
        <f t="shared" si="0"/>
        <v/>
      </c>
      <c r="L9" s="57" t="str">
        <f>IF(AND(ISBLANK(A9),ISBLANK(B9)),"",IF(OR(ISBLANK(A9),ISBLANK(B9)),"-",
IF(ISBLANK(B9),"",LOOKUP(B9,'Objets de gestion'!C:C,'Objets de gestion'!E:E))
&amp;IF(ISBLANK(C9),""," "&amp;LOOKUP(C9,Articles!A:A,Articles!B:B))
&amp;IF(ISBLANK(D9),""," "&amp;LOOKUP(D9,'Objets de gestion'!C:C,'Objets de gestion'!E:E))
&amp;IF(ISBLANK(E9),""," "&amp;LOOKUP(E9,Articles!A:A,Articles!B:B))
&amp;IF(ISBLANK(F9),""," "&amp;LOOKUP(F9,'Objets de gestion'!C:C,'Objets de gestion'!E:E))
&amp;IF(ISBLANK(G9),""," "&amp;LOOKUP(G9,Articles!A:A,Articles!B:B))
&amp;IF(ISBLANK(H9),""," "&amp;LOOKUP(H9,'Objets de gestion'!C:C,'Objets de gestion'!E:E))
))</f>
        <v/>
      </c>
      <c r="M9" s="57" t="str">
        <f t="shared" si="1"/>
        <v/>
      </c>
    </row>
    <row r="10" spans="1:13" s="57" customFormat="1" ht="15.75" x14ac:dyDescent="0.25">
      <c r="I10" s="58" t="str">
        <f>IF(AND(ISBLANK(A10),ISBLANK(B10)),"",IF(OR(ISBLANK(A10),ISBLANK(B10)),"-",LEN(Tableau47[[#This Row],[Colonne9]])))</f>
        <v/>
      </c>
      <c r="J10" s="59" t="str">
        <f>IF(AND(ISBLANK(A10),ISBLANK(B10)),"",IF(OR(ISBLANK(A10),ISBLANK(B10)),"à compléter",
IF(H10=0,"",LOOKUP(H10,'Objets de gestion'!C:C,'Objets de gestion'!F:F)&amp;"_")
&amp;IF(F10=0,"",LOOKUP(F10,'Objets de gestion'!C:C,'Objets de gestion'!F:F)&amp;"_")
&amp;IF(D10=0,"",LOOKUP(D10,'Objets de gestion'!C:C,'Objets de gestion'!F:F)&amp;"_")
&amp;IF(B10=0,"",LOOKUP(B10,'Objets de gestion'!C:C,'Objets de gestion'!F:F))
))</f>
        <v/>
      </c>
      <c r="K10" s="57" t="str">
        <f t="shared" si="0"/>
        <v/>
      </c>
      <c r="L10" s="57" t="str">
        <f>IF(AND(ISBLANK(A10),ISBLANK(B10)),"",IF(OR(ISBLANK(A10),ISBLANK(B10)),"-",
IF(ISBLANK(B10),"",LOOKUP(B10,'Objets de gestion'!C:C,'Objets de gestion'!E:E))
&amp;IF(ISBLANK(C10),""," "&amp;LOOKUP(C10,Articles!A:A,Articles!B:B))
&amp;IF(ISBLANK(D10),""," "&amp;LOOKUP(D10,'Objets de gestion'!C:C,'Objets de gestion'!E:E))
&amp;IF(ISBLANK(E10),""," "&amp;LOOKUP(E10,Articles!A:A,Articles!B:B))
&amp;IF(ISBLANK(F10),""," "&amp;LOOKUP(F10,'Objets de gestion'!C:C,'Objets de gestion'!E:E))
&amp;IF(ISBLANK(G10),""," "&amp;LOOKUP(G10,Articles!A:A,Articles!B:B))
&amp;IF(ISBLANK(H10),""," "&amp;LOOKUP(H10,'Objets de gestion'!C:C,'Objets de gestion'!E:E))
))</f>
        <v/>
      </c>
      <c r="M10" s="57" t="str">
        <f t="shared" si="1"/>
        <v/>
      </c>
    </row>
    <row r="11" spans="1:13" s="57" customFormat="1" ht="15.75" x14ac:dyDescent="0.25">
      <c r="I11" s="58" t="str">
        <f>IF(AND(ISBLANK(A11),ISBLANK(B11)),"",IF(OR(ISBLANK(A11),ISBLANK(B11)),"-",LEN(Tableau47[[#This Row],[Colonne9]])))</f>
        <v/>
      </c>
      <c r="J11" s="59" t="str">
        <f>IF(AND(ISBLANK(A11),ISBLANK(B11)),"",IF(OR(ISBLANK(A11),ISBLANK(B11)),"à compléter",
IF(H11=0,"",LOOKUP(H11,'Objets de gestion'!C:C,'Objets de gestion'!F:F)&amp;"_")
&amp;IF(F11=0,"",LOOKUP(F11,'Objets de gestion'!C:C,'Objets de gestion'!F:F)&amp;"_")
&amp;IF(D11=0,"",LOOKUP(D11,'Objets de gestion'!C:C,'Objets de gestion'!F:F)&amp;"_")
&amp;IF(B11=0,"",LOOKUP(B11,'Objets de gestion'!C:C,'Objets de gestion'!F:F))
))</f>
        <v/>
      </c>
      <c r="K11" s="57" t="str">
        <f t="shared" si="0"/>
        <v/>
      </c>
      <c r="L11" s="57" t="str">
        <f>IF(AND(ISBLANK(A11),ISBLANK(B11)),"",IF(OR(ISBLANK(A11),ISBLANK(B11)),"-",
IF(ISBLANK(B11),"",LOOKUP(B11,'Objets de gestion'!C:C,'Objets de gestion'!E:E))
&amp;IF(ISBLANK(C11),""," "&amp;LOOKUP(C11,Articles!A:A,Articles!B:B))
&amp;IF(ISBLANK(D11),""," "&amp;LOOKUP(D11,'Objets de gestion'!C:C,'Objets de gestion'!E:E))
&amp;IF(ISBLANK(E11),""," "&amp;LOOKUP(E11,Articles!A:A,Articles!B:B))
&amp;IF(ISBLANK(F11),""," "&amp;LOOKUP(F11,'Objets de gestion'!C:C,'Objets de gestion'!E:E))
&amp;IF(ISBLANK(G11),""," "&amp;LOOKUP(G11,Articles!A:A,Articles!B:B))
&amp;IF(ISBLANK(H11),""," "&amp;LOOKUP(H11,'Objets de gestion'!C:C,'Objets de gestion'!E:E))
))</f>
        <v/>
      </c>
      <c r="M11" s="57" t="str">
        <f t="shared" si="1"/>
        <v/>
      </c>
    </row>
    <row r="12" spans="1:13" s="57" customFormat="1" ht="15.75" x14ac:dyDescent="0.25">
      <c r="I12" s="58" t="str">
        <f>IF(AND(ISBLANK(A12),ISBLANK(B12)),"",IF(OR(ISBLANK(A12),ISBLANK(B12)),"-",LEN(Tableau47[[#This Row],[Colonne9]])))</f>
        <v/>
      </c>
      <c r="J12" s="59" t="str">
        <f>IF(AND(ISBLANK(A12),ISBLANK(B12)),"",IF(OR(ISBLANK(A12),ISBLANK(B12)),"à compléter",
IF(H12=0,"",LOOKUP(H12,'Objets de gestion'!C:C,'Objets de gestion'!F:F)&amp;"_")
&amp;IF(F12=0,"",LOOKUP(F12,'Objets de gestion'!C:C,'Objets de gestion'!F:F)&amp;"_")
&amp;IF(D12=0,"",LOOKUP(D12,'Objets de gestion'!C:C,'Objets de gestion'!F:F)&amp;"_")
&amp;IF(B12=0,"",LOOKUP(B12,'Objets de gestion'!C:C,'Objets de gestion'!F:F))
))</f>
        <v/>
      </c>
      <c r="K12" s="57" t="str">
        <f t="shared" si="0"/>
        <v/>
      </c>
      <c r="L12" s="57" t="str">
        <f>IF(AND(ISBLANK(A12),ISBLANK(B12)),"",IF(OR(ISBLANK(A12),ISBLANK(B12)),"-",
IF(ISBLANK(B12),"",LOOKUP(B12,'Objets de gestion'!C:C,'Objets de gestion'!E:E))
&amp;IF(ISBLANK(C12),""," "&amp;LOOKUP(C12,Articles!A:A,Articles!B:B))
&amp;IF(ISBLANK(D12),""," "&amp;LOOKUP(D12,'Objets de gestion'!C:C,'Objets de gestion'!E:E))
&amp;IF(ISBLANK(E12),""," "&amp;LOOKUP(E12,Articles!A:A,Articles!B:B))
&amp;IF(ISBLANK(F12),""," "&amp;LOOKUP(F12,'Objets de gestion'!C:C,'Objets de gestion'!E:E))
&amp;IF(ISBLANK(G12),""," "&amp;LOOKUP(G12,Articles!A:A,Articles!B:B))
&amp;IF(ISBLANK(H12),""," "&amp;LOOKUP(H12,'Objets de gestion'!C:C,'Objets de gestion'!E:E))
))</f>
        <v/>
      </c>
      <c r="M12" s="57" t="str">
        <f t="shared" si="1"/>
        <v/>
      </c>
    </row>
    <row r="13" spans="1:13" s="57" customFormat="1" ht="15.75" x14ac:dyDescent="0.25">
      <c r="I13" s="58" t="str">
        <f>IF(AND(ISBLANK(A13),ISBLANK(B13)),"",IF(OR(ISBLANK(A13),ISBLANK(B13)),"-",LEN(Tableau47[[#This Row],[Colonne9]])))</f>
        <v/>
      </c>
      <c r="J13" s="59" t="str">
        <f>IF(AND(ISBLANK(A13),ISBLANK(B13)),"",IF(OR(ISBLANK(A13),ISBLANK(B13)),"à compléter",
IF(H13=0,"",LOOKUP(H13,'Objets de gestion'!C:C,'Objets de gestion'!F:F)&amp;"_")
&amp;IF(F13=0,"",LOOKUP(F13,'Objets de gestion'!C:C,'Objets de gestion'!F:F)&amp;"_")
&amp;IF(D13=0,"",LOOKUP(D13,'Objets de gestion'!C:C,'Objets de gestion'!F:F)&amp;"_")
&amp;IF(B13=0,"",LOOKUP(B13,'Objets de gestion'!C:C,'Objets de gestion'!F:F))
))</f>
        <v/>
      </c>
      <c r="K13" s="57" t="str">
        <f t="shared" si="0"/>
        <v/>
      </c>
      <c r="L13" s="57" t="str">
        <f>IF(AND(ISBLANK(A13),ISBLANK(B13)),"",IF(OR(ISBLANK(A13),ISBLANK(B13)),"-",
IF(ISBLANK(B13),"",LOOKUP(B13,'Objets de gestion'!C:C,'Objets de gestion'!E:E))
&amp;IF(ISBLANK(C13),""," "&amp;LOOKUP(C13,Articles!A:A,Articles!B:B))
&amp;IF(ISBLANK(D13),""," "&amp;LOOKUP(D13,'Objets de gestion'!C:C,'Objets de gestion'!E:E))
&amp;IF(ISBLANK(E13),""," "&amp;LOOKUP(E13,Articles!A:A,Articles!B:B))
&amp;IF(ISBLANK(F13),""," "&amp;LOOKUP(F13,'Objets de gestion'!C:C,'Objets de gestion'!E:E))
&amp;IF(ISBLANK(G13),""," "&amp;LOOKUP(G13,Articles!A:A,Articles!B:B))
&amp;IF(ISBLANK(H13),""," "&amp;LOOKUP(H13,'Objets de gestion'!C:C,'Objets de gestion'!E:E))
))</f>
        <v/>
      </c>
      <c r="M13" s="57" t="str">
        <f t="shared" si="1"/>
        <v/>
      </c>
    </row>
    <row r="14" spans="1:13" s="57" customFormat="1" ht="15.75" x14ac:dyDescent="0.25">
      <c r="I14" s="58" t="str">
        <f>IF(AND(ISBLANK(A14),ISBLANK(B14)),"",IF(OR(ISBLANK(A14),ISBLANK(B14)),"-",LEN(Tableau47[[#This Row],[Colonne9]])))</f>
        <v/>
      </c>
      <c r="J14" s="59" t="str">
        <f>IF(AND(ISBLANK(A14),ISBLANK(B14)),"",IF(OR(ISBLANK(A14),ISBLANK(B14)),"à compléter",
IF(H14=0,"",LOOKUP(H14,'Objets de gestion'!C:C,'Objets de gestion'!F:F)&amp;"_")
&amp;IF(F14=0,"",LOOKUP(F14,'Objets de gestion'!C:C,'Objets de gestion'!F:F)&amp;"_")
&amp;IF(D14=0,"",LOOKUP(D14,'Objets de gestion'!C:C,'Objets de gestion'!F:F)&amp;"_")
&amp;IF(B14=0,"",LOOKUP(B14,'Objets de gestion'!C:C,'Objets de gestion'!F:F))
))</f>
        <v/>
      </c>
      <c r="K14" s="57" t="str">
        <f t="shared" si="0"/>
        <v/>
      </c>
      <c r="L14" s="57" t="str">
        <f>IF(AND(ISBLANK(A14),ISBLANK(B14)),"",IF(OR(ISBLANK(A14),ISBLANK(B14)),"-",
IF(ISBLANK(B14),"",LOOKUP(B14,'Objets de gestion'!C:C,'Objets de gestion'!E:E))
&amp;IF(ISBLANK(C14),""," "&amp;LOOKUP(C14,Articles!A:A,Articles!B:B))
&amp;IF(ISBLANK(D14),""," "&amp;LOOKUP(D14,'Objets de gestion'!C:C,'Objets de gestion'!E:E))
&amp;IF(ISBLANK(E14),""," "&amp;LOOKUP(E14,Articles!A:A,Articles!B:B))
&amp;IF(ISBLANK(F14),""," "&amp;LOOKUP(F14,'Objets de gestion'!C:C,'Objets de gestion'!E:E))
&amp;IF(ISBLANK(G14),""," "&amp;LOOKUP(G14,Articles!A:A,Articles!B:B))
&amp;IF(ISBLANK(H14),""," "&amp;LOOKUP(H14,'Objets de gestion'!C:C,'Objets de gestion'!E:E))
))</f>
        <v/>
      </c>
      <c r="M14" s="57" t="str">
        <f t="shared" si="1"/>
        <v/>
      </c>
    </row>
    <row r="15" spans="1:13" s="57" customFormat="1" ht="15.75" x14ac:dyDescent="0.25">
      <c r="I15" s="58" t="str">
        <f>IF(AND(ISBLANK(A15),ISBLANK(B15)),"",IF(OR(ISBLANK(A15),ISBLANK(B15)),"-",LEN(Tableau47[[#This Row],[Colonne9]])))</f>
        <v/>
      </c>
      <c r="J15" s="59" t="str">
        <f>IF(AND(ISBLANK(A15),ISBLANK(B15)),"",IF(OR(ISBLANK(A15),ISBLANK(B15)),"à compléter",
IF(H15=0,"",LOOKUP(H15,'Objets de gestion'!C:C,'Objets de gestion'!F:F)&amp;"_")
&amp;IF(F15=0,"",LOOKUP(F15,'Objets de gestion'!C:C,'Objets de gestion'!F:F)&amp;"_")
&amp;IF(D15=0,"",LOOKUP(D15,'Objets de gestion'!C:C,'Objets de gestion'!F:F)&amp;"_")
&amp;IF(B15=0,"",LOOKUP(B15,'Objets de gestion'!C:C,'Objets de gestion'!F:F))
))</f>
        <v/>
      </c>
      <c r="K15" s="57" t="str">
        <f t="shared" si="0"/>
        <v/>
      </c>
      <c r="L15" s="57" t="str">
        <f>IF(AND(ISBLANK(A15),ISBLANK(B15)),"",IF(OR(ISBLANK(A15),ISBLANK(B15)),"-",
IF(ISBLANK(B15),"",LOOKUP(B15,'Objets de gestion'!C:C,'Objets de gestion'!E:E))
&amp;IF(ISBLANK(C15),""," "&amp;LOOKUP(C15,Articles!A:A,Articles!B:B))
&amp;IF(ISBLANK(D15),""," "&amp;LOOKUP(D15,'Objets de gestion'!C:C,'Objets de gestion'!E:E))
&amp;IF(ISBLANK(E15),""," "&amp;LOOKUP(E15,Articles!A:A,Articles!B:B))
&amp;IF(ISBLANK(F15),""," "&amp;LOOKUP(F15,'Objets de gestion'!C:C,'Objets de gestion'!E:E))
&amp;IF(ISBLANK(G15),""," "&amp;LOOKUP(G15,Articles!A:A,Articles!B:B))
&amp;IF(ISBLANK(H15),""," "&amp;LOOKUP(H15,'Objets de gestion'!C:C,'Objets de gestion'!E:E))
))</f>
        <v/>
      </c>
      <c r="M15" s="57" t="str">
        <f t="shared" si="1"/>
        <v/>
      </c>
    </row>
    <row r="16" spans="1:13" s="57" customFormat="1" ht="15.75" x14ac:dyDescent="0.25">
      <c r="I16" s="58" t="str">
        <f>IF(AND(ISBLANK(A16),ISBLANK(B16)),"",IF(OR(ISBLANK(A16),ISBLANK(B16)),"-",LEN(Tableau47[[#This Row],[Colonne9]])))</f>
        <v/>
      </c>
      <c r="J16" s="59" t="str">
        <f>IF(AND(ISBLANK(A16),ISBLANK(B16)),"",IF(OR(ISBLANK(A16),ISBLANK(B16)),"à compléter",
IF(H16=0,"",LOOKUP(H16,'Objets de gestion'!C:C,'Objets de gestion'!F:F)&amp;"_")
&amp;IF(F16=0,"",LOOKUP(F16,'Objets de gestion'!C:C,'Objets de gestion'!F:F)&amp;"_")
&amp;IF(D16=0,"",LOOKUP(D16,'Objets de gestion'!C:C,'Objets de gestion'!F:F)&amp;"_")
&amp;IF(B16=0,"",LOOKUP(B16,'Objets de gestion'!C:C,'Objets de gestion'!F:F))
))</f>
        <v/>
      </c>
      <c r="K16" s="57" t="str">
        <f t="shared" si="0"/>
        <v/>
      </c>
      <c r="L16" s="57" t="str">
        <f>IF(AND(ISBLANK(A16),ISBLANK(B16)),"",IF(OR(ISBLANK(A16),ISBLANK(B16)),"-",
IF(ISBLANK(B16),"",LOOKUP(B16,'Objets de gestion'!C:C,'Objets de gestion'!E:E))
&amp;IF(ISBLANK(C16),""," "&amp;LOOKUP(C16,Articles!A:A,Articles!B:B))
&amp;IF(ISBLANK(D16),""," "&amp;LOOKUP(D16,'Objets de gestion'!C:C,'Objets de gestion'!E:E))
&amp;IF(ISBLANK(E16),""," "&amp;LOOKUP(E16,Articles!A:A,Articles!B:B))
&amp;IF(ISBLANK(F16),""," "&amp;LOOKUP(F16,'Objets de gestion'!C:C,'Objets de gestion'!E:E))
&amp;IF(ISBLANK(G16),""," "&amp;LOOKUP(G16,Articles!A:A,Articles!B:B))
&amp;IF(ISBLANK(H16),""," "&amp;LOOKUP(H16,'Objets de gestion'!C:C,'Objets de gestion'!E:E))
))</f>
        <v/>
      </c>
      <c r="M16" s="57" t="str">
        <f t="shared" si="1"/>
        <v/>
      </c>
    </row>
    <row r="17" spans="9:13" s="57" customFormat="1" ht="15.75" x14ac:dyDescent="0.25">
      <c r="I17" s="58" t="str">
        <f>IF(AND(ISBLANK(A17),ISBLANK(B17)),"",IF(OR(ISBLANK(A17),ISBLANK(B17)),"-",LEN(Tableau47[[#This Row],[Colonne9]])))</f>
        <v/>
      </c>
      <c r="J17" s="59" t="str">
        <f>IF(AND(ISBLANK(A17),ISBLANK(B17)),"",IF(OR(ISBLANK(A17),ISBLANK(B17)),"à compléter",
IF(H17=0,"",LOOKUP(H17,'Objets de gestion'!C:C,'Objets de gestion'!F:F)&amp;"_")
&amp;IF(F17=0,"",LOOKUP(F17,'Objets de gestion'!C:C,'Objets de gestion'!F:F)&amp;"_")
&amp;IF(D17=0,"",LOOKUP(D17,'Objets de gestion'!C:C,'Objets de gestion'!F:F)&amp;"_")
&amp;IF(B17=0,"",LOOKUP(B17,'Objets de gestion'!C:C,'Objets de gestion'!F:F))
))</f>
        <v/>
      </c>
      <c r="K17" s="57" t="str">
        <f t="shared" si="0"/>
        <v/>
      </c>
      <c r="L17" s="57" t="str">
        <f>IF(AND(ISBLANK(A17),ISBLANK(B17)),"",IF(OR(ISBLANK(A17),ISBLANK(B17)),"-",
IF(ISBLANK(B17),"",LOOKUP(B17,'Objets de gestion'!C:C,'Objets de gestion'!E:E))
&amp;IF(ISBLANK(C17),""," "&amp;LOOKUP(C17,Articles!A:A,Articles!B:B))
&amp;IF(ISBLANK(D17),""," "&amp;LOOKUP(D17,'Objets de gestion'!C:C,'Objets de gestion'!E:E))
&amp;IF(ISBLANK(E17),""," "&amp;LOOKUP(E17,Articles!A:A,Articles!B:B))
&amp;IF(ISBLANK(F17),""," "&amp;LOOKUP(F17,'Objets de gestion'!C:C,'Objets de gestion'!E:E))
&amp;IF(ISBLANK(G17),""," "&amp;LOOKUP(G17,Articles!A:A,Articles!B:B))
&amp;IF(ISBLANK(H17),""," "&amp;LOOKUP(H17,'Objets de gestion'!C:C,'Objets de gestion'!E:E))
))</f>
        <v/>
      </c>
      <c r="M17" s="57" t="str">
        <f t="shared" si="1"/>
        <v/>
      </c>
    </row>
    <row r="18" spans="9:13" s="57" customFormat="1" ht="15.75" x14ac:dyDescent="0.25">
      <c r="I18" s="58" t="str">
        <f>IF(AND(ISBLANK(A18),ISBLANK(B18)),"",IF(OR(ISBLANK(A18),ISBLANK(B18)),"-",LEN(Tableau47[[#This Row],[Colonne9]])))</f>
        <v/>
      </c>
      <c r="J18" s="59" t="str">
        <f>IF(AND(ISBLANK(A18),ISBLANK(B18)),"",IF(OR(ISBLANK(A18),ISBLANK(B18)),"à compléter",
IF(H18=0,"",LOOKUP(H18,'Objets de gestion'!C:C,'Objets de gestion'!F:F)&amp;"_")
&amp;IF(F18=0,"",LOOKUP(F18,'Objets de gestion'!C:C,'Objets de gestion'!F:F)&amp;"_")
&amp;IF(D18=0,"",LOOKUP(D18,'Objets de gestion'!C:C,'Objets de gestion'!F:F)&amp;"_")
&amp;IF(B18=0,"",LOOKUP(B18,'Objets de gestion'!C:C,'Objets de gestion'!F:F))
))</f>
        <v/>
      </c>
      <c r="K18" s="57" t="str">
        <f t="shared" si="0"/>
        <v/>
      </c>
      <c r="L18" s="57" t="str">
        <f>IF(AND(ISBLANK(A18),ISBLANK(B18)),"",IF(OR(ISBLANK(A18),ISBLANK(B18)),"-",
IF(ISBLANK(B18),"",LOOKUP(B18,'Objets de gestion'!C:C,'Objets de gestion'!E:E))
&amp;IF(ISBLANK(C18),""," "&amp;LOOKUP(C18,Articles!A:A,Articles!B:B))
&amp;IF(ISBLANK(D18),""," "&amp;LOOKUP(D18,'Objets de gestion'!C:C,'Objets de gestion'!E:E))
&amp;IF(ISBLANK(E18),""," "&amp;LOOKUP(E18,Articles!A:A,Articles!B:B))
&amp;IF(ISBLANK(F18),""," "&amp;LOOKUP(F18,'Objets de gestion'!C:C,'Objets de gestion'!E:E))
&amp;IF(ISBLANK(G18),""," "&amp;LOOKUP(G18,Articles!A:A,Articles!B:B))
&amp;IF(ISBLANK(H18),""," "&amp;LOOKUP(H18,'Objets de gestion'!C:C,'Objets de gestion'!E:E))
))</f>
        <v/>
      </c>
      <c r="M18" s="57" t="str">
        <f t="shared" si="1"/>
        <v/>
      </c>
    </row>
    <row r="19" spans="9:13" s="57" customFormat="1" ht="15.75" x14ac:dyDescent="0.25">
      <c r="I19" s="58" t="str">
        <f>IF(AND(ISBLANK(A19),ISBLANK(B19)),"",IF(OR(ISBLANK(A19),ISBLANK(B19)),"-",LEN(Tableau47[[#This Row],[Colonne9]])))</f>
        <v/>
      </c>
      <c r="J19" s="59" t="str">
        <f>IF(AND(ISBLANK(A19),ISBLANK(B19)),"",IF(OR(ISBLANK(A19),ISBLANK(B19)),"à compléter",
IF(H19=0,"",LOOKUP(H19,'Objets de gestion'!C:C,'Objets de gestion'!F:F)&amp;"_")
&amp;IF(F19=0,"",LOOKUP(F19,'Objets de gestion'!C:C,'Objets de gestion'!F:F)&amp;"_")
&amp;IF(D19=0,"",LOOKUP(D19,'Objets de gestion'!C:C,'Objets de gestion'!F:F)&amp;"_")
&amp;IF(B19=0,"",LOOKUP(B19,'Objets de gestion'!C:C,'Objets de gestion'!F:F))
))</f>
        <v/>
      </c>
      <c r="K19" s="57" t="str">
        <f t="shared" si="0"/>
        <v/>
      </c>
      <c r="L19" s="57" t="str">
        <f>IF(AND(ISBLANK(A19),ISBLANK(B19)),"",IF(OR(ISBLANK(A19),ISBLANK(B19)),"-",
IF(ISBLANK(B19),"",LOOKUP(B19,'Objets de gestion'!C:C,'Objets de gestion'!E:E))
&amp;IF(ISBLANK(C19),""," "&amp;LOOKUP(C19,Articles!A:A,Articles!B:B))
&amp;IF(ISBLANK(D19),""," "&amp;LOOKUP(D19,'Objets de gestion'!C:C,'Objets de gestion'!E:E))
&amp;IF(ISBLANK(E19),""," "&amp;LOOKUP(E19,Articles!A:A,Articles!B:B))
&amp;IF(ISBLANK(F19),""," "&amp;LOOKUP(F19,'Objets de gestion'!C:C,'Objets de gestion'!E:E))
&amp;IF(ISBLANK(G19),""," "&amp;LOOKUP(G19,Articles!A:A,Articles!B:B))
&amp;IF(ISBLANK(H19),""," "&amp;LOOKUP(H19,'Objets de gestion'!C:C,'Objets de gestion'!E:E))
))</f>
        <v/>
      </c>
      <c r="M19" s="57" t="str">
        <f t="shared" si="1"/>
        <v/>
      </c>
    </row>
    <row r="20" spans="9:13" s="57" customFormat="1" ht="15.75" x14ac:dyDescent="0.25">
      <c r="I20" s="58" t="str">
        <f>IF(AND(ISBLANK(A20),ISBLANK(B20)),"",IF(OR(ISBLANK(A20),ISBLANK(B20)),"-",LEN(Tableau47[[#This Row],[Colonne9]])))</f>
        <v/>
      </c>
      <c r="J20" s="59" t="str">
        <f>IF(AND(ISBLANK(A20),ISBLANK(B20)),"",IF(OR(ISBLANK(A20),ISBLANK(B20)),"à compléter",
IF(H20=0,"",LOOKUP(H20,'Objets de gestion'!C:C,'Objets de gestion'!F:F)&amp;"_")
&amp;IF(F20=0,"",LOOKUP(F20,'Objets de gestion'!C:C,'Objets de gestion'!F:F)&amp;"_")
&amp;IF(D20=0,"",LOOKUP(D20,'Objets de gestion'!C:C,'Objets de gestion'!F:F)&amp;"_")
&amp;IF(B20=0,"",LOOKUP(B20,'Objets de gestion'!C:C,'Objets de gestion'!F:F))
))</f>
        <v/>
      </c>
      <c r="K20" s="57" t="str">
        <f t="shared" si="0"/>
        <v/>
      </c>
      <c r="L20" s="57" t="str">
        <f>IF(AND(ISBLANK(A20),ISBLANK(B20)),"",IF(OR(ISBLANK(A20),ISBLANK(B20)),"-",
IF(ISBLANK(B20),"",LOOKUP(B20,'Objets de gestion'!C:C,'Objets de gestion'!E:E))
&amp;IF(ISBLANK(C20),""," "&amp;LOOKUP(C20,Articles!A:A,Articles!B:B))
&amp;IF(ISBLANK(D20),""," "&amp;LOOKUP(D20,'Objets de gestion'!C:C,'Objets de gestion'!E:E))
&amp;IF(ISBLANK(E20),""," "&amp;LOOKUP(E20,Articles!A:A,Articles!B:B))
&amp;IF(ISBLANK(F20),""," "&amp;LOOKUP(F20,'Objets de gestion'!C:C,'Objets de gestion'!E:E))
&amp;IF(ISBLANK(G20),""," "&amp;LOOKUP(G20,Articles!A:A,Articles!B:B))
&amp;IF(ISBLANK(H20),""," "&amp;LOOKUP(H20,'Objets de gestion'!C:C,'Objets de gestion'!E:E))
))</f>
        <v/>
      </c>
      <c r="M20" s="57" t="str">
        <f t="shared" si="1"/>
        <v/>
      </c>
    </row>
    <row r="21" spans="9:13" s="57" customFormat="1" ht="15.75" x14ac:dyDescent="0.25">
      <c r="I21" s="58" t="str">
        <f>IF(AND(ISBLANK(A21),ISBLANK(B21)),"",IF(OR(ISBLANK(A21),ISBLANK(B21)),"-",LEN(Tableau47[[#This Row],[Colonne9]])))</f>
        <v/>
      </c>
      <c r="J21" s="59" t="str">
        <f>IF(AND(ISBLANK(A21),ISBLANK(B21)),"",IF(OR(ISBLANK(A21),ISBLANK(B21)),"à compléter",
IF(H21=0,"",LOOKUP(H21,'Objets de gestion'!C:C,'Objets de gestion'!F:F)&amp;"_")
&amp;IF(F21=0,"",LOOKUP(F21,'Objets de gestion'!C:C,'Objets de gestion'!F:F)&amp;"_")
&amp;IF(D21=0,"",LOOKUP(D21,'Objets de gestion'!C:C,'Objets de gestion'!F:F)&amp;"_")
&amp;IF(B21=0,"",LOOKUP(B21,'Objets de gestion'!C:C,'Objets de gestion'!F:F))
))</f>
        <v/>
      </c>
      <c r="K21" s="57" t="str">
        <f t="shared" si="0"/>
        <v/>
      </c>
      <c r="L21" s="57" t="str">
        <f>IF(AND(ISBLANK(A21),ISBLANK(B21)),"",IF(OR(ISBLANK(A21),ISBLANK(B21)),"-",
IF(ISBLANK(B21),"",LOOKUP(B21,'Objets de gestion'!C:C,'Objets de gestion'!E:E))
&amp;IF(ISBLANK(C21),""," "&amp;LOOKUP(C21,Articles!A:A,Articles!B:B))
&amp;IF(ISBLANK(D21),""," "&amp;LOOKUP(D21,'Objets de gestion'!C:C,'Objets de gestion'!E:E))
&amp;IF(ISBLANK(E21),""," "&amp;LOOKUP(E21,Articles!A:A,Articles!B:B))
&amp;IF(ISBLANK(F21),""," "&amp;LOOKUP(F21,'Objets de gestion'!C:C,'Objets de gestion'!E:E))
&amp;IF(ISBLANK(G21),""," "&amp;LOOKUP(G21,Articles!A:A,Articles!B:B))
&amp;IF(ISBLANK(H21),""," "&amp;LOOKUP(H21,'Objets de gestion'!C:C,'Objets de gestion'!E:E))
))</f>
        <v/>
      </c>
      <c r="M21" s="57" t="str">
        <f t="shared" si="1"/>
        <v/>
      </c>
    </row>
    <row r="22" spans="9:13" s="57" customFormat="1" ht="15.75" x14ac:dyDescent="0.25">
      <c r="I22" s="58" t="str">
        <f>IF(AND(ISBLANK(A22),ISBLANK(B22)),"",IF(OR(ISBLANK(A22),ISBLANK(B22)),"-",LEN(Tableau47[[#This Row],[Colonne9]])))</f>
        <v/>
      </c>
      <c r="J22" s="59" t="str">
        <f>IF(AND(ISBLANK(A22),ISBLANK(B22)),"",IF(OR(ISBLANK(A22),ISBLANK(B22)),"à compléter",
IF(H22=0,"",LOOKUP(H22,'Objets de gestion'!C:C,'Objets de gestion'!F:F)&amp;"_")
&amp;IF(F22=0,"",LOOKUP(F22,'Objets de gestion'!C:C,'Objets de gestion'!F:F)&amp;"_")
&amp;IF(D22=0,"",LOOKUP(D22,'Objets de gestion'!C:C,'Objets de gestion'!F:F)&amp;"_")
&amp;IF(B22=0,"",LOOKUP(B22,'Objets de gestion'!C:C,'Objets de gestion'!F:F))
))</f>
        <v/>
      </c>
      <c r="K22" s="57" t="str">
        <f t="shared" si="0"/>
        <v/>
      </c>
      <c r="L22" s="57" t="str">
        <f>IF(AND(ISBLANK(A22),ISBLANK(B22)),"",IF(OR(ISBLANK(A22),ISBLANK(B22)),"-",
IF(ISBLANK(B22),"",LOOKUP(B22,'Objets de gestion'!C:C,'Objets de gestion'!E:E))
&amp;IF(ISBLANK(C22),""," "&amp;LOOKUP(C22,Articles!A:A,Articles!B:B))
&amp;IF(ISBLANK(D22),""," "&amp;LOOKUP(D22,'Objets de gestion'!C:C,'Objets de gestion'!E:E))
&amp;IF(ISBLANK(E22),""," "&amp;LOOKUP(E22,Articles!A:A,Articles!B:B))
&amp;IF(ISBLANK(F22),""," "&amp;LOOKUP(F22,'Objets de gestion'!C:C,'Objets de gestion'!E:E))
&amp;IF(ISBLANK(G22),""," "&amp;LOOKUP(G22,Articles!A:A,Articles!B:B))
&amp;IF(ISBLANK(H22),""," "&amp;LOOKUP(H22,'Objets de gestion'!C:C,'Objets de gestion'!E:E))
))</f>
        <v/>
      </c>
      <c r="M22" s="57" t="str">
        <f t="shared" si="1"/>
        <v/>
      </c>
    </row>
    <row r="23" spans="9:13" s="57" customFormat="1" ht="15.75" x14ac:dyDescent="0.25">
      <c r="I23" s="58" t="str">
        <f>IF(AND(ISBLANK(A23),ISBLANK(B23)),"",IF(OR(ISBLANK(A23),ISBLANK(B23)),"-",LEN(Tableau47[[#This Row],[Colonne9]])))</f>
        <v/>
      </c>
      <c r="J23" s="59" t="str">
        <f>IF(AND(ISBLANK(A23),ISBLANK(B23)),"",IF(OR(ISBLANK(A23),ISBLANK(B23)),"à compléter",
IF(H23=0,"",LOOKUP(H23,'Objets de gestion'!C:C,'Objets de gestion'!F:F)&amp;"_")
&amp;IF(F23=0,"",LOOKUP(F23,'Objets de gestion'!C:C,'Objets de gestion'!F:F)&amp;"_")
&amp;IF(D23=0,"",LOOKUP(D23,'Objets de gestion'!C:C,'Objets de gestion'!F:F)&amp;"_")
&amp;IF(B23=0,"",LOOKUP(B23,'Objets de gestion'!C:C,'Objets de gestion'!F:F))
))</f>
        <v/>
      </c>
      <c r="K23" s="57" t="str">
        <f t="shared" si="0"/>
        <v/>
      </c>
      <c r="L23" s="57" t="str">
        <f>IF(AND(ISBLANK(A23),ISBLANK(B23)),"",IF(OR(ISBLANK(A23),ISBLANK(B23)),"-",
IF(ISBLANK(B23),"",LOOKUP(B23,'Objets de gestion'!C:C,'Objets de gestion'!E:E))
&amp;IF(ISBLANK(C23),""," "&amp;LOOKUP(C23,Articles!A:A,Articles!B:B))
&amp;IF(ISBLANK(D23),""," "&amp;LOOKUP(D23,'Objets de gestion'!C:C,'Objets de gestion'!E:E))
&amp;IF(ISBLANK(E23),""," "&amp;LOOKUP(E23,Articles!A:A,Articles!B:B))
&amp;IF(ISBLANK(F23),""," "&amp;LOOKUP(F23,'Objets de gestion'!C:C,'Objets de gestion'!E:E))
&amp;IF(ISBLANK(G23),""," "&amp;LOOKUP(G23,Articles!A:A,Articles!B:B))
&amp;IF(ISBLANK(H23),""," "&amp;LOOKUP(H23,'Objets de gestion'!C:C,'Objets de gestion'!E:E))
))</f>
        <v/>
      </c>
      <c r="M23" s="57" t="str">
        <f t="shared" si="1"/>
        <v/>
      </c>
    </row>
    <row r="24" spans="9:13" s="57" customFormat="1" ht="15.75" x14ac:dyDescent="0.25">
      <c r="I24" s="58" t="str">
        <f>IF(AND(ISBLANK(A24),ISBLANK(B24)),"",IF(OR(ISBLANK(A24),ISBLANK(B24)),"-",LEN(Tableau47[[#This Row],[Colonne9]])))</f>
        <v/>
      </c>
      <c r="J24" s="59" t="str">
        <f>IF(AND(ISBLANK(A24),ISBLANK(B24)),"",IF(OR(ISBLANK(A24),ISBLANK(B24)),"à compléter",
IF(H24=0,"",LOOKUP(H24,'Objets de gestion'!C:C,'Objets de gestion'!F:F)&amp;"_")
&amp;IF(F24=0,"",LOOKUP(F24,'Objets de gestion'!C:C,'Objets de gestion'!F:F)&amp;"_")
&amp;IF(D24=0,"",LOOKUP(D24,'Objets de gestion'!C:C,'Objets de gestion'!F:F)&amp;"_")
&amp;IF(B24=0,"",LOOKUP(B24,'Objets de gestion'!C:C,'Objets de gestion'!F:F))
))</f>
        <v/>
      </c>
      <c r="K24" s="57" t="str">
        <f t="shared" si="0"/>
        <v/>
      </c>
      <c r="L24" s="57" t="str">
        <f>IF(AND(ISBLANK(A24),ISBLANK(B24)),"",IF(OR(ISBLANK(A24),ISBLANK(B24)),"-",
IF(ISBLANK(B24),"",LOOKUP(B24,'Objets de gestion'!C:C,'Objets de gestion'!E:E))
&amp;IF(ISBLANK(C24),""," "&amp;LOOKUP(C24,Articles!A:A,Articles!B:B))
&amp;IF(ISBLANK(D24),""," "&amp;LOOKUP(D24,'Objets de gestion'!C:C,'Objets de gestion'!E:E))
&amp;IF(ISBLANK(E24),""," "&amp;LOOKUP(E24,Articles!A:A,Articles!B:B))
&amp;IF(ISBLANK(F24),""," "&amp;LOOKUP(F24,'Objets de gestion'!C:C,'Objets de gestion'!E:E))
&amp;IF(ISBLANK(G24),""," "&amp;LOOKUP(G24,Articles!A:A,Articles!B:B))
&amp;IF(ISBLANK(H24),""," "&amp;LOOKUP(H24,'Objets de gestion'!C:C,'Objets de gestion'!E:E))
))</f>
        <v/>
      </c>
      <c r="M24" s="57" t="str">
        <f t="shared" si="1"/>
        <v/>
      </c>
    </row>
    <row r="25" spans="9:13" s="57" customFormat="1" ht="15.75" x14ac:dyDescent="0.25">
      <c r="I25" s="58" t="str">
        <f>IF(AND(ISBLANK(A25),ISBLANK(B25)),"",IF(OR(ISBLANK(A25),ISBLANK(B25)),"-",LEN(Tableau47[[#This Row],[Colonne9]])))</f>
        <v/>
      </c>
      <c r="J25" s="59" t="str">
        <f>IF(AND(ISBLANK(A25),ISBLANK(B25)),"",IF(OR(ISBLANK(A25),ISBLANK(B25)),"à compléter",
IF(H25=0,"",LOOKUP(H25,'Objets de gestion'!C:C,'Objets de gestion'!F:F)&amp;"_")
&amp;IF(F25=0,"",LOOKUP(F25,'Objets de gestion'!C:C,'Objets de gestion'!F:F)&amp;"_")
&amp;IF(D25=0,"",LOOKUP(D25,'Objets de gestion'!C:C,'Objets de gestion'!F:F)&amp;"_")
&amp;IF(B25=0,"",LOOKUP(B25,'Objets de gestion'!C:C,'Objets de gestion'!F:F))
))</f>
        <v/>
      </c>
      <c r="K25" s="57" t="str">
        <f t="shared" si="0"/>
        <v/>
      </c>
      <c r="L25" s="57" t="str">
        <f>IF(AND(ISBLANK(A25),ISBLANK(B25)),"",IF(OR(ISBLANK(A25),ISBLANK(B25)),"-",
IF(ISBLANK(B25),"",LOOKUP(B25,'Objets de gestion'!C:C,'Objets de gestion'!E:E))
&amp;IF(ISBLANK(C25),""," "&amp;LOOKUP(C25,Articles!A:A,Articles!B:B))
&amp;IF(ISBLANK(D25),""," "&amp;LOOKUP(D25,'Objets de gestion'!C:C,'Objets de gestion'!E:E))
&amp;IF(ISBLANK(E25),""," "&amp;LOOKUP(E25,Articles!A:A,Articles!B:B))
&amp;IF(ISBLANK(F25),""," "&amp;LOOKUP(F25,'Objets de gestion'!C:C,'Objets de gestion'!E:E))
&amp;IF(ISBLANK(G25),""," "&amp;LOOKUP(G25,Articles!A:A,Articles!B:B))
&amp;IF(ISBLANK(H25),""," "&amp;LOOKUP(H25,'Objets de gestion'!C:C,'Objets de gestion'!E:E))
))</f>
        <v/>
      </c>
      <c r="M25" s="57" t="str">
        <f t="shared" si="1"/>
        <v/>
      </c>
    </row>
    <row r="26" spans="9:13" s="57" customFormat="1" ht="15.75" x14ac:dyDescent="0.25">
      <c r="I26" s="58" t="str">
        <f>IF(AND(ISBLANK(A26),ISBLANK(B26)),"",IF(OR(ISBLANK(A26),ISBLANK(B26)),"-",LEN(Tableau47[[#This Row],[Colonne9]])))</f>
        <v/>
      </c>
      <c r="J26" s="59" t="str">
        <f>IF(AND(ISBLANK(A26),ISBLANK(B26)),"",IF(OR(ISBLANK(A26),ISBLANK(B26)),"à compléter",
IF(H26=0,"",LOOKUP(H26,'Objets de gestion'!C:C,'Objets de gestion'!F:F)&amp;"_")
&amp;IF(F26=0,"",LOOKUP(F26,'Objets de gestion'!C:C,'Objets de gestion'!F:F)&amp;"_")
&amp;IF(D26=0,"",LOOKUP(D26,'Objets de gestion'!C:C,'Objets de gestion'!F:F)&amp;"_")
&amp;IF(B26=0,"",LOOKUP(B26,'Objets de gestion'!C:C,'Objets de gestion'!F:F))
))</f>
        <v/>
      </c>
      <c r="K26" s="57" t="str">
        <f t="shared" si="0"/>
        <v/>
      </c>
      <c r="L26" s="57" t="str">
        <f>IF(AND(ISBLANK(A26),ISBLANK(B26)),"",IF(OR(ISBLANK(A26),ISBLANK(B26)),"-",
IF(ISBLANK(B26),"",LOOKUP(B26,'Objets de gestion'!C:C,'Objets de gestion'!E:E))
&amp;IF(ISBLANK(C26),""," "&amp;LOOKUP(C26,Articles!A:A,Articles!B:B))
&amp;IF(ISBLANK(D26),""," "&amp;LOOKUP(D26,'Objets de gestion'!C:C,'Objets de gestion'!E:E))
&amp;IF(ISBLANK(E26),""," "&amp;LOOKUP(E26,Articles!A:A,Articles!B:B))
&amp;IF(ISBLANK(F26),""," "&amp;LOOKUP(F26,'Objets de gestion'!C:C,'Objets de gestion'!E:E))
&amp;IF(ISBLANK(G26),""," "&amp;LOOKUP(G26,Articles!A:A,Articles!B:B))
&amp;IF(ISBLANK(H26),""," "&amp;LOOKUP(H26,'Objets de gestion'!C:C,'Objets de gestion'!E:E))
))</f>
        <v/>
      </c>
      <c r="M26" s="57" t="str">
        <f t="shared" si="1"/>
        <v/>
      </c>
    </row>
    <row r="27" spans="9:13" s="57" customFormat="1" ht="15.75" x14ac:dyDescent="0.25">
      <c r="I27" s="58" t="str">
        <f>IF(AND(ISBLANK(A27),ISBLANK(B27)),"",IF(OR(ISBLANK(A27),ISBLANK(B27)),"-",LEN(Tableau47[[#This Row],[Colonne9]])))</f>
        <v/>
      </c>
      <c r="J27" s="59" t="str">
        <f>IF(AND(ISBLANK(A27),ISBLANK(B27)),"",IF(OR(ISBLANK(A27),ISBLANK(B27)),"à compléter",
IF(H27=0,"",LOOKUP(H27,'Objets de gestion'!C:C,'Objets de gestion'!F:F)&amp;"_")
&amp;IF(F27=0,"",LOOKUP(F27,'Objets de gestion'!C:C,'Objets de gestion'!F:F)&amp;"_")
&amp;IF(D27=0,"",LOOKUP(D27,'Objets de gestion'!C:C,'Objets de gestion'!F:F)&amp;"_")
&amp;IF(B27=0,"",LOOKUP(B27,'Objets de gestion'!C:C,'Objets de gestion'!F:F))
))</f>
        <v/>
      </c>
      <c r="K27" s="57" t="str">
        <f t="shared" si="0"/>
        <v/>
      </c>
      <c r="L27" s="57" t="str">
        <f>IF(AND(ISBLANK(A27),ISBLANK(B27)),"",IF(OR(ISBLANK(A27),ISBLANK(B27)),"-",
IF(ISBLANK(B27),"",LOOKUP(B27,'Objets de gestion'!C:C,'Objets de gestion'!E:E))
&amp;IF(ISBLANK(C27),""," "&amp;LOOKUP(C27,Articles!A:A,Articles!B:B))
&amp;IF(ISBLANK(D27),""," "&amp;LOOKUP(D27,'Objets de gestion'!C:C,'Objets de gestion'!E:E))
&amp;IF(ISBLANK(E27),""," "&amp;LOOKUP(E27,Articles!A:A,Articles!B:B))
&amp;IF(ISBLANK(F27),""," "&amp;LOOKUP(F27,'Objets de gestion'!C:C,'Objets de gestion'!E:E))
&amp;IF(ISBLANK(G27),""," "&amp;LOOKUP(G27,Articles!A:A,Articles!B:B))
&amp;IF(ISBLANK(H27),""," "&amp;LOOKUP(H27,'Objets de gestion'!C:C,'Objets de gestion'!E:E))
))</f>
        <v/>
      </c>
      <c r="M27" s="57" t="str">
        <f t="shared" si="1"/>
        <v/>
      </c>
    </row>
    <row r="28" spans="9:13" s="57" customFormat="1" ht="15.75" x14ac:dyDescent="0.25">
      <c r="I28" s="58" t="str">
        <f>IF(AND(ISBLANK(A28),ISBLANK(B28)),"",IF(OR(ISBLANK(A28),ISBLANK(B28)),"-",LEN(Tableau47[[#This Row],[Colonne9]])))</f>
        <v/>
      </c>
      <c r="J28" s="59" t="str">
        <f>IF(AND(ISBLANK(A28),ISBLANK(B28)),"",IF(OR(ISBLANK(A28),ISBLANK(B28)),"à compléter",
IF(H28=0,"",LOOKUP(H28,'Objets de gestion'!C:C,'Objets de gestion'!F:F)&amp;"_")
&amp;IF(F28=0,"",LOOKUP(F28,'Objets de gestion'!C:C,'Objets de gestion'!F:F)&amp;"_")
&amp;IF(D28=0,"",LOOKUP(D28,'Objets de gestion'!C:C,'Objets de gestion'!F:F)&amp;"_")
&amp;IF(B28=0,"",LOOKUP(B28,'Objets de gestion'!C:C,'Objets de gestion'!F:F))
))</f>
        <v/>
      </c>
      <c r="K28" s="57" t="str">
        <f t="shared" si="0"/>
        <v/>
      </c>
      <c r="L28" s="57" t="str">
        <f>IF(AND(ISBLANK(A28),ISBLANK(B28)),"",IF(OR(ISBLANK(A28),ISBLANK(B28)),"-",
IF(ISBLANK(B28),"",LOOKUP(B28,'Objets de gestion'!C:C,'Objets de gestion'!E:E))
&amp;IF(ISBLANK(C28),""," "&amp;LOOKUP(C28,Articles!A:A,Articles!B:B))
&amp;IF(ISBLANK(D28),""," "&amp;LOOKUP(D28,'Objets de gestion'!C:C,'Objets de gestion'!E:E))
&amp;IF(ISBLANK(E28),""," "&amp;LOOKUP(E28,Articles!A:A,Articles!B:B))
&amp;IF(ISBLANK(F28),""," "&amp;LOOKUP(F28,'Objets de gestion'!C:C,'Objets de gestion'!E:E))
&amp;IF(ISBLANK(G28),""," "&amp;LOOKUP(G28,Articles!A:A,Articles!B:B))
&amp;IF(ISBLANK(H28),""," "&amp;LOOKUP(H28,'Objets de gestion'!C:C,'Objets de gestion'!E:E))
))</f>
        <v/>
      </c>
      <c r="M28" s="57" t="str">
        <f t="shared" si="1"/>
        <v/>
      </c>
    </row>
    <row r="29" spans="9:13" s="57" customFormat="1" ht="15.75" x14ac:dyDescent="0.25">
      <c r="I29" s="58" t="str">
        <f>IF(AND(ISBLANK(A29),ISBLANK(B29)),"",IF(OR(ISBLANK(A29),ISBLANK(B29)),"-",LEN(Tableau47[[#This Row],[Colonne9]])))</f>
        <v/>
      </c>
      <c r="J29" s="59" t="str">
        <f>IF(AND(ISBLANK(A29),ISBLANK(B29)),"",IF(OR(ISBLANK(A29),ISBLANK(B29)),"à compléter",
IF(H29=0,"",LOOKUP(H29,'Objets de gestion'!C:C,'Objets de gestion'!F:F)&amp;"_")
&amp;IF(F29=0,"",LOOKUP(F29,'Objets de gestion'!C:C,'Objets de gestion'!F:F)&amp;"_")
&amp;IF(D29=0,"",LOOKUP(D29,'Objets de gestion'!C:C,'Objets de gestion'!F:F)&amp;"_")
&amp;IF(B29=0,"",LOOKUP(B29,'Objets de gestion'!C:C,'Objets de gestion'!F:F))
))</f>
        <v/>
      </c>
      <c r="K29" s="57" t="str">
        <f t="shared" si="0"/>
        <v/>
      </c>
      <c r="L29" s="57" t="str">
        <f>IF(AND(ISBLANK(A29),ISBLANK(B29)),"",IF(OR(ISBLANK(A29),ISBLANK(B29)),"-",
IF(ISBLANK(B29),"",LOOKUP(B29,'Objets de gestion'!C:C,'Objets de gestion'!E:E))
&amp;IF(ISBLANK(C29),""," "&amp;LOOKUP(C29,Articles!A:A,Articles!B:B))
&amp;IF(ISBLANK(D29),""," "&amp;LOOKUP(D29,'Objets de gestion'!C:C,'Objets de gestion'!E:E))
&amp;IF(ISBLANK(E29),""," "&amp;LOOKUP(E29,Articles!A:A,Articles!B:B))
&amp;IF(ISBLANK(F29),""," "&amp;LOOKUP(F29,'Objets de gestion'!C:C,'Objets de gestion'!E:E))
&amp;IF(ISBLANK(G29),""," "&amp;LOOKUP(G29,Articles!A:A,Articles!B:B))
&amp;IF(ISBLANK(H29),""," "&amp;LOOKUP(H29,'Objets de gestion'!C:C,'Objets de gestion'!E:E))
))</f>
        <v/>
      </c>
      <c r="M29" s="57" t="str">
        <f t="shared" si="1"/>
        <v/>
      </c>
    </row>
    <row r="30" spans="9:13" s="57" customFormat="1" ht="15.75" x14ac:dyDescent="0.25">
      <c r="I30" s="58" t="str">
        <f>IF(AND(ISBLANK(A30),ISBLANK(B30)),"",IF(OR(ISBLANK(A30),ISBLANK(B30)),"-",LEN(Tableau47[[#This Row],[Colonne9]])))</f>
        <v/>
      </c>
      <c r="J30" s="59" t="str">
        <f>IF(AND(ISBLANK(A30),ISBLANK(B30)),"",IF(OR(ISBLANK(A30),ISBLANK(B30)),"à compléter",
IF(H30=0,"",LOOKUP(H30,'Objets de gestion'!C:C,'Objets de gestion'!F:F)&amp;"_")
&amp;IF(F30=0,"",LOOKUP(F30,'Objets de gestion'!C:C,'Objets de gestion'!F:F)&amp;"_")
&amp;IF(D30=0,"",LOOKUP(D30,'Objets de gestion'!C:C,'Objets de gestion'!F:F)&amp;"_")
&amp;IF(B30=0,"",LOOKUP(B30,'Objets de gestion'!C:C,'Objets de gestion'!F:F))
))</f>
        <v/>
      </c>
      <c r="K30" s="57" t="str">
        <f t="shared" si="0"/>
        <v/>
      </c>
      <c r="L30" s="57" t="str">
        <f>IF(AND(ISBLANK(A30),ISBLANK(B30)),"",IF(OR(ISBLANK(A30),ISBLANK(B30)),"-",
IF(ISBLANK(B30),"",LOOKUP(B30,'Objets de gestion'!C:C,'Objets de gestion'!E:E))
&amp;IF(ISBLANK(C30),""," "&amp;LOOKUP(C30,Articles!A:A,Articles!B:B))
&amp;IF(ISBLANK(D30),""," "&amp;LOOKUP(D30,'Objets de gestion'!C:C,'Objets de gestion'!E:E))
&amp;IF(ISBLANK(E30),""," "&amp;LOOKUP(E30,Articles!A:A,Articles!B:B))
&amp;IF(ISBLANK(F30),""," "&amp;LOOKUP(F30,'Objets de gestion'!C:C,'Objets de gestion'!E:E))
&amp;IF(ISBLANK(G30),""," "&amp;LOOKUP(G30,Articles!A:A,Articles!B:B))
&amp;IF(ISBLANK(H30),""," "&amp;LOOKUP(H30,'Objets de gestion'!C:C,'Objets de gestion'!E:E))
))</f>
        <v/>
      </c>
      <c r="M30" s="57" t="str">
        <f t="shared" si="1"/>
        <v/>
      </c>
    </row>
    <row r="31" spans="9:13" s="57" customFormat="1" ht="15.75" x14ac:dyDescent="0.25">
      <c r="I31" s="58" t="str">
        <f>IF(AND(ISBLANK(A31),ISBLANK(B31)),"",IF(OR(ISBLANK(A31),ISBLANK(B31)),"-",LEN(Tableau47[[#This Row],[Colonne9]])))</f>
        <v/>
      </c>
      <c r="J31" s="59" t="str">
        <f>IF(AND(ISBLANK(A31),ISBLANK(B31)),"",IF(OR(ISBLANK(A31),ISBLANK(B31)),"à compléter",
IF(H31=0,"",LOOKUP(H31,'Objets de gestion'!C:C,'Objets de gestion'!F:F)&amp;"_")
&amp;IF(F31=0,"",LOOKUP(F31,'Objets de gestion'!C:C,'Objets de gestion'!F:F)&amp;"_")
&amp;IF(D31=0,"",LOOKUP(D31,'Objets de gestion'!C:C,'Objets de gestion'!F:F)&amp;"_")
&amp;IF(B31=0,"",LOOKUP(B31,'Objets de gestion'!C:C,'Objets de gestion'!F:F))
))</f>
        <v/>
      </c>
      <c r="K31" s="57" t="str">
        <f t="shared" si="0"/>
        <v/>
      </c>
      <c r="L31" s="57" t="str">
        <f>IF(AND(ISBLANK(A31),ISBLANK(B31)),"",IF(OR(ISBLANK(A31),ISBLANK(B31)),"-",
IF(ISBLANK(B31),"",LOOKUP(B31,'Objets de gestion'!C:C,'Objets de gestion'!E:E))
&amp;IF(ISBLANK(C31),""," "&amp;LOOKUP(C31,Articles!A:A,Articles!B:B))
&amp;IF(ISBLANK(D31),""," "&amp;LOOKUP(D31,'Objets de gestion'!C:C,'Objets de gestion'!E:E))
&amp;IF(ISBLANK(E31),""," "&amp;LOOKUP(E31,Articles!A:A,Articles!B:B))
&amp;IF(ISBLANK(F31),""," "&amp;LOOKUP(F31,'Objets de gestion'!C:C,'Objets de gestion'!E:E))
&amp;IF(ISBLANK(G31),""," "&amp;LOOKUP(G31,Articles!A:A,Articles!B:B))
&amp;IF(ISBLANK(H31),""," "&amp;LOOKUP(H31,'Objets de gestion'!C:C,'Objets de gestion'!E:E))
))</f>
        <v/>
      </c>
      <c r="M31" s="57" t="str">
        <f t="shared" si="1"/>
        <v/>
      </c>
    </row>
    <row r="32" spans="9:13" s="57" customFormat="1" ht="15.75" x14ac:dyDescent="0.25">
      <c r="I32" s="58" t="str">
        <f>IF(AND(ISBLANK(A32),ISBLANK(B32)),"",IF(OR(ISBLANK(A32),ISBLANK(B32)),"-",LEN(Tableau47[[#This Row],[Colonne9]])))</f>
        <v/>
      </c>
      <c r="J32" s="59" t="str">
        <f>IF(AND(ISBLANK(A32),ISBLANK(B32)),"",IF(OR(ISBLANK(A32),ISBLANK(B32)),"à compléter",
IF(H32=0,"",LOOKUP(H32,'Objets de gestion'!C:C,'Objets de gestion'!F:F)&amp;"_")
&amp;IF(F32=0,"",LOOKUP(F32,'Objets de gestion'!C:C,'Objets de gestion'!F:F)&amp;"_")
&amp;IF(D32=0,"",LOOKUP(D32,'Objets de gestion'!C:C,'Objets de gestion'!F:F)&amp;"_")
&amp;IF(B32=0,"",LOOKUP(B32,'Objets de gestion'!C:C,'Objets de gestion'!F:F))
))</f>
        <v/>
      </c>
      <c r="K32" s="57" t="str">
        <f t="shared" si="0"/>
        <v/>
      </c>
      <c r="L32" s="57" t="str">
        <f>IF(AND(ISBLANK(A32),ISBLANK(B32)),"",IF(OR(ISBLANK(A32),ISBLANK(B32)),"-",
IF(ISBLANK(B32),"",LOOKUP(B32,'Objets de gestion'!C:C,'Objets de gestion'!E:E))
&amp;IF(ISBLANK(C32),""," "&amp;LOOKUP(C32,Articles!A:A,Articles!B:B))
&amp;IF(ISBLANK(D32),""," "&amp;LOOKUP(D32,'Objets de gestion'!C:C,'Objets de gestion'!E:E))
&amp;IF(ISBLANK(E32),""," "&amp;LOOKUP(E32,Articles!A:A,Articles!B:B))
&amp;IF(ISBLANK(F32),""," "&amp;LOOKUP(F32,'Objets de gestion'!C:C,'Objets de gestion'!E:E))
&amp;IF(ISBLANK(G32),""," "&amp;LOOKUP(G32,Articles!A:A,Articles!B:B))
&amp;IF(ISBLANK(H32),""," "&amp;LOOKUP(H32,'Objets de gestion'!C:C,'Objets de gestion'!E:E))
))</f>
        <v/>
      </c>
      <c r="M32" s="57" t="str">
        <f t="shared" si="1"/>
        <v/>
      </c>
    </row>
    <row r="33" spans="1:13" s="60" customFormat="1" ht="15.75" x14ac:dyDescent="0.25">
      <c r="A33" s="57"/>
      <c r="B33" s="57"/>
      <c r="C33" s="57"/>
      <c r="D33" s="57"/>
      <c r="I33" s="58" t="str">
        <f>IF(AND(ISBLANK(A33),ISBLANK(B33)),"",IF(OR(ISBLANK(A33),ISBLANK(B33)),"-",LEN(Tableau47[[#This Row],[Colonne9]])))</f>
        <v/>
      </c>
      <c r="J33" s="59" t="str">
        <f>IF(AND(ISBLANK(A33),ISBLANK(B33)),"",IF(OR(ISBLANK(A33),ISBLANK(B33)),"à compléter",
IF(H33=0,"",LOOKUP(H33,'Objets de gestion'!C:C,'Objets de gestion'!F:F)&amp;"_")
&amp;IF(F33=0,"",LOOKUP(F33,'Objets de gestion'!C:C,'Objets de gestion'!F:F)&amp;"_")
&amp;IF(D33=0,"",LOOKUP(D33,'Objets de gestion'!C:C,'Objets de gestion'!F:F)&amp;"_")
&amp;IF(B33=0,"",LOOKUP(B33,'Objets de gestion'!C:C,'Objets de gestion'!F:F))
))</f>
        <v/>
      </c>
      <c r="K33" s="57" t="str">
        <f t="shared" si="0"/>
        <v/>
      </c>
      <c r="L33" s="57" t="str">
        <f>IF(AND(ISBLANK(A33),ISBLANK(B33)),"",IF(OR(ISBLANK(A33),ISBLANK(B33)),"-",
IF(ISBLANK(B33),"",LOOKUP(B33,'Objets de gestion'!C:C,'Objets de gestion'!E:E))
&amp;IF(ISBLANK(C33),""," "&amp;LOOKUP(C33,Articles!A:A,Articles!B:B))
&amp;IF(ISBLANK(D33),""," "&amp;LOOKUP(D33,'Objets de gestion'!C:C,'Objets de gestion'!E:E))
&amp;IF(ISBLANK(E33),""," "&amp;LOOKUP(E33,Articles!A:A,Articles!B:B))
&amp;IF(ISBLANK(F33),""," "&amp;LOOKUP(F33,'Objets de gestion'!C:C,'Objets de gestion'!E:E))
&amp;IF(ISBLANK(G33),""," "&amp;LOOKUP(G33,Articles!A:A,Articles!B:B))
&amp;IF(ISBLANK(H33),""," "&amp;LOOKUP(H33,'Objets de gestion'!C:C,'Objets de gestion'!E:E))
))</f>
        <v/>
      </c>
      <c r="M33" s="57" t="str">
        <f t="shared" si="1"/>
        <v/>
      </c>
    </row>
    <row r="34" spans="1:13" s="57" customFormat="1" ht="15.75" x14ac:dyDescent="0.25">
      <c r="I34" s="58" t="str">
        <f>IF(AND(ISBLANK(A34),ISBLANK(B34)),"",IF(OR(ISBLANK(A34),ISBLANK(B34)),"-",LEN(Tableau47[[#This Row],[Colonne9]])))</f>
        <v/>
      </c>
      <c r="J34" s="59" t="str">
        <f>IF(AND(ISBLANK(A34),ISBLANK(B34)),"",IF(OR(ISBLANK(A34),ISBLANK(B34)),"à compléter",
IF(H34=0,"",LOOKUP(H34,'Objets de gestion'!C:C,'Objets de gestion'!F:F)&amp;"_")
&amp;IF(F34=0,"",LOOKUP(F34,'Objets de gestion'!C:C,'Objets de gestion'!F:F)&amp;"_")
&amp;IF(D34=0,"",LOOKUP(D34,'Objets de gestion'!C:C,'Objets de gestion'!F:F)&amp;"_")
&amp;IF(B34=0,"",LOOKUP(B34,'Objets de gestion'!C:C,'Objets de gestion'!F:F))
))</f>
        <v/>
      </c>
      <c r="K34" s="57" t="str">
        <f t="shared" si="0"/>
        <v/>
      </c>
      <c r="L34" s="57" t="str">
        <f>IF(AND(ISBLANK(A34),ISBLANK(B34)),"",IF(OR(ISBLANK(A34),ISBLANK(B34)),"-",
IF(ISBLANK(B34),"",LOOKUP(B34,'Objets de gestion'!C:C,'Objets de gestion'!E:E))
&amp;IF(ISBLANK(C34),""," "&amp;LOOKUP(C34,Articles!A:A,Articles!B:B))
&amp;IF(ISBLANK(D34),""," "&amp;LOOKUP(D34,'Objets de gestion'!C:C,'Objets de gestion'!E:E))
&amp;IF(ISBLANK(E34),""," "&amp;LOOKUP(E34,Articles!A:A,Articles!B:B))
&amp;IF(ISBLANK(F34),""," "&amp;LOOKUP(F34,'Objets de gestion'!C:C,'Objets de gestion'!E:E))
&amp;IF(ISBLANK(G34),""," "&amp;LOOKUP(G34,Articles!A:A,Articles!B:B))
&amp;IF(ISBLANK(H34),""," "&amp;LOOKUP(H34,'Objets de gestion'!C:C,'Objets de gestion'!E:E))
))</f>
        <v/>
      </c>
      <c r="M34" s="57" t="str">
        <f t="shared" si="1"/>
        <v/>
      </c>
    </row>
    <row r="35" spans="1:13" s="57" customFormat="1" ht="15.75" x14ac:dyDescent="0.25">
      <c r="I35" s="58" t="str">
        <f>IF(AND(ISBLANK(A35),ISBLANK(B35)),"",IF(OR(ISBLANK(A35),ISBLANK(B35)),"-",LEN(Tableau47[[#This Row],[Colonne9]])))</f>
        <v/>
      </c>
      <c r="J35" s="59" t="str">
        <f>IF(AND(ISBLANK(A35),ISBLANK(B35)),"",IF(OR(ISBLANK(A35),ISBLANK(B35)),"à compléter",
IF(H35=0,"",LOOKUP(H35,'Objets de gestion'!C:C,'Objets de gestion'!F:F)&amp;"_")
&amp;IF(F35=0,"",LOOKUP(F35,'Objets de gestion'!C:C,'Objets de gestion'!F:F)&amp;"_")
&amp;IF(D35=0,"",LOOKUP(D35,'Objets de gestion'!C:C,'Objets de gestion'!F:F)&amp;"_")
&amp;IF(B35=0,"",LOOKUP(B35,'Objets de gestion'!C:C,'Objets de gestion'!F:F))
))</f>
        <v/>
      </c>
      <c r="K35" s="57" t="str">
        <f t="shared" si="0"/>
        <v/>
      </c>
      <c r="L35" s="57" t="str">
        <f>IF(AND(ISBLANK(A35),ISBLANK(B35)),"",IF(OR(ISBLANK(A35),ISBLANK(B35)),"-",
IF(ISBLANK(B35),"",LOOKUP(B35,'Objets de gestion'!C:C,'Objets de gestion'!E:E))
&amp;IF(ISBLANK(C35),""," "&amp;LOOKUP(C35,Articles!A:A,Articles!B:B))
&amp;IF(ISBLANK(D35),""," "&amp;LOOKUP(D35,'Objets de gestion'!C:C,'Objets de gestion'!E:E))
&amp;IF(ISBLANK(E35),""," "&amp;LOOKUP(E35,Articles!A:A,Articles!B:B))
&amp;IF(ISBLANK(F35),""," "&amp;LOOKUP(F35,'Objets de gestion'!C:C,'Objets de gestion'!E:E))
&amp;IF(ISBLANK(G35),""," "&amp;LOOKUP(G35,Articles!A:A,Articles!B:B))
&amp;IF(ISBLANK(H35),""," "&amp;LOOKUP(H35,'Objets de gestion'!C:C,'Objets de gestion'!E:E))
))</f>
        <v/>
      </c>
      <c r="M35" s="57" t="str">
        <f t="shared" si="1"/>
        <v/>
      </c>
    </row>
    <row r="36" spans="1:13" s="57" customFormat="1" ht="15.75" x14ac:dyDescent="0.25">
      <c r="E36" s="60"/>
      <c r="F36" s="60"/>
      <c r="G36" s="60"/>
      <c r="H36" s="60"/>
      <c r="I36" s="58" t="str">
        <f>IF(AND(ISBLANK(A36),ISBLANK(B36)),"",IF(OR(ISBLANK(A36),ISBLANK(B36)),"-",LEN(Tableau47[[#This Row],[Colonne9]])))</f>
        <v/>
      </c>
      <c r="J36" s="59" t="str">
        <f>IF(AND(ISBLANK(A36),ISBLANK(B36)),"",IF(OR(ISBLANK(A36),ISBLANK(B36)),"à compléter",
IF(H36=0,"",LOOKUP(H36,'Objets de gestion'!C:C,'Objets de gestion'!F:F)&amp;"_")
&amp;IF(F36=0,"",LOOKUP(F36,'Objets de gestion'!C:C,'Objets de gestion'!F:F)&amp;"_")
&amp;IF(D36=0,"",LOOKUP(D36,'Objets de gestion'!C:C,'Objets de gestion'!F:F)&amp;"_")
&amp;IF(B36=0,"",LOOKUP(B36,'Objets de gestion'!C:C,'Objets de gestion'!F:F))
))</f>
        <v/>
      </c>
      <c r="K36" s="57" t="str">
        <f t="shared" si="0"/>
        <v/>
      </c>
      <c r="L36" s="57" t="str">
        <f>IF(AND(ISBLANK(A36),ISBLANK(B36)),"",IF(OR(ISBLANK(A36),ISBLANK(B36)),"-",
IF(ISBLANK(B36),"",LOOKUP(B36,'Objets de gestion'!C:C,'Objets de gestion'!E:E))
&amp;IF(ISBLANK(C36),""," "&amp;LOOKUP(C36,Articles!A:A,Articles!B:B))
&amp;IF(ISBLANK(D36),""," "&amp;LOOKUP(D36,'Objets de gestion'!C:C,'Objets de gestion'!E:E))
&amp;IF(ISBLANK(E36),""," "&amp;LOOKUP(E36,Articles!A:A,Articles!B:B))
&amp;IF(ISBLANK(F36),""," "&amp;LOOKUP(F36,'Objets de gestion'!C:C,'Objets de gestion'!E:E))
&amp;IF(ISBLANK(G36),""," "&amp;LOOKUP(G36,Articles!A:A,Articles!B:B))
&amp;IF(ISBLANK(H36),""," "&amp;LOOKUP(H36,'Objets de gestion'!C:C,'Objets de gestion'!E:E))
))</f>
        <v/>
      </c>
      <c r="M36" s="57" t="str">
        <f t="shared" si="1"/>
        <v/>
      </c>
    </row>
    <row r="37" spans="1:13" s="57" customFormat="1" ht="15.75" x14ac:dyDescent="0.25">
      <c r="I37" s="58" t="str">
        <f>IF(AND(ISBLANK(A37),ISBLANK(B37)),"",IF(OR(ISBLANK(A37),ISBLANK(B37)),"-",LEN(Tableau47[[#This Row],[Colonne9]])))</f>
        <v/>
      </c>
      <c r="J37" s="59" t="str">
        <f>IF(AND(ISBLANK(A37),ISBLANK(B37)),"",IF(OR(ISBLANK(A37),ISBLANK(B37)),"à compléter",
IF(H37=0,"",LOOKUP(H37,'Objets de gestion'!C:C,'Objets de gestion'!F:F)&amp;"_")
&amp;IF(F37=0,"",LOOKUP(F37,'Objets de gestion'!C:C,'Objets de gestion'!F:F)&amp;"_")
&amp;IF(D37=0,"",LOOKUP(D37,'Objets de gestion'!C:C,'Objets de gestion'!F:F)&amp;"_")
&amp;IF(B37=0,"",LOOKUP(B37,'Objets de gestion'!C:C,'Objets de gestion'!F:F))
))</f>
        <v/>
      </c>
      <c r="K37" s="57" t="str">
        <f t="shared" si="0"/>
        <v/>
      </c>
      <c r="L37" s="57" t="str">
        <f>IF(AND(ISBLANK(A37),ISBLANK(B37)),"",IF(OR(ISBLANK(A37),ISBLANK(B37)),"-",
IF(ISBLANK(B37),"",LOOKUP(B37,'Objets de gestion'!C:C,'Objets de gestion'!E:E))
&amp;IF(ISBLANK(C37),""," "&amp;LOOKUP(C37,Articles!A:A,Articles!B:B))
&amp;IF(ISBLANK(D37),""," "&amp;LOOKUP(D37,'Objets de gestion'!C:C,'Objets de gestion'!E:E))
&amp;IF(ISBLANK(E37),""," "&amp;LOOKUP(E37,Articles!A:A,Articles!B:B))
&amp;IF(ISBLANK(F37),""," "&amp;LOOKUP(F37,'Objets de gestion'!C:C,'Objets de gestion'!E:E))
&amp;IF(ISBLANK(G37),""," "&amp;LOOKUP(G37,Articles!A:A,Articles!B:B))
&amp;IF(ISBLANK(H37),""," "&amp;LOOKUP(H37,'Objets de gestion'!C:C,'Objets de gestion'!E:E))
))</f>
        <v/>
      </c>
      <c r="M37" s="57" t="str">
        <f t="shared" si="1"/>
        <v/>
      </c>
    </row>
    <row r="38" spans="1:13" s="57" customFormat="1" ht="15.75" x14ac:dyDescent="0.25">
      <c r="E38" s="60"/>
      <c r="F38" s="60"/>
      <c r="G38" s="60"/>
      <c r="H38" s="60"/>
      <c r="I38" s="58" t="str">
        <f>IF(AND(ISBLANK(A38),ISBLANK(B38)),"",IF(OR(ISBLANK(A38),ISBLANK(B38)),"-",LEN(Tableau47[[#This Row],[Colonne9]])))</f>
        <v/>
      </c>
      <c r="J38" s="59" t="str">
        <f>IF(AND(ISBLANK(A38),ISBLANK(B38)),"",IF(OR(ISBLANK(A38),ISBLANK(B38)),"à compléter",
IF(H38=0,"",LOOKUP(H38,'Objets de gestion'!C:C,'Objets de gestion'!F:F)&amp;"_")
&amp;IF(F38=0,"",LOOKUP(F38,'Objets de gestion'!C:C,'Objets de gestion'!F:F)&amp;"_")
&amp;IF(D38=0,"",LOOKUP(D38,'Objets de gestion'!C:C,'Objets de gestion'!F:F)&amp;"_")
&amp;IF(B38=0,"",LOOKUP(B38,'Objets de gestion'!C:C,'Objets de gestion'!F:F))
))</f>
        <v/>
      </c>
      <c r="K38" s="57" t="str">
        <f t="shared" si="0"/>
        <v/>
      </c>
      <c r="L38" s="57" t="str">
        <f>IF(AND(ISBLANK(A38),ISBLANK(B38)),"",IF(OR(ISBLANK(A38),ISBLANK(B38)),"-",
IF(ISBLANK(B38),"",LOOKUP(B38,'Objets de gestion'!C:C,'Objets de gestion'!E:E))
&amp;IF(ISBLANK(C38),""," "&amp;LOOKUP(C38,Articles!A:A,Articles!B:B))
&amp;IF(ISBLANK(D38),""," "&amp;LOOKUP(D38,'Objets de gestion'!C:C,'Objets de gestion'!E:E))
&amp;IF(ISBLANK(E38),""," "&amp;LOOKUP(E38,Articles!A:A,Articles!B:B))
&amp;IF(ISBLANK(F38),""," "&amp;LOOKUP(F38,'Objets de gestion'!C:C,'Objets de gestion'!E:E))
&amp;IF(ISBLANK(G38),""," "&amp;LOOKUP(G38,Articles!A:A,Articles!B:B))
&amp;IF(ISBLANK(H38),""," "&amp;LOOKUP(H38,'Objets de gestion'!C:C,'Objets de gestion'!E:E))
))</f>
        <v/>
      </c>
      <c r="M38" s="57" t="str">
        <f t="shared" si="1"/>
        <v/>
      </c>
    </row>
    <row r="39" spans="1:13" s="57" customFormat="1" ht="15.75" x14ac:dyDescent="0.25">
      <c r="E39" s="60"/>
      <c r="F39" s="60"/>
      <c r="G39" s="60"/>
      <c r="H39" s="60"/>
      <c r="I39" s="58" t="str">
        <f>IF(AND(ISBLANK(A39),ISBLANK(B39)),"",IF(OR(ISBLANK(A39),ISBLANK(B39)),"-",LEN(Tableau47[[#This Row],[Colonne9]])))</f>
        <v/>
      </c>
      <c r="J39" s="59" t="str">
        <f>IF(AND(ISBLANK(A39),ISBLANK(B39)),"",IF(OR(ISBLANK(A39),ISBLANK(B39)),"à compléter",
IF(H39=0,"",LOOKUP(H39,'Objets de gestion'!C:C,'Objets de gestion'!F:F)&amp;"_")
&amp;IF(F39=0,"",LOOKUP(F39,'Objets de gestion'!C:C,'Objets de gestion'!F:F)&amp;"_")
&amp;IF(D39=0,"",LOOKUP(D39,'Objets de gestion'!C:C,'Objets de gestion'!F:F)&amp;"_")
&amp;IF(B39=0,"",LOOKUP(B39,'Objets de gestion'!C:C,'Objets de gestion'!F:F))
))</f>
        <v/>
      </c>
      <c r="K39" s="57" t="str">
        <f t="shared" si="0"/>
        <v/>
      </c>
      <c r="L39" s="57" t="str">
        <f>IF(AND(ISBLANK(A39),ISBLANK(B39)),"",IF(OR(ISBLANK(A39),ISBLANK(B39)),"-",
IF(ISBLANK(B39),"",LOOKUP(B39,'Objets de gestion'!C:C,'Objets de gestion'!E:E))
&amp;IF(ISBLANK(C39),""," "&amp;LOOKUP(C39,Articles!A:A,Articles!B:B))
&amp;IF(ISBLANK(D39),""," "&amp;LOOKUP(D39,'Objets de gestion'!C:C,'Objets de gestion'!E:E))
&amp;IF(ISBLANK(E39),""," "&amp;LOOKUP(E39,Articles!A:A,Articles!B:B))
&amp;IF(ISBLANK(F39),""," "&amp;LOOKUP(F39,'Objets de gestion'!C:C,'Objets de gestion'!E:E))
&amp;IF(ISBLANK(G39),""," "&amp;LOOKUP(G39,Articles!A:A,Articles!B:B))
&amp;IF(ISBLANK(H39),""," "&amp;LOOKUP(H39,'Objets de gestion'!C:C,'Objets de gestion'!E:E))
))</f>
        <v/>
      </c>
      <c r="M39" s="57" t="str">
        <f t="shared" si="1"/>
        <v/>
      </c>
    </row>
    <row r="40" spans="1:13" s="57" customFormat="1" ht="15.75" x14ac:dyDescent="0.25">
      <c r="I40" s="58" t="str">
        <f>IF(AND(ISBLANK(A40),ISBLANK(B40)),"",IF(OR(ISBLANK(A40),ISBLANK(B40)),"-",LEN(Tableau47[[#This Row],[Colonne9]])))</f>
        <v/>
      </c>
      <c r="J40" s="59" t="str">
        <f>IF(AND(ISBLANK(A40),ISBLANK(B40)),"",IF(OR(ISBLANK(A40),ISBLANK(B40)),"à compléter",
IF(H40=0,"",LOOKUP(H40,'Objets de gestion'!C:C,'Objets de gestion'!F:F)&amp;"_")
&amp;IF(F40=0,"",LOOKUP(F40,'Objets de gestion'!C:C,'Objets de gestion'!F:F)&amp;"_")
&amp;IF(D40=0,"",LOOKUP(D40,'Objets de gestion'!C:C,'Objets de gestion'!F:F)&amp;"_")
&amp;IF(B40=0,"",LOOKUP(B40,'Objets de gestion'!C:C,'Objets de gestion'!F:F))
))</f>
        <v/>
      </c>
      <c r="K40" s="57" t="str">
        <f t="shared" si="0"/>
        <v/>
      </c>
      <c r="L40" s="57" t="str">
        <f>IF(AND(ISBLANK(A40),ISBLANK(B40)),"",IF(OR(ISBLANK(A40),ISBLANK(B40)),"-",
IF(ISBLANK(B40),"",LOOKUP(B40,'Objets de gestion'!C:C,'Objets de gestion'!E:E))
&amp;IF(ISBLANK(C40),""," "&amp;LOOKUP(C40,Articles!A:A,Articles!B:B))
&amp;IF(ISBLANK(D40),""," "&amp;LOOKUP(D40,'Objets de gestion'!C:C,'Objets de gestion'!E:E))
&amp;IF(ISBLANK(E40),""," "&amp;LOOKUP(E40,Articles!A:A,Articles!B:B))
&amp;IF(ISBLANK(F40),""," "&amp;LOOKUP(F40,'Objets de gestion'!C:C,'Objets de gestion'!E:E))
&amp;IF(ISBLANK(G40),""," "&amp;LOOKUP(G40,Articles!A:A,Articles!B:B))
&amp;IF(ISBLANK(H40),""," "&amp;LOOKUP(H40,'Objets de gestion'!C:C,'Objets de gestion'!E:E))
))</f>
        <v/>
      </c>
      <c r="M40" s="57" t="str">
        <f t="shared" si="1"/>
        <v/>
      </c>
    </row>
    <row r="41" spans="1:13" s="57" customFormat="1" ht="15.75" x14ac:dyDescent="0.25">
      <c r="E41" s="60"/>
      <c r="F41" s="60"/>
      <c r="G41" s="60"/>
      <c r="H41" s="60"/>
      <c r="I41" s="58" t="str">
        <f>IF(AND(ISBLANK(A41),ISBLANK(B41)),"",IF(OR(ISBLANK(A41),ISBLANK(B41)),"-",LEN(Tableau47[[#This Row],[Colonne9]])))</f>
        <v/>
      </c>
      <c r="J41" s="59" t="str">
        <f>IF(AND(ISBLANK(A41),ISBLANK(B41)),"",IF(OR(ISBLANK(A41),ISBLANK(B41)),"à compléter",
IF(H41=0,"",LOOKUP(H41,'Objets de gestion'!C:C,'Objets de gestion'!F:F)&amp;"_")
&amp;IF(F41=0,"",LOOKUP(F41,'Objets de gestion'!C:C,'Objets de gestion'!F:F)&amp;"_")
&amp;IF(D41=0,"",LOOKUP(D41,'Objets de gestion'!C:C,'Objets de gestion'!F:F)&amp;"_")
&amp;IF(B41=0,"",LOOKUP(B41,'Objets de gestion'!C:C,'Objets de gestion'!F:F))
))</f>
        <v/>
      </c>
      <c r="K41" s="57" t="str">
        <f t="shared" si="0"/>
        <v/>
      </c>
      <c r="L41" s="57" t="str">
        <f>IF(AND(ISBLANK(A41),ISBLANK(B41)),"",IF(OR(ISBLANK(A41),ISBLANK(B41)),"-",
IF(ISBLANK(B41),"",LOOKUP(B41,'Objets de gestion'!C:C,'Objets de gestion'!E:E))
&amp;IF(ISBLANK(C41),""," "&amp;LOOKUP(C41,Articles!A:A,Articles!B:B))
&amp;IF(ISBLANK(D41),""," "&amp;LOOKUP(D41,'Objets de gestion'!C:C,'Objets de gestion'!E:E))
&amp;IF(ISBLANK(E41),""," "&amp;LOOKUP(E41,Articles!A:A,Articles!B:B))
&amp;IF(ISBLANK(F41),""," "&amp;LOOKUP(F41,'Objets de gestion'!C:C,'Objets de gestion'!E:E))
&amp;IF(ISBLANK(G41),""," "&amp;LOOKUP(G41,Articles!A:A,Articles!B:B))
&amp;IF(ISBLANK(H41),""," "&amp;LOOKUP(H41,'Objets de gestion'!C:C,'Objets de gestion'!E:E))
))</f>
        <v/>
      </c>
      <c r="M41" s="57" t="str">
        <f t="shared" si="1"/>
        <v/>
      </c>
    </row>
    <row r="42" spans="1:13" s="57" customFormat="1" ht="15.75" x14ac:dyDescent="0.25">
      <c r="E42" s="60"/>
      <c r="F42" s="60"/>
      <c r="G42" s="60"/>
      <c r="H42" s="60"/>
      <c r="I42" s="58" t="str">
        <f>IF(AND(ISBLANK(A42),ISBLANK(B42)),"",IF(OR(ISBLANK(A42),ISBLANK(B42)),"-",LEN(Tableau47[[#This Row],[Colonne9]])))</f>
        <v/>
      </c>
      <c r="J42" s="59" t="str">
        <f>IF(AND(ISBLANK(A42),ISBLANK(B42)),"",IF(OR(ISBLANK(A42),ISBLANK(B42)),"à compléter",
IF(H42=0,"",LOOKUP(H42,'Objets de gestion'!C:C,'Objets de gestion'!F:F)&amp;"_")
&amp;IF(F42=0,"",LOOKUP(F42,'Objets de gestion'!C:C,'Objets de gestion'!F:F)&amp;"_")
&amp;IF(D42=0,"",LOOKUP(D42,'Objets de gestion'!C:C,'Objets de gestion'!F:F)&amp;"_")
&amp;IF(B42=0,"",LOOKUP(B42,'Objets de gestion'!C:C,'Objets de gestion'!F:F))
))</f>
        <v/>
      </c>
      <c r="K42" s="57" t="str">
        <f t="shared" si="0"/>
        <v/>
      </c>
      <c r="L42" s="57" t="str">
        <f>IF(AND(ISBLANK(A42),ISBLANK(B42)),"",IF(OR(ISBLANK(A42),ISBLANK(B42)),"-",
IF(ISBLANK(B42),"",LOOKUP(B42,'Objets de gestion'!C:C,'Objets de gestion'!E:E))
&amp;IF(ISBLANK(C42),""," "&amp;LOOKUP(C42,Articles!A:A,Articles!B:B))
&amp;IF(ISBLANK(D42),""," "&amp;LOOKUP(D42,'Objets de gestion'!C:C,'Objets de gestion'!E:E))
&amp;IF(ISBLANK(E42),""," "&amp;LOOKUP(E42,Articles!A:A,Articles!B:B))
&amp;IF(ISBLANK(F42),""," "&amp;LOOKUP(F42,'Objets de gestion'!C:C,'Objets de gestion'!E:E))
&amp;IF(ISBLANK(G42),""," "&amp;LOOKUP(G42,Articles!A:A,Articles!B:B))
&amp;IF(ISBLANK(H42),""," "&amp;LOOKUP(H42,'Objets de gestion'!C:C,'Objets de gestion'!E:E))
))</f>
        <v/>
      </c>
      <c r="M42" s="57" t="str">
        <f t="shared" si="1"/>
        <v/>
      </c>
    </row>
    <row r="43" spans="1:13" s="57" customFormat="1" ht="15.75" x14ac:dyDescent="0.25">
      <c r="B43" s="60"/>
      <c r="C43" s="60"/>
      <c r="D43" s="60"/>
      <c r="E43" s="60"/>
      <c r="F43" s="60"/>
      <c r="G43" s="60"/>
      <c r="H43" s="60"/>
      <c r="I43" s="58" t="str">
        <f>IF(AND(ISBLANK(A43),ISBLANK(B43)),"",IF(OR(ISBLANK(A43),ISBLANK(B43)),"-",LEN(Tableau47[[#This Row],[Colonne9]])))</f>
        <v/>
      </c>
      <c r="J43" s="59" t="str">
        <f>IF(AND(ISBLANK(A43),ISBLANK(B43)),"",IF(OR(ISBLANK(A43),ISBLANK(B43)),"à compléter",
IF(H43=0,"",LOOKUP(H43,'Objets de gestion'!C:C,'Objets de gestion'!F:F)&amp;"_")
&amp;IF(F43=0,"",LOOKUP(F43,'Objets de gestion'!C:C,'Objets de gestion'!F:F)&amp;"_")
&amp;IF(D43=0,"",LOOKUP(D43,'Objets de gestion'!C:C,'Objets de gestion'!F:F)&amp;"_")
&amp;IF(B43=0,"",LOOKUP(B43,'Objets de gestion'!C:C,'Objets de gestion'!F:F))
))</f>
        <v/>
      </c>
      <c r="K43" s="57" t="str">
        <f t="shared" si="0"/>
        <v/>
      </c>
      <c r="L43" s="57" t="str">
        <f>IF(AND(ISBLANK(A43),ISBLANK(B43)),"",IF(OR(ISBLANK(A43),ISBLANK(B43)),"-",
IF(ISBLANK(B43),"",LOOKUP(B43,'Objets de gestion'!C:C,'Objets de gestion'!E:E))
&amp;IF(ISBLANK(C43),""," "&amp;LOOKUP(C43,Articles!A:A,Articles!B:B))
&amp;IF(ISBLANK(D43),""," "&amp;LOOKUP(D43,'Objets de gestion'!C:C,'Objets de gestion'!E:E))
&amp;IF(ISBLANK(E43),""," "&amp;LOOKUP(E43,Articles!A:A,Articles!B:B))
&amp;IF(ISBLANK(F43),""," "&amp;LOOKUP(F43,'Objets de gestion'!C:C,'Objets de gestion'!E:E))
&amp;IF(ISBLANK(G43),""," "&amp;LOOKUP(G43,Articles!A:A,Articles!B:B))
&amp;IF(ISBLANK(H43),""," "&amp;LOOKUP(H43,'Objets de gestion'!C:C,'Objets de gestion'!E:E))
))</f>
        <v/>
      </c>
      <c r="M43" s="57" t="str">
        <f t="shared" si="1"/>
        <v/>
      </c>
    </row>
    <row r="44" spans="1:13" s="57" customFormat="1" ht="15.75" x14ac:dyDescent="0.25">
      <c r="I44" s="58" t="str">
        <f>IF(AND(ISBLANK(A44),ISBLANK(B44)),"",IF(OR(ISBLANK(A44),ISBLANK(B44)),"-",LEN(Tableau47[[#This Row],[Colonne9]])))</f>
        <v/>
      </c>
      <c r="J44" s="59" t="str">
        <f>IF(AND(ISBLANK(A44),ISBLANK(B44)),"",IF(OR(ISBLANK(A44),ISBLANK(B44)),"à compléter",
IF(H44=0,"",LOOKUP(H44,'Objets de gestion'!C:C,'Objets de gestion'!F:F)&amp;"_")
&amp;IF(F44=0,"",LOOKUP(F44,'Objets de gestion'!C:C,'Objets de gestion'!F:F)&amp;"_")
&amp;IF(D44=0,"",LOOKUP(D44,'Objets de gestion'!C:C,'Objets de gestion'!F:F)&amp;"_")
&amp;IF(B44=0,"",LOOKUP(B44,'Objets de gestion'!C:C,'Objets de gestion'!F:F))
))</f>
        <v/>
      </c>
      <c r="K44" s="57" t="str">
        <f t="shared" si="0"/>
        <v/>
      </c>
      <c r="L44" s="57" t="str">
        <f>IF(AND(ISBLANK(A44),ISBLANK(B44)),"",IF(OR(ISBLANK(A44),ISBLANK(B44)),"-",
IF(ISBLANK(B44),"",LOOKUP(B44,'Objets de gestion'!C:C,'Objets de gestion'!E:E))
&amp;IF(ISBLANK(C44),""," "&amp;LOOKUP(C44,Articles!A:A,Articles!B:B))
&amp;IF(ISBLANK(D44),""," "&amp;LOOKUP(D44,'Objets de gestion'!C:C,'Objets de gestion'!E:E))
&amp;IF(ISBLANK(E44),""," "&amp;LOOKUP(E44,Articles!A:A,Articles!B:B))
&amp;IF(ISBLANK(F44),""," "&amp;LOOKUP(F44,'Objets de gestion'!C:C,'Objets de gestion'!E:E))
&amp;IF(ISBLANK(G44),""," "&amp;LOOKUP(G44,Articles!A:A,Articles!B:B))
&amp;IF(ISBLANK(H44),""," "&amp;LOOKUP(H44,'Objets de gestion'!C:C,'Objets de gestion'!E:E))
))</f>
        <v/>
      </c>
      <c r="M44" s="57" t="str">
        <f t="shared" si="1"/>
        <v/>
      </c>
    </row>
    <row r="45" spans="1:13" s="57" customFormat="1" ht="15.75" x14ac:dyDescent="0.25">
      <c r="I45" s="58" t="str">
        <f>IF(AND(ISBLANK(A45),ISBLANK(B45)),"",IF(OR(ISBLANK(A45),ISBLANK(B45)),"-",LEN(Tableau47[[#This Row],[Colonne9]])))</f>
        <v/>
      </c>
      <c r="J45" s="59" t="str">
        <f>IF(AND(ISBLANK(A45),ISBLANK(B45)),"",IF(OR(ISBLANK(A45),ISBLANK(B45)),"à compléter",
IF(H45=0,"",LOOKUP(H45,'Objets de gestion'!C:C,'Objets de gestion'!F:F)&amp;"_")
&amp;IF(F45=0,"",LOOKUP(F45,'Objets de gestion'!C:C,'Objets de gestion'!F:F)&amp;"_")
&amp;IF(D45=0,"",LOOKUP(D45,'Objets de gestion'!C:C,'Objets de gestion'!F:F)&amp;"_")
&amp;IF(B45=0,"",LOOKUP(B45,'Objets de gestion'!C:C,'Objets de gestion'!F:F))
))</f>
        <v/>
      </c>
      <c r="K45" s="57" t="str">
        <f t="shared" si="0"/>
        <v/>
      </c>
      <c r="L45" s="57" t="str">
        <f>IF(AND(ISBLANK(A45),ISBLANK(B45)),"",IF(OR(ISBLANK(A45),ISBLANK(B45)),"-",
IF(ISBLANK(B45),"",LOOKUP(B45,'Objets de gestion'!C:C,'Objets de gestion'!E:E))
&amp;IF(ISBLANK(C45),""," "&amp;LOOKUP(C45,Articles!A:A,Articles!B:B))
&amp;IF(ISBLANK(D45),""," "&amp;LOOKUP(D45,'Objets de gestion'!C:C,'Objets de gestion'!E:E))
&amp;IF(ISBLANK(E45),""," "&amp;LOOKUP(E45,Articles!A:A,Articles!B:B))
&amp;IF(ISBLANK(F45),""," "&amp;LOOKUP(F45,'Objets de gestion'!C:C,'Objets de gestion'!E:E))
&amp;IF(ISBLANK(G45),""," "&amp;LOOKUP(G45,Articles!A:A,Articles!B:B))
&amp;IF(ISBLANK(H45),""," "&amp;LOOKUP(H45,'Objets de gestion'!C:C,'Objets de gestion'!E:E))
))</f>
        <v/>
      </c>
      <c r="M45" s="57" t="str">
        <f t="shared" si="1"/>
        <v/>
      </c>
    </row>
    <row r="46" spans="1:13" s="57" customFormat="1" ht="15.75" x14ac:dyDescent="0.25">
      <c r="I46" s="58" t="str">
        <f>IF(AND(ISBLANK(A46),ISBLANK(B46)),"",IF(OR(ISBLANK(A46),ISBLANK(B46)),"-",LEN(Tableau47[[#This Row],[Colonne9]])))</f>
        <v/>
      </c>
      <c r="J46" s="59" t="str">
        <f>IF(AND(ISBLANK(A46),ISBLANK(B46)),"",IF(OR(ISBLANK(A46),ISBLANK(B46)),"à compléter",
IF(H46=0,"",LOOKUP(H46,'Objets de gestion'!C:C,'Objets de gestion'!F:F)&amp;"_")
&amp;IF(F46=0,"",LOOKUP(F46,'Objets de gestion'!C:C,'Objets de gestion'!F:F)&amp;"_")
&amp;IF(D46=0,"",LOOKUP(D46,'Objets de gestion'!C:C,'Objets de gestion'!F:F)&amp;"_")
&amp;IF(B46=0,"",LOOKUP(B46,'Objets de gestion'!C:C,'Objets de gestion'!F:F))
))</f>
        <v/>
      </c>
      <c r="K46" s="57" t="str">
        <f t="shared" si="0"/>
        <v/>
      </c>
      <c r="L46" s="57" t="str">
        <f>IF(AND(ISBLANK(A46),ISBLANK(B46)),"",IF(OR(ISBLANK(A46),ISBLANK(B46)),"-",
IF(ISBLANK(B46),"",LOOKUP(B46,'Objets de gestion'!C:C,'Objets de gestion'!E:E))
&amp;IF(ISBLANK(C46),""," "&amp;LOOKUP(C46,Articles!A:A,Articles!B:B))
&amp;IF(ISBLANK(D46),""," "&amp;LOOKUP(D46,'Objets de gestion'!C:C,'Objets de gestion'!E:E))
&amp;IF(ISBLANK(E46),""," "&amp;LOOKUP(E46,Articles!A:A,Articles!B:B))
&amp;IF(ISBLANK(F46),""," "&amp;LOOKUP(F46,'Objets de gestion'!C:C,'Objets de gestion'!E:E))
&amp;IF(ISBLANK(G46),""," "&amp;LOOKUP(G46,Articles!A:A,Articles!B:B))
&amp;IF(ISBLANK(H46),""," "&amp;LOOKUP(H46,'Objets de gestion'!C:C,'Objets de gestion'!E:E))
))</f>
        <v/>
      </c>
      <c r="M46" s="57" t="str">
        <f t="shared" si="1"/>
        <v/>
      </c>
    </row>
    <row r="47" spans="1:13" s="57" customFormat="1" ht="15.75" x14ac:dyDescent="0.25">
      <c r="I47" s="58" t="str">
        <f>IF(AND(ISBLANK(A47),ISBLANK(B47)),"",IF(OR(ISBLANK(A47),ISBLANK(B47)),"-",LEN(Tableau47[[#This Row],[Colonne9]])))</f>
        <v/>
      </c>
      <c r="J47" s="59" t="str">
        <f>IF(AND(ISBLANK(A47),ISBLANK(B47)),"",IF(OR(ISBLANK(A47),ISBLANK(B47)),"à compléter",
IF(H47=0,"",LOOKUP(H47,'Objets de gestion'!C:C,'Objets de gestion'!F:F)&amp;"_")
&amp;IF(F47=0,"",LOOKUP(F47,'Objets de gestion'!C:C,'Objets de gestion'!F:F)&amp;"_")
&amp;IF(D47=0,"",LOOKUP(D47,'Objets de gestion'!C:C,'Objets de gestion'!F:F)&amp;"_")
&amp;IF(B47=0,"",LOOKUP(B47,'Objets de gestion'!C:C,'Objets de gestion'!F:F))
))</f>
        <v/>
      </c>
      <c r="K47" s="57" t="str">
        <f t="shared" si="0"/>
        <v/>
      </c>
      <c r="L47" s="57" t="str">
        <f>IF(AND(ISBLANK(A47),ISBLANK(B47)),"",IF(OR(ISBLANK(A47),ISBLANK(B47)),"-",
IF(ISBLANK(B47),"",LOOKUP(B47,'Objets de gestion'!C:C,'Objets de gestion'!E:E))
&amp;IF(ISBLANK(C47),""," "&amp;LOOKUP(C47,Articles!A:A,Articles!B:B))
&amp;IF(ISBLANK(D47),""," "&amp;LOOKUP(D47,'Objets de gestion'!C:C,'Objets de gestion'!E:E))
&amp;IF(ISBLANK(E47),""," "&amp;LOOKUP(E47,Articles!A:A,Articles!B:B))
&amp;IF(ISBLANK(F47),""," "&amp;LOOKUP(F47,'Objets de gestion'!C:C,'Objets de gestion'!E:E))
&amp;IF(ISBLANK(G47),""," "&amp;LOOKUP(G47,Articles!A:A,Articles!B:B))
&amp;IF(ISBLANK(H47),""," "&amp;LOOKUP(H47,'Objets de gestion'!C:C,'Objets de gestion'!E:E))
))</f>
        <v/>
      </c>
      <c r="M47" s="57" t="str">
        <f t="shared" si="1"/>
        <v/>
      </c>
    </row>
    <row r="48" spans="1:13" s="57" customFormat="1" ht="15.75" x14ac:dyDescent="0.25">
      <c r="I48" s="58" t="str">
        <f>IF(AND(ISBLANK(A48),ISBLANK(B48)),"",IF(OR(ISBLANK(A48),ISBLANK(B48)),"-",LEN(Tableau47[[#This Row],[Colonne9]])))</f>
        <v/>
      </c>
      <c r="J48" s="59" t="str">
        <f>IF(AND(ISBLANK(A48),ISBLANK(B48)),"",IF(OR(ISBLANK(A48),ISBLANK(B48)),"à compléter",
IF(H48=0,"",LOOKUP(H48,'Objets de gestion'!C:C,'Objets de gestion'!F:F)&amp;"_")
&amp;IF(F48=0,"",LOOKUP(F48,'Objets de gestion'!C:C,'Objets de gestion'!F:F)&amp;"_")
&amp;IF(D48=0,"",LOOKUP(D48,'Objets de gestion'!C:C,'Objets de gestion'!F:F)&amp;"_")
&amp;IF(B48=0,"",LOOKUP(B48,'Objets de gestion'!C:C,'Objets de gestion'!F:F))
))</f>
        <v/>
      </c>
      <c r="K48" s="57" t="str">
        <f t="shared" si="0"/>
        <v/>
      </c>
      <c r="L48" s="57" t="str">
        <f>IF(AND(ISBLANK(A48),ISBLANK(B48)),"",IF(OR(ISBLANK(A48),ISBLANK(B48)),"-",
IF(ISBLANK(B48),"",LOOKUP(B48,'Objets de gestion'!C:C,'Objets de gestion'!E:E))
&amp;IF(ISBLANK(C48),""," "&amp;LOOKUP(C48,Articles!A:A,Articles!B:B))
&amp;IF(ISBLANK(D48),""," "&amp;LOOKUP(D48,'Objets de gestion'!C:C,'Objets de gestion'!E:E))
&amp;IF(ISBLANK(E48),""," "&amp;LOOKUP(E48,Articles!A:A,Articles!B:B))
&amp;IF(ISBLANK(F48),""," "&amp;LOOKUP(F48,'Objets de gestion'!C:C,'Objets de gestion'!E:E))
&amp;IF(ISBLANK(G48),""," "&amp;LOOKUP(G48,Articles!A:A,Articles!B:B))
&amp;IF(ISBLANK(H48),""," "&amp;LOOKUP(H48,'Objets de gestion'!C:C,'Objets de gestion'!E:E))
))</f>
        <v/>
      </c>
      <c r="M48" s="57" t="str">
        <f t="shared" si="1"/>
        <v/>
      </c>
    </row>
    <row r="49" spans="9:13" s="57" customFormat="1" ht="15.75" x14ac:dyDescent="0.25">
      <c r="I49" s="58" t="str">
        <f>IF(AND(ISBLANK(A49),ISBLANK(B49)),"",IF(OR(ISBLANK(A49),ISBLANK(B49)),"-",LEN(Tableau47[[#This Row],[Colonne9]])))</f>
        <v/>
      </c>
      <c r="J49" s="59" t="str">
        <f>IF(AND(ISBLANK(A49),ISBLANK(B49)),"",IF(OR(ISBLANK(A49),ISBLANK(B49)),"à compléter",
IF(H49=0,"",LOOKUP(H49,'Objets de gestion'!C:C,'Objets de gestion'!F:F)&amp;"_")
&amp;IF(F49=0,"",LOOKUP(F49,'Objets de gestion'!C:C,'Objets de gestion'!F:F)&amp;"_")
&amp;IF(D49=0,"",LOOKUP(D49,'Objets de gestion'!C:C,'Objets de gestion'!F:F)&amp;"_")
&amp;IF(B49=0,"",LOOKUP(B49,'Objets de gestion'!C:C,'Objets de gestion'!F:F))
))</f>
        <v/>
      </c>
      <c r="K49" s="57" t="str">
        <f t="shared" si="0"/>
        <v/>
      </c>
      <c r="L49" s="57" t="str">
        <f>IF(AND(ISBLANK(A49),ISBLANK(B49)),"",IF(OR(ISBLANK(A49),ISBLANK(B49)),"-",
IF(ISBLANK(B49),"",LOOKUP(B49,'Objets de gestion'!C:C,'Objets de gestion'!E:E))
&amp;IF(ISBLANK(C49),""," "&amp;LOOKUP(C49,Articles!A:A,Articles!B:B))
&amp;IF(ISBLANK(D49),""," "&amp;LOOKUP(D49,'Objets de gestion'!C:C,'Objets de gestion'!E:E))
&amp;IF(ISBLANK(E49),""," "&amp;LOOKUP(E49,Articles!A:A,Articles!B:B))
&amp;IF(ISBLANK(F49),""," "&amp;LOOKUP(F49,'Objets de gestion'!C:C,'Objets de gestion'!E:E))
&amp;IF(ISBLANK(G49),""," "&amp;LOOKUP(G49,Articles!A:A,Articles!B:B))
&amp;IF(ISBLANK(H49),""," "&amp;LOOKUP(H49,'Objets de gestion'!C:C,'Objets de gestion'!E:E))
))</f>
        <v/>
      </c>
      <c r="M49" s="57" t="str">
        <f t="shared" si="1"/>
        <v/>
      </c>
    </row>
    <row r="50" spans="9:13" s="57" customFormat="1" ht="15.75" x14ac:dyDescent="0.25">
      <c r="I50" s="58" t="str">
        <f>IF(AND(ISBLANK(A50),ISBLANK(B50)),"",IF(OR(ISBLANK(A50),ISBLANK(B50)),"-",LEN(Tableau47[[#This Row],[Colonne9]])))</f>
        <v/>
      </c>
      <c r="J50" s="59" t="str">
        <f>IF(AND(ISBLANK(A50),ISBLANK(B50)),"",IF(OR(ISBLANK(A50),ISBLANK(B50)),"à compléter",
IF(H50=0,"",LOOKUP(H50,'Objets de gestion'!C:C,'Objets de gestion'!F:F)&amp;"_")
&amp;IF(F50=0,"",LOOKUP(F50,'Objets de gestion'!C:C,'Objets de gestion'!F:F)&amp;"_")
&amp;IF(D50=0,"",LOOKUP(D50,'Objets de gestion'!C:C,'Objets de gestion'!F:F)&amp;"_")
&amp;IF(B50=0,"",LOOKUP(B50,'Objets de gestion'!C:C,'Objets de gestion'!F:F))
))</f>
        <v/>
      </c>
      <c r="K50" s="57" t="str">
        <f t="shared" si="0"/>
        <v/>
      </c>
      <c r="L50" s="57" t="str">
        <f>IF(AND(ISBLANK(A50),ISBLANK(B50)),"",IF(OR(ISBLANK(A50),ISBLANK(B50)),"-",
IF(ISBLANK(B50),"",LOOKUP(B50,'Objets de gestion'!C:C,'Objets de gestion'!E:E))
&amp;IF(ISBLANK(C50),""," "&amp;LOOKUP(C50,Articles!A:A,Articles!B:B))
&amp;IF(ISBLANK(D50),""," "&amp;LOOKUP(D50,'Objets de gestion'!C:C,'Objets de gestion'!E:E))
&amp;IF(ISBLANK(E50),""," "&amp;LOOKUP(E50,Articles!A:A,Articles!B:B))
&amp;IF(ISBLANK(F50),""," "&amp;LOOKUP(F50,'Objets de gestion'!C:C,'Objets de gestion'!E:E))
&amp;IF(ISBLANK(G50),""," "&amp;LOOKUP(G50,Articles!A:A,Articles!B:B))
&amp;IF(ISBLANK(H50),""," "&amp;LOOKUP(H50,'Objets de gestion'!C:C,'Objets de gestion'!E:E))
))</f>
        <v/>
      </c>
      <c r="M50" s="57" t="str">
        <f t="shared" si="1"/>
        <v/>
      </c>
    </row>
    <row r="51" spans="9:13" s="57" customFormat="1" ht="15.75" x14ac:dyDescent="0.25">
      <c r="I51" s="58" t="str">
        <f>IF(AND(ISBLANK(A51),ISBLANK(B51)),"",IF(OR(ISBLANK(A51),ISBLANK(B51)),"-",LEN(Tableau47[[#This Row],[Colonne9]])))</f>
        <v/>
      </c>
      <c r="J51" s="59" t="str">
        <f>IF(AND(ISBLANK(A51),ISBLANK(B51)),"",IF(OR(ISBLANK(A51),ISBLANK(B51)),"à compléter",
IF(H51=0,"",LOOKUP(H51,'Objets de gestion'!C:C,'Objets de gestion'!F:F)&amp;"_")
&amp;IF(F51=0,"",LOOKUP(F51,'Objets de gestion'!C:C,'Objets de gestion'!F:F)&amp;"_")
&amp;IF(D51=0,"",LOOKUP(D51,'Objets de gestion'!C:C,'Objets de gestion'!F:F)&amp;"_")
&amp;IF(B51=0,"",LOOKUP(B51,'Objets de gestion'!C:C,'Objets de gestion'!F:F))
))</f>
        <v/>
      </c>
      <c r="K51" s="57" t="str">
        <f t="shared" si="0"/>
        <v/>
      </c>
      <c r="L51" s="57" t="str">
        <f>IF(AND(ISBLANK(A51),ISBLANK(B51)),"",IF(OR(ISBLANK(A51),ISBLANK(B51)),"-",
IF(ISBLANK(B51),"",LOOKUP(B51,'Objets de gestion'!C:C,'Objets de gestion'!E:E))
&amp;IF(ISBLANK(C51),""," "&amp;LOOKUP(C51,Articles!A:A,Articles!B:B))
&amp;IF(ISBLANK(D51),""," "&amp;LOOKUP(D51,'Objets de gestion'!C:C,'Objets de gestion'!E:E))
&amp;IF(ISBLANK(E51),""," "&amp;LOOKUP(E51,Articles!A:A,Articles!B:B))
&amp;IF(ISBLANK(F51),""," "&amp;LOOKUP(F51,'Objets de gestion'!C:C,'Objets de gestion'!E:E))
&amp;IF(ISBLANK(G51),""," "&amp;LOOKUP(G51,Articles!A:A,Articles!B:B))
&amp;IF(ISBLANK(H51),""," "&amp;LOOKUP(H51,'Objets de gestion'!C:C,'Objets de gestion'!E:E))
))</f>
        <v/>
      </c>
      <c r="M51" s="57" t="str">
        <f t="shared" si="1"/>
        <v/>
      </c>
    </row>
    <row r="52" spans="9:13" s="57" customFormat="1" ht="15.75" x14ac:dyDescent="0.25">
      <c r="I52" s="58" t="str">
        <f>IF(AND(ISBLANK(A52),ISBLANK(B52)),"",IF(OR(ISBLANK(A52),ISBLANK(B52)),"-",LEN(Tableau47[[#This Row],[Colonne9]])))</f>
        <v/>
      </c>
      <c r="J52" s="59" t="str">
        <f>IF(AND(ISBLANK(A52),ISBLANK(B52)),"",IF(OR(ISBLANK(A52),ISBLANK(B52)),"à compléter",
IF(H52=0,"",LOOKUP(H52,'Objets de gestion'!C:C,'Objets de gestion'!F:F)&amp;"_")
&amp;IF(F52=0,"",LOOKUP(F52,'Objets de gestion'!C:C,'Objets de gestion'!F:F)&amp;"_")
&amp;IF(D52=0,"",LOOKUP(D52,'Objets de gestion'!C:C,'Objets de gestion'!F:F)&amp;"_")
&amp;IF(B52=0,"",LOOKUP(B52,'Objets de gestion'!C:C,'Objets de gestion'!F:F))
))</f>
        <v/>
      </c>
      <c r="K52" s="57" t="str">
        <f t="shared" si="0"/>
        <v/>
      </c>
      <c r="L52" s="57" t="str">
        <f>IF(AND(ISBLANK(A52),ISBLANK(B52)),"",IF(OR(ISBLANK(A52),ISBLANK(B52)),"-",
IF(ISBLANK(B52),"",LOOKUP(B52,'Objets de gestion'!C:C,'Objets de gestion'!E:E))
&amp;IF(ISBLANK(C52),""," "&amp;LOOKUP(C52,Articles!A:A,Articles!B:B))
&amp;IF(ISBLANK(D52),""," "&amp;LOOKUP(D52,'Objets de gestion'!C:C,'Objets de gestion'!E:E))
&amp;IF(ISBLANK(E52),""," "&amp;LOOKUP(E52,Articles!A:A,Articles!B:B))
&amp;IF(ISBLANK(F52),""," "&amp;LOOKUP(F52,'Objets de gestion'!C:C,'Objets de gestion'!E:E))
&amp;IF(ISBLANK(G52),""," "&amp;LOOKUP(G52,Articles!A:A,Articles!B:B))
&amp;IF(ISBLANK(H52),""," "&amp;LOOKUP(H52,'Objets de gestion'!C:C,'Objets de gestion'!E:E))
))</f>
        <v/>
      </c>
      <c r="M52" s="57" t="str">
        <f t="shared" si="1"/>
        <v/>
      </c>
    </row>
    <row r="53" spans="9:13" s="57" customFormat="1" ht="15.75" x14ac:dyDescent="0.25">
      <c r="I53" s="58" t="str">
        <f>IF(AND(ISBLANK(A53),ISBLANK(B53)),"",IF(OR(ISBLANK(A53),ISBLANK(B53)),"-",LEN(Tableau47[[#This Row],[Colonne9]])))</f>
        <v/>
      </c>
      <c r="J53" s="59" t="str">
        <f>IF(AND(ISBLANK(A53),ISBLANK(B53)),"",IF(OR(ISBLANK(A53),ISBLANK(B53)),"à compléter",
IF(H53=0,"",LOOKUP(H53,'Objets de gestion'!C:C,'Objets de gestion'!F:F)&amp;"_")
&amp;IF(F53=0,"",LOOKUP(F53,'Objets de gestion'!C:C,'Objets de gestion'!F:F)&amp;"_")
&amp;IF(D53=0,"",LOOKUP(D53,'Objets de gestion'!C:C,'Objets de gestion'!F:F)&amp;"_")
&amp;IF(B53=0,"",LOOKUP(B53,'Objets de gestion'!C:C,'Objets de gestion'!F:F))
))</f>
        <v/>
      </c>
      <c r="K53" s="57" t="str">
        <f t="shared" si="0"/>
        <v/>
      </c>
      <c r="L53" s="57" t="str">
        <f>IF(AND(ISBLANK(A53),ISBLANK(B53)),"",IF(OR(ISBLANK(A53),ISBLANK(B53)),"-",
IF(ISBLANK(B53),"",LOOKUP(B53,'Objets de gestion'!C:C,'Objets de gestion'!E:E))
&amp;IF(ISBLANK(C53),""," "&amp;LOOKUP(C53,Articles!A:A,Articles!B:B))
&amp;IF(ISBLANK(D53),""," "&amp;LOOKUP(D53,'Objets de gestion'!C:C,'Objets de gestion'!E:E))
&amp;IF(ISBLANK(E53),""," "&amp;LOOKUP(E53,Articles!A:A,Articles!B:B))
&amp;IF(ISBLANK(F53),""," "&amp;LOOKUP(F53,'Objets de gestion'!C:C,'Objets de gestion'!E:E))
&amp;IF(ISBLANK(G53),""," "&amp;LOOKUP(G53,Articles!A:A,Articles!B:B))
&amp;IF(ISBLANK(H53),""," "&amp;LOOKUP(H53,'Objets de gestion'!C:C,'Objets de gestion'!E:E))
))</f>
        <v/>
      </c>
      <c r="M53" s="57" t="str">
        <f t="shared" si="1"/>
        <v/>
      </c>
    </row>
    <row r="54" spans="9:13" s="57" customFormat="1" ht="15.75" x14ac:dyDescent="0.25">
      <c r="I54" s="58" t="str">
        <f>IF(AND(ISBLANK(A54),ISBLANK(B54)),"",IF(OR(ISBLANK(A54),ISBLANK(B54)),"-",LEN(Tableau47[[#This Row],[Colonne9]])))</f>
        <v/>
      </c>
      <c r="J54" s="59" t="str">
        <f>IF(AND(ISBLANK(A54),ISBLANK(B54)),"",IF(OR(ISBLANK(A54),ISBLANK(B54)),"à compléter",
IF(H54=0,"",LOOKUP(H54,'Objets de gestion'!C:C,'Objets de gestion'!F:F)&amp;"_")
&amp;IF(F54=0,"",LOOKUP(F54,'Objets de gestion'!C:C,'Objets de gestion'!F:F)&amp;"_")
&amp;IF(D54=0,"",LOOKUP(D54,'Objets de gestion'!C:C,'Objets de gestion'!F:F)&amp;"_")
&amp;IF(B54=0,"",LOOKUP(B54,'Objets de gestion'!C:C,'Objets de gestion'!F:F))
))</f>
        <v/>
      </c>
      <c r="K54" s="57" t="str">
        <f t="shared" si="0"/>
        <v/>
      </c>
      <c r="L54" s="57" t="str">
        <f>IF(AND(ISBLANK(A54),ISBLANK(B54)),"",IF(OR(ISBLANK(A54),ISBLANK(B54)),"-",
IF(ISBLANK(B54),"",LOOKUP(B54,'Objets de gestion'!C:C,'Objets de gestion'!E:E))
&amp;IF(ISBLANK(C54),""," "&amp;LOOKUP(C54,Articles!A:A,Articles!B:B))
&amp;IF(ISBLANK(D54),""," "&amp;LOOKUP(D54,'Objets de gestion'!C:C,'Objets de gestion'!E:E))
&amp;IF(ISBLANK(E54),""," "&amp;LOOKUP(E54,Articles!A:A,Articles!B:B))
&amp;IF(ISBLANK(F54),""," "&amp;LOOKUP(F54,'Objets de gestion'!C:C,'Objets de gestion'!E:E))
&amp;IF(ISBLANK(G54),""," "&amp;LOOKUP(G54,Articles!A:A,Articles!B:B))
&amp;IF(ISBLANK(H54),""," "&amp;LOOKUP(H54,'Objets de gestion'!C:C,'Objets de gestion'!E:E))
))</f>
        <v/>
      </c>
      <c r="M54" s="57" t="str">
        <f t="shared" si="1"/>
        <v/>
      </c>
    </row>
    <row r="55" spans="9:13" s="57" customFormat="1" ht="15.75" x14ac:dyDescent="0.25">
      <c r="I55" s="58" t="str">
        <f>IF(AND(ISBLANK(A55),ISBLANK(B55)),"",IF(OR(ISBLANK(A55),ISBLANK(B55)),"-",LEN(Tableau47[[#This Row],[Colonne9]])))</f>
        <v/>
      </c>
      <c r="J55" s="59" t="str">
        <f>IF(AND(ISBLANK(A55),ISBLANK(B55)),"",IF(OR(ISBLANK(A55),ISBLANK(B55)),"à compléter",
IF(H55=0,"",LOOKUP(H55,'Objets de gestion'!C:C,'Objets de gestion'!F:F)&amp;"_")
&amp;IF(F55=0,"",LOOKUP(F55,'Objets de gestion'!C:C,'Objets de gestion'!F:F)&amp;"_")
&amp;IF(D55=0,"",LOOKUP(D55,'Objets de gestion'!C:C,'Objets de gestion'!F:F)&amp;"_")
&amp;IF(B55=0,"",LOOKUP(B55,'Objets de gestion'!C:C,'Objets de gestion'!F:F))
))</f>
        <v/>
      </c>
      <c r="K55" s="57" t="str">
        <f t="shared" si="0"/>
        <v/>
      </c>
      <c r="L55" s="57" t="str">
        <f>IF(AND(ISBLANK(A55),ISBLANK(B55)),"",IF(OR(ISBLANK(A55),ISBLANK(B55)),"-",
IF(ISBLANK(B55),"",LOOKUP(B55,'Objets de gestion'!C:C,'Objets de gestion'!E:E))
&amp;IF(ISBLANK(C55),""," "&amp;LOOKUP(C55,Articles!A:A,Articles!B:B))
&amp;IF(ISBLANK(D55),""," "&amp;LOOKUP(D55,'Objets de gestion'!C:C,'Objets de gestion'!E:E))
&amp;IF(ISBLANK(E55),""," "&amp;LOOKUP(E55,Articles!A:A,Articles!B:B))
&amp;IF(ISBLANK(F55),""," "&amp;LOOKUP(F55,'Objets de gestion'!C:C,'Objets de gestion'!E:E))
&amp;IF(ISBLANK(G55),""," "&amp;LOOKUP(G55,Articles!A:A,Articles!B:B))
&amp;IF(ISBLANK(H55),""," "&amp;LOOKUP(H55,'Objets de gestion'!C:C,'Objets de gestion'!E:E))
))</f>
        <v/>
      </c>
      <c r="M55" s="57" t="str">
        <f t="shared" si="1"/>
        <v/>
      </c>
    </row>
    <row r="56" spans="9:13" s="57" customFormat="1" ht="15.75" x14ac:dyDescent="0.25">
      <c r="I56" s="58" t="str">
        <f>IF(AND(ISBLANK(A56),ISBLANK(B56)),"",IF(OR(ISBLANK(A56),ISBLANK(B56)),"-",LEN(Tableau47[[#This Row],[Colonne9]])))</f>
        <v/>
      </c>
      <c r="J56" s="59" t="str">
        <f>IF(AND(ISBLANK(A56),ISBLANK(B56)),"",IF(OR(ISBLANK(A56),ISBLANK(B56)),"à compléter",
IF(H56=0,"",LOOKUP(H56,'Objets de gestion'!C:C,'Objets de gestion'!F:F)&amp;"_")
&amp;IF(F56=0,"",LOOKUP(F56,'Objets de gestion'!C:C,'Objets de gestion'!F:F)&amp;"_")
&amp;IF(D56=0,"",LOOKUP(D56,'Objets de gestion'!C:C,'Objets de gestion'!F:F)&amp;"_")
&amp;IF(B56=0,"",LOOKUP(B56,'Objets de gestion'!C:C,'Objets de gestion'!F:F))
))</f>
        <v/>
      </c>
      <c r="K56" s="57" t="str">
        <f t="shared" si="0"/>
        <v/>
      </c>
      <c r="L56" s="57" t="str">
        <f>IF(AND(ISBLANK(A56),ISBLANK(B56)),"",IF(OR(ISBLANK(A56),ISBLANK(B56)),"-",
IF(ISBLANK(B56),"",LOOKUP(B56,'Objets de gestion'!C:C,'Objets de gestion'!E:E))
&amp;IF(ISBLANK(C56),""," "&amp;LOOKUP(C56,Articles!A:A,Articles!B:B))
&amp;IF(ISBLANK(D56),""," "&amp;LOOKUP(D56,'Objets de gestion'!C:C,'Objets de gestion'!E:E))
&amp;IF(ISBLANK(E56),""," "&amp;LOOKUP(E56,Articles!A:A,Articles!B:B))
&amp;IF(ISBLANK(F56),""," "&amp;LOOKUP(F56,'Objets de gestion'!C:C,'Objets de gestion'!E:E))
&amp;IF(ISBLANK(G56),""," "&amp;LOOKUP(G56,Articles!A:A,Articles!B:B))
&amp;IF(ISBLANK(H56),""," "&amp;LOOKUP(H56,'Objets de gestion'!C:C,'Objets de gestion'!E:E))
))</f>
        <v/>
      </c>
      <c r="M56" s="57" t="str">
        <f t="shared" si="1"/>
        <v/>
      </c>
    </row>
    <row r="57" spans="9:13" s="57" customFormat="1" ht="15.75" x14ac:dyDescent="0.25">
      <c r="I57" s="58" t="str">
        <f>IF(AND(ISBLANK(A57),ISBLANK(B57)),"",IF(OR(ISBLANK(A57),ISBLANK(B57)),"-",LEN(Tableau47[[#This Row],[Colonne9]])))</f>
        <v/>
      </c>
      <c r="J57" s="59" t="str">
        <f>IF(AND(ISBLANK(A57),ISBLANK(B57)),"",IF(OR(ISBLANK(A57),ISBLANK(B57)),"à compléter",
IF(H57=0,"",LOOKUP(H57,'Objets de gestion'!C:C,'Objets de gestion'!F:F)&amp;"_")
&amp;IF(F57=0,"",LOOKUP(F57,'Objets de gestion'!C:C,'Objets de gestion'!F:F)&amp;"_")
&amp;IF(D57=0,"",LOOKUP(D57,'Objets de gestion'!C:C,'Objets de gestion'!F:F)&amp;"_")
&amp;IF(B57=0,"",LOOKUP(B57,'Objets de gestion'!C:C,'Objets de gestion'!F:F))
))</f>
        <v/>
      </c>
      <c r="K57" s="57" t="str">
        <f t="shared" si="0"/>
        <v/>
      </c>
      <c r="L57" s="57" t="str">
        <f>IF(AND(ISBLANK(A57),ISBLANK(B57)),"",IF(OR(ISBLANK(A57),ISBLANK(B57)),"-",
IF(ISBLANK(B57),"",LOOKUP(B57,'Objets de gestion'!C:C,'Objets de gestion'!E:E))
&amp;IF(ISBLANK(C57),""," "&amp;LOOKUP(C57,Articles!A:A,Articles!B:B))
&amp;IF(ISBLANK(D57),""," "&amp;LOOKUP(D57,'Objets de gestion'!C:C,'Objets de gestion'!E:E))
&amp;IF(ISBLANK(E57),""," "&amp;LOOKUP(E57,Articles!A:A,Articles!B:B))
&amp;IF(ISBLANK(F57),""," "&amp;LOOKUP(F57,'Objets de gestion'!C:C,'Objets de gestion'!E:E))
&amp;IF(ISBLANK(G57),""," "&amp;LOOKUP(G57,Articles!A:A,Articles!B:B))
&amp;IF(ISBLANK(H57),""," "&amp;LOOKUP(H57,'Objets de gestion'!C:C,'Objets de gestion'!E:E))
))</f>
        <v/>
      </c>
      <c r="M57" s="57" t="str">
        <f t="shared" si="1"/>
        <v/>
      </c>
    </row>
    <row r="58" spans="9:13" s="57" customFormat="1" ht="15.75" x14ac:dyDescent="0.25">
      <c r="I58" s="58" t="str">
        <f>IF(AND(ISBLANK(A58),ISBLANK(B58)),"",IF(OR(ISBLANK(A58),ISBLANK(B58)),"-",LEN(Tableau47[[#This Row],[Colonne9]])))</f>
        <v/>
      </c>
      <c r="J58" s="59" t="str">
        <f>IF(AND(ISBLANK(A58),ISBLANK(B58)),"",IF(OR(ISBLANK(A58),ISBLANK(B58)),"à compléter",
IF(H58=0,"",LOOKUP(H58,'Objets de gestion'!C:C,'Objets de gestion'!F:F)&amp;"_")
&amp;IF(F58=0,"",LOOKUP(F58,'Objets de gestion'!C:C,'Objets de gestion'!F:F)&amp;"_")
&amp;IF(D58=0,"",LOOKUP(D58,'Objets de gestion'!C:C,'Objets de gestion'!F:F)&amp;"_")
&amp;IF(B58=0,"",LOOKUP(B58,'Objets de gestion'!C:C,'Objets de gestion'!F:F))
))</f>
        <v/>
      </c>
      <c r="K58" s="57" t="str">
        <f t="shared" si="0"/>
        <v/>
      </c>
      <c r="L58" s="57" t="str">
        <f>IF(AND(ISBLANK(A58),ISBLANK(B58)),"",IF(OR(ISBLANK(A58),ISBLANK(B58)),"-",
IF(ISBLANK(B58),"",LOOKUP(B58,'Objets de gestion'!C:C,'Objets de gestion'!E:E))
&amp;IF(ISBLANK(C58),""," "&amp;LOOKUP(C58,Articles!A:A,Articles!B:B))
&amp;IF(ISBLANK(D58),""," "&amp;LOOKUP(D58,'Objets de gestion'!C:C,'Objets de gestion'!E:E))
&amp;IF(ISBLANK(E58),""," "&amp;LOOKUP(E58,Articles!A:A,Articles!B:B))
&amp;IF(ISBLANK(F58),""," "&amp;LOOKUP(F58,'Objets de gestion'!C:C,'Objets de gestion'!E:E))
&amp;IF(ISBLANK(G58),""," "&amp;LOOKUP(G58,Articles!A:A,Articles!B:B))
&amp;IF(ISBLANK(H58),""," "&amp;LOOKUP(H58,'Objets de gestion'!C:C,'Objets de gestion'!E:E))
))</f>
        <v/>
      </c>
      <c r="M58" s="57" t="str">
        <f t="shared" si="1"/>
        <v/>
      </c>
    </row>
    <row r="59" spans="9:13" s="57" customFormat="1" ht="15.75" x14ac:dyDescent="0.25">
      <c r="I59" s="58" t="str">
        <f>IF(AND(ISBLANK(A59),ISBLANK(B59)),"",IF(OR(ISBLANK(A59),ISBLANK(B59)),"-",LEN(Tableau47[[#This Row],[Colonne9]])))</f>
        <v/>
      </c>
      <c r="J59" s="59" t="str">
        <f>IF(AND(ISBLANK(A59),ISBLANK(B59)),"",IF(OR(ISBLANK(A59),ISBLANK(B59)),"à compléter",
IF(H59=0,"",LOOKUP(H59,'Objets de gestion'!C:C,'Objets de gestion'!F:F)&amp;"_")
&amp;IF(F59=0,"",LOOKUP(F59,'Objets de gestion'!C:C,'Objets de gestion'!F:F)&amp;"_")
&amp;IF(D59=0,"",LOOKUP(D59,'Objets de gestion'!C:C,'Objets de gestion'!F:F)&amp;"_")
&amp;IF(B59=0,"",LOOKUP(B59,'Objets de gestion'!C:C,'Objets de gestion'!F:F))
))</f>
        <v/>
      </c>
      <c r="K59" s="57" t="str">
        <f t="shared" si="0"/>
        <v/>
      </c>
      <c r="L59" s="57" t="str">
        <f>IF(AND(ISBLANK(A59),ISBLANK(B59)),"",IF(OR(ISBLANK(A59),ISBLANK(B59)),"-",
IF(ISBLANK(B59),"",LOOKUP(B59,'Objets de gestion'!C:C,'Objets de gestion'!E:E))
&amp;IF(ISBLANK(C59),""," "&amp;LOOKUP(C59,Articles!A:A,Articles!B:B))
&amp;IF(ISBLANK(D59),""," "&amp;LOOKUP(D59,'Objets de gestion'!C:C,'Objets de gestion'!E:E))
&amp;IF(ISBLANK(E59),""," "&amp;LOOKUP(E59,Articles!A:A,Articles!B:B))
&amp;IF(ISBLANK(F59),""," "&amp;LOOKUP(F59,'Objets de gestion'!C:C,'Objets de gestion'!E:E))
&amp;IF(ISBLANK(G59),""," "&amp;LOOKUP(G59,Articles!A:A,Articles!B:B))
&amp;IF(ISBLANK(H59),""," "&amp;LOOKUP(H59,'Objets de gestion'!C:C,'Objets de gestion'!E:E))
))</f>
        <v/>
      </c>
      <c r="M59" s="57" t="str">
        <f t="shared" si="1"/>
        <v/>
      </c>
    </row>
    <row r="60" spans="9:13" s="57" customFormat="1" ht="15.75" x14ac:dyDescent="0.25">
      <c r="I60" s="58" t="str">
        <f>IF(AND(ISBLANK(A60),ISBLANK(B60)),"",IF(OR(ISBLANK(A60),ISBLANK(B60)),"-",LEN(Tableau47[[#This Row],[Colonne9]])))</f>
        <v/>
      </c>
      <c r="J60" s="59" t="str">
        <f>IF(AND(ISBLANK(A60),ISBLANK(B60)),"",IF(OR(ISBLANK(A60),ISBLANK(B60)),"à compléter",
IF(H60=0,"",LOOKUP(H60,'Objets de gestion'!C:C,'Objets de gestion'!F:F)&amp;"_")
&amp;IF(F60=0,"",LOOKUP(F60,'Objets de gestion'!C:C,'Objets de gestion'!F:F)&amp;"_")
&amp;IF(D60=0,"",LOOKUP(D60,'Objets de gestion'!C:C,'Objets de gestion'!F:F)&amp;"_")
&amp;IF(B60=0,"",LOOKUP(B60,'Objets de gestion'!C:C,'Objets de gestion'!F:F))
))</f>
        <v/>
      </c>
      <c r="K60" s="57" t="str">
        <f t="shared" si="0"/>
        <v/>
      </c>
      <c r="L60" s="57" t="str">
        <f>IF(AND(ISBLANK(A60),ISBLANK(B60)),"",IF(OR(ISBLANK(A60),ISBLANK(B60)),"-",
IF(ISBLANK(B60),"",LOOKUP(B60,'Objets de gestion'!C:C,'Objets de gestion'!E:E))
&amp;IF(ISBLANK(C60),""," "&amp;LOOKUP(C60,Articles!A:A,Articles!B:B))
&amp;IF(ISBLANK(D60),""," "&amp;LOOKUP(D60,'Objets de gestion'!C:C,'Objets de gestion'!E:E))
&amp;IF(ISBLANK(E60),""," "&amp;LOOKUP(E60,Articles!A:A,Articles!B:B))
&amp;IF(ISBLANK(F60),""," "&amp;LOOKUP(F60,'Objets de gestion'!C:C,'Objets de gestion'!E:E))
&amp;IF(ISBLANK(G60),""," "&amp;LOOKUP(G60,Articles!A:A,Articles!B:B))
&amp;IF(ISBLANK(H60),""," "&amp;LOOKUP(H60,'Objets de gestion'!C:C,'Objets de gestion'!E:E))
))</f>
        <v/>
      </c>
      <c r="M60" s="57" t="str">
        <f t="shared" si="1"/>
        <v/>
      </c>
    </row>
    <row r="61" spans="9:13" s="57" customFormat="1" ht="15.75" x14ac:dyDescent="0.25">
      <c r="I61" s="58" t="str">
        <f>IF(AND(ISBLANK(A61),ISBLANK(B61)),"",IF(OR(ISBLANK(A61),ISBLANK(B61)),"-",LEN(Tableau47[[#This Row],[Colonne9]])))</f>
        <v/>
      </c>
      <c r="J61" s="59" t="str">
        <f>IF(AND(ISBLANK(A61),ISBLANK(B61)),"",IF(OR(ISBLANK(A61),ISBLANK(B61)),"à compléter",
IF(H61=0,"",LOOKUP(H61,'Objets de gestion'!C:C,'Objets de gestion'!F:F)&amp;"_")
&amp;IF(F61=0,"",LOOKUP(F61,'Objets de gestion'!C:C,'Objets de gestion'!F:F)&amp;"_")
&amp;IF(D61=0,"",LOOKUP(D61,'Objets de gestion'!C:C,'Objets de gestion'!F:F)&amp;"_")
&amp;IF(B61=0,"",LOOKUP(B61,'Objets de gestion'!C:C,'Objets de gestion'!F:F))
))</f>
        <v/>
      </c>
      <c r="K61" s="57" t="str">
        <f t="shared" si="0"/>
        <v/>
      </c>
      <c r="L61" s="57" t="str">
        <f>IF(AND(ISBLANK(A61),ISBLANK(B61)),"",IF(OR(ISBLANK(A61),ISBLANK(B61)),"-",
IF(ISBLANK(B61),"",LOOKUP(B61,'Objets de gestion'!C:C,'Objets de gestion'!E:E))
&amp;IF(ISBLANK(C61),""," "&amp;LOOKUP(C61,Articles!A:A,Articles!B:B))
&amp;IF(ISBLANK(D61),""," "&amp;LOOKUP(D61,'Objets de gestion'!C:C,'Objets de gestion'!E:E))
&amp;IF(ISBLANK(E61),""," "&amp;LOOKUP(E61,Articles!A:A,Articles!B:B))
&amp;IF(ISBLANK(F61),""," "&amp;LOOKUP(F61,'Objets de gestion'!C:C,'Objets de gestion'!E:E))
&amp;IF(ISBLANK(G61),""," "&amp;LOOKUP(G61,Articles!A:A,Articles!B:B))
&amp;IF(ISBLANK(H61),""," "&amp;LOOKUP(H61,'Objets de gestion'!C:C,'Objets de gestion'!E:E))
))</f>
        <v/>
      </c>
      <c r="M61" s="57" t="str">
        <f t="shared" si="1"/>
        <v/>
      </c>
    </row>
    <row r="62" spans="9:13" s="57" customFormat="1" ht="15.75" x14ac:dyDescent="0.25">
      <c r="I62" s="58" t="str">
        <f>IF(AND(ISBLANK(A62),ISBLANK(B62)),"",IF(OR(ISBLANK(A62),ISBLANK(B62)),"-",LEN(Tableau47[[#This Row],[Colonne9]])))</f>
        <v/>
      </c>
      <c r="J62" s="59" t="str">
        <f>IF(AND(ISBLANK(A62),ISBLANK(B62)),"",IF(OR(ISBLANK(A62),ISBLANK(B62)),"à compléter",
IF(H62=0,"",LOOKUP(H62,'Objets de gestion'!C:C,'Objets de gestion'!F:F)&amp;"_")
&amp;IF(F62=0,"",LOOKUP(F62,'Objets de gestion'!C:C,'Objets de gestion'!F:F)&amp;"_")
&amp;IF(D62=0,"",LOOKUP(D62,'Objets de gestion'!C:C,'Objets de gestion'!F:F)&amp;"_")
&amp;IF(B62=0,"",LOOKUP(B62,'Objets de gestion'!C:C,'Objets de gestion'!F:F))
))</f>
        <v/>
      </c>
      <c r="K62" s="57" t="str">
        <f t="shared" si="0"/>
        <v/>
      </c>
      <c r="L62" s="57" t="str">
        <f>IF(AND(ISBLANK(A62),ISBLANK(B62)),"",IF(OR(ISBLANK(A62),ISBLANK(B62)),"-",
IF(ISBLANK(B62),"",LOOKUP(B62,'Objets de gestion'!C:C,'Objets de gestion'!E:E))
&amp;IF(ISBLANK(C62),""," "&amp;LOOKUP(C62,Articles!A:A,Articles!B:B))
&amp;IF(ISBLANK(D62),""," "&amp;LOOKUP(D62,'Objets de gestion'!C:C,'Objets de gestion'!E:E))
&amp;IF(ISBLANK(E62),""," "&amp;LOOKUP(E62,Articles!A:A,Articles!B:B))
&amp;IF(ISBLANK(F62),""," "&amp;LOOKUP(F62,'Objets de gestion'!C:C,'Objets de gestion'!E:E))
&amp;IF(ISBLANK(G62),""," "&amp;LOOKUP(G62,Articles!A:A,Articles!B:B))
&amp;IF(ISBLANK(H62),""," "&amp;LOOKUP(H62,'Objets de gestion'!C:C,'Objets de gestion'!E:E))
))</f>
        <v/>
      </c>
      <c r="M62" s="57" t="str">
        <f t="shared" si="1"/>
        <v/>
      </c>
    </row>
    <row r="63" spans="9:13" s="57" customFormat="1" ht="15.75" x14ac:dyDescent="0.25">
      <c r="I63" s="58" t="str">
        <f>IF(AND(ISBLANK(A63),ISBLANK(B63)),"",IF(OR(ISBLANK(A63),ISBLANK(B63)),"-",LEN(Tableau47[[#This Row],[Colonne9]])))</f>
        <v/>
      </c>
      <c r="J63" s="59" t="str">
        <f>IF(AND(ISBLANK(A63),ISBLANK(B63)),"",IF(OR(ISBLANK(A63),ISBLANK(B63)),"à compléter",
IF(H63=0,"",LOOKUP(H63,'Objets de gestion'!C:C,'Objets de gestion'!F:F)&amp;"_")
&amp;IF(F63=0,"",LOOKUP(F63,'Objets de gestion'!C:C,'Objets de gestion'!F:F)&amp;"_")
&amp;IF(D63=0,"",LOOKUP(D63,'Objets de gestion'!C:C,'Objets de gestion'!F:F)&amp;"_")
&amp;IF(B63=0,"",LOOKUP(B63,'Objets de gestion'!C:C,'Objets de gestion'!F:F))
))</f>
        <v/>
      </c>
      <c r="K63" s="57" t="str">
        <f t="shared" si="0"/>
        <v/>
      </c>
      <c r="L63" s="57" t="str">
        <f>IF(AND(ISBLANK(A63),ISBLANK(B63)),"",IF(OR(ISBLANK(A63),ISBLANK(B63)),"-",
IF(ISBLANK(B63),"",LOOKUP(B63,'Objets de gestion'!C:C,'Objets de gestion'!E:E))
&amp;IF(ISBLANK(C63),""," "&amp;LOOKUP(C63,Articles!A:A,Articles!B:B))
&amp;IF(ISBLANK(D63),""," "&amp;LOOKUP(D63,'Objets de gestion'!C:C,'Objets de gestion'!E:E))
&amp;IF(ISBLANK(E63),""," "&amp;LOOKUP(E63,Articles!A:A,Articles!B:B))
&amp;IF(ISBLANK(F63),""," "&amp;LOOKUP(F63,'Objets de gestion'!C:C,'Objets de gestion'!E:E))
&amp;IF(ISBLANK(G63),""," "&amp;LOOKUP(G63,Articles!A:A,Articles!B:B))
&amp;IF(ISBLANK(H63),""," "&amp;LOOKUP(H63,'Objets de gestion'!C:C,'Objets de gestion'!E:E))
))</f>
        <v/>
      </c>
      <c r="M63" s="57" t="str">
        <f t="shared" si="1"/>
        <v/>
      </c>
    </row>
    <row r="64" spans="9:13" s="57" customFormat="1" ht="15.75" x14ac:dyDescent="0.25">
      <c r="I64" s="58" t="str">
        <f>IF(AND(ISBLANK(A64),ISBLANK(B64)),"",IF(OR(ISBLANK(A64),ISBLANK(B64)),"-",LEN(Tableau47[[#This Row],[Colonne9]])))</f>
        <v/>
      </c>
      <c r="J64" s="59" t="str">
        <f>IF(AND(ISBLANK(A64),ISBLANK(B64)),"",IF(OR(ISBLANK(A64),ISBLANK(B64)),"à compléter",
IF(H64=0,"",LOOKUP(H64,'Objets de gestion'!C:C,'Objets de gestion'!F:F)&amp;"_")
&amp;IF(F64=0,"",LOOKUP(F64,'Objets de gestion'!C:C,'Objets de gestion'!F:F)&amp;"_")
&amp;IF(D64=0,"",LOOKUP(D64,'Objets de gestion'!C:C,'Objets de gestion'!F:F)&amp;"_")
&amp;IF(B64=0,"",LOOKUP(B64,'Objets de gestion'!C:C,'Objets de gestion'!F:F))
))</f>
        <v/>
      </c>
      <c r="K64" s="57" t="str">
        <f t="shared" si="0"/>
        <v/>
      </c>
      <c r="L64" s="57" t="str">
        <f>IF(AND(ISBLANK(A64),ISBLANK(B64)),"",IF(OR(ISBLANK(A64),ISBLANK(B64)),"-",
IF(ISBLANK(B64),"",LOOKUP(B64,'Objets de gestion'!C:C,'Objets de gestion'!E:E))
&amp;IF(ISBLANK(C64),""," "&amp;LOOKUP(C64,Articles!A:A,Articles!B:B))
&amp;IF(ISBLANK(D64),""," "&amp;LOOKUP(D64,'Objets de gestion'!C:C,'Objets de gestion'!E:E))
&amp;IF(ISBLANK(E64),""," "&amp;LOOKUP(E64,Articles!A:A,Articles!B:B))
&amp;IF(ISBLANK(F64),""," "&amp;LOOKUP(F64,'Objets de gestion'!C:C,'Objets de gestion'!E:E))
&amp;IF(ISBLANK(G64),""," "&amp;LOOKUP(G64,Articles!A:A,Articles!B:B))
&amp;IF(ISBLANK(H64),""," "&amp;LOOKUP(H64,'Objets de gestion'!C:C,'Objets de gestion'!E:E))
))</f>
        <v/>
      </c>
      <c r="M64" s="57" t="str">
        <f t="shared" si="1"/>
        <v/>
      </c>
    </row>
    <row r="65" spans="1:13" s="57" customFormat="1" ht="15.75" x14ac:dyDescent="0.25">
      <c r="I65" s="58" t="str">
        <f>IF(AND(ISBLANK(A65),ISBLANK(B65)),"",IF(OR(ISBLANK(A65),ISBLANK(B65)),"-",LEN(Tableau47[[#This Row],[Colonne9]])))</f>
        <v/>
      </c>
      <c r="J65" s="59" t="str">
        <f>IF(AND(ISBLANK(A65),ISBLANK(B65)),"",IF(OR(ISBLANK(A65),ISBLANK(B65)),"à compléter",
IF(H65=0,"",LOOKUP(H65,'Objets de gestion'!C:C,'Objets de gestion'!F:F)&amp;"_")
&amp;IF(F65=0,"",LOOKUP(F65,'Objets de gestion'!C:C,'Objets de gestion'!F:F)&amp;"_")
&amp;IF(D65=0,"",LOOKUP(D65,'Objets de gestion'!C:C,'Objets de gestion'!F:F)&amp;"_")
&amp;IF(B65=0,"",LOOKUP(B65,'Objets de gestion'!C:C,'Objets de gestion'!F:F))
))</f>
        <v/>
      </c>
      <c r="K65" s="57" t="str">
        <f t="shared" si="0"/>
        <v/>
      </c>
      <c r="L65" s="57" t="str">
        <f>IF(AND(ISBLANK(A65),ISBLANK(B65)),"",IF(OR(ISBLANK(A65),ISBLANK(B65)),"-",
IF(ISBLANK(B65),"",LOOKUP(B65,'Objets de gestion'!C:C,'Objets de gestion'!E:E))
&amp;IF(ISBLANK(C65),""," "&amp;LOOKUP(C65,Articles!A:A,Articles!B:B))
&amp;IF(ISBLANK(D65),""," "&amp;LOOKUP(D65,'Objets de gestion'!C:C,'Objets de gestion'!E:E))
&amp;IF(ISBLANK(E65),""," "&amp;LOOKUP(E65,Articles!A:A,Articles!B:B))
&amp;IF(ISBLANK(F65),""," "&amp;LOOKUP(F65,'Objets de gestion'!C:C,'Objets de gestion'!E:E))
&amp;IF(ISBLANK(G65),""," "&amp;LOOKUP(G65,Articles!A:A,Articles!B:B))
&amp;IF(ISBLANK(H65),""," "&amp;LOOKUP(H65,'Objets de gestion'!C:C,'Objets de gestion'!E:E))
))</f>
        <v/>
      </c>
      <c r="M65" s="57" t="str">
        <f t="shared" si="1"/>
        <v/>
      </c>
    </row>
    <row r="66" spans="1:13" s="57" customFormat="1" ht="15.75" x14ac:dyDescent="0.25">
      <c r="I66" s="58" t="str">
        <f>IF(AND(ISBLANK(A66),ISBLANK(B66)),"",IF(OR(ISBLANK(A66),ISBLANK(B66)),"-",LEN(Tableau47[[#This Row],[Colonne9]])))</f>
        <v/>
      </c>
      <c r="J66" s="59" t="str">
        <f>IF(AND(ISBLANK(A66),ISBLANK(B66)),"",IF(OR(ISBLANK(A66),ISBLANK(B66)),"à compléter",
IF(H66=0,"",LOOKUP(H66,'Objets de gestion'!C:C,'Objets de gestion'!F:F)&amp;"_")
&amp;IF(F66=0,"",LOOKUP(F66,'Objets de gestion'!C:C,'Objets de gestion'!F:F)&amp;"_")
&amp;IF(D66=0,"",LOOKUP(D66,'Objets de gestion'!C:C,'Objets de gestion'!F:F)&amp;"_")
&amp;IF(B66=0,"",LOOKUP(B66,'Objets de gestion'!C:C,'Objets de gestion'!F:F))
))</f>
        <v/>
      </c>
      <c r="K66" s="57" t="str">
        <f t="shared" ref="K66:K129" si="4">IF(AND(ISBLANK(A66),ISBLANK(B66)),"",IF(OR(ISBLANK(A66),ISBLANK(B66)),"-",
B66&amp;" "&amp;IF(ISBLANK(D66),"",C66&amp;" "&amp;D66&amp;" ")&amp;IF(ISBLANK(F66),"",E66&amp;" "&amp;F66&amp;" ")&amp;IF(ISBLANK(H66),"",G66&amp;" "&amp;H66&amp;" ")))</f>
        <v/>
      </c>
      <c r="L66" s="57" t="str">
        <f>IF(AND(ISBLANK(A66),ISBLANK(B66)),"",IF(OR(ISBLANK(A66),ISBLANK(B66)),"-",
IF(ISBLANK(B66),"",LOOKUP(B66,'Objets de gestion'!C:C,'Objets de gestion'!E:E))
&amp;IF(ISBLANK(C66),""," "&amp;LOOKUP(C66,Articles!A:A,Articles!B:B))
&amp;IF(ISBLANK(D66),""," "&amp;LOOKUP(D66,'Objets de gestion'!C:C,'Objets de gestion'!E:E))
&amp;IF(ISBLANK(E66),""," "&amp;LOOKUP(E66,Articles!A:A,Articles!B:B))
&amp;IF(ISBLANK(F66),""," "&amp;LOOKUP(F66,'Objets de gestion'!C:C,'Objets de gestion'!E:E))
&amp;IF(ISBLANK(G66),""," "&amp;LOOKUP(G66,Articles!A:A,Articles!B:B))
&amp;IF(ISBLANK(H66),""," "&amp;LOOKUP(H66,'Objets de gestion'!C:C,'Objets de gestion'!E:E))
))</f>
        <v/>
      </c>
      <c r="M66" s="57" t="str">
        <f t="shared" ref="M66:M129" si="5">IF(AND(ISBLANK(A66),ISBLANK(B66)),"",IF(OR(ISBLANK(A66),ISBLANK(B66)),"-",
A66))</f>
        <v/>
      </c>
    </row>
    <row r="67" spans="1:13" s="57" customFormat="1" ht="15.75" x14ac:dyDescent="0.25">
      <c r="I67" s="58" t="str">
        <f>IF(AND(ISBLANK(A67),ISBLANK(B67)),"",IF(OR(ISBLANK(A67),ISBLANK(B67)),"-",LEN(Tableau47[[#This Row],[Colonne9]])))</f>
        <v/>
      </c>
      <c r="J67" s="59" t="str">
        <f>IF(AND(ISBLANK(A67),ISBLANK(B67)),"",IF(OR(ISBLANK(A67),ISBLANK(B67)),"à compléter",
IF(H67=0,"",LOOKUP(H67,'Objets de gestion'!C:C,'Objets de gestion'!F:F)&amp;"_")
&amp;IF(F67=0,"",LOOKUP(F67,'Objets de gestion'!C:C,'Objets de gestion'!F:F)&amp;"_")
&amp;IF(D67=0,"",LOOKUP(D67,'Objets de gestion'!C:C,'Objets de gestion'!F:F)&amp;"_")
&amp;IF(B67=0,"",LOOKUP(B67,'Objets de gestion'!C:C,'Objets de gestion'!F:F))
))</f>
        <v/>
      </c>
      <c r="K67" s="57" t="str">
        <f t="shared" si="4"/>
        <v/>
      </c>
      <c r="L67" s="57" t="str">
        <f>IF(AND(ISBLANK(A67),ISBLANK(B67)),"",IF(OR(ISBLANK(A67),ISBLANK(B67)),"-",
IF(ISBLANK(B67),"",LOOKUP(B67,'Objets de gestion'!C:C,'Objets de gestion'!E:E))
&amp;IF(ISBLANK(C67),""," "&amp;LOOKUP(C67,Articles!A:A,Articles!B:B))
&amp;IF(ISBLANK(D67),""," "&amp;LOOKUP(D67,'Objets de gestion'!C:C,'Objets de gestion'!E:E))
&amp;IF(ISBLANK(E67),""," "&amp;LOOKUP(E67,Articles!A:A,Articles!B:B))
&amp;IF(ISBLANK(F67),""," "&amp;LOOKUP(F67,'Objets de gestion'!C:C,'Objets de gestion'!E:E))
&amp;IF(ISBLANK(G67),""," "&amp;LOOKUP(G67,Articles!A:A,Articles!B:B))
&amp;IF(ISBLANK(H67),""," "&amp;LOOKUP(H67,'Objets de gestion'!C:C,'Objets de gestion'!E:E))
))</f>
        <v/>
      </c>
      <c r="M67" s="57" t="str">
        <f t="shared" si="5"/>
        <v/>
      </c>
    </row>
    <row r="68" spans="1:13" s="57" customFormat="1" ht="15.75" x14ac:dyDescent="0.25">
      <c r="I68" s="58" t="str">
        <f>IF(AND(ISBLANK(A68),ISBLANK(B68)),"",IF(OR(ISBLANK(A68),ISBLANK(B68)),"-",LEN(Tableau47[[#This Row],[Colonne9]])))</f>
        <v/>
      </c>
      <c r="J68" s="59" t="str">
        <f>IF(AND(ISBLANK(A68),ISBLANK(B68)),"",IF(OR(ISBLANK(A68),ISBLANK(B68)),"à compléter",
IF(H68=0,"",LOOKUP(H68,'Objets de gestion'!C:C,'Objets de gestion'!F:F)&amp;"_")
&amp;IF(F68=0,"",LOOKUP(F68,'Objets de gestion'!C:C,'Objets de gestion'!F:F)&amp;"_")
&amp;IF(D68=0,"",LOOKUP(D68,'Objets de gestion'!C:C,'Objets de gestion'!F:F)&amp;"_")
&amp;IF(B68=0,"",LOOKUP(B68,'Objets de gestion'!C:C,'Objets de gestion'!F:F))
))</f>
        <v/>
      </c>
      <c r="K68" s="57" t="str">
        <f t="shared" si="4"/>
        <v/>
      </c>
      <c r="L68" s="57" t="str">
        <f>IF(AND(ISBLANK(A68),ISBLANK(B68)),"",IF(OR(ISBLANK(A68),ISBLANK(B68)),"-",
IF(ISBLANK(B68),"",LOOKUP(B68,'Objets de gestion'!C:C,'Objets de gestion'!E:E))
&amp;IF(ISBLANK(C68),""," "&amp;LOOKUP(C68,Articles!A:A,Articles!B:B))
&amp;IF(ISBLANK(D68),""," "&amp;LOOKUP(D68,'Objets de gestion'!C:C,'Objets de gestion'!E:E))
&amp;IF(ISBLANK(E68),""," "&amp;LOOKUP(E68,Articles!A:A,Articles!B:B))
&amp;IF(ISBLANK(F68),""," "&amp;LOOKUP(F68,'Objets de gestion'!C:C,'Objets de gestion'!E:E))
&amp;IF(ISBLANK(G68),""," "&amp;LOOKUP(G68,Articles!A:A,Articles!B:B))
&amp;IF(ISBLANK(H68),""," "&amp;LOOKUP(H68,'Objets de gestion'!C:C,'Objets de gestion'!E:E))
))</f>
        <v/>
      </c>
      <c r="M68" s="57" t="str">
        <f t="shared" si="5"/>
        <v/>
      </c>
    </row>
    <row r="69" spans="1:13" s="57" customFormat="1" ht="15.75" x14ac:dyDescent="0.25">
      <c r="I69" s="58" t="str">
        <f>IF(AND(ISBLANK(A69),ISBLANK(B69)),"",IF(OR(ISBLANK(A69),ISBLANK(B69)),"-",LEN(Tableau47[[#This Row],[Colonne9]])))</f>
        <v/>
      </c>
      <c r="J69" s="59" t="str">
        <f>IF(AND(ISBLANK(A69),ISBLANK(B69)),"",IF(OR(ISBLANK(A69),ISBLANK(B69)),"à compléter",
IF(H69=0,"",LOOKUP(H69,'Objets de gestion'!C:C,'Objets de gestion'!F:F)&amp;"_")
&amp;IF(F69=0,"",LOOKUP(F69,'Objets de gestion'!C:C,'Objets de gestion'!F:F)&amp;"_")
&amp;IF(D69=0,"",LOOKUP(D69,'Objets de gestion'!C:C,'Objets de gestion'!F:F)&amp;"_")
&amp;IF(B69=0,"",LOOKUP(B69,'Objets de gestion'!C:C,'Objets de gestion'!F:F))
))</f>
        <v/>
      </c>
      <c r="K69" s="57" t="str">
        <f t="shared" si="4"/>
        <v/>
      </c>
      <c r="L69" s="57" t="str">
        <f>IF(AND(ISBLANK(A69),ISBLANK(B69)),"",IF(OR(ISBLANK(A69),ISBLANK(B69)),"-",
IF(ISBLANK(B69),"",LOOKUP(B69,'Objets de gestion'!C:C,'Objets de gestion'!E:E))
&amp;IF(ISBLANK(C69),""," "&amp;LOOKUP(C69,Articles!A:A,Articles!B:B))
&amp;IF(ISBLANK(D69),""," "&amp;LOOKUP(D69,'Objets de gestion'!C:C,'Objets de gestion'!E:E))
&amp;IF(ISBLANK(E69),""," "&amp;LOOKUP(E69,Articles!A:A,Articles!B:B))
&amp;IF(ISBLANK(F69),""," "&amp;LOOKUP(F69,'Objets de gestion'!C:C,'Objets de gestion'!E:E))
&amp;IF(ISBLANK(G69),""," "&amp;LOOKUP(G69,Articles!A:A,Articles!B:B))
&amp;IF(ISBLANK(H69),""," "&amp;LOOKUP(H69,'Objets de gestion'!C:C,'Objets de gestion'!E:E))
))</f>
        <v/>
      </c>
      <c r="M69" s="57" t="str">
        <f t="shared" si="5"/>
        <v/>
      </c>
    </row>
    <row r="70" spans="1:13" s="60" customFormat="1" ht="15.75" x14ac:dyDescent="0.25">
      <c r="A70" s="57"/>
      <c r="I70" s="58" t="str">
        <f>IF(AND(ISBLANK(A70),ISBLANK(B70)),"",IF(OR(ISBLANK(A70),ISBLANK(B70)),"-",LEN(Tableau47[[#This Row],[Colonne9]])))</f>
        <v/>
      </c>
      <c r="J70" s="59" t="str">
        <f>IF(AND(ISBLANK(A70),ISBLANK(B70)),"",IF(OR(ISBLANK(A70),ISBLANK(B70)),"à compléter",
IF(H70=0,"",LOOKUP(H70,'Objets de gestion'!C:C,'Objets de gestion'!F:F)&amp;"_")
&amp;IF(F70=0,"",LOOKUP(F70,'Objets de gestion'!C:C,'Objets de gestion'!F:F)&amp;"_")
&amp;IF(D70=0,"",LOOKUP(D70,'Objets de gestion'!C:C,'Objets de gestion'!F:F)&amp;"_")
&amp;IF(B70=0,"",LOOKUP(B70,'Objets de gestion'!C:C,'Objets de gestion'!F:F))
))</f>
        <v/>
      </c>
      <c r="K70" s="57" t="str">
        <f t="shared" si="4"/>
        <v/>
      </c>
      <c r="L70" s="57" t="str">
        <f>IF(AND(ISBLANK(A70),ISBLANK(B70)),"",IF(OR(ISBLANK(A70),ISBLANK(B70)),"-",
IF(ISBLANK(B70),"",LOOKUP(B70,'Objets de gestion'!C:C,'Objets de gestion'!E:E))
&amp;IF(ISBLANK(C70),""," "&amp;LOOKUP(C70,Articles!A:A,Articles!B:B))
&amp;IF(ISBLANK(D70),""," "&amp;LOOKUP(D70,'Objets de gestion'!C:C,'Objets de gestion'!E:E))
&amp;IF(ISBLANK(E70),""," "&amp;LOOKUP(E70,Articles!A:A,Articles!B:B))
&amp;IF(ISBLANK(F70),""," "&amp;LOOKUP(F70,'Objets de gestion'!C:C,'Objets de gestion'!E:E))
&amp;IF(ISBLANK(G70),""," "&amp;LOOKUP(G70,Articles!A:A,Articles!B:B))
&amp;IF(ISBLANK(H70),""," "&amp;LOOKUP(H70,'Objets de gestion'!C:C,'Objets de gestion'!E:E))
))</f>
        <v/>
      </c>
      <c r="M70" s="57" t="str">
        <f t="shared" si="5"/>
        <v/>
      </c>
    </row>
    <row r="71" spans="1:13" s="57" customFormat="1" ht="15.75" x14ac:dyDescent="0.25">
      <c r="I71" s="58" t="str">
        <f>IF(AND(ISBLANK(A71),ISBLANK(B71)),"",IF(OR(ISBLANK(A71),ISBLANK(B71)),"-",LEN(Tableau47[[#This Row],[Colonne9]])))</f>
        <v/>
      </c>
      <c r="J71" s="59" t="str">
        <f>IF(AND(ISBLANK(A71),ISBLANK(B71)),"",IF(OR(ISBLANK(A71),ISBLANK(B71)),"à compléter",
IF(H71=0,"",LOOKUP(H71,'Objets de gestion'!C:C,'Objets de gestion'!F:F)&amp;"_")
&amp;IF(F71=0,"",LOOKUP(F71,'Objets de gestion'!C:C,'Objets de gestion'!F:F)&amp;"_")
&amp;IF(D71=0,"",LOOKUP(D71,'Objets de gestion'!C:C,'Objets de gestion'!F:F)&amp;"_")
&amp;IF(B71=0,"",LOOKUP(B71,'Objets de gestion'!C:C,'Objets de gestion'!F:F))
))</f>
        <v/>
      </c>
      <c r="K71" s="57" t="str">
        <f t="shared" si="4"/>
        <v/>
      </c>
      <c r="L71" s="57" t="str">
        <f>IF(AND(ISBLANK(A71),ISBLANK(B71)),"",IF(OR(ISBLANK(A71),ISBLANK(B71)),"-",
IF(ISBLANK(B71),"",LOOKUP(B71,'Objets de gestion'!C:C,'Objets de gestion'!E:E))
&amp;IF(ISBLANK(C71),""," "&amp;LOOKUP(C71,Articles!A:A,Articles!B:B))
&amp;IF(ISBLANK(D71),""," "&amp;LOOKUP(D71,'Objets de gestion'!C:C,'Objets de gestion'!E:E))
&amp;IF(ISBLANK(E71),""," "&amp;LOOKUP(E71,Articles!A:A,Articles!B:B))
&amp;IF(ISBLANK(F71),""," "&amp;LOOKUP(F71,'Objets de gestion'!C:C,'Objets de gestion'!E:E))
&amp;IF(ISBLANK(G71),""," "&amp;LOOKUP(G71,Articles!A:A,Articles!B:B))
&amp;IF(ISBLANK(H71),""," "&amp;LOOKUP(H71,'Objets de gestion'!C:C,'Objets de gestion'!E:E))
))</f>
        <v/>
      </c>
      <c r="M71" s="57" t="str">
        <f t="shared" si="5"/>
        <v/>
      </c>
    </row>
    <row r="72" spans="1:13" s="57" customFormat="1" ht="15.75" x14ac:dyDescent="0.25">
      <c r="I72" s="58" t="str">
        <f>IF(AND(ISBLANK(A72),ISBLANK(B72)),"",IF(OR(ISBLANK(A72),ISBLANK(B72)),"-",LEN(Tableau47[[#This Row],[Colonne9]])))</f>
        <v/>
      </c>
      <c r="J72" s="59" t="str">
        <f>IF(AND(ISBLANK(A72),ISBLANK(B72)),"",IF(OR(ISBLANK(A72),ISBLANK(B72)),"à compléter",
IF(H72=0,"",LOOKUP(H72,'Objets de gestion'!C:C,'Objets de gestion'!F:F)&amp;"_")
&amp;IF(F72=0,"",LOOKUP(F72,'Objets de gestion'!C:C,'Objets de gestion'!F:F)&amp;"_")
&amp;IF(D72=0,"",LOOKUP(D72,'Objets de gestion'!C:C,'Objets de gestion'!F:F)&amp;"_")
&amp;IF(B72=0,"",LOOKUP(B72,'Objets de gestion'!C:C,'Objets de gestion'!F:F))
))</f>
        <v/>
      </c>
      <c r="K72" s="57" t="str">
        <f t="shared" si="4"/>
        <v/>
      </c>
      <c r="L72" s="57" t="str">
        <f>IF(AND(ISBLANK(A72),ISBLANK(B72)),"",IF(OR(ISBLANK(A72),ISBLANK(B72)),"-",
IF(ISBLANK(B72),"",LOOKUP(B72,'Objets de gestion'!C:C,'Objets de gestion'!E:E))
&amp;IF(ISBLANK(C72),""," "&amp;LOOKUP(C72,Articles!A:A,Articles!B:B))
&amp;IF(ISBLANK(D72),""," "&amp;LOOKUP(D72,'Objets de gestion'!C:C,'Objets de gestion'!E:E))
&amp;IF(ISBLANK(E72),""," "&amp;LOOKUP(E72,Articles!A:A,Articles!B:B))
&amp;IF(ISBLANK(F72),""," "&amp;LOOKUP(F72,'Objets de gestion'!C:C,'Objets de gestion'!E:E))
&amp;IF(ISBLANK(G72),""," "&amp;LOOKUP(G72,Articles!A:A,Articles!B:B))
&amp;IF(ISBLANK(H72),""," "&amp;LOOKUP(H72,'Objets de gestion'!C:C,'Objets de gestion'!E:E))
))</f>
        <v/>
      </c>
      <c r="M72" s="57" t="str">
        <f t="shared" si="5"/>
        <v/>
      </c>
    </row>
    <row r="73" spans="1:13" s="57" customFormat="1" ht="15.75" x14ac:dyDescent="0.25">
      <c r="I73" s="58" t="str">
        <f>IF(AND(ISBLANK(A73),ISBLANK(B73)),"",IF(OR(ISBLANK(A73),ISBLANK(B73)),"-",LEN(Tableau47[[#This Row],[Colonne9]])))</f>
        <v/>
      </c>
      <c r="J73" s="59" t="str">
        <f>IF(AND(ISBLANK(A73),ISBLANK(B73)),"",IF(OR(ISBLANK(A73),ISBLANK(B73)),"à compléter",
IF(H73=0,"",LOOKUP(H73,'Objets de gestion'!C:C,'Objets de gestion'!F:F)&amp;"_")
&amp;IF(F73=0,"",LOOKUP(F73,'Objets de gestion'!C:C,'Objets de gestion'!F:F)&amp;"_")
&amp;IF(D73=0,"",LOOKUP(D73,'Objets de gestion'!C:C,'Objets de gestion'!F:F)&amp;"_")
&amp;IF(B73=0,"",LOOKUP(B73,'Objets de gestion'!C:C,'Objets de gestion'!F:F))
))</f>
        <v/>
      </c>
      <c r="K73" s="57" t="str">
        <f t="shared" si="4"/>
        <v/>
      </c>
      <c r="L73" s="57" t="str">
        <f>IF(AND(ISBLANK(A73),ISBLANK(B73)),"",IF(OR(ISBLANK(A73),ISBLANK(B73)),"-",
IF(ISBLANK(B73),"",LOOKUP(B73,'Objets de gestion'!C:C,'Objets de gestion'!E:E))
&amp;IF(ISBLANK(C73),""," "&amp;LOOKUP(C73,Articles!A:A,Articles!B:B))
&amp;IF(ISBLANK(D73),""," "&amp;LOOKUP(D73,'Objets de gestion'!C:C,'Objets de gestion'!E:E))
&amp;IF(ISBLANK(E73),""," "&amp;LOOKUP(E73,Articles!A:A,Articles!B:B))
&amp;IF(ISBLANK(F73),""," "&amp;LOOKUP(F73,'Objets de gestion'!C:C,'Objets de gestion'!E:E))
&amp;IF(ISBLANK(G73),""," "&amp;LOOKUP(G73,Articles!A:A,Articles!B:B))
&amp;IF(ISBLANK(H73),""," "&amp;LOOKUP(H73,'Objets de gestion'!C:C,'Objets de gestion'!E:E))
))</f>
        <v/>
      </c>
      <c r="M73" s="57" t="str">
        <f t="shared" si="5"/>
        <v/>
      </c>
    </row>
    <row r="74" spans="1:13" s="57" customFormat="1" ht="15.75" x14ac:dyDescent="0.25">
      <c r="I74" s="58" t="str">
        <f>IF(AND(ISBLANK(A74),ISBLANK(B74)),"",IF(OR(ISBLANK(A74),ISBLANK(B74)),"-",LEN(Tableau47[[#This Row],[Colonne9]])))</f>
        <v/>
      </c>
      <c r="J74" s="59" t="str">
        <f>IF(AND(ISBLANK(A74),ISBLANK(B74)),"",IF(OR(ISBLANK(A74),ISBLANK(B74)),"à compléter",
IF(H74=0,"",LOOKUP(H74,'Objets de gestion'!C:C,'Objets de gestion'!F:F)&amp;"_")
&amp;IF(F74=0,"",LOOKUP(F74,'Objets de gestion'!C:C,'Objets de gestion'!F:F)&amp;"_")
&amp;IF(D74=0,"",LOOKUP(D74,'Objets de gestion'!C:C,'Objets de gestion'!F:F)&amp;"_")
&amp;IF(B74=0,"",LOOKUP(B74,'Objets de gestion'!C:C,'Objets de gestion'!F:F))
))</f>
        <v/>
      </c>
      <c r="K74" s="57" t="str">
        <f t="shared" si="4"/>
        <v/>
      </c>
      <c r="L74" s="57" t="str">
        <f>IF(AND(ISBLANK(A74),ISBLANK(B74)),"",IF(OR(ISBLANK(A74),ISBLANK(B74)),"-",
IF(ISBLANK(B74),"",LOOKUP(B74,'Objets de gestion'!C:C,'Objets de gestion'!E:E))
&amp;IF(ISBLANK(C74),""," "&amp;LOOKUP(C74,Articles!A:A,Articles!B:B))
&amp;IF(ISBLANK(D74),""," "&amp;LOOKUP(D74,'Objets de gestion'!C:C,'Objets de gestion'!E:E))
&amp;IF(ISBLANK(E74),""," "&amp;LOOKUP(E74,Articles!A:A,Articles!B:B))
&amp;IF(ISBLANK(F74),""," "&amp;LOOKUP(F74,'Objets de gestion'!C:C,'Objets de gestion'!E:E))
&amp;IF(ISBLANK(G74),""," "&amp;LOOKUP(G74,Articles!A:A,Articles!B:B))
&amp;IF(ISBLANK(H74),""," "&amp;LOOKUP(H74,'Objets de gestion'!C:C,'Objets de gestion'!E:E))
))</f>
        <v/>
      </c>
      <c r="M74" s="57" t="str">
        <f t="shared" si="5"/>
        <v/>
      </c>
    </row>
    <row r="75" spans="1:13" s="60" customFormat="1" ht="15.75" x14ac:dyDescent="0.25">
      <c r="A75" s="57"/>
      <c r="I75" s="58" t="str">
        <f>IF(AND(ISBLANK(A75),ISBLANK(B75)),"",IF(OR(ISBLANK(A75),ISBLANK(B75)),"-",LEN(Tableau47[[#This Row],[Colonne9]])))</f>
        <v/>
      </c>
      <c r="J75" s="59" t="str">
        <f>IF(AND(ISBLANK(A75),ISBLANK(B75)),"",IF(OR(ISBLANK(A75),ISBLANK(B75)),"à compléter",
IF(H75=0,"",LOOKUP(H75,'Objets de gestion'!C:C,'Objets de gestion'!F:F)&amp;"_")
&amp;IF(F75=0,"",LOOKUP(F75,'Objets de gestion'!C:C,'Objets de gestion'!F:F)&amp;"_")
&amp;IF(D75=0,"",LOOKUP(D75,'Objets de gestion'!C:C,'Objets de gestion'!F:F)&amp;"_")
&amp;IF(B75=0,"",LOOKUP(B75,'Objets de gestion'!C:C,'Objets de gestion'!F:F))
))</f>
        <v/>
      </c>
      <c r="K75" s="57" t="str">
        <f t="shared" si="4"/>
        <v/>
      </c>
      <c r="L75" s="57" t="str">
        <f>IF(AND(ISBLANK(A75),ISBLANK(B75)),"",IF(OR(ISBLANK(A75),ISBLANK(B75)),"-",
IF(ISBLANK(B75),"",LOOKUP(B75,'Objets de gestion'!C:C,'Objets de gestion'!E:E))
&amp;IF(ISBLANK(C75),""," "&amp;LOOKUP(C75,Articles!A:A,Articles!B:B))
&amp;IF(ISBLANK(D75),""," "&amp;LOOKUP(D75,'Objets de gestion'!C:C,'Objets de gestion'!E:E))
&amp;IF(ISBLANK(E75),""," "&amp;LOOKUP(E75,Articles!A:A,Articles!B:B))
&amp;IF(ISBLANK(F75),""," "&amp;LOOKUP(F75,'Objets de gestion'!C:C,'Objets de gestion'!E:E))
&amp;IF(ISBLANK(G75),""," "&amp;LOOKUP(G75,Articles!A:A,Articles!B:B))
&amp;IF(ISBLANK(H75),""," "&amp;LOOKUP(H75,'Objets de gestion'!C:C,'Objets de gestion'!E:E))
))</f>
        <v/>
      </c>
      <c r="M75" s="57" t="str">
        <f t="shared" si="5"/>
        <v/>
      </c>
    </row>
    <row r="76" spans="1:13" s="57" customFormat="1" ht="15.75" x14ac:dyDescent="0.25">
      <c r="B76" s="61"/>
      <c r="C76" s="61"/>
      <c r="D76" s="61"/>
      <c r="E76" s="61"/>
      <c r="F76" s="61"/>
      <c r="G76" s="61"/>
      <c r="H76" s="61"/>
      <c r="I76" s="58" t="str">
        <f>IF(AND(ISBLANK(A76),ISBLANK(B76)),"",IF(OR(ISBLANK(A76),ISBLANK(B76)),"-",LEN(Tableau47[[#This Row],[Colonne9]])))</f>
        <v/>
      </c>
      <c r="J76" s="59" t="str">
        <f>IF(AND(ISBLANK(A76),ISBLANK(B76)),"",IF(OR(ISBLANK(A76),ISBLANK(B76)),"à compléter",
IF(H76=0,"",LOOKUP(H76,'Objets de gestion'!C:C,'Objets de gestion'!F:F)&amp;"_")
&amp;IF(F76=0,"",LOOKUP(F76,'Objets de gestion'!C:C,'Objets de gestion'!F:F)&amp;"_")
&amp;IF(D76=0,"",LOOKUP(D76,'Objets de gestion'!C:C,'Objets de gestion'!F:F)&amp;"_")
&amp;IF(B76=0,"",LOOKUP(B76,'Objets de gestion'!C:C,'Objets de gestion'!F:F))
))</f>
        <v/>
      </c>
      <c r="K76" s="57" t="str">
        <f t="shared" si="4"/>
        <v/>
      </c>
      <c r="L76" s="57" t="str">
        <f>IF(AND(ISBLANK(A76),ISBLANK(B76)),"",IF(OR(ISBLANK(A76),ISBLANK(B76)),"-",
IF(ISBLANK(B76),"",LOOKUP(B76,'Objets de gestion'!C:C,'Objets de gestion'!E:E))
&amp;IF(ISBLANK(C76),""," "&amp;LOOKUP(C76,Articles!A:A,Articles!B:B))
&amp;IF(ISBLANK(D76),""," "&amp;LOOKUP(D76,'Objets de gestion'!C:C,'Objets de gestion'!E:E))
&amp;IF(ISBLANK(E76),""," "&amp;LOOKUP(E76,Articles!A:A,Articles!B:B))
&amp;IF(ISBLANK(F76),""," "&amp;LOOKUP(F76,'Objets de gestion'!C:C,'Objets de gestion'!E:E))
&amp;IF(ISBLANK(G76),""," "&amp;LOOKUP(G76,Articles!A:A,Articles!B:B))
&amp;IF(ISBLANK(H76),""," "&amp;LOOKUP(H76,'Objets de gestion'!C:C,'Objets de gestion'!E:E))
))</f>
        <v/>
      </c>
      <c r="M76" s="57" t="str">
        <f t="shared" si="5"/>
        <v/>
      </c>
    </row>
    <row r="77" spans="1:13" s="57" customFormat="1" ht="15.75" x14ac:dyDescent="0.25">
      <c r="B77" s="60"/>
      <c r="C77" s="60"/>
      <c r="D77" s="60"/>
      <c r="E77" s="60"/>
      <c r="F77" s="60"/>
      <c r="G77" s="60"/>
      <c r="H77" s="60"/>
      <c r="I77" s="58" t="str">
        <f>IF(AND(ISBLANK(A77),ISBLANK(B77)),"",IF(OR(ISBLANK(A77),ISBLANK(B77)),"-",LEN(Tableau47[[#This Row],[Colonne9]])))</f>
        <v/>
      </c>
      <c r="J77" s="59" t="str">
        <f>IF(AND(ISBLANK(A77),ISBLANK(B77)),"",IF(OR(ISBLANK(A77),ISBLANK(B77)),"à compléter",
IF(H77=0,"",LOOKUP(H77,'Objets de gestion'!C:C,'Objets de gestion'!F:F)&amp;"_")
&amp;IF(F77=0,"",LOOKUP(F77,'Objets de gestion'!C:C,'Objets de gestion'!F:F)&amp;"_")
&amp;IF(D77=0,"",LOOKUP(D77,'Objets de gestion'!C:C,'Objets de gestion'!F:F)&amp;"_")
&amp;IF(B77=0,"",LOOKUP(B77,'Objets de gestion'!C:C,'Objets de gestion'!F:F))
))</f>
        <v/>
      </c>
      <c r="K77" s="57" t="str">
        <f t="shared" si="4"/>
        <v/>
      </c>
      <c r="L77" s="57" t="str">
        <f>IF(AND(ISBLANK(A77),ISBLANK(B77)),"",IF(OR(ISBLANK(A77),ISBLANK(B77)),"-",
IF(ISBLANK(B77),"",LOOKUP(B77,'Objets de gestion'!C:C,'Objets de gestion'!E:E))
&amp;IF(ISBLANK(C77),""," "&amp;LOOKUP(C77,Articles!A:A,Articles!B:B))
&amp;IF(ISBLANK(D77),""," "&amp;LOOKUP(D77,'Objets de gestion'!C:C,'Objets de gestion'!E:E))
&amp;IF(ISBLANK(E77),""," "&amp;LOOKUP(E77,Articles!A:A,Articles!B:B))
&amp;IF(ISBLANK(F77),""," "&amp;LOOKUP(F77,'Objets de gestion'!C:C,'Objets de gestion'!E:E))
&amp;IF(ISBLANK(G77),""," "&amp;LOOKUP(G77,Articles!A:A,Articles!B:B))
&amp;IF(ISBLANK(H77),""," "&amp;LOOKUP(H77,'Objets de gestion'!C:C,'Objets de gestion'!E:E))
))</f>
        <v/>
      </c>
      <c r="M77" s="57" t="str">
        <f t="shared" si="5"/>
        <v/>
      </c>
    </row>
    <row r="78" spans="1:13" s="57" customFormat="1" ht="15.75" x14ac:dyDescent="0.25">
      <c r="I78" s="58" t="str">
        <f>IF(AND(ISBLANK(A78),ISBLANK(B78)),"",IF(OR(ISBLANK(A78),ISBLANK(B78)),"-",LEN(Tableau47[[#This Row],[Colonne9]])))</f>
        <v/>
      </c>
      <c r="J78" s="59" t="str">
        <f>IF(AND(ISBLANK(A78),ISBLANK(B78)),"",IF(OR(ISBLANK(A78),ISBLANK(B78)),"à compléter",
IF(H78=0,"",LOOKUP(H78,'Objets de gestion'!C:C,'Objets de gestion'!F:F)&amp;"_")
&amp;IF(F78=0,"",LOOKUP(F78,'Objets de gestion'!C:C,'Objets de gestion'!F:F)&amp;"_")
&amp;IF(D78=0,"",LOOKUP(D78,'Objets de gestion'!C:C,'Objets de gestion'!F:F)&amp;"_")
&amp;IF(B78=0,"",LOOKUP(B78,'Objets de gestion'!C:C,'Objets de gestion'!F:F))
))</f>
        <v/>
      </c>
      <c r="K78" s="57" t="str">
        <f t="shared" si="4"/>
        <v/>
      </c>
      <c r="L78" s="57" t="str">
        <f>IF(AND(ISBLANK(A78),ISBLANK(B78)),"",IF(OR(ISBLANK(A78),ISBLANK(B78)),"-",
IF(ISBLANK(B78),"",LOOKUP(B78,'Objets de gestion'!C:C,'Objets de gestion'!E:E))
&amp;IF(ISBLANK(C78),""," "&amp;LOOKUP(C78,Articles!A:A,Articles!B:B))
&amp;IF(ISBLANK(D78),""," "&amp;LOOKUP(D78,'Objets de gestion'!C:C,'Objets de gestion'!E:E))
&amp;IF(ISBLANK(E78),""," "&amp;LOOKUP(E78,Articles!A:A,Articles!B:B))
&amp;IF(ISBLANK(F78),""," "&amp;LOOKUP(F78,'Objets de gestion'!C:C,'Objets de gestion'!E:E))
&amp;IF(ISBLANK(G78),""," "&amp;LOOKUP(G78,Articles!A:A,Articles!B:B))
&amp;IF(ISBLANK(H78),""," "&amp;LOOKUP(H78,'Objets de gestion'!C:C,'Objets de gestion'!E:E))
))</f>
        <v/>
      </c>
      <c r="M78" s="57" t="str">
        <f t="shared" si="5"/>
        <v/>
      </c>
    </row>
    <row r="79" spans="1:13" s="57" customFormat="1" ht="15.75" x14ac:dyDescent="0.25">
      <c r="I79" s="58" t="str">
        <f>IF(AND(ISBLANK(A79),ISBLANK(B79)),"",IF(OR(ISBLANK(A79),ISBLANK(B79)),"-",LEN(Tableau47[[#This Row],[Colonne9]])))</f>
        <v/>
      </c>
      <c r="J79" s="59" t="str">
        <f>IF(AND(ISBLANK(A79),ISBLANK(B79)),"",IF(OR(ISBLANK(A79),ISBLANK(B79)),"à compléter",
IF(H79=0,"",LOOKUP(H79,'Objets de gestion'!C:C,'Objets de gestion'!F:F)&amp;"_")
&amp;IF(F79=0,"",LOOKUP(F79,'Objets de gestion'!C:C,'Objets de gestion'!F:F)&amp;"_")
&amp;IF(D79=0,"",LOOKUP(D79,'Objets de gestion'!C:C,'Objets de gestion'!F:F)&amp;"_")
&amp;IF(B79=0,"",LOOKUP(B79,'Objets de gestion'!C:C,'Objets de gestion'!F:F))
))</f>
        <v/>
      </c>
      <c r="K79" s="57" t="str">
        <f t="shared" si="4"/>
        <v/>
      </c>
      <c r="L79" s="57" t="str">
        <f>IF(AND(ISBLANK(A79),ISBLANK(B79)),"",IF(OR(ISBLANK(A79),ISBLANK(B79)),"-",
IF(ISBLANK(B79),"",LOOKUP(B79,'Objets de gestion'!C:C,'Objets de gestion'!E:E))
&amp;IF(ISBLANK(C79),""," "&amp;LOOKUP(C79,Articles!A:A,Articles!B:B))
&amp;IF(ISBLANK(D79),""," "&amp;LOOKUP(D79,'Objets de gestion'!C:C,'Objets de gestion'!E:E))
&amp;IF(ISBLANK(E79),""," "&amp;LOOKUP(E79,Articles!A:A,Articles!B:B))
&amp;IF(ISBLANK(F79),""," "&amp;LOOKUP(F79,'Objets de gestion'!C:C,'Objets de gestion'!E:E))
&amp;IF(ISBLANK(G79),""," "&amp;LOOKUP(G79,Articles!A:A,Articles!B:B))
&amp;IF(ISBLANK(H79),""," "&amp;LOOKUP(H79,'Objets de gestion'!C:C,'Objets de gestion'!E:E))
))</f>
        <v/>
      </c>
      <c r="M79" s="57" t="str">
        <f t="shared" si="5"/>
        <v/>
      </c>
    </row>
    <row r="80" spans="1:13" s="57" customFormat="1" ht="15.75" x14ac:dyDescent="0.25">
      <c r="I80" s="58" t="str">
        <f>IF(AND(ISBLANK(A80),ISBLANK(B80)),"",IF(OR(ISBLANK(A80),ISBLANK(B80)),"-",LEN(Tableau47[[#This Row],[Colonne9]])))</f>
        <v/>
      </c>
      <c r="J80" s="59" t="str">
        <f>IF(AND(ISBLANK(A80),ISBLANK(B80)),"",IF(OR(ISBLANK(A80),ISBLANK(B80)),"à compléter",
IF(H80=0,"",LOOKUP(H80,'Objets de gestion'!C:C,'Objets de gestion'!F:F)&amp;"_")
&amp;IF(F80=0,"",LOOKUP(F80,'Objets de gestion'!C:C,'Objets de gestion'!F:F)&amp;"_")
&amp;IF(D80=0,"",LOOKUP(D80,'Objets de gestion'!C:C,'Objets de gestion'!F:F)&amp;"_")
&amp;IF(B80=0,"",LOOKUP(B80,'Objets de gestion'!C:C,'Objets de gestion'!F:F))
))</f>
        <v/>
      </c>
      <c r="K80" s="57" t="str">
        <f t="shared" si="4"/>
        <v/>
      </c>
      <c r="L80" s="57" t="str">
        <f>IF(AND(ISBLANK(A80),ISBLANK(B80)),"",IF(OR(ISBLANK(A80),ISBLANK(B80)),"-",
IF(ISBLANK(B80),"",LOOKUP(B80,'Objets de gestion'!C:C,'Objets de gestion'!E:E))
&amp;IF(ISBLANK(C80),""," "&amp;LOOKUP(C80,Articles!A:A,Articles!B:B))
&amp;IF(ISBLANK(D80),""," "&amp;LOOKUP(D80,'Objets de gestion'!C:C,'Objets de gestion'!E:E))
&amp;IF(ISBLANK(E80),""," "&amp;LOOKUP(E80,Articles!A:A,Articles!B:B))
&amp;IF(ISBLANK(F80),""," "&amp;LOOKUP(F80,'Objets de gestion'!C:C,'Objets de gestion'!E:E))
&amp;IF(ISBLANK(G80),""," "&amp;LOOKUP(G80,Articles!A:A,Articles!B:B))
&amp;IF(ISBLANK(H80),""," "&amp;LOOKUP(H80,'Objets de gestion'!C:C,'Objets de gestion'!E:E))
))</f>
        <v/>
      </c>
      <c r="M80" s="57" t="str">
        <f t="shared" si="5"/>
        <v/>
      </c>
    </row>
    <row r="81" spans="1:13" s="57" customFormat="1" ht="15.75" x14ac:dyDescent="0.25">
      <c r="B81" s="60"/>
      <c r="C81" s="60"/>
      <c r="D81" s="60"/>
      <c r="E81" s="60"/>
      <c r="F81" s="60"/>
      <c r="G81" s="60"/>
      <c r="H81" s="60"/>
      <c r="I81" s="58" t="str">
        <f>IF(AND(ISBLANK(A81),ISBLANK(B81)),"",IF(OR(ISBLANK(A81),ISBLANK(B81)),"-",LEN(Tableau47[[#This Row],[Colonne9]])))</f>
        <v/>
      </c>
      <c r="J81" s="59" t="str">
        <f>IF(AND(ISBLANK(A81),ISBLANK(B81)),"",IF(OR(ISBLANK(A81),ISBLANK(B81)),"à compléter",
IF(H81=0,"",LOOKUP(H81,'Objets de gestion'!C:C,'Objets de gestion'!F:F)&amp;"_")
&amp;IF(F81=0,"",LOOKUP(F81,'Objets de gestion'!C:C,'Objets de gestion'!F:F)&amp;"_")
&amp;IF(D81=0,"",LOOKUP(D81,'Objets de gestion'!C:C,'Objets de gestion'!F:F)&amp;"_")
&amp;IF(B81=0,"",LOOKUP(B81,'Objets de gestion'!C:C,'Objets de gestion'!F:F))
))</f>
        <v/>
      </c>
      <c r="K81" s="57" t="str">
        <f t="shared" si="4"/>
        <v/>
      </c>
      <c r="L81" s="57" t="str">
        <f>IF(AND(ISBLANK(A81),ISBLANK(B81)),"",IF(OR(ISBLANK(A81),ISBLANK(B81)),"-",
IF(ISBLANK(B81),"",LOOKUP(B81,'Objets de gestion'!C:C,'Objets de gestion'!E:E))
&amp;IF(ISBLANK(C81),""," "&amp;LOOKUP(C81,Articles!A:A,Articles!B:B))
&amp;IF(ISBLANK(D81),""," "&amp;LOOKUP(D81,'Objets de gestion'!C:C,'Objets de gestion'!E:E))
&amp;IF(ISBLANK(E81),""," "&amp;LOOKUP(E81,Articles!A:A,Articles!B:B))
&amp;IF(ISBLANK(F81),""," "&amp;LOOKUP(F81,'Objets de gestion'!C:C,'Objets de gestion'!E:E))
&amp;IF(ISBLANK(G81),""," "&amp;LOOKUP(G81,Articles!A:A,Articles!B:B))
&amp;IF(ISBLANK(H81),""," "&amp;LOOKUP(H81,'Objets de gestion'!C:C,'Objets de gestion'!E:E))
))</f>
        <v/>
      </c>
      <c r="M81" s="57" t="str">
        <f t="shared" si="5"/>
        <v/>
      </c>
    </row>
    <row r="82" spans="1:13" s="57" customFormat="1" ht="15.75" x14ac:dyDescent="0.25">
      <c r="I82" s="58" t="str">
        <f>IF(AND(ISBLANK(A82),ISBLANK(B82)),"",IF(OR(ISBLANK(A82),ISBLANK(B82)),"-",LEN(Tableau47[[#This Row],[Colonne9]])))</f>
        <v/>
      </c>
      <c r="J82" s="59" t="str">
        <f>IF(AND(ISBLANK(A82),ISBLANK(B82)),"",IF(OR(ISBLANK(A82),ISBLANK(B82)),"à compléter",
IF(H82=0,"",LOOKUP(H82,'Objets de gestion'!C:C,'Objets de gestion'!F:F)&amp;"_")
&amp;IF(F82=0,"",LOOKUP(F82,'Objets de gestion'!C:C,'Objets de gestion'!F:F)&amp;"_")
&amp;IF(D82=0,"",LOOKUP(D82,'Objets de gestion'!C:C,'Objets de gestion'!F:F)&amp;"_")
&amp;IF(B82=0,"",LOOKUP(B82,'Objets de gestion'!C:C,'Objets de gestion'!F:F))
))</f>
        <v/>
      </c>
      <c r="K82" s="57" t="str">
        <f t="shared" si="4"/>
        <v/>
      </c>
      <c r="L82" s="57" t="str">
        <f>IF(AND(ISBLANK(A82),ISBLANK(B82)),"",IF(OR(ISBLANK(A82),ISBLANK(B82)),"-",
IF(ISBLANK(B82),"",LOOKUP(B82,'Objets de gestion'!C:C,'Objets de gestion'!E:E))
&amp;IF(ISBLANK(C82),""," "&amp;LOOKUP(C82,Articles!A:A,Articles!B:B))
&amp;IF(ISBLANK(D82),""," "&amp;LOOKUP(D82,'Objets de gestion'!C:C,'Objets de gestion'!E:E))
&amp;IF(ISBLANK(E82),""," "&amp;LOOKUP(E82,Articles!A:A,Articles!B:B))
&amp;IF(ISBLANK(F82),""," "&amp;LOOKUP(F82,'Objets de gestion'!C:C,'Objets de gestion'!E:E))
&amp;IF(ISBLANK(G82),""," "&amp;LOOKUP(G82,Articles!A:A,Articles!B:B))
&amp;IF(ISBLANK(H82),""," "&amp;LOOKUP(H82,'Objets de gestion'!C:C,'Objets de gestion'!E:E))
))</f>
        <v/>
      </c>
      <c r="M82" s="57" t="str">
        <f t="shared" si="5"/>
        <v/>
      </c>
    </row>
    <row r="83" spans="1:13" s="57" customFormat="1" ht="15.75" x14ac:dyDescent="0.25">
      <c r="I83" s="58" t="str">
        <f>IF(AND(ISBLANK(A83),ISBLANK(B83)),"",IF(OR(ISBLANK(A83),ISBLANK(B83)),"-",LEN(Tableau47[[#This Row],[Colonne9]])))</f>
        <v/>
      </c>
      <c r="J83" s="59" t="str">
        <f>IF(AND(ISBLANK(A83),ISBLANK(B83)),"",IF(OR(ISBLANK(A83),ISBLANK(B83)),"à compléter",
IF(H83=0,"",LOOKUP(H83,'Objets de gestion'!C:C,'Objets de gestion'!F:F)&amp;"_")
&amp;IF(F83=0,"",LOOKUP(F83,'Objets de gestion'!C:C,'Objets de gestion'!F:F)&amp;"_")
&amp;IF(D83=0,"",LOOKUP(D83,'Objets de gestion'!C:C,'Objets de gestion'!F:F)&amp;"_")
&amp;IF(B83=0,"",LOOKUP(B83,'Objets de gestion'!C:C,'Objets de gestion'!F:F))
))</f>
        <v/>
      </c>
      <c r="K83" s="57" t="str">
        <f t="shared" si="4"/>
        <v/>
      </c>
      <c r="L83" s="57" t="str">
        <f>IF(AND(ISBLANK(A83),ISBLANK(B83)),"",IF(OR(ISBLANK(A83),ISBLANK(B83)),"-",
IF(ISBLANK(B83),"",LOOKUP(B83,'Objets de gestion'!C:C,'Objets de gestion'!E:E))
&amp;IF(ISBLANK(C83),""," "&amp;LOOKUP(C83,Articles!A:A,Articles!B:B))
&amp;IF(ISBLANK(D83),""," "&amp;LOOKUP(D83,'Objets de gestion'!C:C,'Objets de gestion'!E:E))
&amp;IF(ISBLANK(E83),""," "&amp;LOOKUP(E83,Articles!A:A,Articles!B:B))
&amp;IF(ISBLANK(F83),""," "&amp;LOOKUP(F83,'Objets de gestion'!C:C,'Objets de gestion'!E:E))
&amp;IF(ISBLANK(G83),""," "&amp;LOOKUP(G83,Articles!A:A,Articles!B:B))
&amp;IF(ISBLANK(H83),""," "&amp;LOOKUP(H83,'Objets de gestion'!C:C,'Objets de gestion'!E:E))
))</f>
        <v/>
      </c>
      <c r="M83" s="57" t="str">
        <f t="shared" si="5"/>
        <v/>
      </c>
    </row>
    <row r="84" spans="1:13" s="60" customFormat="1" ht="15.75" x14ac:dyDescent="0.25">
      <c r="A84" s="57"/>
      <c r="I84" s="58" t="str">
        <f>IF(AND(ISBLANK(A84),ISBLANK(B84)),"",IF(OR(ISBLANK(A84),ISBLANK(B84)),"-",LEN(Tableau47[[#This Row],[Colonne9]])))</f>
        <v/>
      </c>
      <c r="J84" s="59" t="str">
        <f>IF(AND(ISBLANK(A84),ISBLANK(B84)),"",IF(OR(ISBLANK(A84),ISBLANK(B84)),"à compléter",
IF(H84=0,"",LOOKUP(H84,'Objets de gestion'!C:C,'Objets de gestion'!F:F)&amp;"_")
&amp;IF(F84=0,"",LOOKUP(F84,'Objets de gestion'!C:C,'Objets de gestion'!F:F)&amp;"_")
&amp;IF(D84=0,"",LOOKUP(D84,'Objets de gestion'!C:C,'Objets de gestion'!F:F)&amp;"_")
&amp;IF(B84=0,"",LOOKUP(B84,'Objets de gestion'!C:C,'Objets de gestion'!F:F))
))</f>
        <v/>
      </c>
      <c r="K84" s="57" t="str">
        <f t="shared" si="4"/>
        <v/>
      </c>
      <c r="L84" s="57" t="str">
        <f>IF(AND(ISBLANK(A84),ISBLANK(B84)),"",IF(OR(ISBLANK(A84),ISBLANK(B84)),"-",
IF(ISBLANK(B84),"",LOOKUP(B84,'Objets de gestion'!C:C,'Objets de gestion'!E:E))
&amp;IF(ISBLANK(C84),""," "&amp;LOOKUP(C84,Articles!A:A,Articles!B:B))
&amp;IF(ISBLANK(D84),""," "&amp;LOOKUP(D84,'Objets de gestion'!C:C,'Objets de gestion'!E:E))
&amp;IF(ISBLANK(E84),""," "&amp;LOOKUP(E84,Articles!A:A,Articles!B:B))
&amp;IF(ISBLANK(F84),""," "&amp;LOOKUP(F84,'Objets de gestion'!C:C,'Objets de gestion'!E:E))
&amp;IF(ISBLANK(G84),""," "&amp;LOOKUP(G84,Articles!A:A,Articles!B:B))
&amp;IF(ISBLANK(H84),""," "&amp;LOOKUP(H84,'Objets de gestion'!C:C,'Objets de gestion'!E:E))
))</f>
        <v/>
      </c>
      <c r="M84" s="57" t="str">
        <f t="shared" si="5"/>
        <v/>
      </c>
    </row>
    <row r="85" spans="1:13" s="57" customFormat="1" ht="15.75" x14ac:dyDescent="0.25">
      <c r="I85" s="58" t="str">
        <f>IF(AND(ISBLANK(A85),ISBLANK(B85)),"",IF(OR(ISBLANK(A85),ISBLANK(B85)),"-",LEN(Tableau47[[#This Row],[Colonne9]])))</f>
        <v/>
      </c>
      <c r="J85" s="59" t="str">
        <f>IF(AND(ISBLANK(A85),ISBLANK(B85)),"",IF(OR(ISBLANK(A85),ISBLANK(B85)),"à compléter",
IF(H85=0,"",LOOKUP(H85,'Objets de gestion'!C:C,'Objets de gestion'!F:F)&amp;"_")
&amp;IF(F85=0,"",LOOKUP(F85,'Objets de gestion'!C:C,'Objets de gestion'!F:F)&amp;"_")
&amp;IF(D85=0,"",LOOKUP(D85,'Objets de gestion'!C:C,'Objets de gestion'!F:F)&amp;"_")
&amp;IF(B85=0,"",LOOKUP(B85,'Objets de gestion'!C:C,'Objets de gestion'!F:F))
))</f>
        <v/>
      </c>
      <c r="K85" s="57" t="str">
        <f t="shared" si="4"/>
        <v/>
      </c>
      <c r="L85" s="57" t="str">
        <f>IF(AND(ISBLANK(A85),ISBLANK(B85)),"",IF(OR(ISBLANK(A85),ISBLANK(B85)),"-",
IF(ISBLANK(B85),"",LOOKUP(B85,'Objets de gestion'!C:C,'Objets de gestion'!E:E))
&amp;IF(ISBLANK(C85),""," "&amp;LOOKUP(C85,Articles!A:A,Articles!B:B))
&amp;IF(ISBLANK(D85),""," "&amp;LOOKUP(D85,'Objets de gestion'!C:C,'Objets de gestion'!E:E))
&amp;IF(ISBLANK(E85),""," "&amp;LOOKUP(E85,Articles!A:A,Articles!B:B))
&amp;IF(ISBLANK(F85),""," "&amp;LOOKUP(F85,'Objets de gestion'!C:C,'Objets de gestion'!E:E))
&amp;IF(ISBLANK(G85),""," "&amp;LOOKUP(G85,Articles!A:A,Articles!B:B))
&amp;IF(ISBLANK(H85),""," "&amp;LOOKUP(H85,'Objets de gestion'!C:C,'Objets de gestion'!E:E))
))</f>
        <v/>
      </c>
      <c r="M85" s="57" t="str">
        <f t="shared" si="5"/>
        <v/>
      </c>
    </row>
    <row r="86" spans="1:13" s="57" customFormat="1" ht="15.75" x14ac:dyDescent="0.25">
      <c r="I86" s="58" t="str">
        <f>IF(AND(ISBLANK(A86),ISBLANK(B86)),"",IF(OR(ISBLANK(A86),ISBLANK(B86)),"-",LEN(Tableau47[[#This Row],[Colonne9]])))</f>
        <v/>
      </c>
      <c r="J86" s="59" t="str">
        <f>IF(AND(ISBLANK(A86),ISBLANK(B86)),"",IF(OR(ISBLANK(A86),ISBLANK(B86)),"à compléter",
IF(H86=0,"",LOOKUP(H86,'Objets de gestion'!C:C,'Objets de gestion'!F:F)&amp;"_")
&amp;IF(F86=0,"",LOOKUP(F86,'Objets de gestion'!C:C,'Objets de gestion'!F:F)&amp;"_")
&amp;IF(D86=0,"",LOOKUP(D86,'Objets de gestion'!C:C,'Objets de gestion'!F:F)&amp;"_")
&amp;IF(B86=0,"",LOOKUP(B86,'Objets de gestion'!C:C,'Objets de gestion'!F:F))
))</f>
        <v/>
      </c>
      <c r="K86" s="57" t="str">
        <f t="shared" si="4"/>
        <v/>
      </c>
      <c r="L86" s="57" t="str">
        <f>IF(AND(ISBLANK(A86),ISBLANK(B86)),"",IF(OR(ISBLANK(A86),ISBLANK(B86)),"-",
IF(ISBLANK(B86),"",LOOKUP(B86,'Objets de gestion'!C:C,'Objets de gestion'!E:E))
&amp;IF(ISBLANK(C86),""," "&amp;LOOKUP(C86,Articles!A:A,Articles!B:B))
&amp;IF(ISBLANK(D86),""," "&amp;LOOKUP(D86,'Objets de gestion'!C:C,'Objets de gestion'!E:E))
&amp;IF(ISBLANK(E86),""," "&amp;LOOKUP(E86,Articles!A:A,Articles!B:B))
&amp;IF(ISBLANK(F86),""," "&amp;LOOKUP(F86,'Objets de gestion'!C:C,'Objets de gestion'!E:E))
&amp;IF(ISBLANK(G86),""," "&amp;LOOKUP(G86,Articles!A:A,Articles!B:B))
&amp;IF(ISBLANK(H86),""," "&amp;LOOKUP(H86,'Objets de gestion'!C:C,'Objets de gestion'!E:E))
))</f>
        <v/>
      </c>
      <c r="M86" s="57" t="str">
        <f t="shared" si="5"/>
        <v/>
      </c>
    </row>
    <row r="87" spans="1:13" s="60" customFormat="1" ht="15.75" x14ac:dyDescent="0.25">
      <c r="A87" s="57"/>
      <c r="I87" s="58" t="str">
        <f>IF(AND(ISBLANK(A87),ISBLANK(B87)),"",IF(OR(ISBLANK(A87),ISBLANK(B87)),"-",LEN(Tableau47[[#This Row],[Colonne9]])))</f>
        <v/>
      </c>
      <c r="J87" s="59" t="str">
        <f>IF(AND(ISBLANK(A87),ISBLANK(B87)),"",IF(OR(ISBLANK(A87),ISBLANK(B87)),"à compléter",
IF(H87=0,"",LOOKUP(H87,'Objets de gestion'!C:C,'Objets de gestion'!F:F)&amp;"_")
&amp;IF(F87=0,"",LOOKUP(F87,'Objets de gestion'!C:C,'Objets de gestion'!F:F)&amp;"_")
&amp;IF(D87=0,"",LOOKUP(D87,'Objets de gestion'!C:C,'Objets de gestion'!F:F)&amp;"_")
&amp;IF(B87=0,"",LOOKUP(B87,'Objets de gestion'!C:C,'Objets de gestion'!F:F))
))</f>
        <v/>
      </c>
      <c r="K87" s="57" t="str">
        <f t="shared" si="4"/>
        <v/>
      </c>
      <c r="L87" s="57" t="str">
        <f>IF(AND(ISBLANK(A87),ISBLANK(B87)),"",IF(OR(ISBLANK(A87),ISBLANK(B87)),"-",
IF(ISBLANK(B87),"",LOOKUP(B87,'Objets de gestion'!C:C,'Objets de gestion'!E:E))
&amp;IF(ISBLANK(C87),""," "&amp;LOOKUP(C87,Articles!A:A,Articles!B:B))
&amp;IF(ISBLANK(D87),""," "&amp;LOOKUP(D87,'Objets de gestion'!C:C,'Objets de gestion'!E:E))
&amp;IF(ISBLANK(E87),""," "&amp;LOOKUP(E87,Articles!A:A,Articles!B:B))
&amp;IF(ISBLANK(F87),""," "&amp;LOOKUP(F87,'Objets de gestion'!C:C,'Objets de gestion'!E:E))
&amp;IF(ISBLANK(G87),""," "&amp;LOOKUP(G87,Articles!A:A,Articles!B:B))
&amp;IF(ISBLANK(H87),""," "&amp;LOOKUP(H87,'Objets de gestion'!C:C,'Objets de gestion'!E:E))
))</f>
        <v/>
      </c>
      <c r="M87" s="57" t="str">
        <f t="shared" si="5"/>
        <v/>
      </c>
    </row>
    <row r="88" spans="1:13" s="60" customFormat="1" ht="15.75" x14ac:dyDescent="0.25">
      <c r="A88" s="57"/>
      <c r="I88" s="58" t="str">
        <f>IF(AND(ISBLANK(A88),ISBLANK(B88)),"",IF(OR(ISBLANK(A88),ISBLANK(B88)),"-",LEN(Tableau47[[#This Row],[Colonne9]])))</f>
        <v/>
      </c>
      <c r="J88" s="59" t="str">
        <f>IF(AND(ISBLANK(A88),ISBLANK(B88)),"",IF(OR(ISBLANK(A88),ISBLANK(B88)),"à compléter",
IF(H88=0,"",LOOKUP(H88,'Objets de gestion'!C:C,'Objets de gestion'!F:F)&amp;"_")
&amp;IF(F88=0,"",LOOKUP(F88,'Objets de gestion'!C:C,'Objets de gestion'!F:F)&amp;"_")
&amp;IF(D88=0,"",LOOKUP(D88,'Objets de gestion'!C:C,'Objets de gestion'!F:F)&amp;"_")
&amp;IF(B88=0,"",LOOKUP(B88,'Objets de gestion'!C:C,'Objets de gestion'!F:F))
))</f>
        <v/>
      </c>
      <c r="K88" s="57" t="str">
        <f t="shared" si="4"/>
        <v/>
      </c>
      <c r="L88" s="57" t="str">
        <f>IF(AND(ISBLANK(A88),ISBLANK(B88)),"",IF(OR(ISBLANK(A88),ISBLANK(B88)),"-",
IF(ISBLANK(B88),"",LOOKUP(B88,'Objets de gestion'!C:C,'Objets de gestion'!E:E))
&amp;IF(ISBLANK(C88),""," "&amp;LOOKUP(C88,Articles!A:A,Articles!B:B))
&amp;IF(ISBLANK(D88),""," "&amp;LOOKUP(D88,'Objets de gestion'!C:C,'Objets de gestion'!E:E))
&amp;IF(ISBLANK(E88),""," "&amp;LOOKUP(E88,Articles!A:A,Articles!B:B))
&amp;IF(ISBLANK(F88),""," "&amp;LOOKUP(F88,'Objets de gestion'!C:C,'Objets de gestion'!E:E))
&amp;IF(ISBLANK(G88),""," "&amp;LOOKUP(G88,Articles!A:A,Articles!B:B))
&amp;IF(ISBLANK(H88),""," "&amp;LOOKUP(H88,'Objets de gestion'!C:C,'Objets de gestion'!E:E))
))</f>
        <v/>
      </c>
      <c r="M88" s="57" t="str">
        <f t="shared" si="5"/>
        <v/>
      </c>
    </row>
    <row r="89" spans="1:13" s="57" customFormat="1" ht="15.75" x14ac:dyDescent="0.25">
      <c r="I89" s="58" t="str">
        <f>IF(AND(ISBLANK(A89),ISBLANK(B89)),"",IF(OR(ISBLANK(A89),ISBLANK(B89)),"-",LEN(Tableau47[[#This Row],[Colonne9]])))</f>
        <v/>
      </c>
      <c r="J89" s="59" t="str">
        <f>IF(AND(ISBLANK(A89),ISBLANK(B89)),"",IF(OR(ISBLANK(A89),ISBLANK(B89)),"à compléter",
IF(H89=0,"",LOOKUP(H89,'Objets de gestion'!C:C,'Objets de gestion'!F:F)&amp;"_")
&amp;IF(F89=0,"",LOOKUP(F89,'Objets de gestion'!C:C,'Objets de gestion'!F:F)&amp;"_")
&amp;IF(D89=0,"",LOOKUP(D89,'Objets de gestion'!C:C,'Objets de gestion'!F:F)&amp;"_")
&amp;IF(B89=0,"",LOOKUP(B89,'Objets de gestion'!C:C,'Objets de gestion'!F:F))
))</f>
        <v/>
      </c>
      <c r="K89" s="57" t="str">
        <f t="shared" si="4"/>
        <v/>
      </c>
      <c r="L89" s="57" t="str">
        <f>IF(AND(ISBLANK(A89),ISBLANK(B89)),"",IF(OR(ISBLANK(A89),ISBLANK(B89)),"-",
IF(ISBLANK(B89),"",LOOKUP(B89,'Objets de gestion'!C:C,'Objets de gestion'!E:E))
&amp;IF(ISBLANK(C89),""," "&amp;LOOKUP(C89,Articles!A:A,Articles!B:B))
&amp;IF(ISBLANK(D89),""," "&amp;LOOKUP(D89,'Objets de gestion'!C:C,'Objets de gestion'!E:E))
&amp;IF(ISBLANK(E89),""," "&amp;LOOKUP(E89,Articles!A:A,Articles!B:B))
&amp;IF(ISBLANK(F89),""," "&amp;LOOKUP(F89,'Objets de gestion'!C:C,'Objets de gestion'!E:E))
&amp;IF(ISBLANK(G89),""," "&amp;LOOKUP(G89,Articles!A:A,Articles!B:B))
&amp;IF(ISBLANK(H89),""," "&amp;LOOKUP(H89,'Objets de gestion'!C:C,'Objets de gestion'!E:E))
))</f>
        <v/>
      </c>
      <c r="M89" s="57" t="str">
        <f t="shared" si="5"/>
        <v/>
      </c>
    </row>
    <row r="90" spans="1:13" s="57" customFormat="1" ht="15.75" x14ac:dyDescent="0.25">
      <c r="I90" s="58" t="str">
        <f>IF(AND(ISBLANK(A90),ISBLANK(B90)),"",IF(OR(ISBLANK(A90),ISBLANK(B90)),"-",LEN(Tableau47[[#This Row],[Colonne9]])))</f>
        <v/>
      </c>
      <c r="J90" s="59" t="str">
        <f>IF(AND(ISBLANK(A90),ISBLANK(B90)),"",IF(OR(ISBLANK(A90),ISBLANK(B90)),"à compléter",
IF(H90=0,"",LOOKUP(H90,'Objets de gestion'!C:C,'Objets de gestion'!F:F)&amp;"_")
&amp;IF(F90=0,"",LOOKUP(F90,'Objets de gestion'!C:C,'Objets de gestion'!F:F)&amp;"_")
&amp;IF(D90=0,"",LOOKUP(D90,'Objets de gestion'!C:C,'Objets de gestion'!F:F)&amp;"_")
&amp;IF(B90=0,"",LOOKUP(B90,'Objets de gestion'!C:C,'Objets de gestion'!F:F))
))</f>
        <v/>
      </c>
      <c r="K90" s="57" t="str">
        <f t="shared" si="4"/>
        <v/>
      </c>
      <c r="L90" s="57" t="str">
        <f>IF(AND(ISBLANK(A90),ISBLANK(B90)),"",IF(OR(ISBLANK(A90),ISBLANK(B90)),"-",
IF(ISBLANK(B90),"",LOOKUP(B90,'Objets de gestion'!C:C,'Objets de gestion'!E:E))
&amp;IF(ISBLANK(C90),""," "&amp;LOOKUP(C90,Articles!A:A,Articles!B:B))
&amp;IF(ISBLANK(D90),""," "&amp;LOOKUP(D90,'Objets de gestion'!C:C,'Objets de gestion'!E:E))
&amp;IF(ISBLANK(E90),""," "&amp;LOOKUP(E90,Articles!A:A,Articles!B:B))
&amp;IF(ISBLANK(F90),""," "&amp;LOOKUP(F90,'Objets de gestion'!C:C,'Objets de gestion'!E:E))
&amp;IF(ISBLANK(G90),""," "&amp;LOOKUP(G90,Articles!A:A,Articles!B:B))
&amp;IF(ISBLANK(H90),""," "&amp;LOOKUP(H90,'Objets de gestion'!C:C,'Objets de gestion'!E:E))
))</f>
        <v/>
      </c>
      <c r="M90" s="57" t="str">
        <f t="shared" si="5"/>
        <v/>
      </c>
    </row>
    <row r="91" spans="1:13" s="60" customFormat="1" ht="15.75" x14ac:dyDescent="0.25">
      <c r="I91" s="58" t="str">
        <f>IF(AND(ISBLANK(A91),ISBLANK(B91)),"",IF(OR(ISBLANK(A91),ISBLANK(B91)),"-",LEN(Tableau47[[#This Row],[Colonne9]])))</f>
        <v/>
      </c>
      <c r="J91" s="59" t="str">
        <f>IF(AND(ISBLANK(A91),ISBLANK(B91)),"",IF(OR(ISBLANK(A91),ISBLANK(B91)),"à compléter",
IF(H91=0,"",LOOKUP(H91,'Objets de gestion'!C:C,'Objets de gestion'!F:F)&amp;"_")
&amp;IF(F91=0,"",LOOKUP(F91,'Objets de gestion'!C:C,'Objets de gestion'!F:F)&amp;"_")
&amp;IF(D91=0,"",LOOKUP(D91,'Objets de gestion'!C:C,'Objets de gestion'!F:F)&amp;"_")
&amp;IF(B91=0,"",LOOKUP(B91,'Objets de gestion'!C:C,'Objets de gestion'!F:F))
))</f>
        <v/>
      </c>
      <c r="K91" s="57" t="str">
        <f t="shared" si="4"/>
        <v/>
      </c>
      <c r="L91" s="57" t="str">
        <f>IF(AND(ISBLANK(A91),ISBLANK(B91)),"",IF(OR(ISBLANK(A91),ISBLANK(B91)),"-",
IF(ISBLANK(B91),"",LOOKUP(B91,'Objets de gestion'!C:C,'Objets de gestion'!E:E))
&amp;IF(ISBLANK(C91),""," "&amp;LOOKUP(C91,Articles!A:A,Articles!B:B))
&amp;IF(ISBLANK(D91),""," "&amp;LOOKUP(D91,'Objets de gestion'!C:C,'Objets de gestion'!E:E))
&amp;IF(ISBLANK(E91),""," "&amp;LOOKUP(E91,Articles!A:A,Articles!B:B))
&amp;IF(ISBLANK(F91),""," "&amp;LOOKUP(F91,'Objets de gestion'!C:C,'Objets de gestion'!E:E))
&amp;IF(ISBLANK(G91),""," "&amp;LOOKUP(G91,Articles!A:A,Articles!B:B))
&amp;IF(ISBLANK(H91),""," "&amp;LOOKUP(H91,'Objets de gestion'!C:C,'Objets de gestion'!E:E))
))</f>
        <v/>
      </c>
      <c r="M91" s="57" t="str">
        <f t="shared" si="5"/>
        <v/>
      </c>
    </row>
    <row r="92" spans="1:13" s="60" customFormat="1" ht="15.75" x14ac:dyDescent="0.25">
      <c r="I92" s="58" t="str">
        <f>IF(AND(ISBLANK(A92),ISBLANK(B92)),"",IF(OR(ISBLANK(A92),ISBLANK(B92)),"-",LEN(Tableau47[[#This Row],[Colonne9]])))</f>
        <v/>
      </c>
      <c r="J92" s="59" t="str">
        <f>IF(AND(ISBLANK(A92),ISBLANK(B92)),"",IF(OR(ISBLANK(A92),ISBLANK(B92)),"à compléter",
IF(H92=0,"",LOOKUP(H92,'Objets de gestion'!C:C,'Objets de gestion'!F:F)&amp;"_")
&amp;IF(F92=0,"",LOOKUP(F92,'Objets de gestion'!C:C,'Objets de gestion'!F:F)&amp;"_")
&amp;IF(D92=0,"",LOOKUP(D92,'Objets de gestion'!C:C,'Objets de gestion'!F:F)&amp;"_")
&amp;IF(B92=0,"",LOOKUP(B92,'Objets de gestion'!C:C,'Objets de gestion'!F:F))
))</f>
        <v/>
      </c>
      <c r="K92" s="57" t="str">
        <f t="shared" si="4"/>
        <v/>
      </c>
      <c r="L92" s="57" t="str">
        <f>IF(AND(ISBLANK(A92),ISBLANK(B92)),"",IF(OR(ISBLANK(A92),ISBLANK(B92)),"-",
IF(ISBLANK(B92),"",LOOKUP(B92,'Objets de gestion'!C:C,'Objets de gestion'!E:E))
&amp;IF(ISBLANK(C92),""," "&amp;LOOKUP(C92,Articles!A:A,Articles!B:B))
&amp;IF(ISBLANK(D92),""," "&amp;LOOKUP(D92,'Objets de gestion'!C:C,'Objets de gestion'!E:E))
&amp;IF(ISBLANK(E92),""," "&amp;LOOKUP(E92,Articles!A:A,Articles!B:B))
&amp;IF(ISBLANK(F92),""," "&amp;LOOKUP(F92,'Objets de gestion'!C:C,'Objets de gestion'!E:E))
&amp;IF(ISBLANK(G92),""," "&amp;LOOKUP(G92,Articles!A:A,Articles!B:B))
&amp;IF(ISBLANK(H92),""," "&amp;LOOKUP(H92,'Objets de gestion'!C:C,'Objets de gestion'!E:E))
))</f>
        <v/>
      </c>
      <c r="M92" s="57" t="str">
        <f t="shared" si="5"/>
        <v/>
      </c>
    </row>
    <row r="93" spans="1:13" s="60" customFormat="1" ht="15.75" x14ac:dyDescent="0.25">
      <c r="I93" s="58" t="str">
        <f>IF(AND(ISBLANK(A93),ISBLANK(B93)),"",IF(OR(ISBLANK(A93),ISBLANK(B93)),"-",LEN(Tableau47[[#This Row],[Colonne9]])))</f>
        <v/>
      </c>
      <c r="J93" s="59" t="str">
        <f>IF(AND(ISBLANK(A93),ISBLANK(B93)),"",IF(OR(ISBLANK(A93),ISBLANK(B93)),"à compléter",
IF(H93=0,"",LOOKUP(H93,'Objets de gestion'!C:C,'Objets de gestion'!F:F)&amp;"_")
&amp;IF(F93=0,"",LOOKUP(F93,'Objets de gestion'!C:C,'Objets de gestion'!F:F)&amp;"_")
&amp;IF(D93=0,"",LOOKUP(D93,'Objets de gestion'!C:C,'Objets de gestion'!F:F)&amp;"_")
&amp;IF(B93=0,"",LOOKUP(B93,'Objets de gestion'!C:C,'Objets de gestion'!F:F))
))</f>
        <v/>
      </c>
      <c r="K93" s="57" t="str">
        <f t="shared" si="4"/>
        <v/>
      </c>
      <c r="L93" s="57" t="str">
        <f>IF(AND(ISBLANK(A93),ISBLANK(B93)),"",IF(OR(ISBLANK(A93),ISBLANK(B93)),"-",
IF(ISBLANK(B93),"",LOOKUP(B93,'Objets de gestion'!C:C,'Objets de gestion'!E:E))
&amp;IF(ISBLANK(C93),""," "&amp;LOOKUP(C93,Articles!A:A,Articles!B:B))
&amp;IF(ISBLANK(D93),""," "&amp;LOOKUP(D93,'Objets de gestion'!C:C,'Objets de gestion'!E:E))
&amp;IF(ISBLANK(E93),""," "&amp;LOOKUP(E93,Articles!A:A,Articles!B:B))
&amp;IF(ISBLANK(F93),""," "&amp;LOOKUP(F93,'Objets de gestion'!C:C,'Objets de gestion'!E:E))
&amp;IF(ISBLANK(G93),""," "&amp;LOOKUP(G93,Articles!A:A,Articles!B:B))
&amp;IF(ISBLANK(H93),""," "&amp;LOOKUP(H93,'Objets de gestion'!C:C,'Objets de gestion'!E:E))
))</f>
        <v/>
      </c>
      <c r="M93" s="57" t="str">
        <f t="shared" si="5"/>
        <v/>
      </c>
    </row>
    <row r="94" spans="1:13" s="60" customFormat="1" ht="15.75" x14ac:dyDescent="0.25">
      <c r="I94" s="58" t="str">
        <f>IF(AND(ISBLANK(A94),ISBLANK(B94)),"",IF(OR(ISBLANK(A94),ISBLANK(B94)),"-",LEN(Tableau47[[#This Row],[Colonne9]])))</f>
        <v/>
      </c>
      <c r="J94" s="59" t="str">
        <f>IF(AND(ISBLANK(A94),ISBLANK(B94)),"",IF(OR(ISBLANK(A94),ISBLANK(B94)),"à compléter",
IF(H94=0,"",LOOKUP(H94,'Objets de gestion'!C:C,'Objets de gestion'!F:F)&amp;"_")
&amp;IF(F94=0,"",LOOKUP(F94,'Objets de gestion'!C:C,'Objets de gestion'!F:F)&amp;"_")
&amp;IF(D94=0,"",LOOKUP(D94,'Objets de gestion'!C:C,'Objets de gestion'!F:F)&amp;"_")
&amp;IF(B94=0,"",LOOKUP(B94,'Objets de gestion'!C:C,'Objets de gestion'!F:F))
))</f>
        <v/>
      </c>
      <c r="K94" s="57" t="str">
        <f t="shared" si="4"/>
        <v/>
      </c>
      <c r="L94" s="57" t="str">
        <f>IF(AND(ISBLANK(A94),ISBLANK(B94)),"",IF(OR(ISBLANK(A94),ISBLANK(B94)),"-",
IF(ISBLANK(B94),"",LOOKUP(B94,'Objets de gestion'!C:C,'Objets de gestion'!E:E))
&amp;IF(ISBLANK(C94),""," "&amp;LOOKUP(C94,Articles!A:A,Articles!B:B))
&amp;IF(ISBLANK(D94),""," "&amp;LOOKUP(D94,'Objets de gestion'!C:C,'Objets de gestion'!E:E))
&amp;IF(ISBLANK(E94),""," "&amp;LOOKUP(E94,Articles!A:A,Articles!B:B))
&amp;IF(ISBLANK(F94),""," "&amp;LOOKUP(F94,'Objets de gestion'!C:C,'Objets de gestion'!E:E))
&amp;IF(ISBLANK(G94),""," "&amp;LOOKUP(G94,Articles!A:A,Articles!B:B))
&amp;IF(ISBLANK(H94),""," "&amp;LOOKUP(H94,'Objets de gestion'!C:C,'Objets de gestion'!E:E))
))</f>
        <v/>
      </c>
      <c r="M94" s="57" t="str">
        <f t="shared" si="5"/>
        <v/>
      </c>
    </row>
    <row r="95" spans="1:13" s="60" customFormat="1" ht="15.75" x14ac:dyDescent="0.25">
      <c r="I95" s="58" t="str">
        <f>IF(AND(ISBLANK(A95),ISBLANK(B95)),"",IF(OR(ISBLANK(A95),ISBLANK(B95)),"-",LEN(Tableau47[[#This Row],[Colonne9]])))</f>
        <v/>
      </c>
      <c r="J95" s="59" t="str">
        <f>IF(AND(ISBLANK(A95),ISBLANK(B95)),"",IF(OR(ISBLANK(A95),ISBLANK(B95)),"à compléter",
IF(H95=0,"",LOOKUP(H95,'Objets de gestion'!C:C,'Objets de gestion'!F:F)&amp;"_")
&amp;IF(F95=0,"",LOOKUP(F95,'Objets de gestion'!C:C,'Objets de gestion'!F:F)&amp;"_")
&amp;IF(D95=0,"",LOOKUP(D95,'Objets de gestion'!C:C,'Objets de gestion'!F:F)&amp;"_")
&amp;IF(B95=0,"",LOOKUP(B95,'Objets de gestion'!C:C,'Objets de gestion'!F:F))
))</f>
        <v/>
      </c>
      <c r="K95" s="57" t="str">
        <f t="shared" si="4"/>
        <v/>
      </c>
      <c r="L95" s="57" t="str">
        <f>IF(AND(ISBLANK(A95),ISBLANK(B95)),"",IF(OR(ISBLANK(A95),ISBLANK(B95)),"-",
IF(ISBLANK(B95),"",LOOKUP(B95,'Objets de gestion'!C:C,'Objets de gestion'!E:E))
&amp;IF(ISBLANK(C95),""," "&amp;LOOKUP(C95,Articles!A:A,Articles!B:B))
&amp;IF(ISBLANK(D95),""," "&amp;LOOKUP(D95,'Objets de gestion'!C:C,'Objets de gestion'!E:E))
&amp;IF(ISBLANK(E95),""," "&amp;LOOKUP(E95,Articles!A:A,Articles!B:B))
&amp;IF(ISBLANK(F95),""," "&amp;LOOKUP(F95,'Objets de gestion'!C:C,'Objets de gestion'!E:E))
&amp;IF(ISBLANK(G95),""," "&amp;LOOKUP(G95,Articles!A:A,Articles!B:B))
&amp;IF(ISBLANK(H95),""," "&amp;LOOKUP(H95,'Objets de gestion'!C:C,'Objets de gestion'!E:E))
))</f>
        <v/>
      </c>
      <c r="M95" s="57" t="str">
        <f t="shared" si="5"/>
        <v/>
      </c>
    </row>
    <row r="96" spans="1:13" s="60" customFormat="1" ht="15.75" x14ac:dyDescent="0.25">
      <c r="I96" s="58" t="str">
        <f>IF(AND(ISBLANK(A96),ISBLANK(B96)),"",IF(OR(ISBLANK(A96),ISBLANK(B96)),"-",LEN(Tableau47[[#This Row],[Colonne9]])))</f>
        <v/>
      </c>
      <c r="J96" s="59" t="str">
        <f>IF(AND(ISBLANK(A96),ISBLANK(B96)),"",IF(OR(ISBLANK(A96),ISBLANK(B96)),"à compléter",
IF(H96=0,"",LOOKUP(H96,'Objets de gestion'!C:C,'Objets de gestion'!F:F)&amp;"_")
&amp;IF(F96=0,"",LOOKUP(F96,'Objets de gestion'!C:C,'Objets de gestion'!F:F)&amp;"_")
&amp;IF(D96=0,"",LOOKUP(D96,'Objets de gestion'!C:C,'Objets de gestion'!F:F)&amp;"_")
&amp;IF(B96=0,"",LOOKUP(B96,'Objets de gestion'!C:C,'Objets de gestion'!F:F))
))</f>
        <v/>
      </c>
      <c r="K96" s="57" t="str">
        <f t="shared" si="4"/>
        <v/>
      </c>
      <c r="L96" s="57" t="str">
        <f>IF(AND(ISBLANK(A96),ISBLANK(B96)),"",IF(OR(ISBLANK(A96),ISBLANK(B96)),"-",
IF(ISBLANK(B96),"",LOOKUP(B96,'Objets de gestion'!C:C,'Objets de gestion'!E:E))
&amp;IF(ISBLANK(C96),""," "&amp;LOOKUP(C96,Articles!A:A,Articles!B:B))
&amp;IF(ISBLANK(D96),""," "&amp;LOOKUP(D96,'Objets de gestion'!C:C,'Objets de gestion'!E:E))
&amp;IF(ISBLANK(E96),""," "&amp;LOOKUP(E96,Articles!A:A,Articles!B:B))
&amp;IF(ISBLANK(F96),""," "&amp;LOOKUP(F96,'Objets de gestion'!C:C,'Objets de gestion'!E:E))
&amp;IF(ISBLANK(G96),""," "&amp;LOOKUP(G96,Articles!A:A,Articles!B:B))
&amp;IF(ISBLANK(H96),""," "&amp;LOOKUP(H96,'Objets de gestion'!C:C,'Objets de gestion'!E:E))
))</f>
        <v/>
      </c>
      <c r="M96" s="57" t="str">
        <f t="shared" si="5"/>
        <v/>
      </c>
    </row>
    <row r="97" spans="1:13" s="61" customFormat="1" ht="16.5" customHeight="1" x14ac:dyDescent="0.25">
      <c r="I97" s="58" t="str">
        <f>IF(AND(ISBLANK(A97),ISBLANK(B97)),"",IF(OR(ISBLANK(A97),ISBLANK(B97)),"-",LEN(Tableau47[[#This Row],[Colonne9]])))</f>
        <v/>
      </c>
      <c r="J97" s="59" t="str">
        <f>IF(AND(ISBLANK(A97),ISBLANK(B97)),"",IF(OR(ISBLANK(A97),ISBLANK(B97)),"à compléter",
IF(H97=0,"",LOOKUP(H97,'Objets de gestion'!C:C,'Objets de gestion'!F:F)&amp;"_")
&amp;IF(F97=0,"",LOOKUP(F97,'Objets de gestion'!C:C,'Objets de gestion'!F:F)&amp;"_")
&amp;IF(D97=0,"",LOOKUP(D97,'Objets de gestion'!C:C,'Objets de gestion'!F:F)&amp;"_")
&amp;IF(B97=0,"",LOOKUP(B97,'Objets de gestion'!C:C,'Objets de gestion'!F:F))
))</f>
        <v/>
      </c>
      <c r="K97" s="57" t="str">
        <f t="shared" si="4"/>
        <v/>
      </c>
      <c r="L97" s="57" t="str">
        <f>IF(AND(ISBLANK(A97),ISBLANK(B97)),"",IF(OR(ISBLANK(A97),ISBLANK(B97)),"-",
IF(ISBLANK(B97),"",LOOKUP(B97,'Objets de gestion'!C:C,'Objets de gestion'!E:E))
&amp;IF(ISBLANK(C97),""," "&amp;LOOKUP(C97,Articles!A:A,Articles!B:B))
&amp;IF(ISBLANK(D97),""," "&amp;LOOKUP(D97,'Objets de gestion'!C:C,'Objets de gestion'!E:E))
&amp;IF(ISBLANK(E97),""," "&amp;LOOKUP(E97,Articles!A:A,Articles!B:B))
&amp;IF(ISBLANK(F97),""," "&amp;LOOKUP(F97,'Objets de gestion'!C:C,'Objets de gestion'!E:E))
&amp;IF(ISBLANK(G97),""," "&amp;LOOKUP(G97,Articles!A:A,Articles!B:B))
&amp;IF(ISBLANK(H97),""," "&amp;LOOKUP(H97,'Objets de gestion'!C:C,'Objets de gestion'!E:E))
))</f>
        <v/>
      </c>
      <c r="M97" s="57" t="str">
        <f t="shared" si="5"/>
        <v/>
      </c>
    </row>
    <row r="98" spans="1:13" s="61" customFormat="1" ht="16.5" customHeight="1" x14ac:dyDescent="0.25">
      <c r="I98" s="58" t="str">
        <f>IF(AND(ISBLANK(A98),ISBLANK(B98)),"",IF(OR(ISBLANK(A98),ISBLANK(B98)),"-",LEN(Tableau47[[#This Row],[Colonne9]])))</f>
        <v/>
      </c>
      <c r="J98" s="59" t="str">
        <f>IF(AND(ISBLANK(A98),ISBLANK(B98)),"",IF(OR(ISBLANK(A98),ISBLANK(B98)),"à compléter",
IF(H98=0,"",LOOKUP(H98,'Objets de gestion'!C:C,'Objets de gestion'!F:F)&amp;"_")
&amp;IF(F98=0,"",LOOKUP(F98,'Objets de gestion'!C:C,'Objets de gestion'!F:F)&amp;"_")
&amp;IF(D98=0,"",LOOKUP(D98,'Objets de gestion'!C:C,'Objets de gestion'!F:F)&amp;"_")
&amp;IF(B98=0,"",LOOKUP(B98,'Objets de gestion'!C:C,'Objets de gestion'!F:F))
))</f>
        <v/>
      </c>
      <c r="K98" s="57" t="str">
        <f t="shared" si="4"/>
        <v/>
      </c>
      <c r="L98" s="57" t="str">
        <f>IF(AND(ISBLANK(A98),ISBLANK(B98)),"",IF(OR(ISBLANK(A98),ISBLANK(B98)),"-",
IF(ISBLANK(B98),"",LOOKUP(B98,'Objets de gestion'!C:C,'Objets de gestion'!E:E))
&amp;IF(ISBLANK(C98),""," "&amp;LOOKUP(C98,Articles!A:A,Articles!B:B))
&amp;IF(ISBLANK(D98),""," "&amp;LOOKUP(D98,'Objets de gestion'!C:C,'Objets de gestion'!E:E))
&amp;IF(ISBLANK(E98),""," "&amp;LOOKUP(E98,Articles!A:A,Articles!B:B))
&amp;IF(ISBLANK(F98),""," "&amp;LOOKUP(F98,'Objets de gestion'!C:C,'Objets de gestion'!E:E))
&amp;IF(ISBLANK(G98),""," "&amp;LOOKUP(G98,Articles!A:A,Articles!B:B))
&amp;IF(ISBLANK(H98),""," "&amp;LOOKUP(H98,'Objets de gestion'!C:C,'Objets de gestion'!E:E))
))</f>
        <v/>
      </c>
      <c r="M98" s="57" t="str">
        <f t="shared" si="5"/>
        <v/>
      </c>
    </row>
    <row r="99" spans="1:13" s="61" customFormat="1" ht="16.5" customHeight="1" x14ac:dyDescent="0.25">
      <c r="I99" s="58" t="str">
        <f>IF(AND(ISBLANK(A99),ISBLANK(B99)),"",IF(OR(ISBLANK(A99),ISBLANK(B99)),"-",LEN(Tableau47[[#This Row],[Colonne9]])))</f>
        <v/>
      </c>
      <c r="J99" s="59" t="str">
        <f>IF(AND(ISBLANK(A99),ISBLANK(B99)),"",IF(OR(ISBLANK(A99),ISBLANK(B99)),"à compléter",
IF(H99=0,"",LOOKUP(H99,'Objets de gestion'!C:C,'Objets de gestion'!F:F)&amp;"_")
&amp;IF(F99=0,"",LOOKUP(F99,'Objets de gestion'!C:C,'Objets de gestion'!F:F)&amp;"_")
&amp;IF(D99=0,"",LOOKUP(D99,'Objets de gestion'!C:C,'Objets de gestion'!F:F)&amp;"_")
&amp;IF(B99=0,"",LOOKUP(B99,'Objets de gestion'!C:C,'Objets de gestion'!F:F))
))</f>
        <v/>
      </c>
      <c r="K99" s="57" t="str">
        <f t="shared" si="4"/>
        <v/>
      </c>
      <c r="L99" s="57" t="str">
        <f>IF(AND(ISBLANK(A99),ISBLANK(B99)),"",IF(OR(ISBLANK(A99),ISBLANK(B99)),"-",
IF(ISBLANK(B99),"",LOOKUP(B99,'Objets de gestion'!C:C,'Objets de gestion'!E:E))
&amp;IF(ISBLANK(C99),""," "&amp;LOOKUP(C99,Articles!A:A,Articles!B:B))
&amp;IF(ISBLANK(D99),""," "&amp;LOOKUP(D99,'Objets de gestion'!C:C,'Objets de gestion'!E:E))
&amp;IF(ISBLANK(E99),""," "&amp;LOOKUP(E99,Articles!A:A,Articles!B:B))
&amp;IF(ISBLANK(F99),""," "&amp;LOOKUP(F99,'Objets de gestion'!C:C,'Objets de gestion'!E:E))
&amp;IF(ISBLANK(G99),""," "&amp;LOOKUP(G99,Articles!A:A,Articles!B:B))
&amp;IF(ISBLANK(H99),""," "&amp;LOOKUP(H99,'Objets de gestion'!C:C,'Objets de gestion'!E:E))
))</f>
        <v/>
      </c>
      <c r="M99" s="57" t="str">
        <f t="shared" si="5"/>
        <v/>
      </c>
    </row>
    <row r="100" spans="1:13" s="60" customFormat="1" ht="16.5" customHeight="1" x14ac:dyDescent="0.25">
      <c r="I100" s="58" t="str">
        <f>IF(AND(ISBLANK(A100),ISBLANK(B100)),"",IF(OR(ISBLANK(A100),ISBLANK(B100)),"-",LEN(Tableau47[[#This Row],[Colonne9]])))</f>
        <v/>
      </c>
      <c r="J100" s="59" t="str">
        <f>IF(AND(ISBLANK(A100),ISBLANK(B100)),"",IF(OR(ISBLANK(A100),ISBLANK(B100)),"à compléter",
IF(H100=0,"",LOOKUP(H100,'Objets de gestion'!C:C,'Objets de gestion'!F:F)&amp;"_")
&amp;IF(F100=0,"",LOOKUP(F100,'Objets de gestion'!C:C,'Objets de gestion'!F:F)&amp;"_")
&amp;IF(D100=0,"",LOOKUP(D100,'Objets de gestion'!C:C,'Objets de gestion'!F:F)&amp;"_")
&amp;IF(B100=0,"",LOOKUP(B100,'Objets de gestion'!C:C,'Objets de gestion'!F:F))
))</f>
        <v/>
      </c>
      <c r="K100" s="57" t="str">
        <f t="shared" si="4"/>
        <v/>
      </c>
      <c r="L100" s="57" t="str">
        <f>IF(AND(ISBLANK(A100),ISBLANK(B100)),"",IF(OR(ISBLANK(A100),ISBLANK(B100)),"-",
IF(ISBLANK(B100),"",LOOKUP(B100,'Objets de gestion'!C:C,'Objets de gestion'!E:E))
&amp;IF(ISBLANK(C100),""," "&amp;LOOKUP(C100,Articles!A:A,Articles!B:B))
&amp;IF(ISBLANK(D100),""," "&amp;LOOKUP(D100,'Objets de gestion'!C:C,'Objets de gestion'!E:E))
&amp;IF(ISBLANK(E100),""," "&amp;LOOKUP(E100,Articles!A:A,Articles!B:B))
&amp;IF(ISBLANK(F100),""," "&amp;LOOKUP(F100,'Objets de gestion'!C:C,'Objets de gestion'!E:E))
&amp;IF(ISBLANK(G100),""," "&amp;LOOKUP(G100,Articles!A:A,Articles!B:B))
&amp;IF(ISBLANK(H100),""," "&amp;LOOKUP(H100,'Objets de gestion'!C:C,'Objets de gestion'!E:E))
))</f>
        <v/>
      </c>
      <c r="M100" s="57" t="str">
        <f t="shared" si="5"/>
        <v/>
      </c>
    </row>
    <row r="101" spans="1:13" s="61" customFormat="1" ht="16.5" customHeight="1" x14ac:dyDescent="0.25">
      <c r="I101" s="58" t="str">
        <f>IF(AND(ISBLANK(A101),ISBLANK(B101)),"",IF(OR(ISBLANK(A101),ISBLANK(B101)),"-",LEN(Tableau47[[#This Row],[Colonne9]])))</f>
        <v/>
      </c>
      <c r="J101" s="59" t="str">
        <f>IF(AND(ISBLANK(A101),ISBLANK(B101)),"",IF(OR(ISBLANK(A101),ISBLANK(B101)),"à compléter",
IF(H101=0,"",LOOKUP(H101,'Objets de gestion'!C:C,'Objets de gestion'!F:F)&amp;"_")
&amp;IF(F101=0,"",LOOKUP(F101,'Objets de gestion'!C:C,'Objets de gestion'!F:F)&amp;"_")
&amp;IF(D101=0,"",LOOKUP(D101,'Objets de gestion'!C:C,'Objets de gestion'!F:F)&amp;"_")
&amp;IF(B101=0,"",LOOKUP(B101,'Objets de gestion'!C:C,'Objets de gestion'!F:F))
))</f>
        <v/>
      </c>
      <c r="K101" s="57" t="str">
        <f t="shared" si="4"/>
        <v/>
      </c>
      <c r="L101" s="57" t="str">
        <f>IF(AND(ISBLANK(A101),ISBLANK(B101)),"",IF(OR(ISBLANK(A101),ISBLANK(B101)),"-",
IF(ISBLANK(B101),"",LOOKUP(B101,'Objets de gestion'!C:C,'Objets de gestion'!E:E))
&amp;IF(ISBLANK(C101),""," "&amp;LOOKUP(C101,Articles!A:A,Articles!B:B))
&amp;IF(ISBLANK(D101),""," "&amp;LOOKUP(D101,'Objets de gestion'!C:C,'Objets de gestion'!E:E))
&amp;IF(ISBLANK(E101),""," "&amp;LOOKUP(E101,Articles!A:A,Articles!B:B))
&amp;IF(ISBLANK(F101),""," "&amp;LOOKUP(F101,'Objets de gestion'!C:C,'Objets de gestion'!E:E))
&amp;IF(ISBLANK(G101),""," "&amp;LOOKUP(G101,Articles!A:A,Articles!B:B))
&amp;IF(ISBLANK(H101),""," "&amp;LOOKUP(H101,'Objets de gestion'!C:C,'Objets de gestion'!E:E))
))</f>
        <v/>
      </c>
      <c r="M101" s="57" t="str">
        <f t="shared" si="5"/>
        <v/>
      </c>
    </row>
    <row r="102" spans="1:13" s="61" customFormat="1" ht="16.5" customHeight="1" x14ac:dyDescent="0.25">
      <c r="I102" s="58" t="str">
        <f>IF(AND(ISBLANK(A102),ISBLANK(B102)),"",IF(OR(ISBLANK(A102),ISBLANK(B102)),"-",LEN(Tableau47[[#This Row],[Colonne9]])))</f>
        <v/>
      </c>
      <c r="J102" s="59" t="str">
        <f>IF(AND(ISBLANK(A102),ISBLANK(B102)),"",IF(OR(ISBLANK(A102),ISBLANK(B102)),"à compléter",
IF(H102=0,"",LOOKUP(H102,'Objets de gestion'!C:C,'Objets de gestion'!F:F)&amp;"_")
&amp;IF(F102=0,"",LOOKUP(F102,'Objets de gestion'!C:C,'Objets de gestion'!F:F)&amp;"_")
&amp;IF(D102=0,"",LOOKUP(D102,'Objets de gestion'!C:C,'Objets de gestion'!F:F)&amp;"_")
&amp;IF(B102=0,"",LOOKUP(B102,'Objets de gestion'!C:C,'Objets de gestion'!F:F))
))</f>
        <v/>
      </c>
      <c r="K102" s="57" t="str">
        <f t="shared" si="4"/>
        <v/>
      </c>
      <c r="L102" s="57" t="str">
        <f>IF(AND(ISBLANK(A102),ISBLANK(B102)),"",IF(OR(ISBLANK(A102),ISBLANK(B102)),"-",
IF(ISBLANK(B102),"",LOOKUP(B102,'Objets de gestion'!C:C,'Objets de gestion'!E:E))
&amp;IF(ISBLANK(C102),""," "&amp;LOOKUP(C102,Articles!A:A,Articles!B:B))
&amp;IF(ISBLANK(D102),""," "&amp;LOOKUP(D102,'Objets de gestion'!C:C,'Objets de gestion'!E:E))
&amp;IF(ISBLANK(E102),""," "&amp;LOOKUP(E102,Articles!A:A,Articles!B:B))
&amp;IF(ISBLANK(F102),""," "&amp;LOOKUP(F102,'Objets de gestion'!C:C,'Objets de gestion'!E:E))
&amp;IF(ISBLANK(G102),""," "&amp;LOOKUP(G102,Articles!A:A,Articles!B:B))
&amp;IF(ISBLANK(H102),""," "&amp;LOOKUP(H102,'Objets de gestion'!C:C,'Objets de gestion'!E:E))
))</f>
        <v/>
      </c>
      <c r="M102" s="57" t="str">
        <f t="shared" si="5"/>
        <v/>
      </c>
    </row>
    <row r="103" spans="1:13" s="60" customFormat="1" ht="16.5" customHeight="1" x14ac:dyDescent="0.25">
      <c r="I103" s="58" t="str">
        <f>IF(AND(ISBLANK(A103),ISBLANK(B103)),"",IF(OR(ISBLANK(A103),ISBLANK(B103)),"-",LEN(Tableau47[[#This Row],[Colonne9]])))</f>
        <v/>
      </c>
      <c r="J103" s="59" t="str">
        <f>IF(AND(ISBLANK(A103),ISBLANK(B103)),"",IF(OR(ISBLANK(A103),ISBLANK(B103)),"à compléter",
IF(H103=0,"",LOOKUP(H103,'Objets de gestion'!C:C,'Objets de gestion'!F:F)&amp;"_")
&amp;IF(F103=0,"",LOOKUP(F103,'Objets de gestion'!C:C,'Objets de gestion'!F:F)&amp;"_")
&amp;IF(D103=0,"",LOOKUP(D103,'Objets de gestion'!C:C,'Objets de gestion'!F:F)&amp;"_")
&amp;IF(B103=0,"",LOOKUP(B103,'Objets de gestion'!C:C,'Objets de gestion'!F:F))
))</f>
        <v/>
      </c>
      <c r="K103" s="57" t="str">
        <f t="shared" si="4"/>
        <v/>
      </c>
      <c r="L103" s="57" t="str">
        <f>IF(AND(ISBLANK(A103),ISBLANK(B103)),"",IF(OR(ISBLANK(A103),ISBLANK(B103)),"-",
IF(ISBLANK(B103),"",LOOKUP(B103,'Objets de gestion'!C:C,'Objets de gestion'!E:E))
&amp;IF(ISBLANK(C103),""," "&amp;LOOKUP(C103,Articles!A:A,Articles!B:B))
&amp;IF(ISBLANK(D103),""," "&amp;LOOKUP(D103,'Objets de gestion'!C:C,'Objets de gestion'!E:E))
&amp;IF(ISBLANK(E103),""," "&amp;LOOKUP(E103,Articles!A:A,Articles!B:B))
&amp;IF(ISBLANK(F103),""," "&amp;LOOKUP(F103,'Objets de gestion'!C:C,'Objets de gestion'!E:E))
&amp;IF(ISBLANK(G103),""," "&amp;LOOKUP(G103,Articles!A:A,Articles!B:B))
&amp;IF(ISBLANK(H103),""," "&amp;LOOKUP(H103,'Objets de gestion'!C:C,'Objets de gestion'!E:E))
))</f>
        <v/>
      </c>
      <c r="M103" s="57" t="str">
        <f t="shared" si="5"/>
        <v/>
      </c>
    </row>
    <row r="104" spans="1:13" s="61" customFormat="1" ht="16.5" customHeight="1" x14ac:dyDescent="0.25">
      <c r="I104" s="58" t="str">
        <f>IF(AND(ISBLANK(A104),ISBLANK(B104)),"",IF(OR(ISBLANK(A104),ISBLANK(B104)),"-",LEN(Tableau47[[#This Row],[Colonne9]])))</f>
        <v/>
      </c>
      <c r="J104" s="59" t="str">
        <f>IF(AND(ISBLANK(A104),ISBLANK(B104)),"",IF(OR(ISBLANK(A104),ISBLANK(B104)),"à compléter",
IF(H104=0,"",LOOKUP(H104,'Objets de gestion'!C:C,'Objets de gestion'!F:F)&amp;"_")
&amp;IF(F104=0,"",LOOKUP(F104,'Objets de gestion'!C:C,'Objets de gestion'!F:F)&amp;"_")
&amp;IF(D104=0,"",LOOKUP(D104,'Objets de gestion'!C:C,'Objets de gestion'!F:F)&amp;"_")
&amp;IF(B104=0,"",LOOKUP(B104,'Objets de gestion'!C:C,'Objets de gestion'!F:F))
))</f>
        <v/>
      </c>
      <c r="K104" s="57" t="str">
        <f t="shared" si="4"/>
        <v/>
      </c>
      <c r="L104" s="57" t="str">
        <f>IF(AND(ISBLANK(A104),ISBLANK(B104)),"",IF(OR(ISBLANK(A104),ISBLANK(B104)),"-",
IF(ISBLANK(B104),"",LOOKUP(B104,'Objets de gestion'!C:C,'Objets de gestion'!E:E))
&amp;IF(ISBLANK(C104),""," "&amp;LOOKUP(C104,Articles!A:A,Articles!B:B))
&amp;IF(ISBLANK(D104),""," "&amp;LOOKUP(D104,'Objets de gestion'!C:C,'Objets de gestion'!E:E))
&amp;IF(ISBLANK(E104),""," "&amp;LOOKUP(E104,Articles!A:A,Articles!B:B))
&amp;IF(ISBLANK(F104),""," "&amp;LOOKUP(F104,'Objets de gestion'!C:C,'Objets de gestion'!E:E))
&amp;IF(ISBLANK(G104),""," "&amp;LOOKUP(G104,Articles!A:A,Articles!B:B))
&amp;IF(ISBLANK(H104),""," "&amp;LOOKUP(H104,'Objets de gestion'!C:C,'Objets de gestion'!E:E))
))</f>
        <v/>
      </c>
      <c r="M104" s="57" t="str">
        <f t="shared" si="5"/>
        <v/>
      </c>
    </row>
    <row r="105" spans="1:13" s="61" customFormat="1" ht="16.5" customHeight="1" x14ac:dyDescent="0.25">
      <c r="I105" s="58" t="str">
        <f>IF(AND(ISBLANK(A105),ISBLANK(B105)),"",IF(OR(ISBLANK(A105),ISBLANK(B105)),"-",LEN(Tableau47[[#This Row],[Colonne9]])))</f>
        <v/>
      </c>
      <c r="J105" s="59" t="str">
        <f>IF(AND(ISBLANK(A105),ISBLANK(B105)),"",IF(OR(ISBLANK(A105),ISBLANK(B105)),"à compléter",
IF(H105=0,"",LOOKUP(H105,'Objets de gestion'!C:C,'Objets de gestion'!F:F)&amp;"_")
&amp;IF(F105=0,"",LOOKUP(F105,'Objets de gestion'!C:C,'Objets de gestion'!F:F)&amp;"_")
&amp;IF(D105=0,"",LOOKUP(D105,'Objets de gestion'!C:C,'Objets de gestion'!F:F)&amp;"_")
&amp;IF(B105=0,"",LOOKUP(B105,'Objets de gestion'!C:C,'Objets de gestion'!F:F))
))</f>
        <v/>
      </c>
      <c r="K105" s="57" t="str">
        <f t="shared" si="4"/>
        <v/>
      </c>
      <c r="L105" s="57" t="str">
        <f>IF(AND(ISBLANK(A105),ISBLANK(B105)),"",IF(OR(ISBLANK(A105),ISBLANK(B105)),"-",
IF(ISBLANK(B105),"",LOOKUP(B105,'Objets de gestion'!C:C,'Objets de gestion'!E:E))
&amp;IF(ISBLANK(C105),""," "&amp;LOOKUP(C105,Articles!A:A,Articles!B:B))
&amp;IF(ISBLANK(D105),""," "&amp;LOOKUP(D105,'Objets de gestion'!C:C,'Objets de gestion'!E:E))
&amp;IF(ISBLANK(E105),""," "&amp;LOOKUP(E105,Articles!A:A,Articles!B:B))
&amp;IF(ISBLANK(F105),""," "&amp;LOOKUP(F105,'Objets de gestion'!C:C,'Objets de gestion'!E:E))
&amp;IF(ISBLANK(G105),""," "&amp;LOOKUP(G105,Articles!A:A,Articles!B:B))
&amp;IF(ISBLANK(H105),""," "&amp;LOOKUP(H105,'Objets de gestion'!C:C,'Objets de gestion'!E:E))
))</f>
        <v/>
      </c>
      <c r="M105" s="57" t="str">
        <f t="shared" si="5"/>
        <v/>
      </c>
    </row>
    <row r="106" spans="1:13" s="61" customFormat="1" ht="15.75" x14ac:dyDescent="0.25">
      <c r="A106" s="62"/>
      <c r="B106" s="57"/>
      <c r="C106" s="57"/>
      <c r="D106" s="57"/>
      <c r="I106" s="58" t="str">
        <f>IF(AND(ISBLANK(A106),ISBLANK(B106)),"",IF(OR(ISBLANK(A106),ISBLANK(B106)),"-",LEN(Tableau47[[#This Row],[Colonne9]])))</f>
        <v/>
      </c>
      <c r="J106" s="59" t="str">
        <f>IF(AND(ISBLANK(A106),ISBLANK(B106)),"",IF(OR(ISBLANK(A106),ISBLANK(B106)),"à compléter",
IF(H106=0,"",LOOKUP(H106,'Objets de gestion'!C:C,'Objets de gestion'!F:F)&amp;"_")
&amp;IF(F106=0,"",LOOKUP(F106,'Objets de gestion'!C:C,'Objets de gestion'!F:F)&amp;"_")
&amp;IF(D106=0,"",LOOKUP(D106,'Objets de gestion'!C:C,'Objets de gestion'!F:F)&amp;"_")
&amp;IF(B106=0,"",LOOKUP(B106,'Objets de gestion'!C:C,'Objets de gestion'!F:F))
))</f>
        <v/>
      </c>
      <c r="K106" s="57" t="str">
        <f t="shared" si="4"/>
        <v/>
      </c>
      <c r="L106" s="57" t="str">
        <f>IF(AND(ISBLANK(A106),ISBLANK(B106)),"",IF(OR(ISBLANK(A106),ISBLANK(B106)),"-",
IF(ISBLANK(B106),"",LOOKUP(B106,'Objets de gestion'!C:C,'Objets de gestion'!E:E))
&amp;IF(ISBLANK(C106),""," "&amp;LOOKUP(C106,Articles!A:A,Articles!B:B))
&amp;IF(ISBLANK(D106),""," "&amp;LOOKUP(D106,'Objets de gestion'!C:C,'Objets de gestion'!E:E))
&amp;IF(ISBLANK(E106),""," "&amp;LOOKUP(E106,Articles!A:A,Articles!B:B))
&amp;IF(ISBLANK(F106),""," "&amp;LOOKUP(F106,'Objets de gestion'!C:C,'Objets de gestion'!E:E))
&amp;IF(ISBLANK(G106),""," "&amp;LOOKUP(G106,Articles!A:A,Articles!B:B))
&amp;IF(ISBLANK(H106),""," "&amp;LOOKUP(H106,'Objets de gestion'!C:C,'Objets de gestion'!E:E))
))</f>
        <v/>
      </c>
      <c r="M106" s="57" t="str">
        <f t="shared" si="5"/>
        <v/>
      </c>
    </row>
    <row r="107" spans="1:13" s="61" customFormat="1" ht="15.75" x14ac:dyDescent="0.25">
      <c r="A107" s="62"/>
      <c r="B107" s="57"/>
      <c r="C107" s="57"/>
      <c r="D107" s="57"/>
      <c r="I107" s="58" t="str">
        <f>IF(AND(ISBLANK(A107),ISBLANK(B107)),"",IF(OR(ISBLANK(A107),ISBLANK(B107)),"-",LEN(Tableau47[[#This Row],[Colonne9]])))</f>
        <v/>
      </c>
      <c r="J107" s="59" t="str">
        <f>IF(AND(ISBLANK(A107),ISBLANK(B107)),"",IF(OR(ISBLANK(A107),ISBLANK(B107)),"à compléter",
IF(H107=0,"",LOOKUP(H107,'Objets de gestion'!C:C,'Objets de gestion'!F:F)&amp;"_")
&amp;IF(F107=0,"",LOOKUP(F107,'Objets de gestion'!C:C,'Objets de gestion'!F:F)&amp;"_")
&amp;IF(D107=0,"",LOOKUP(D107,'Objets de gestion'!C:C,'Objets de gestion'!F:F)&amp;"_")
&amp;IF(B107=0,"",LOOKUP(B107,'Objets de gestion'!C:C,'Objets de gestion'!F:F))
))</f>
        <v/>
      </c>
      <c r="K107" s="57" t="str">
        <f t="shared" si="4"/>
        <v/>
      </c>
      <c r="L107" s="57" t="str">
        <f>IF(AND(ISBLANK(A107),ISBLANK(B107)),"",IF(OR(ISBLANK(A107),ISBLANK(B107)),"-",
IF(ISBLANK(B107),"",LOOKUP(B107,'Objets de gestion'!C:C,'Objets de gestion'!E:E))
&amp;IF(ISBLANK(C107),""," "&amp;LOOKUP(C107,Articles!A:A,Articles!B:B))
&amp;IF(ISBLANK(D107),""," "&amp;LOOKUP(D107,'Objets de gestion'!C:C,'Objets de gestion'!E:E))
&amp;IF(ISBLANK(E107),""," "&amp;LOOKUP(E107,Articles!A:A,Articles!B:B))
&amp;IF(ISBLANK(F107),""," "&amp;LOOKUP(F107,'Objets de gestion'!C:C,'Objets de gestion'!E:E))
&amp;IF(ISBLANK(G107),""," "&amp;LOOKUP(G107,Articles!A:A,Articles!B:B))
&amp;IF(ISBLANK(H107),""," "&amp;LOOKUP(H107,'Objets de gestion'!C:C,'Objets de gestion'!E:E))
))</f>
        <v/>
      </c>
      <c r="M107" s="57" t="str">
        <f t="shared" si="5"/>
        <v/>
      </c>
    </row>
    <row r="108" spans="1:13" s="61" customFormat="1" ht="15.75" x14ac:dyDescent="0.25">
      <c r="A108" s="62"/>
      <c r="B108" s="57"/>
      <c r="C108" s="57"/>
      <c r="D108" s="57"/>
      <c r="I108" s="58" t="str">
        <f>IF(AND(ISBLANK(A108),ISBLANK(B108)),"",IF(OR(ISBLANK(A108),ISBLANK(B108)),"-",LEN(Tableau47[[#This Row],[Colonne9]])))</f>
        <v/>
      </c>
      <c r="J108" s="59" t="str">
        <f>IF(AND(ISBLANK(A108),ISBLANK(B108)),"",IF(OR(ISBLANK(A108),ISBLANK(B108)),"à compléter",
IF(H108=0,"",LOOKUP(H108,'Objets de gestion'!C:C,'Objets de gestion'!F:F)&amp;"_")
&amp;IF(F108=0,"",LOOKUP(F108,'Objets de gestion'!C:C,'Objets de gestion'!F:F)&amp;"_")
&amp;IF(D108=0,"",LOOKUP(D108,'Objets de gestion'!C:C,'Objets de gestion'!F:F)&amp;"_")
&amp;IF(B108=0,"",LOOKUP(B108,'Objets de gestion'!C:C,'Objets de gestion'!F:F))
))</f>
        <v/>
      </c>
      <c r="K108" s="57" t="str">
        <f t="shared" si="4"/>
        <v/>
      </c>
      <c r="L108" s="57" t="str">
        <f>IF(AND(ISBLANK(A108),ISBLANK(B108)),"",IF(OR(ISBLANK(A108),ISBLANK(B108)),"-",
IF(ISBLANK(B108),"",LOOKUP(B108,'Objets de gestion'!C:C,'Objets de gestion'!E:E))
&amp;IF(ISBLANK(C108),""," "&amp;LOOKUP(C108,Articles!A:A,Articles!B:B))
&amp;IF(ISBLANK(D108),""," "&amp;LOOKUP(D108,'Objets de gestion'!C:C,'Objets de gestion'!E:E))
&amp;IF(ISBLANK(E108),""," "&amp;LOOKUP(E108,Articles!A:A,Articles!B:B))
&amp;IF(ISBLANK(F108),""," "&amp;LOOKUP(F108,'Objets de gestion'!C:C,'Objets de gestion'!E:E))
&amp;IF(ISBLANK(G108),""," "&amp;LOOKUP(G108,Articles!A:A,Articles!B:B))
&amp;IF(ISBLANK(H108),""," "&amp;LOOKUP(H108,'Objets de gestion'!C:C,'Objets de gestion'!E:E))
))</f>
        <v/>
      </c>
      <c r="M108" s="57" t="str">
        <f t="shared" si="5"/>
        <v/>
      </c>
    </row>
    <row r="109" spans="1:13" s="61" customFormat="1" ht="15.75" x14ac:dyDescent="0.25">
      <c r="A109" s="62"/>
      <c r="I109" s="58" t="str">
        <f>IF(AND(ISBLANK(A109),ISBLANK(B109)),"",IF(OR(ISBLANK(A109),ISBLANK(B109)),"-",LEN(Tableau47[[#This Row],[Colonne9]])))</f>
        <v/>
      </c>
      <c r="J109" s="59" t="str">
        <f>IF(AND(ISBLANK(A109),ISBLANK(B109)),"",IF(OR(ISBLANK(A109),ISBLANK(B109)),"à compléter",
IF(H109=0,"",LOOKUP(H109,'Objets de gestion'!C:C,'Objets de gestion'!F:F)&amp;"_")
&amp;IF(F109=0,"",LOOKUP(F109,'Objets de gestion'!C:C,'Objets de gestion'!F:F)&amp;"_")
&amp;IF(D109=0,"",LOOKUP(D109,'Objets de gestion'!C:C,'Objets de gestion'!F:F)&amp;"_")
&amp;IF(B109=0,"",LOOKUP(B109,'Objets de gestion'!C:C,'Objets de gestion'!F:F))
))</f>
        <v/>
      </c>
      <c r="K109" s="57" t="str">
        <f t="shared" si="4"/>
        <v/>
      </c>
      <c r="L109" s="57" t="str">
        <f>IF(AND(ISBLANK(A109),ISBLANK(B109)),"",IF(OR(ISBLANK(A109),ISBLANK(B109)),"-",
IF(ISBLANK(B109),"",LOOKUP(B109,'Objets de gestion'!C:C,'Objets de gestion'!E:E))
&amp;IF(ISBLANK(C109),""," "&amp;LOOKUP(C109,Articles!A:A,Articles!B:B))
&amp;IF(ISBLANK(D109),""," "&amp;LOOKUP(D109,'Objets de gestion'!C:C,'Objets de gestion'!E:E))
&amp;IF(ISBLANK(E109),""," "&amp;LOOKUP(E109,Articles!A:A,Articles!B:B))
&amp;IF(ISBLANK(F109),""," "&amp;LOOKUP(F109,'Objets de gestion'!C:C,'Objets de gestion'!E:E))
&amp;IF(ISBLANK(G109),""," "&amp;LOOKUP(G109,Articles!A:A,Articles!B:B))
&amp;IF(ISBLANK(H109),""," "&amp;LOOKUP(H109,'Objets de gestion'!C:C,'Objets de gestion'!E:E))
))</f>
        <v/>
      </c>
      <c r="M109" s="57" t="str">
        <f t="shared" si="5"/>
        <v/>
      </c>
    </row>
    <row r="110" spans="1:13" s="60" customFormat="1" ht="15.75" x14ac:dyDescent="0.25">
      <c r="A110" s="63"/>
      <c r="I110" s="58" t="str">
        <f>IF(AND(ISBLANK(A110),ISBLANK(B110)),"",IF(OR(ISBLANK(A110),ISBLANK(B110)),"-",LEN(Tableau47[[#This Row],[Colonne9]])))</f>
        <v/>
      </c>
      <c r="J110" s="59" t="str">
        <f>IF(AND(ISBLANK(A110),ISBLANK(B110)),"",IF(OR(ISBLANK(A110),ISBLANK(B110)),"à compléter",
IF(H110=0,"",LOOKUP(H110,'Objets de gestion'!C:C,'Objets de gestion'!F:F)&amp;"_")
&amp;IF(F110=0,"",LOOKUP(F110,'Objets de gestion'!C:C,'Objets de gestion'!F:F)&amp;"_")
&amp;IF(D110=0,"",LOOKUP(D110,'Objets de gestion'!C:C,'Objets de gestion'!F:F)&amp;"_")
&amp;IF(B110=0,"",LOOKUP(B110,'Objets de gestion'!C:C,'Objets de gestion'!F:F))
))</f>
        <v/>
      </c>
      <c r="K110" s="57" t="str">
        <f t="shared" si="4"/>
        <v/>
      </c>
      <c r="L110" s="57" t="str">
        <f>IF(AND(ISBLANK(A110),ISBLANK(B110)),"",IF(OR(ISBLANK(A110),ISBLANK(B110)),"-",
IF(ISBLANK(B110),"",LOOKUP(B110,'Objets de gestion'!C:C,'Objets de gestion'!E:E))
&amp;IF(ISBLANK(C110),""," "&amp;LOOKUP(C110,Articles!A:A,Articles!B:B))
&amp;IF(ISBLANK(D110),""," "&amp;LOOKUP(D110,'Objets de gestion'!C:C,'Objets de gestion'!E:E))
&amp;IF(ISBLANK(E110),""," "&amp;LOOKUP(E110,Articles!A:A,Articles!B:B))
&amp;IF(ISBLANK(F110),""," "&amp;LOOKUP(F110,'Objets de gestion'!C:C,'Objets de gestion'!E:E))
&amp;IF(ISBLANK(G110),""," "&amp;LOOKUP(G110,Articles!A:A,Articles!B:B))
&amp;IF(ISBLANK(H110),""," "&amp;LOOKUP(H110,'Objets de gestion'!C:C,'Objets de gestion'!E:E))
))</f>
        <v/>
      </c>
      <c r="M110" s="57" t="str">
        <f t="shared" si="5"/>
        <v/>
      </c>
    </row>
    <row r="111" spans="1:13" s="57" customFormat="1" ht="15.75" x14ac:dyDescent="0.25">
      <c r="A111" s="62"/>
      <c r="B111" s="61"/>
      <c r="C111" s="61"/>
      <c r="D111" s="61"/>
      <c r="E111" s="61"/>
      <c r="F111" s="61"/>
      <c r="I111" s="58" t="str">
        <f>IF(AND(ISBLANK(A111),ISBLANK(B111)),"",IF(OR(ISBLANK(A111),ISBLANK(B111)),"-",LEN(Tableau47[[#This Row],[Colonne9]])))</f>
        <v/>
      </c>
      <c r="J111" s="59" t="str">
        <f>IF(AND(ISBLANK(A111),ISBLANK(B111)),"",IF(OR(ISBLANK(A111),ISBLANK(B111)),"à compléter",
IF(H111=0,"",LOOKUP(H111,'Objets de gestion'!C:C,'Objets de gestion'!F:F)&amp;"_")
&amp;IF(F111=0,"",LOOKUP(F111,'Objets de gestion'!C:C,'Objets de gestion'!F:F)&amp;"_")
&amp;IF(D111=0,"",LOOKUP(D111,'Objets de gestion'!C:C,'Objets de gestion'!F:F)&amp;"_")
&amp;IF(B111=0,"",LOOKUP(B111,'Objets de gestion'!C:C,'Objets de gestion'!F:F))
))</f>
        <v/>
      </c>
      <c r="K111" s="57" t="str">
        <f t="shared" si="4"/>
        <v/>
      </c>
      <c r="L111" s="57" t="str">
        <f>IF(AND(ISBLANK(A111),ISBLANK(B111)),"",IF(OR(ISBLANK(A111),ISBLANK(B111)),"-",
IF(ISBLANK(B111),"",LOOKUP(B111,'Objets de gestion'!C:C,'Objets de gestion'!E:E))
&amp;IF(ISBLANK(C111),""," "&amp;LOOKUP(C111,Articles!A:A,Articles!B:B))
&amp;IF(ISBLANK(D111),""," "&amp;LOOKUP(D111,'Objets de gestion'!C:C,'Objets de gestion'!E:E))
&amp;IF(ISBLANK(E111),""," "&amp;LOOKUP(E111,Articles!A:A,Articles!B:B))
&amp;IF(ISBLANK(F111),""," "&amp;LOOKUP(F111,'Objets de gestion'!C:C,'Objets de gestion'!E:E))
&amp;IF(ISBLANK(G111),""," "&amp;LOOKUP(G111,Articles!A:A,Articles!B:B))
&amp;IF(ISBLANK(H111),""," "&amp;LOOKUP(H111,'Objets de gestion'!C:C,'Objets de gestion'!E:E))
))</f>
        <v/>
      </c>
      <c r="M111" s="57" t="str">
        <f t="shared" si="5"/>
        <v/>
      </c>
    </row>
    <row r="112" spans="1:13" s="57" customFormat="1" ht="15.75" x14ac:dyDescent="0.25">
      <c r="A112" s="62"/>
      <c r="B112" s="61"/>
      <c r="C112" s="61"/>
      <c r="D112" s="61"/>
      <c r="E112" s="61"/>
      <c r="F112" s="61"/>
      <c r="I112" s="58" t="str">
        <f>IF(AND(ISBLANK(A112),ISBLANK(B112)),"",IF(OR(ISBLANK(A112),ISBLANK(B112)),"-",LEN(Tableau47[[#This Row],[Colonne9]])))</f>
        <v/>
      </c>
      <c r="J112" s="59" t="str">
        <f>IF(AND(ISBLANK(A112),ISBLANK(B112)),"",IF(OR(ISBLANK(A112),ISBLANK(B112)),"à compléter",
IF(H112=0,"",LOOKUP(H112,'Objets de gestion'!C:C,'Objets de gestion'!F:F)&amp;"_")
&amp;IF(F112=0,"",LOOKUP(F112,'Objets de gestion'!C:C,'Objets de gestion'!F:F)&amp;"_")
&amp;IF(D112=0,"",LOOKUP(D112,'Objets de gestion'!C:C,'Objets de gestion'!F:F)&amp;"_")
&amp;IF(B112=0,"",LOOKUP(B112,'Objets de gestion'!C:C,'Objets de gestion'!F:F))
))</f>
        <v/>
      </c>
      <c r="K112" s="57" t="str">
        <f t="shared" si="4"/>
        <v/>
      </c>
      <c r="L112" s="57" t="str">
        <f>IF(AND(ISBLANK(A112),ISBLANK(B112)),"",IF(OR(ISBLANK(A112),ISBLANK(B112)),"-",
IF(ISBLANK(B112),"",LOOKUP(B112,'Objets de gestion'!C:C,'Objets de gestion'!E:E))
&amp;IF(ISBLANK(C112),""," "&amp;LOOKUP(C112,Articles!A:A,Articles!B:B))
&amp;IF(ISBLANK(D112),""," "&amp;LOOKUP(D112,'Objets de gestion'!C:C,'Objets de gestion'!E:E))
&amp;IF(ISBLANK(E112),""," "&amp;LOOKUP(E112,Articles!A:A,Articles!B:B))
&amp;IF(ISBLANK(F112),""," "&amp;LOOKUP(F112,'Objets de gestion'!C:C,'Objets de gestion'!E:E))
&amp;IF(ISBLANK(G112),""," "&amp;LOOKUP(G112,Articles!A:A,Articles!B:B))
&amp;IF(ISBLANK(H112),""," "&amp;LOOKUP(H112,'Objets de gestion'!C:C,'Objets de gestion'!E:E))
))</f>
        <v/>
      </c>
      <c r="M112" s="57" t="str">
        <f t="shared" si="5"/>
        <v/>
      </c>
    </row>
    <row r="113" spans="1:13" s="60" customFormat="1" ht="15.75" x14ac:dyDescent="0.25">
      <c r="A113" s="63"/>
      <c r="I113" s="58" t="str">
        <f>IF(AND(ISBLANK(A113),ISBLANK(B113)),"",IF(OR(ISBLANK(A113),ISBLANK(B113)),"-",LEN(Tableau47[[#This Row],[Colonne9]])))</f>
        <v/>
      </c>
      <c r="J113" s="59" t="str">
        <f>IF(AND(ISBLANK(A113),ISBLANK(B113)),"",IF(OR(ISBLANK(A113),ISBLANK(B113)),"à compléter",
IF(H113=0,"",LOOKUP(H113,'Objets de gestion'!C:C,'Objets de gestion'!F:F)&amp;"_")
&amp;IF(F113=0,"",LOOKUP(F113,'Objets de gestion'!C:C,'Objets de gestion'!F:F)&amp;"_")
&amp;IF(D113=0,"",LOOKUP(D113,'Objets de gestion'!C:C,'Objets de gestion'!F:F)&amp;"_")
&amp;IF(B113=0,"",LOOKUP(B113,'Objets de gestion'!C:C,'Objets de gestion'!F:F))
))</f>
        <v/>
      </c>
      <c r="K113" s="57" t="str">
        <f t="shared" si="4"/>
        <v/>
      </c>
      <c r="L113" s="57" t="str">
        <f>IF(AND(ISBLANK(A113),ISBLANK(B113)),"",IF(OR(ISBLANK(A113),ISBLANK(B113)),"-",
IF(ISBLANK(B113),"",LOOKUP(B113,'Objets de gestion'!C:C,'Objets de gestion'!E:E))
&amp;IF(ISBLANK(C113),""," "&amp;LOOKUP(C113,Articles!A:A,Articles!B:B))
&amp;IF(ISBLANK(D113),""," "&amp;LOOKUP(D113,'Objets de gestion'!C:C,'Objets de gestion'!E:E))
&amp;IF(ISBLANK(E113),""," "&amp;LOOKUP(E113,Articles!A:A,Articles!B:B))
&amp;IF(ISBLANK(F113),""," "&amp;LOOKUP(F113,'Objets de gestion'!C:C,'Objets de gestion'!E:E))
&amp;IF(ISBLANK(G113),""," "&amp;LOOKUP(G113,Articles!A:A,Articles!B:B))
&amp;IF(ISBLANK(H113),""," "&amp;LOOKUP(H113,'Objets de gestion'!C:C,'Objets de gestion'!E:E))
))</f>
        <v/>
      </c>
      <c r="M113" s="57" t="str">
        <f t="shared" si="5"/>
        <v/>
      </c>
    </row>
    <row r="114" spans="1:13" s="57" customFormat="1" ht="15.75" x14ac:dyDescent="0.25">
      <c r="A114" s="62"/>
      <c r="B114" s="61"/>
      <c r="C114" s="61"/>
      <c r="D114" s="61"/>
      <c r="E114" s="61"/>
      <c r="F114" s="61"/>
      <c r="I114" s="58" t="str">
        <f>IF(AND(ISBLANK(A114),ISBLANK(B114)),"",IF(OR(ISBLANK(A114),ISBLANK(B114)),"-",LEN(Tableau47[[#This Row],[Colonne9]])))</f>
        <v/>
      </c>
      <c r="J114" s="59" t="str">
        <f>IF(AND(ISBLANK(A114),ISBLANK(B114)),"",IF(OR(ISBLANK(A114),ISBLANK(B114)),"à compléter",
IF(H114=0,"",LOOKUP(H114,'Objets de gestion'!C:C,'Objets de gestion'!F:F)&amp;"_")
&amp;IF(F114=0,"",LOOKUP(F114,'Objets de gestion'!C:C,'Objets de gestion'!F:F)&amp;"_")
&amp;IF(D114=0,"",LOOKUP(D114,'Objets de gestion'!C:C,'Objets de gestion'!F:F)&amp;"_")
&amp;IF(B114=0,"",LOOKUP(B114,'Objets de gestion'!C:C,'Objets de gestion'!F:F))
))</f>
        <v/>
      </c>
      <c r="K114" s="57" t="str">
        <f t="shared" si="4"/>
        <v/>
      </c>
      <c r="L114" s="57" t="str">
        <f>IF(AND(ISBLANK(A114),ISBLANK(B114)),"",IF(OR(ISBLANK(A114),ISBLANK(B114)),"-",
IF(ISBLANK(B114),"",LOOKUP(B114,'Objets de gestion'!C:C,'Objets de gestion'!E:E))
&amp;IF(ISBLANK(C114),""," "&amp;LOOKUP(C114,Articles!A:A,Articles!B:B))
&amp;IF(ISBLANK(D114),""," "&amp;LOOKUP(D114,'Objets de gestion'!C:C,'Objets de gestion'!E:E))
&amp;IF(ISBLANK(E114),""," "&amp;LOOKUP(E114,Articles!A:A,Articles!B:B))
&amp;IF(ISBLANK(F114),""," "&amp;LOOKUP(F114,'Objets de gestion'!C:C,'Objets de gestion'!E:E))
&amp;IF(ISBLANK(G114),""," "&amp;LOOKUP(G114,Articles!A:A,Articles!B:B))
&amp;IF(ISBLANK(H114),""," "&amp;LOOKUP(H114,'Objets de gestion'!C:C,'Objets de gestion'!E:E))
))</f>
        <v/>
      </c>
      <c r="M114" s="57" t="str">
        <f t="shared" si="5"/>
        <v/>
      </c>
    </row>
    <row r="115" spans="1:13" s="57" customFormat="1" ht="15.75" x14ac:dyDescent="0.25">
      <c r="A115" s="62"/>
      <c r="B115" s="61"/>
      <c r="C115" s="61"/>
      <c r="D115" s="61"/>
      <c r="E115" s="61"/>
      <c r="F115" s="61"/>
      <c r="I115" s="58" t="str">
        <f>IF(AND(ISBLANK(A115),ISBLANK(B115)),"",IF(OR(ISBLANK(A115),ISBLANK(B115)),"-",LEN(Tableau47[[#This Row],[Colonne9]])))</f>
        <v/>
      </c>
      <c r="J115" s="59" t="str">
        <f>IF(AND(ISBLANK(A115),ISBLANK(B115)),"",IF(OR(ISBLANK(A115),ISBLANK(B115)),"à compléter",
IF(H115=0,"",LOOKUP(H115,'Objets de gestion'!C:C,'Objets de gestion'!F:F)&amp;"_")
&amp;IF(F115=0,"",LOOKUP(F115,'Objets de gestion'!C:C,'Objets de gestion'!F:F)&amp;"_")
&amp;IF(D115=0,"",LOOKUP(D115,'Objets de gestion'!C:C,'Objets de gestion'!F:F)&amp;"_")
&amp;IF(B115=0,"",LOOKUP(B115,'Objets de gestion'!C:C,'Objets de gestion'!F:F))
))</f>
        <v/>
      </c>
      <c r="K115" s="57" t="str">
        <f t="shared" si="4"/>
        <v/>
      </c>
      <c r="L115" s="57" t="str">
        <f>IF(AND(ISBLANK(A115),ISBLANK(B115)),"",IF(OR(ISBLANK(A115),ISBLANK(B115)),"-",
IF(ISBLANK(B115),"",LOOKUP(B115,'Objets de gestion'!C:C,'Objets de gestion'!E:E))
&amp;IF(ISBLANK(C115),""," "&amp;LOOKUP(C115,Articles!A:A,Articles!B:B))
&amp;IF(ISBLANK(D115),""," "&amp;LOOKUP(D115,'Objets de gestion'!C:C,'Objets de gestion'!E:E))
&amp;IF(ISBLANK(E115),""," "&amp;LOOKUP(E115,Articles!A:A,Articles!B:B))
&amp;IF(ISBLANK(F115),""," "&amp;LOOKUP(F115,'Objets de gestion'!C:C,'Objets de gestion'!E:E))
&amp;IF(ISBLANK(G115),""," "&amp;LOOKUP(G115,Articles!A:A,Articles!B:B))
&amp;IF(ISBLANK(H115),""," "&amp;LOOKUP(H115,'Objets de gestion'!C:C,'Objets de gestion'!E:E))
))</f>
        <v/>
      </c>
      <c r="M115" s="57" t="str">
        <f t="shared" si="5"/>
        <v/>
      </c>
    </row>
    <row r="116" spans="1:13" s="60" customFormat="1" ht="15.75" x14ac:dyDescent="0.25">
      <c r="A116" s="63"/>
      <c r="I116" s="58" t="str">
        <f>IF(AND(ISBLANK(A116),ISBLANK(B116)),"",IF(OR(ISBLANK(A116),ISBLANK(B116)),"-",LEN(Tableau47[[#This Row],[Colonne9]])))</f>
        <v/>
      </c>
      <c r="J116" s="59" t="str">
        <f>IF(AND(ISBLANK(A116),ISBLANK(B116)),"",IF(OR(ISBLANK(A116),ISBLANK(B116)),"à compléter",
IF(H116=0,"",LOOKUP(H116,'Objets de gestion'!C:C,'Objets de gestion'!F:F)&amp;"_")
&amp;IF(F116=0,"",LOOKUP(F116,'Objets de gestion'!C:C,'Objets de gestion'!F:F)&amp;"_")
&amp;IF(D116=0,"",LOOKUP(D116,'Objets de gestion'!C:C,'Objets de gestion'!F:F)&amp;"_")
&amp;IF(B116=0,"",LOOKUP(B116,'Objets de gestion'!C:C,'Objets de gestion'!F:F))
))</f>
        <v/>
      </c>
      <c r="K116" s="57" t="str">
        <f t="shared" si="4"/>
        <v/>
      </c>
      <c r="L116" s="57" t="str">
        <f>IF(AND(ISBLANK(A116),ISBLANK(B116)),"",IF(OR(ISBLANK(A116),ISBLANK(B116)),"-",
IF(ISBLANK(B116),"",LOOKUP(B116,'Objets de gestion'!C:C,'Objets de gestion'!E:E))
&amp;IF(ISBLANK(C116),""," "&amp;LOOKUP(C116,Articles!A:A,Articles!B:B))
&amp;IF(ISBLANK(D116),""," "&amp;LOOKUP(D116,'Objets de gestion'!C:C,'Objets de gestion'!E:E))
&amp;IF(ISBLANK(E116),""," "&amp;LOOKUP(E116,Articles!A:A,Articles!B:B))
&amp;IF(ISBLANK(F116),""," "&amp;LOOKUP(F116,'Objets de gestion'!C:C,'Objets de gestion'!E:E))
&amp;IF(ISBLANK(G116),""," "&amp;LOOKUP(G116,Articles!A:A,Articles!B:B))
&amp;IF(ISBLANK(H116),""," "&amp;LOOKUP(H116,'Objets de gestion'!C:C,'Objets de gestion'!E:E))
))</f>
        <v/>
      </c>
      <c r="M116" s="57" t="str">
        <f t="shared" si="5"/>
        <v/>
      </c>
    </row>
    <row r="117" spans="1:13" s="57" customFormat="1" ht="15.75" x14ac:dyDescent="0.25">
      <c r="A117" s="62"/>
      <c r="B117" s="61"/>
      <c r="C117" s="61"/>
      <c r="D117" s="61"/>
      <c r="E117" s="61"/>
      <c r="F117" s="61"/>
      <c r="I117" s="58" t="str">
        <f>IF(AND(ISBLANK(A117),ISBLANK(B117)),"",IF(OR(ISBLANK(A117),ISBLANK(B117)),"-",LEN(Tableau47[[#This Row],[Colonne9]])))</f>
        <v/>
      </c>
      <c r="J117" s="59" t="str">
        <f>IF(AND(ISBLANK(A117),ISBLANK(B117)),"",IF(OR(ISBLANK(A117),ISBLANK(B117)),"à compléter",
IF(H117=0,"",LOOKUP(H117,'Objets de gestion'!C:C,'Objets de gestion'!F:F)&amp;"_")
&amp;IF(F117=0,"",LOOKUP(F117,'Objets de gestion'!C:C,'Objets de gestion'!F:F)&amp;"_")
&amp;IF(D117=0,"",LOOKUP(D117,'Objets de gestion'!C:C,'Objets de gestion'!F:F)&amp;"_")
&amp;IF(B117=0,"",LOOKUP(B117,'Objets de gestion'!C:C,'Objets de gestion'!F:F))
))</f>
        <v/>
      </c>
      <c r="K117" s="57" t="str">
        <f t="shared" si="4"/>
        <v/>
      </c>
      <c r="L117" s="57" t="str">
        <f>IF(AND(ISBLANK(A117),ISBLANK(B117)),"",IF(OR(ISBLANK(A117),ISBLANK(B117)),"-",
IF(ISBLANK(B117),"",LOOKUP(B117,'Objets de gestion'!C:C,'Objets de gestion'!E:E))
&amp;IF(ISBLANK(C117),""," "&amp;LOOKUP(C117,Articles!A:A,Articles!B:B))
&amp;IF(ISBLANK(D117),""," "&amp;LOOKUP(D117,'Objets de gestion'!C:C,'Objets de gestion'!E:E))
&amp;IF(ISBLANK(E117),""," "&amp;LOOKUP(E117,Articles!A:A,Articles!B:B))
&amp;IF(ISBLANK(F117),""," "&amp;LOOKUP(F117,'Objets de gestion'!C:C,'Objets de gestion'!E:E))
&amp;IF(ISBLANK(G117),""," "&amp;LOOKUP(G117,Articles!A:A,Articles!B:B))
&amp;IF(ISBLANK(H117),""," "&amp;LOOKUP(H117,'Objets de gestion'!C:C,'Objets de gestion'!E:E))
))</f>
        <v/>
      </c>
      <c r="M117" s="57" t="str">
        <f t="shared" si="5"/>
        <v/>
      </c>
    </row>
    <row r="118" spans="1:13" s="57" customFormat="1" ht="15.75" x14ac:dyDescent="0.25">
      <c r="A118" s="62"/>
      <c r="B118" s="61"/>
      <c r="C118" s="61"/>
      <c r="D118" s="61"/>
      <c r="E118" s="61"/>
      <c r="F118" s="61"/>
      <c r="I118" s="58" t="str">
        <f>IF(AND(ISBLANK(A118),ISBLANK(B118)),"",IF(OR(ISBLANK(A118),ISBLANK(B118)),"-",LEN(Tableau47[[#This Row],[Colonne9]])))</f>
        <v/>
      </c>
      <c r="J118" s="59" t="str">
        <f>IF(AND(ISBLANK(A118),ISBLANK(B118)),"",IF(OR(ISBLANK(A118),ISBLANK(B118)),"à compléter",
IF(H118=0,"",LOOKUP(H118,'Objets de gestion'!C:C,'Objets de gestion'!F:F)&amp;"_")
&amp;IF(F118=0,"",LOOKUP(F118,'Objets de gestion'!C:C,'Objets de gestion'!F:F)&amp;"_")
&amp;IF(D118=0,"",LOOKUP(D118,'Objets de gestion'!C:C,'Objets de gestion'!F:F)&amp;"_")
&amp;IF(B118=0,"",LOOKUP(B118,'Objets de gestion'!C:C,'Objets de gestion'!F:F))
))</f>
        <v/>
      </c>
      <c r="K118" s="57" t="str">
        <f t="shared" si="4"/>
        <v/>
      </c>
      <c r="L118" s="57" t="str">
        <f>IF(AND(ISBLANK(A118),ISBLANK(B118)),"",IF(OR(ISBLANK(A118),ISBLANK(B118)),"-",
IF(ISBLANK(B118),"",LOOKUP(B118,'Objets de gestion'!C:C,'Objets de gestion'!E:E))
&amp;IF(ISBLANK(C118),""," "&amp;LOOKUP(C118,Articles!A:A,Articles!B:B))
&amp;IF(ISBLANK(D118),""," "&amp;LOOKUP(D118,'Objets de gestion'!C:C,'Objets de gestion'!E:E))
&amp;IF(ISBLANK(E118),""," "&amp;LOOKUP(E118,Articles!A:A,Articles!B:B))
&amp;IF(ISBLANK(F118),""," "&amp;LOOKUP(F118,'Objets de gestion'!C:C,'Objets de gestion'!E:E))
&amp;IF(ISBLANK(G118),""," "&amp;LOOKUP(G118,Articles!A:A,Articles!B:B))
&amp;IF(ISBLANK(H118),""," "&amp;LOOKUP(H118,'Objets de gestion'!C:C,'Objets de gestion'!E:E))
))</f>
        <v/>
      </c>
      <c r="M118" s="57" t="str">
        <f t="shared" si="5"/>
        <v/>
      </c>
    </row>
    <row r="119" spans="1:13" s="57" customFormat="1" ht="15.75" x14ac:dyDescent="0.25">
      <c r="A119" s="62"/>
      <c r="B119" s="61"/>
      <c r="C119" s="61"/>
      <c r="D119" s="61"/>
      <c r="E119" s="61"/>
      <c r="F119" s="61"/>
      <c r="I119" s="58" t="str">
        <f>IF(AND(ISBLANK(A119),ISBLANK(B119)),"",IF(OR(ISBLANK(A119),ISBLANK(B119)),"-",LEN(Tableau47[[#This Row],[Colonne9]])))</f>
        <v/>
      </c>
      <c r="J119" s="59" t="str">
        <f>IF(AND(ISBLANK(A119),ISBLANK(B119)),"",IF(OR(ISBLANK(A119),ISBLANK(B119)),"à compléter",
IF(H119=0,"",LOOKUP(H119,'Objets de gestion'!C:C,'Objets de gestion'!F:F)&amp;"_")
&amp;IF(F119=0,"",LOOKUP(F119,'Objets de gestion'!C:C,'Objets de gestion'!F:F)&amp;"_")
&amp;IF(D119=0,"",LOOKUP(D119,'Objets de gestion'!C:C,'Objets de gestion'!F:F)&amp;"_")
&amp;IF(B119=0,"",LOOKUP(B119,'Objets de gestion'!C:C,'Objets de gestion'!F:F))
))</f>
        <v/>
      </c>
      <c r="K119" s="57" t="str">
        <f t="shared" si="4"/>
        <v/>
      </c>
      <c r="L119" s="57" t="str">
        <f>IF(AND(ISBLANK(A119),ISBLANK(B119)),"",IF(OR(ISBLANK(A119),ISBLANK(B119)),"-",
IF(ISBLANK(B119),"",LOOKUP(B119,'Objets de gestion'!C:C,'Objets de gestion'!E:E))
&amp;IF(ISBLANK(C119),""," "&amp;LOOKUP(C119,Articles!A:A,Articles!B:B))
&amp;IF(ISBLANK(D119),""," "&amp;LOOKUP(D119,'Objets de gestion'!C:C,'Objets de gestion'!E:E))
&amp;IF(ISBLANK(E119),""," "&amp;LOOKUP(E119,Articles!A:A,Articles!B:B))
&amp;IF(ISBLANK(F119),""," "&amp;LOOKUP(F119,'Objets de gestion'!C:C,'Objets de gestion'!E:E))
&amp;IF(ISBLANK(G119),""," "&amp;LOOKUP(G119,Articles!A:A,Articles!B:B))
&amp;IF(ISBLANK(H119),""," "&amp;LOOKUP(H119,'Objets de gestion'!C:C,'Objets de gestion'!E:E))
))</f>
        <v/>
      </c>
      <c r="M119" s="57" t="str">
        <f t="shared" si="5"/>
        <v/>
      </c>
    </row>
    <row r="120" spans="1:13" s="57" customFormat="1" ht="15.75" x14ac:dyDescent="0.25">
      <c r="A120" s="62"/>
      <c r="B120" s="61"/>
      <c r="C120" s="61"/>
      <c r="D120" s="61"/>
      <c r="E120" s="61"/>
      <c r="F120" s="61"/>
      <c r="I120" s="58" t="str">
        <f>IF(AND(ISBLANK(A120),ISBLANK(B120)),"",IF(OR(ISBLANK(A120),ISBLANK(B120)),"-",LEN(Tableau47[[#This Row],[Colonne9]])))</f>
        <v/>
      </c>
      <c r="J120" s="59" t="str">
        <f>IF(AND(ISBLANK(A120),ISBLANK(B120)),"",IF(OR(ISBLANK(A120),ISBLANK(B120)),"à compléter",
IF(H120=0,"",LOOKUP(H120,'Objets de gestion'!C:C,'Objets de gestion'!F:F)&amp;"_")
&amp;IF(F120=0,"",LOOKUP(F120,'Objets de gestion'!C:C,'Objets de gestion'!F:F)&amp;"_")
&amp;IF(D120=0,"",LOOKUP(D120,'Objets de gestion'!C:C,'Objets de gestion'!F:F)&amp;"_")
&amp;IF(B120=0,"",LOOKUP(B120,'Objets de gestion'!C:C,'Objets de gestion'!F:F))
))</f>
        <v/>
      </c>
      <c r="K120" s="57" t="str">
        <f t="shared" si="4"/>
        <v/>
      </c>
      <c r="L120" s="57" t="str">
        <f>IF(AND(ISBLANK(A120),ISBLANK(B120)),"",IF(OR(ISBLANK(A120),ISBLANK(B120)),"-",
IF(ISBLANK(B120),"",LOOKUP(B120,'Objets de gestion'!C:C,'Objets de gestion'!E:E))
&amp;IF(ISBLANK(C120),""," "&amp;LOOKUP(C120,Articles!A:A,Articles!B:B))
&amp;IF(ISBLANK(D120),""," "&amp;LOOKUP(D120,'Objets de gestion'!C:C,'Objets de gestion'!E:E))
&amp;IF(ISBLANK(E120),""," "&amp;LOOKUP(E120,Articles!A:A,Articles!B:B))
&amp;IF(ISBLANK(F120),""," "&amp;LOOKUP(F120,'Objets de gestion'!C:C,'Objets de gestion'!E:E))
&amp;IF(ISBLANK(G120),""," "&amp;LOOKUP(G120,Articles!A:A,Articles!B:B))
&amp;IF(ISBLANK(H120),""," "&amp;LOOKUP(H120,'Objets de gestion'!C:C,'Objets de gestion'!E:E))
))</f>
        <v/>
      </c>
      <c r="M120" s="57" t="str">
        <f t="shared" si="5"/>
        <v/>
      </c>
    </row>
    <row r="121" spans="1:13" s="60" customFormat="1" ht="15.75" x14ac:dyDescent="0.25">
      <c r="A121" s="63"/>
      <c r="I121" s="58" t="str">
        <f>IF(AND(ISBLANK(A121),ISBLANK(B121)),"",IF(OR(ISBLANK(A121),ISBLANK(B121)),"-",LEN(Tableau47[[#This Row],[Colonne9]])))</f>
        <v/>
      </c>
      <c r="J121" s="59" t="str">
        <f>IF(AND(ISBLANK(A121),ISBLANK(B121)),"",IF(OR(ISBLANK(A121),ISBLANK(B121)),"à compléter",
IF(H121=0,"",LOOKUP(H121,'Objets de gestion'!C:C,'Objets de gestion'!F:F)&amp;"_")
&amp;IF(F121=0,"",LOOKUP(F121,'Objets de gestion'!C:C,'Objets de gestion'!F:F)&amp;"_")
&amp;IF(D121=0,"",LOOKUP(D121,'Objets de gestion'!C:C,'Objets de gestion'!F:F)&amp;"_")
&amp;IF(B121=0,"",LOOKUP(B121,'Objets de gestion'!C:C,'Objets de gestion'!F:F))
))</f>
        <v/>
      </c>
      <c r="K121" s="57" t="str">
        <f t="shared" si="4"/>
        <v/>
      </c>
      <c r="L121" s="57" t="str">
        <f>IF(AND(ISBLANK(A121),ISBLANK(B121)),"",IF(OR(ISBLANK(A121),ISBLANK(B121)),"-",
IF(ISBLANK(B121),"",LOOKUP(B121,'Objets de gestion'!C:C,'Objets de gestion'!E:E))
&amp;IF(ISBLANK(C121),""," "&amp;LOOKUP(C121,Articles!A:A,Articles!B:B))
&amp;IF(ISBLANK(D121),""," "&amp;LOOKUP(D121,'Objets de gestion'!C:C,'Objets de gestion'!E:E))
&amp;IF(ISBLANK(E121),""," "&amp;LOOKUP(E121,Articles!A:A,Articles!B:B))
&amp;IF(ISBLANK(F121),""," "&amp;LOOKUP(F121,'Objets de gestion'!C:C,'Objets de gestion'!E:E))
&amp;IF(ISBLANK(G121),""," "&amp;LOOKUP(G121,Articles!A:A,Articles!B:B))
&amp;IF(ISBLANK(H121),""," "&amp;LOOKUP(H121,'Objets de gestion'!C:C,'Objets de gestion'!E:E))
))</f>
        <v/>
      </c>
      <c r="M121" s="57" t="str">
        <f t="shared" si="5"/>
        <v/>
      </c>
    </row>
    <row r="122" spans="1:13" s="60" customFormat="1" ht="15.75" x14ac:dyDescent="0.25">
      <c r="A122" s="62"/>
      <c r="B122" s="61"/>
      <c r="C122" s="61"/>
      <c r="D122" s="61"/>
      <c r="E122" s="61"/>
      <c r="F122" s="61"/>
      <c r="G122" s="61"/>
      <c r="H122" s="61"/>
      <c r="I122" s="58" t="str">
        <f>IF(AND(ISBLANK(A122),ISBLANK(B122)),"",IF(OR(ISBLANK(A122),ISBLANK(B122)),"-",LEN(Tableau47[[#This Row],[Colonne9]])))</f>
        <v/>
      </c>
      <c r="J122" s="59" t="str">
        <f>IF(AND(ISBLANK(A122),ISBLANK(B122)),"",IF(OR(ISBLANK(A122),ISBLANK(B122)),"à compléter",
IF(H122=0,"",LOOKUP(H122,'Objets de gestion'!C:C,'Objets de gestion'!F:F)&amp;"_")
&amp;IF(F122=0,"",LOOKUP(F122,'Objets de gestion'!C:C,'Objets de gestion'!F:F)&amp;"_")
&amp;IF(D122=0,"",LOOKUP(D122,'Objets de gestion'!C:C,'Objets de gestion'!F:F)&amp;"_")
&amp;IF(B122=0,"",LOOKUP(B122,'Objets de gestion'!C:C,'Objets de gestion'!F:F))
))</f>
        <v/>
      </c>
      <c r="K122" s="57" t="str">
        <f t="shared" si="4"/>
        <v/>
      </c>
      <c r="L122" s="57" t="str">
        <f>IF(AND(ISBLANK(A122),ISBLANK(B122)),"",IF(OR(ISBLANK(A122),ISBLANK(B122)),"-",
IF(ISBLANK(B122),"",LOOKUP(B122,'Objets de gestion'!C:C,'Objets de gestion'!E:E))
&amp;IF(ISBLANK(C122),""," "&amp;LOOKUP(C122,Articles!A:A,Articles!B:B))
&amp;IF(ISBLANK(D122),""," "&amp;LOOKUP(D122,'Objets de gestion'!C:C,'Objets de gestion'!E:E))
&amp;IF(ISBLANK(E122),""," "&amp;LOOKUP(E122,Articles!A:A,Articles!B:B))
&amp;IF(ISBLANK(F122),""," "&amp;LOOKUP(F122,'Objets de gestion'!C:C,'Objets de gestion'!E:E))
&amp;IF(ISBLANK(G122),""," "&amp;LOOKUP(G122,Articles!A:A,Articles!B:B))
&amp;IF(ISBLANK(H122),""," "&amp;LOOKUP(H122,'Objets de gestion'!C:C,'Objets de gestion'!E:E))
))</f>
        <v/>
      </c>
      <c r="M122" s="57" t="str">
        <f t="shared" si="5"/>
        <v/>
      </c>
    </row>
    <row r="123" spans="1:13" s="57" customFormat="1" ht="15.75" x14ac:dyDescent="0.25">
      <c r="A123" s="62"/>
      <c r="B123" s="61"/>
      <c r="C123" s="61"/>
      <c r="D123" s="61"/>
      <c r="E123" s="61"/>
      <c r="F123" s="61"/>
      <c r="G123" s="61"/>
      <c r="H123" s="61"/>
      <c r="I123" s="58" t="str">
        <f>IF(AND(ISBLANK(A123),ISBLANK(B123)),"",IF(OR(ISBLANK(A123),ISBLANK(B123)),"-",LEN(Tableau47[[#This Row],[Colonne9]])))</f>
        <v/>
      </c>
      <c r="J123" s="59" t="str">
        <f>IF(AND(ISBLANK(A123),ISBLANK(B123)),"",IF(OR(ISBLANK(A123),ISBLANK(B123)),"à compléter",
IF(H123=0,"",LOOKUP(H123,'Objets de gestion'!C:C,'Objets de gestion'!F:F)&amp;"_")
&amp;IF(F123=0,"",LOOKUP(F123,'Objets de gestion'!C:C,'Objets de gestion'!F:F)&amp;"_")
&amp;IF(D123=0,"",LOOKUP(D123,'Objets de gestion'!C:C,'Objets de gestion'!F:F)&amp;"_")
&amp;IF(B123=0,"",LOOKUP(B123,'Objets de gestion'!C:C,'Objets de gestion'!F:F))
))</f>
        <v/>
      </c>
      <c r="K123" s="57" t="str">
        <f t="shared" si="4"/>
        <v/>
      </c>
      <c r="L123" s="57" t="str">
        <f>IF(AND(ISBLANK(A123),ISBLANK(B123)),"",IF(OR(ISBLANK(A123),ISBLANK(B123)),"-",
IF(ISBLANK(B123),"",LOOKUP(B123,'Objets de gestion'!C:C,'Objets de gestion'!E:E))
&amp;IF(ISBLANK(C123),""," "&amp;LOOKUP(C123,Articles!A:A,Articles!B:B))
&amp;IF(ISBLANK(D123),""," "&amp;LOOKUP(D123,'Objets de gestion'!C:C,'Objets de gestion'!E:E))
&amp;IF(ISBLANK(E123),""," "&amp;LOOKUP(E123,Articles!A:A,Articles!B:B))
&amp;IF(ISBLANK(F123),""," "&amp;LOOKUP(F123,'Objets de gestion'!C:C,'Objets de gestion'!E:E))
&amp;IF(ISBLANK(G123),""," "&amp;LOOKUP(G123,Articles!A:A,Articles!B:B))
&amp;IF(ISBLANK(H123),""," "&amp;LOOKUP(H123,'Objets de gestion'!C:C,'Objets de gestion'!E:E))
))</f>
        <v/>
      </c>
      <c r="M123" s="57" t="str">
        <f t="shared" si="5"/>
        <v/>
      </c>
    </row>
    <row r="124" spans="1:13" s="57" customFormat="1" ht="15.75" x14ac:dyDescent="0.25">
      <c r="A124" s="62"/>
      <c r="B124" s="61"/>
      <c r="C124" s="61"/>
      <c r="D124" s="61"/>
      <c r="E124" s="61"/>
      <c r="F124" s="61"/>
      <c r="G124" s="61"/>
      <c r="H124" s="61"/>
      <c r="I124" s="58" t="str">
        <f>IF(AND(ISBLANK(A124),ISBLANK(B124)),"",IF(OR(ISBLANK(A124),ISBLANK(B124)),"-",LEN(Tableau47[[#This Row],[Colonne9]])))</f>
        <v/>
      </c>
      <c r="J124" s="59" t="str">
        <f>IF(AND(ISBLANK(A124),ISBLANK(B124)),"",IF(OR(ISBLANK(A124),ISBLANK(B124)),"à compléter",
IF(H124=0,"",LOOKUP(H124,'Objets de gestion'!C:C,'Objets de gestion'!F:F)&amp;"_")
&amp;IF(F124=0,"",LOOKUP(F124,'Objets de gestion'!C:C,'Objets de gestion'!F:F)&amp;"_")
&amp;IF(D124=0,"",LOOKUP(D124,'Objets de gestion'!C:C,'Objets de gestion'!F:F)&amp;"_")
&amp;IF(B124=0,"",LOOKUP(B124,'Objets de gestion'!C:C,'Objets de gestion'!F:F))
))</f>
        <v/>
      </c>
      <c r="K124" s="57" t="str">
        <f t="shared" si="4"/>
        <v/>
      </c>
      <c r="L124" s="57" t="str">
        <f>IF(AND(ISBLANK(A124),ISBLANK(B124)),"",IF(OR(ISBLANK(A124),ISBLANK(B124)),"-",
IF(ISBLANK(B124),"",LOOKUP(B124,'Objets de gestion'!C:C,'Objets de gestion'!E:E))
&amp;IF(ISBLANK(C124),""," "&amp;LOOKUP(C124,Articles!A:A,Articles!B:B))
&amp;IF(ISBLANK(D124),""," "&amp;LOOKUP(D124,'Objets de gestion'!C:C,'Objets de gestion'!E:E))
&amp;IF(ISBLANK(E124),""," "&amp;LOOKUP(E124,Articles!A:A,Articles!B:B))
&amp;IF(ISBLANK(F124),""," "&amp;LOOKUP(F124,'Objets de gestion'!C:C,'Objets de gestion'!E:E))
&amp;IF(ISBLANK(G124),""," "&amp;LOOKUP(G124,Articles!A:A,Articles!B:B))
&amp;IF(ISBLANK(H124),""," "&amp;LOOKUP(H124,'Objets de gestion'!C:C,'Objets de gestion'!E:E))
))</f>
        <v/>
      </c>
      <c r="M124" s="57" t="str">
        <f t="shared" si="5"/>
        <v/>
      </c>
    </row>
    <row r="125" spans="1:13" s="57" customFormat="1" ht="15.75" x14ac:dyDescent="0.25">
      <c r="A125" s="62"/>
      <c r="B125" s="61"/>
      <c r="C125" s="61"/>
      <c r="D125" s="61"/>
      <c r="E125" s="61"/>
      <c r="F125" s="61"/>
      <c r="G125" s="61"/>
      <c r="H125" s="61"/>
      <c r="I125" s="58" t="str">
        <f>IF(AND(ISBLANK(A125),ISBLANK(B125)),"",IF(OR(ISBLANK(A125),ISBLANK(B125)),"-",LEN(Tableau47[[#This Row],[Colonne9]])))</f>
        <v/>
      </c>
      <c r="J125" s="59" t="str">
        <f>IF(AND(ISBLANK(A125),ISBLANK(B125)),"",IF(OR(ISBLANK(A125),ISBLANK(B125)),"à compléter",
IF(H125=0,"",LOOKUP(H125,'Objets de gestion'!C:C,'Objets de gestion'!F:F)&amp;"_")
&amp;IF(F125=0,"",LOOKUP(F125,'Objets de gestion'!C:C,'Objets de gestion'!F:F)&amp;"_")
&amp;IF(D125=0,"",LOOKUP(D125,'Objets de gestion'!C:C,'Objets de gestion'!F:F)&amp;"_")
&amp;IF(B125=0,"",LOOKUP(B125,'Objets de gestion'!C:C,'Objets de gestion'!F:F))
))</f>
        <v/>
      </c>
      <c r="K125" s="57" t="str">
        <f t="shared" si="4"/>
        <v/>
      </c>
      <c r="L125" s="57" t="str">
        <f>IF(AND(ISBLANK(A125),ISBLANK(B125)),"",IF(OR(ISBLANK(A125),ISBLANK(B125)),"-",
IF(ISBLANK(B125),"",LOOKUP(B125,'Objets de gestion'!C:C,'Objets de gestion'!E:E))
&amp;IF(ISBLANK(C125),""," "&amp;LOOKUP(C125,Articles!A:A,Articles!B:B))
&amp;IF(ISBLANK(D125),""," "&amp;LOOKUP(D125,'Objets de gestion'!C:C,'Objets de gestion'!E:E))
&amp;IF(ISBLANK(E125),""," "&amp;LOOKUP(E125,Articles!A:A,Articles!B:B))
&amp;IF(ISBLANK(F125),""," "&amp;LOOKUP(F125,'Objets de gestion'!C:C,'Objets de gestion'!E:E))
&amp;IF(ISBLANK(G125),""," "&amp;LOOKUP(G125,Articles!A:A,Articles!B:B))
&amp;IF(ISBLANK(H125),""," "&amp;LOOKUP(H125,'Objets de gestion'!C:C,'Objets de gestion'!E:E))
))</f>
        <v/>
      </c>
      <c r="M125" s="57" t="str">
        <f t="shared" si="5"/>
        <v/>
      </c>
    </row>
    <row r="126" spans="1:13" s="57" customFormat="1" ht="15.75" x14ac:dyDescent="0.25">
      <c r="A126" s="62"/>
      <c r="B126" s="61"/>
      <c r="C126" s="61"/>
      <c r="D126" s="61"/>
      <c r="E126" s="61"/>
      <c r="F126" s="61"/>
      <c r="G126" s="61"/>
      <c r="H126" s="61"/>
      <c r="I126" s="58" t="str">
        <f>IF(AND(ISBLANK(A126),ISBLANK(B126)),"",IF(OR(ISBLANK(A126),ISBLANK(B126)),"-",LEN(Tableau47[[#This Row],[Colonne9]])))</f>
        <v/>
      </c>
      <c r="J126" s="59" t="str">
        <f>IF(AND(ISBLANK(A126),ISBLANK(B126)),"",IF(OR(ISBLANK(A126),ISBLANK(B126)),"à compléter",
IF(H126=0,"",LOOKUP(H126,'Objets de gestion'!C:C,'Objets de gestion'!F:F)&amp;"_")
&amp;IF(F126=0,"",LOOKUP(F126,'Objets de gestion'!C:C,'Objets de gestion'!F:F)&amp;"_")
&amp;IF(D126=0,"",LOOKUP(D126,'Objets de gestion'!C:C,'Objets de gestion'!F:F)&amp;"_")
&amp;IF(B126=0,"",LOOKUP(B126,'Objets de gestion'!C:C,'Objets de gestion'!F:F))
))</f>
        <v/>
      </c>
      <c r="K126" s="57" t="str">
        <f t="shared" si="4"/>
        <v/>
      </c>
      <c r="L126" s="57" t="str">
        <f>IF(AND(ISBLANK(A126),ISBLANK(B126)),"",IF(OR(ISBLANK(A126),ISBLANK(B126)),"-",
IF(ISBLANK(B126),"",LOOKUP(B126,'Objets de gestion'!C:C,'Objets de gestion'!E:E))
&amp;IF(ISBLANK(C126),""," "&amp;LOOKUP(C126,Articles!A:A,Articles!B:B))
&amp;IF(ISBLANK(D126),""," "&amp;LOOKUP(D126,'Objets de gestion'!C:C,'Objets de gestion'!E:E))
&amp;IF(ISBLANK(E126),""," "&amp;LOOKUP(E126,Articles!A:A,Articles!B:B))
&amp;IF(ISBLANK(F126),""," "&amp;LOOKUP(F126,'Objets de gestion'!C:C,'Objets de gestion'!E:E))
&amp;IF(ISBLANK(G126),""," "&amp;LOOKUP(G126,Articles!A:A,Articles!B:B))
&amp;IF(ISBLANK(H126),""," "&amp;LOOKUP(H126,'Objets de gestion'!C:C,'Objets de gestion'!E:E))
))</f>
        <v/>
      </c>
      <c r="M126" s="57" t="str">
        <f t="shared" si="5"/>
        <v/>
      </c>
    </row>
    <row r="127" spans="1:13" s="60" customFormat="1" ht="15.75" x14ac:dyDescent="0.25">
      <c r="A127" s="62"/>
      <c r="B127" s="61"/>
      <c r="C127" s="61"/>
      <c r="D127" s="61"/>
      <c r="E127" s="61"/>
      <c r="F127" s="61"/>
      <c r="G127" s="61"/>
      <c r="H127" s="61"/>
      <c r="I127" s="58" t="str">
        <f>IF(AND(ISBLANK(A127),ISBLANK(B127)),"",IF(OR(ISBLANK(A127),ISBLANK(B127)),"-",LEN(Tableau47[[#This Row],[Colonne9]])))</f>
        <v/>
      </c>
      <c r="J127" s="59" t="str">
        <f>IF(AND(ISBLANK(A127),ISBLANK(B127)),"",IF(OR(ISBLANK(A127),ISBLANK(B127)),"à compléter",
IF(H127=0,"",LOOKUP(H127,'Objets de gestion'!C:C,'Objets de gestion'!F:F)&amp;"_")
&amp;IF(F127=0,"",LOOKUP(F127,'Objets de gestion'!C:C,'Objets de gestion'!F:F)&amp;"_")
&amp;IF(D127=0,"",LOOKUP(D127,'Objets de gestion'!C:C,'Objets de gestion'!F:F)&amp;"_")
&amp;IF(B127=0,"",LOOKUP(B127,'Objets de gestion'!C:C,'Objets de gestion'!F:F))
))</f>
        <v/>
      </c>
      <c r="K127" s="57" t="str">
        <f t="shared" si="4"/>
        <v/>
      </c>
      <c r="L127" s="57" t="str">
        <f>IF(AND(ISBLANK(A127),ISBLANK(B127)),"",IF(OR(ISBLANK(A127),ISBLANK(B127)),"-",
IF(ISBLANK(B127),"",LOOKUP(B127,'Objets de gestion'!C:C,'Objets de gestion'!E:E))
&amp;IF(ISBLANK(C127),""," "&amp;LOOKUP(C127,Articles!A:A,Articles!B:B))
&amp;IF(ISBLANK(D127),""," "&amp;LOOKUP(D127,'Objets de gestion'!C:C,'Objets de gestion'!E:E))
&amp;IF(ISBLANK(E127),""," "&amp;LOOKUP(E127,Articles!A:A,Articles!B:B))
&amp;IF(ISBLANK(F127),""," "&amp;LOOKUP(F127,'Objets de gestion'!C:C,'Objets de gestion'!E:E))
&amp;IF(ISBLANK(G127),""," "&amp;LOOKUP(G127,Articles!A:A,Articles!B:B))
&amp;IF(ISBLANK(H127),""," "&amp;LOOKUP(H127,'Objets de gestion'!C:C,'Objets de gestion'!E:E))
))</f>
        <v/>
      </c>
      <c r="M127" s="57" t="str">
        <f t="shared" si="5"/>
        <v/>
      </c>
    </row>
    <row r="128" spans="1:13" s="60" customFormat="1" ht="15.75" x14ac:dyDescent="0.25">
      <c r="A128" s="62"/>
      <c r="B128" s="61"/>
      <c r="C128" s="61"/>
      <c r="D128" s="61"/>
      <c r="E128" s="61"/>
      <c r="F128" s="61"/>
      <c r="G128" s="61"/>
      <c r="H128" s="61"/>
      <c r="I128" s="58" t="str">
        <f>IF(AND(ISBLANK(A128),ISBLANK(B128)),"",IF(OR(ISBLANK(A128),ISBLANK(B128)),"-",LEN(Tableau47[[#This Row],[Colonne9]])))</f>
        <v/>
      </c>
      <c r="J128" s="59" t="str">
        <f>IF(AND(ISBLANK(A128),ISBLANK(B128)),"",IF(OR(ISBLANK(A128),ISBLANK(B128)),"à compléter",
IF(H128=0,"",LOOKUP(H128,'Objets de gestion'!C:C,'Objets de gestion'!F:F)&amp;"_")
&amp;IF(F128=0,"",LOOKUP(F128,'Objets de gestion'!C:C,'Objets de gestion'!F:F)&amp;"_")
&amp;IF(D128=0,"",LOOKUP(D128,'Objets de gestion'!C:C,'Objets de gestion'!F:F)&amp;"_")
&amp;IF(B128=0,"",LOOKUP(B128,'Objets de gestion'!C:C,'Objets de gestion'!F:F))
))</f>
        <v/>
      </c>
      <c r="K128" s="57" t="str">
        <f t="shared" si="4"/>
        <v/>
      </c>
      <c r="L128" s="57" t="str">
        <f>IF(AND(ISBLANK(A128),ISBLANK(B128)),"",IF(OR(ISBLANK(A128),ISBLANK(B128)),"-",
IF(ISBLANK(B128),"",LOOKUP(B128,'Objets de gestion'!C:C,'Objets de gestion'!E:E))
&amp;IF(ISBLANK(C128),""," "&amp;LOOKUP(C128,Articles!A:A,Articles!B:B))
&amp;IF(ISBLANK(D128),""," "&amp;LOOKUP(D128,'Objets de gestion'!C:C,'Objets de gestion'!E:E))
&amp;IF(ISBLANK(E128),""," "&amp;LOOKUP(E128,Articles!A:A,Articles!B:B))
&amp;IF(ISBLANK(F128),""," "&amp;LOOKUP(F128,'Objets de gestion'!C:C,'Objets de gestion'!E:E))
&amp;IF(ISBLANK(G128),""," "&amp;LOOKUP(G128,Articles!A:A,Articles!B:B))
&amp;IF(ISBLANK(H128),""," "&amp;LOOKUP(H128,'Objets de gestion'!C:C,'Objets de gestion'!E:E))
))</f>
        <v/>
      </c>
      <c r="M128" s="57" t="str">
        <f t="shared" si="5"/>
        <v/>
      </c>
    </row>
    <row r="129" spans="1:13" s="57" customFormat="1" ht="15.75" x14ac:dyDescent="0.25">
      <c r="A129" s="62"/>
      <c r="B129" s="61"/>
      <c r="C129" s="61"/>
      <c r="D129" s="61"/>
      <c r="E129" s="61"/>
      <c r="F129" s="61"/>
      <c r="G129" s="61"/>
      <c r="H129" s="61"/>
      <c r="I129" s="58" t="str">
        <f>IF(AND(ISBLANK(A129),ISBLANK(B129)),"",IF(OR(ISBLANK(A129),ISBLANK(B129)),"-",LEN(Tableau47[[#This Row],[Colonne9]])))</f>
        <v/>
      </c>
      <c r="J129" s="59" t="str">
        <f>IF(AND(ISBLANK(A129),ISBLANK(B129)),"",IF(OR(ISBLANK(A129),ISBLANK(B129)),"à compléter",
IF(H129=0,"",LOOKUP(H129,'Objets de gestion'!C:C,'Objets de gestion'!F:F)&amp;"_")
&amp;IF(F129=0,"",LOOKUP(F129,'Objets de gestion'!C:C,'Objets de gestion'!F:F)&amp;"_")
&amp;IF(D129=0,"",LOOKUP(D129,'Objets de gestion'!C:C,'Objets de gestion'!F:F)&amp;"_")
&amp;IF(B129=0,"",LOOKUP(B129,'Objets de gestion'!C:C,'Objets de gestion'!F:F))
))</f>
        <v/>
      </c>
      <c r="K129" s="57" t="str">
        <f t="shared" si="4"/>
        <v/>
      </c>
      <c r="L129" s="57" t="str">
        <f>IF(AND(ISBLANK(A129),ISBLANK(B129)),"",IF(OR(ISBLANK(A129),ISBLANK(B129)),"-",
IF(ISBLANK(B129),"",LOOKUP(B129,'Objets de gestion'!C:C,'Objets de gestion'!E:E))
&amp;IF(ISBLANK(C129),""," "&amp;LOOKUP(C129,Articles!A:A,Articles!B:B))
&amp;IF(ISBLANK(D129),""," "&amp;LOOKUP(D129,'Objets de gestion'!C:C,'Objets de gestion'!E:E))
&amp;IF(ISBLANK(E129),""," "&amp;LOOKUP(E129,Articles!A:A,Articles!B:B))
&amp;IF(ISBLANK(F129),""," "&amp;LOOKUP(F129,'Objets de gestion'!C:C,'Objets de gestion'!E:E))
&amp;IF(ISBLANK(G129),""," "&amp;LOOKUP(G129,Articles!A:A,Articles!B:B))
&amp;IF(ISBLANK(H129),""," "&amp;LOOKUP(H129,'Objets de gestion'!C:C,'Objets de gestion'!E:E))
))</f>
        <v/>
      </c>
      <c r="M129" s="57" t="str">
        <f t="shared" si="5"/>
        <v/>
      </c>
    </row>
    <row r="130" spans="1:13" s="57" customFormat="1" ht="15.75" x14ac:dyDescent="0.25">
      <c r="A130" s="62"/>
      <c r="B130" s="61"/>
      <c r="C130" s="61"/>
      <c r="D130" s="61"/>
      <c r="E130" s="61"/>
      <c r="F130" s="61"/>
      <c r="G130" s="61"/>
      <c r="H130" s="61"/>
      <c r="I130" s="58" t="str">
        <f>IF(AND(ISBLANK(A130),ISBLANK(B130)),"",IF(OR(ISBLANK(A130),ISBLANK(B130)),"-",LEN(Tableau47[[#This Row],[Colonne9]])))</f>
        <v/>
      </c>
      <c r="J130" s="59" t="str">
        <f>IF(AND(ISBLANK(A130),ISBLANK(B130)),"",IF(OR(ISBLANK(A130),ISBLANK(B130)),"à compléter",
IF(H130=0,"",LOOKUP(H130,'Objets de gestion'!C:C,'Objets de gestion'!F:F)&amp;"_")
&amp;IF(F130=0,"",LOOKUP(F130,'Objets de gestion'!C:C,'Objets de gestion'!F:F)&amp;"_")
&amp;IF(D130=0,"",LOOKUP(D130,'Objets de gestion'!C:C,'Objets de gestion'!F:F)&amp;"_")
&amp;IF(B130=0,"",LOOKUP(B130,'Objets de gestion'!C:C,'Objets de gestion'!F:F))
))</f>
        <v/>
      </c>
      <c r="K130" s="57" t="str">
        <f t="shared" ref="K130:K157" si="6">IF(AND(ISBLANK(A130),ISBLANK(B130)),"",IF(OR(ISBLANK(A130),ISBLANK(B130)),"-",
B130&amp;" "&amp;IF(ISBLANK(D130),"",C130&amp;" "&amp;D130&amp;" ")&amp;IF(ISBLANK(F130),"",E130&amp;" "&amp;F130&amp;" ")&amp;IF(ISBLANK(H130),"",G130&amp;" "&amp;H130&amp;" ")))</f>
        <v/>
      </c>
      <c r="L130" s="57" t="str">
        <f>IF(AND(ISBLANK(A130),ISBLANK(B130)),"",IF(OR(ISBLANK(A130),ISBLANK(B130)),"-",
IF(ISBLANK(B130),"",LOOKUP(B130,'Objets de gestion'!C:C,'Objets de gestion'!E:E))
&amp;IF(ISBLANK(C130),""," "&amp;LOOKUP(C130,Articles!A:A,Articles!B:B))
&amp;IF(ISBLANK(D130),""," "&amp;LOOKUP(D130,'Objets de gestion'!C:C,'Objets de gestion'!E:E))
&amp;IF(ISBLANK(E130),""," "&amp;LOOKUP(E130,Articles!A:A,Articles!B:B))
&amp;IF(ISBLANK(F130),""," "&amp;LOOKUP(F130,'Objets de gestion'!C:C,'Objets de gestion'!E:E))
&amp;IF(ISBLANK(G130),""," "&amp;LOOKUP(G130,Articles!A:A,Articles!B:B))
&amp;IF(ISBLANK(H130),""," "&amp;LOOKUP(H130,'Objets de gestion'!C:C,'Objets de gestion'!E:E))
))</f>
        <v/>
      </c>
      <c r="M130" s="57" t="str">
        <f t="shared" ref="M130:M157" si="7">IF(AND(ISBLANK(A130),ISBLANK(B130)),"",IF(OR(ISBLANK(A130),ISBLANK(B130)),"-",
A130))</f>
        <v/>
      </c>
    </row>
    <row r="131" spans="1:13" s="57" customFormat="1" ht="15.75" x14ac:dyDescent="0.25">
      <c r="A131" s="62"/>
      <c r="B131" s="61"/>
      <c r="C131" s="61"/>
      <c r="D131" s="61"/>
      <c r="E131" s="61"/>
      <c r="F131" s="61"/>
      <c r="G131" s="61"/>
      <c r="H131" s="61"/>
      <c r="I131" s="58" t="str">
        <f>IF(AND(ISBLANK(A131),ISBLANK(B131)),"",IF(OR(ISBLANK(A131),ISBLANK(B131)),"-",LEN(Tableau47[[#This Row],[Colonne9]])))</f>
        <v/>
      </c>
      <c r="J131" s="59" t="str">
        <f>IF(AND(ISBLANK(A131),ISBLANK(B131)),"",IF(OR(ISBLANK(A131),ISBLANK(B131)),"à compléter",
IF(H131=0,"",LOOKUP(H131,'Objets de gestion'!C:C,'Objets de gestion'!F:F)&amp;"_")
&amp;IF(F131=0,"",LOOKUP(F131,'Objets de gestion'!C:C,'Objets de gestion'!F:F)&amp;"_")
&amp;IF(D131=0,"",LOOKUP(D131,'Objets de gestion'!C:C,'Objets de gestion'!F:F)&amp;"_")
&amp;IF(B131=0,"",LOOKUP(B131,'Objets de gestion'!C:C,'Objets de gestion'!F:F))
))</f>
        <v/>
      </c>
      <c r="K131" s="57" t="str">
        <f t="shared" si="6"/>
        <v/>
      </c>
      <c r="L131" s="57" t="str">
        <f>IF(AND(ISBLANK(A131),ISBLANK(B131)),"",IF(OR(ISBLANK(A131),ISBLANK(B131)),"-",
IF(ISBLANK(B131),"",LOOKUP(B131,'Objets de gestion'!C:C,'Objets de gestion'!E:E))
&amp;IF(ISBLANK(C131),""," "&amp;LOOKUP(C131,Articles!A:A,Articles!B:B))
&amp;IF(ISBLANK(D131),""," "&amp;LOOKUP(D131,'Objets de gestion'!C:C,'Objets de gestion'!E:E))
&amp;IF(ISBLANK(E131),""," "&amp;LOOKUP(E131,Articles!A:A,Articles!B:B))
&amp;IF(ISBLANK(F131),""," "&amp;LOOKUP(F131,'Objets de gestion'!C:C,'Objets de gestion'!E:E))
&amp;IF(ISBLANK(G131),""," "&amp;LOOKUP(G131,Articles!A:A,Articles!B:B))
&amp;IF(ISBLANK(H131),""," "&amp;LOOKUP(H131,'Objets de gestion'!C:C,'Objets de gestion'!E:E))
))</f>
        <v/>
      </c>
      <c r="M131" s="57" t="str">
        <f t="shared" si="7"/>
        <v/>
      </c>
    </row>
    <row r="132" spans="1:13" s="57" customFormat="1" ht="15.75" x14ac:dyDescent="0.25">
      <c r="A132" s="62"/>
      <c r="B132" s="61"/>
      <c r="C132" s="61"/>
      <c r="D132" s="61"/>
      <c r="E132" s="61"/>
      <c r="F132" s="61"/>
      <c r="G132" s="61"/>
      <c r="H132" s="61"/>
      <c r="I132" s="58" t="str">
        <f>IF(AND(ISBLANK(A132),ISBLANK(B132)),"",IF(OR(ISBLANK(A132),ISBLANK(B132)),"-",LEN(Tableau47[[#This Row],[Colonne9]])))</f>
        <v/>
      </c>
      <c r="J132" s="59" t="str">
        <f>IF(AND(ISBLANK(A132),ISBLANK(B132)),"",IF(OR(ISBLANK(A132),ISBLANK(B132)),"à compléter",
IF(H132=0,"",LOOKUP(H132,'Objets de gestion'!C:C,'Objets de gestion'!F:F)&amp;"_")
&amp;IF(F132=0,"",LOOKUP(F132,'Objets de gestion'!C:C,'Objets de gestion'!F:F)&amp;"_")
&amp;IF(D132=0,"",LOOKUP(D132,'Objets de gestion'!C:C,'Objets de gestion'!F:F)&amp;"_")
&amp;IF(B132=0,"",LOOKUP(B132,'Objets de gestion'!C:C,'Objets de gestion'!F:F))
))</f>
        <v/>
      </c>
      <c r="K132" s="57" t="str">
        <f t="shared" si="6"/>
        <v/>
      </c>
      <c r="L132" s="57" t="str">
        <f>IF(AND(ISBLANK(A132),ISBLANK(B132)),"",IF(OR(ISBLANK(A132),ISBLANK(B132)),"-",
IF(ISBLANK(B132),"",LOOKUP(B132,'Objets de gestion'!C:C,'Objets de gestion'!E:E))
&amp;IF(ISBLANK(C132),""," "&amp;LOOKUP(C132,Articles!A:A,Articles!B:B))
&amp;IF(ISBLANK(D132),""," "&amp;LOOKUP(D132,'Objets de gestion'!C:C,'Objets de gestion'!E:E))
&amp;IF(ISBLANK(E132),""," "&amp;LOOKUP(E132,Articles!A:A,Articles!B:B))
&amp;IF(ISBLANK(F132),""," "&amp;LOOKUP(F132,'Objets de gestion'!C:C,'Objets de gestion'!E:E))
&amp;IF(ISBLANK(G132),""," "&amp;LOOKUP(G132,Articles!A:A,Articles!B:B))
&amp;IF(ISBLANK(H132),""," "&amp;LOOKUP(H132,'Objets de gestion'!C:C,'Objets de gestion'!E:E))
))</f>
        <v/>
      </c>
      <c r="M132" s="57" t="str">
        <f t="shared" si="7"/>
        <v/>
      </c>
    </row>
    <row r="133" spans="1:13" s="60" customFormat="1" ht="15.75" x14ac:dyDescent="0.25">
      <c r="A133" s="62"/>
      <c r="B133" s="61"/>
      <c r="C133" s="61"/>
      <c r="D133" s="61"/>
      <c r="E133" s="61"/>
      <c r="F133" s="61"/>
      <c r="G133" s="61"/>
      <c r="H133" s="61"/>
      <c r="I133" s="58" t="str">
        <f>IF(AND(ISBLANK(A133),ISBLANK(B133)),"",IF(OR(ISBLANK(A133),ISBLANK(B133)),"-",LEN(Tableau47[[#This Row],[Colonne9]])))</f>
        <v/>
      </c>
      <c r="J133" s="59" t="str">
        <f>IF(AND(ISBLANK(A133),ISBLANK(B133)),"",IF(OR(ISBLANK(A133),ISBLANK(B133)),"à compléter",
IF(H133=0,"",LOOKUP(H133,'Objets de gestion'!C:C,'Objets de gestion'!F:F)&amp;"_")
&amp;IF(F133=0,"",LOOKUP(F133,'Objets de gestion'!C:C,'Objets de gestion'!F:F)&amp;"_")
&amp;IF(D133=0,"",LOOKUP(D133,'Objets de gestion'!C:C,'Objets de gestion'!F:F)&amp;"_")
&amp;IF(B133=0,"",LOOKUP(B133,'Objets de gestion'!C:C,'Objets de gestion'!F:F))
))</f>
        <v/>
      </c>
      <c r="K133" s="57" t="str">
        <f t="shared" si="6"/>
        <v/>
      </c>
      <c r="L133" s="57" t="str">
        <f>IF(AND(ISBLANK(A133),ISBLANK(B133)),"",IF(OR(ISBLANK(A133),ISBLANK(B133)),"-",
IF(ISBLANK(B133),"",LOOKUP(B133,'Objets de gestion'!C:C,'Objets de gestion'!E:E))
&amp;IF(ISBLANK(C133),""," "&amp;LOOKUP(C133,Articles!A:A,Articles!B:B))
&amp;IF(ISBLANK(D133),""," "&amp;LOOKUP(D133,'Objets de gestion'!C:C,'Objets de gestion'!E:E))
&amp;IF(ISBLANK(E133),""," "&amp;LOOKUP(E133,Articles!A:A,Articles!B:B))
&amp;IF(ISBLANK(F133),""," "&amp;LOOKUP(F133,'Objets de gestion'!C:C,'Objets de gestion'!E:E))
&amp;IF(ISBLANK(G133),""," "&amp;LOOKUP(G133,Articles!A:A,Articles!B:B))
&amp;IF(ISBLANK(H133),""," "&amp;LOOKUP(H133,'Objets de gestion'!C:C,'Objets de gestion'!E:E))
))</f>
        <v/>
      </c>
      <c r="M133" s="57" t="str">
        <f t="shared" si="7"/>
        <v/>
      </c>
    </row>
    <row r="134" spans="1:13" s="57" customFormat="1" ht="15.75" x14ac:dyDescent="0.25">
      <c r="A134" s="62"/>
      <c r="B134" s="61"/>
      <c r="C134" s="61"/>
      <c r="D134" s="61"/>
      <c r="E134" s="61"/>
      <c r="F134" s="61"/>
      <c r="G134" s="61"/>
      <c r="H134" s="61"/>
      <c r="I134" s="58" t="str">
        <f>IF(AND(ISBLANK(A134),ISBLANK(B134)),"",IF(OR(ISBLANK(A134),ISBLANK(B134)),"-",LEN(Tableau47[[#This Row],[Colonne9]])))</f>
        <v/>
      </c>
      <c r="J134" s="59" t="str">
        <f>IF(AND(ISBLANK(A134),ISBLANK(B134)),"",IF(OR(ISBLANK(A134),ISBLANK(B134)),"à compléter",
IF(H134=0,"",LOOKUP(H134,'Objets de gestion'!C:C,'Objets de gestion'!F:F)&amp;"_")
&amp;IF(F134=0,"",LOOKUP(F134,'Objets de gestion'!C:C,'Objets de gestion'!F:F)&amp;"_")
&amp;IF(D134=0,"",LOOKUP(D134,'Objets de gestion'!C:C,'Objets de gestion'!F:F)&amp;"_")
&amp;IF(B134=0,"",LOOKUP(B134,'Objets de gestion'!C:C,'Objets de gestion'!F:F))
))</f>
        <v/>
      </c>
      <c r="K134" s="57" t="str">
        <f t="shared" si="6"/>
        <v/>
      </c>
      <c r="L134" s="57" t="str">
        <f>IF(AND(ISBLANK(A134),ISBLANK(B134)),"",IF(OR(ISBLANK(A134),ISBLANK(B134)),"-",
IF(ISBLANK(B134),"",LOOKUP(B134,'Objets de gestion'!C:C,'Objets de gestion'!E:E))
&amp;IF(ISBLANK(C134),""," "&amp;LOOKUP(C134,Articles!A:A,Articles!B:B))
&amp;IF(ISBLANK(D134),""," "&amp;LOOKUP(D134,'Objets de gestion'!C:C,'Objets de gestion'!E:E))
&amp;IF(ISBLANK(E134),""," "&amp;LOOKUP(E134,Articles!A:A,Articles!B:B))
&amp;IF(ISBLANK(F134),""," "&amp;LOOKUP(F134,'Objets de gestion'!C:C,'Objets de gestion'!E:E))
&amp;IF(ISBLANK(G134),""," "&amp;LOOKUP(G134,Articles!A:A,Articles!B:B))
&amp;IF(ISBLANK(H134),""," "&amp;LOOKUP(H134,'Objets de gestion'!C:C,'Objets de gestion'!E:E))
))</f>
        <v/>
      </c>
      <c r="M134" s="57" t="str">
        <f t="shared" si="7"/>
        <v/>
      </c>
    </row>
    <row r="135" spans="1:13" s="57" customFormat="1" ht="15.75" x14ac:dyDescent="0.25">
      <c r="A135" s="62"/>
      <c r="B135" s="61"/>
      <c r="C135" s="61"/>
      <c r="D135" s="61"/>
      <c r="E135" s="61"/>
      <c r="F135" s="61"/>
      <c r="G135" s="61"/>
      <c r="H135" s="61"/>
      <c r="I135" s="58" t="str">
        <f>IF(AND(ISBLANK(A135),ISBLANK(B135)),"",IF(OR(ISBLANK(A135),ISBLANK(B135)),"-",LEN(Tableau47[[#This Row],[Colonne9]])))</f>
        <v/>
      </c>
      <c r="J135" s="59" t="str">
        <f>IF(AND(ISBLANK(A135),ISBLANK(B135)),"",IF(OR(ISBLANK(A135),ISBLANK(B135)),"à compléter",
IF(H135=0,"",LOOKUP(H135,'Objets de gestion'!C:C,'Objets de gestion'!F:F)&amp;"_")
&amp;IF(F135=0,"",LOOKUP(F135,'Objets de gestion'!C:C,'Objets de gestion'!F:F)&amp;"_")
&amp;IF(D135=0,"",LOOKUP(D135,'Objets de gestion'!C:C,'Objets de gestion'!F:F)&amp;"_")
&amp;IF(B135=0,"",LOOKUP(B135,'Objets de gestion'!C:C,'Objets de gestion'!F:F))
))</f>
        <v/>
      </c>
      <c r="K135" s="57" t="str">
        <f t="shared" si="6"/>
        <v/>
      </c>
      <c r="L135" s="57" t="str">
        <f>IF(AND(ISBLANK(A135),ISBLANK(B135)),"",IF(OR(ISBLANK(A135),ISBLANK(B135)),"-",
IF(ISBLANK(B135),"",LOOKUP(B135,'Objets de gestion'!C:C,'Objets de gestion'!E:E))
&amp;IF(ISBLANK(C135),""," "&amp;LOOKUP(C135,Articles!A:A,Articles!B:B))
&amp;IF(ISBLANK(D135),""," "&amp;LOOKUP(D135,'Objets de gestion'!C:C,'Objets de gestion'!E:E))
&amp;IF(ISBLANK(E135),""," "&amp;LOOKUP(E135,Articles!A:A,Articles!B:B))
&amp;IF(ISBLANK(F135),""," "&amp;LOOKUP(F135,'Objets de gestion'!C:C,'Objets de gestion'!E:E))
&amp;IF(ISBLANK(G135),""," "&amp;LOOKUP(G135,Articles!A:A,Articles!B:B))
&amp;IF(ISBLANK(H135),""," "&amp;LOOKUP(H135,'Objets de gestion'!C:C,'Objets de gestion'!E:E))
))</f>
        <v/>
      </c>
      <c r="M135" s="57" t="str">
        <f t="shared" si="7"/>
        <v/>
      </c>
    </row>
    <row r="136" spans="1:13" s="57" customFormat="1" ht="15.75" x14ac:dyDescent="0.25">
      <c r="A136" s="62"/>
      <c r="B136" s="61"/>
      <c r="C136" s="61"/>
      <c r="D136" s="61"/>
      <c r="E136" s="61"/>
      <c r="F136" s="61"/>
      <c r="G136" s="61"/>
      <c r="H136" s="61"/>
      <c r="I136" s="58" t="str">
        <f>IF(AND(ISBLANK(A136),ISBLANK(B136)),"",IF(OR(ISBLANK(A136),ISBLANK(B136)),"-",LEN(Tableau47[[#This Row],[Colonne9]])))</f>
        <v/>
      </c>
      <c r="J136" s="59" t="str">
        <f>IF(AND(ISBLANK(A136),ISBLANK(B136)),"",IF(OR(ISBLANK(A136),ISBLANK(B136)),"à compléter",
IF(H136=0,"",LOOKUP(H136,'Objets de gestion'!C:C,'Objets de gestion'!F:F)&amp;"_")
&amp;IF(F136=0,"",LOOKUP(F136,'Objets de gestion'!C:C,'Objets de gestion'!F:F)&amp;"_")
&amp;IF(D136=0,"",LOOKUP(D136,'Objets de gestion'!C:C,'Objets de gestion'!F:F)&amp;"_")
&amp;IF(B136=0,"",LOOKUP(B136,'Objets de gestion'!C:C,'Objets de gestion'!F:F))
))</f>
        <v/>
      </c>
      <c r="K136" s="57" t="str">
        <f t="shared" si="6"/>
        <v/>
      </c>
      <c r="L136" s="57" t="str">
        <f>IF(AND(ISBLANK(A136),ISBLANK(B136)),"",IF(OR(ISBLANK(A136),ISBLANK(B136)),"-",
IF(ISBLANK(B136),"",LOOKUP(B136,'Objets de gestion'!C:C,'Objets de gestion'!E:E))
&amp;IF(ISBLANK(C136),""," "&amp;LOOKUP(C136,Articles!A:A,Articles!B:B))
&amp;IF(ISBLANK(D136),""," "&amp;LOOKUP(D136,'Objets de gestion'!C:C,'Objets de gestion'!E:E))
&amp;IF(ISBLANK(E136),""," "&amp;LOOKUP(E136,Articles!A:A,Articles!B:B))
&amp;IF(ISBLANK(F136),""," "&amp;LOOKUP(F136,'Objets de gestion'!C:C,'Objets de gestion'!E:E))
&amp;IF(ISBLANK(G136),""," "&amp;LOOKUP(G136,Articles!A:A,Articles!B:B))
&amp;IF(ISBLANK(H136),""," "&amp;LOOKUP(H136,'Objets de gestion'!C:C,'Objets de gestion'!E:E))
))</f>
        <v/>
      </c>
      <c r="M136" s="57" t="str">
        <f t="shared" si="7"/>
        <v/>
      </c>
    </row>
    <row r="137" spans="1:13" s="57" customFormat="1" ht="15.75" x14ac:dyDescent="0.25">
      <c r="A137" s="62"/>
      <c r="B137" s="61"/>
      <c r="C137" s="61"/>
      <c r="D137" s="61"/>
      <c r="E137" s="61"/>
      <c r="F137" s="61"/>
      <c r="G137" s="61"/>
      <c r="H137" s="61"/>
      <c r="I137" s="58" t="str">
        <f>IF(AND(ISBLANK(A137),ISBLANK(B137)),"",IF(OR(ISBLANK(A137),ISBLANK(B137)),"-",LEN(Tableau47[[#This Row],[Colonne9]])))</f>
        <v/>
      </c>
      <c r="J137" s="59" t="str">
        <f>IF(AND(ISBLANK(A137),ISBLANK(B137)),"",IF(OR(ISBLANK(A137),ISBLANK(B137)),"à compléter",
IF(H137=0,"",LOOKUP(H137,'Objets de gestion'!C:C,'Objets de gestion'!F:F)&amp;"_")
&amp;IF(F137=0,"",LOOKUP(F137,'Objets de gestion'!C:C,'Objets de gestion'!F:F)&amp;"_")
&amp;IF(D137=0,"",LOOKUP(D137,'Objets de gestion'!C:C,'Objets de gestion'!F:F)&amp;"_")
&amp;IF(B137=0,"",LOOKUP(B137,'Objets de gestion'!C:C,'Objets de gestion'!F:F))
))</f>
        <v/>
      </c>
      <c r="K137" s="57" t="str">
        <f t="shared" si="6"/>
        <v/>
      </c>
      <c r="L137" s="57" t="str">
        <f>IF(AND(ISBLANK(A137),ISBLANK(B137)),"",IF(OR(ISBLANK(A137),ISBLANK(B137)),"-",
IF(ISBLANK(B137),"",LOOKUP(B137,'Objets de gestion'!C:C,'Objets de gestion'!E:E))
&amp;IF(ISBLANK(C137),""," "&amp;LOOKUP(C137,Articles!A:A,Articles!B:B))
&amp;IF(ISBLANK(D137),""," "&amp;LOOKUP(D137,'Objets de gestion'!C:C,'Objets de gestion'!E:E))
&amp;IF(ISBLANK(E137),""," "&amp;LOOKUP(E137,Articles!A:A,Articles!B:B))
&amp;IF(ISBLANK(F137),""," "&amp;LOOKUP(F137,'Objets de gestion'!C:C,'Objets de gestion'!E:E))
&amp;IF(ISBLANK(G137),""," "&amp;LOOKUP(G137,Articles!A:A,Articles!B:B))
&amp;IF(ISBLANK(H137),""," "&amp;LOOKUP(H137,'Objets de gestion'!C:C,'Objets de gestion'!E:E))
))</f>
        <v/>
      </c>
      <c r="M137" s="57" t="str">
        <f t="shared" si="7"/>
        <v/>
      </c>
    </row>
    <row r="138" spans="1:13" s="57" customFormat="1" ht="15.75" x14ac:dyDescent="0.25">
      <c r="A138" s="62"/>
      <c r="B138" s="61"/>
      <c r="C138" s="61"/>
      <c r="D138" s="61"/>
      <c r="E138" s="61"/>
      <c r="F138" s="61"/>
      <c r="G138" s="61"/>
      <c r="H138" s="61"/>
      <c r="I138" s="58" t="str">
        <f>IF(AND(ISBLANK(A138),ISBLANK(B138)),"",IF(OR(ISBLANK(A138),ISBLANK(B138)),"-",LEN(Tableau47[[#This Row],[Colonne9]])))</f>
        <v/>
      </c>
      <c r="J138" s="59" t="str">
        <f>IF(AND(ISBLANK(A138),ISBLANK(B138)),"",IF(OR(ISBLANK(A138),ISBLANK(B138)),"à compléter",
IF(H138=0,"",LOOKUP(H138,'Objets de gestion'!C:C,'Objets de gestion'!F:F)&amp;"_")
&amp;IF(F138=0,"",LOOKUP(F138,'Objets de gestion'!C:C,'Objets de gestion'!F:F)&amp;"_")
&amp;IF(D138=0,"",LOOKUP(D138,'Objets de gestion'!C:C,'Objets de gestion'!F:F)&amp;"_")
&amp;IF(B138=0,"",LOOKUP(B138,'Objets de gestion'!C:C,'Objets de gestion'!F:F))
))</f>
        <v/>
      </c>
      <c r="K138" s="57" t="str">
        <f t="shared" si="6"/>
        <v/>
      </c>
      <c r="L138" s="57" t="str">
        <f>IF(AND(ISBLANK(A138),ISBLANK(B138)),"",IF(OR(ISBLANK(A138),ISBLANK(B138)),"-",
IF(ISBLANK(B138),"",LOOKUP(B138,'Objets de gestion'!C:C,'Objets de gestion'!E:E))
&amp;IF(ISBLANK(C138),""," "&amp;LOOKUP(C138,Articles!A:A,Articles!B:B))
&amp;IF(ISBLANK(D138),""," "&amp;LOOKUP(D138,'Objets de gestion'!C:C,'Objets de gestion'!E:E))
&amp;IF(ISBLANK(E138),""," "&amp;LOOKUP(E138,Articles!A:A,Articles!B:B))
&amp;IF(ISBLANK(F138),""," "&amp;LOOKUP(F138,'Objets de gestion'!C:C,'Objets de gestion'!E:E))
&amp;IF(ISBLANK(G138),""," "&amp;LOOKUP(G138,Articles!A:A,Articles!B:B))
&amp;IF(ISBLANK(H138),""," "&amp;LOOKUP(H138,'Objets de gestion'!C:C,'Objets de gestion'!E:E))
))</f>
        <v/>
      </c>
      <c r="M138" s="57" t="str">
        <f t="shared" si="7"/>
        <v/>
      </c>
    </row>
    <row r="139" spans="1:13" s="57" customFormat="1" ht="15.75" x14ac:dyDescent="0.25">
      <c r="A139" s="62"/>
      <c r="B139" s="61"/>
      <c r="C139" s="61"/>
      <c r="D139" s="61"/>
      <c r="E139" s="61"/>
      <c r="F139" s="61"/>
      <c r="G139" s="61"/>
      <c r="H139" s="61"/>
      <c r="I139" s="58" t="str">
        <f>IF(AND(ISBLANK(A139),ISBLANK(B139)),"",IF(OR(ISBLANK(A139),ISBLANK(B139)),"-",LEN(Tableau47[[#This Row],[Colonne9]])))</f>
        <v/>
      </c>
      <c r="J139" s="59" t="str">
        <f>IF(AND(ISBLANK(A139),ISBLANK(B139)),"",IF(OR(ISBLANK(A139),ISBLANK(B139)),"à compléter",
IF(H139=0,"",LOOKUP(H139,'Objets de gestion'!C:C,'Objets de gestion'!F:F)&amp;"_")
&amp;IF(F139=0,"",LOOKUP(F139,'Objets de gestion'!C:C,'Objets de gestion'!F:F)&amp;"_")
&amp;IF(D139=0,"",LOOKUP(D139,'Objets de gestion'!C:C,'Objets de gestion'!F:F)&amp;"_")
&amp;IF(B139=0,"",LOOKUP(B139,'Objets de gestion'!C:C,'Objets de gestion'!F:F))
))</f>
        <v/>
      </c>
      <c r="K139" s="57" t="str">
        <f t="shared" si="6"/>
        <v/>
      </c>
      <c r="L139" s="57" t="str">
        <f>IF(AND(ISBLANK(A139),ISBLANK(B139)),"",IF(OR(ISBLANK(A139),ISBLANK(B139)),"-",
IF(ISBLANK(B139),"",LOOKUP(B139,'Objets de gestion'!C:C,'Objets de gestion'!E:E))
&amp;IF(ISBLANK(C139),""," "&amp;LOOKUP(C139,Articles!A:A,Articles!B:B))
&amp;IF(ISBLANK(D139),""," "&amp;LOOKUP(D139,'Objets de gestion'!C:C,'Objets de gestion'!E:E))
&amp;IF(ISBLANK(E139),""," "&amp;LOOKUP(E139,Articles!A:A,Articles!B:B))
&amp;IF(ISBLANK(F139),""," "&amp;LOOKUP(F139,'Objets de gestion'!C:C,'Objets de gestion'!E:E))
&amp;IF(ISBLANK(G139),""," "&amp;LOOKUP(G139,Articles!A:A,Articles!B:B))
&amp;IF(ISBLANK(H139),""," "&amp;LOOKUP(H139,'Objets de gestion'!C:C,'Objets de gestion'!E:E))
))</f>
        <v/>
      </c>
      <c r="M139" s="57" t="str">
        <f t="shared" si="7"/>
        <v/>
      </c>
    </row>
    <row r="140" spans="1:13" s="57" customFormat="1" ht="15.75" x14ac:dyDescent="0.25">
      <c r="A140" s="62"/>
      <c r="B140" s="61"/>
      <c r="C140" s="61"/>
      <c r="D140" s="61"/>
      <c r="E140" s="61"/>
      <c r="F140" s="61"/>
      <c r="G140" s="61"/>
      <c r="H140" s="61"/>
      <c r="I140" s="58" t="str">
        <f>IF(AND(ISBLANK(A140),ISBLANK(B140)),"",IF(OR(ISBLANK(A140),ISBLANK(B140)),"-",LEN(Tableau47[[#This Row],[Colonne9]])))</f>
        <v/>
      </c>
      <c r="J140" s="59" t="str">
        <f>IF(AND(ISBLANK(A140),ISBLANK(B140)),"",IF(OR(ISBLANK(A140),ISBLANK(B140)),"à compléter",
IF(H140=0,"",LOOKUP(H140,'Objets de gestion'!C:C,'Objets de gestion'!F:F)&amp;"_")
&amp;IF(F140=0,"",LOOKUP(F140,'Objets de gestion'!C:C,'Objets de gestion'!F:F)&amp;"_")
&amp;IF(D140=0,"",LOOKUP(D140,'Objets de gestion'!C:C,'Objets de gestion'!F:F)&amp;"_")
&amp;IF(B140=0,"",LOOKUP(B140,'Objets de gestion'!C:C,'Objets de gestion'!F:F))
))</f>
        <v/>
      </c>
      <c r="K140" s="57" t="str">
        <f t="shared" si="6"/>
        <v/>
      </c>
      <c r="L140" s="57" t="str">
        <f>IF(AND(ISBLANK(A140),ISBLANK(B140)),"",IF(OR(ISBLANK(A140),ISBLANK(B140)),"-",
IF(ISBLANK(B140),"",LOOKUP(B140,'Objets de gestion'!C:C,'Objets de gestion'!E:E))
&amp;IF(ISBLANK(C140),""," "&amp;LOOKUP(C140,Articles!A:A,Articles!B:B))
&amp;IF(ISBLANK(D140),""," "&amp;LOOKUP(D140,'Objets de gestion'!C:C,'Objets de gestion'!E:E))
&amp;IF(ISBLANK(E140),""," "&amp;LOOKUP(E140,Articles!A:A,Articles!B:B))
&amp;IF(ISBLANK(F140),""," "&amp;LOOKUP(F140,'Objets de gestion'!C:C,'Objets de gestion'!E:E))
&amp;IF(ISBLANK(G140),""," "&amp;LOOKUP(G140,Articles!A:A,Articles!B:B))
&amp;IF(ISBLANK(H140),""," "&amp;LOOKUP(H140,'Objets de gestion'!C:C,'Objets de gestion'!E:E))
))</f>
        <v/>
      </c>
      <c r="M140" s="57" t="str">
        <f t="shared" si="7"/>
        <v/>
      </c>
    </row>
    <row r="141" spans="1:13" s="57" customFormat="1" ht="15.75" x14ac:dyDescent="0.25">
      <c r="A141" s="62"/>
      <c r="B141" s="61"/>
      <c r="C141" s="61"/>
      <c r="D141" s="61"/>
      <c r="E141" s="61"/>
      <c r="F141" s="61"/>
      <c r="G141" s="61"/>
      <c r="H141" s="61"/>
      <c r="I141" s="58" t="str">
        <f>IF(AND(ISBLANK(A141),ISBLANK(B141)),"",IF(OR(ISBLANK(A141),ISBLANK(B141)),"-",LEN(Tableau47[[#This Row],[Colonne9]])))</f>
        <v/>
      </c>
      <c r="J141" s="59" t="str">
        <f>IF(AND(ISBLANK(A141),ISBLANK(B141)),"",IF(OR(ISBLANK(A141),ISBLANK(B141)),"à compléter",
IF(H141=0,"",LOOKUP(H141,'Objets de gestion'!C:C,'Objets de gestion'!F:F)&amp;"_")
&amp;IF(F141=0,"",LOOKUP(F141,'Objets de gestion'!C:C,'Objets de gestion'!F:F)&amp;"_")
&amp;IF(D141=0,"",LOOKUP(D141,'Objets de gestion'!C:C,'Objets de gestion'!F:F)&amp;"_")
&amp;IF(B141=0,"",LOOKUP(B141,'Objets de gestion'!C:C,'Objets de gestion'!F:F))
))</f>
        <v/>
      </c>
      <c r="K141" s="57" t="str">
        <f t="shared" si="6"/>
        <v/>
      </c>
      <c r="L141" s="57" t="str">
        <f>IF(AND(ISBLANK(A141),ISBLANK(B141)),"",IF(OR(ISBLANK(A141),ISBLANK(B141)),"-",
IF(ISBLANK(B141),"",LOOKUP(B141,'Objets de gestion'!C:C,'Objets de gestion'!E:E))
&amp;IF(ISBLANK(C141),""," "&amp;LOOKUP(C141,Articles!A:A,Articles!B:B))
&amp;IF(ISBLANK(D141),""," "&amp;LOOKUP(D141,'Objets de gestion'!C:C,'Objets de gestion'!E:E))
&amp;IF(ISBLANK(E141),""," "&amp;LOOKUP(E141,Articles!A:A,Articles!B:B))
&amp;IF(ISBLANK(F141),""," "&amp;LOOKUP(F141,'Objets de gestion'!C:C,'Objets de gestion'!E:E))
&amp;IF(ISBLANK(G141),""," "&amp;LOOKUP(G141,Articles!A:A,Articles!B:B))
&amp;IF(ISBLANK(H141),""," "&amp;LOOKUP(H141,'Objets de gestion'!C:C,'Objets de gestion'!E:E))
))</f>
        <v/>
      </c>
      <c r="M141" s="57" t="str">
        <f t="shared" si="7"/>
        <v/>
      </c>
    </row>
    <row r="142" spans="1:13" s="57" customFormat="1" ht="15.75" x14ac:dyDescent="0.25">
      <c r="A142" s="62"/>
      <c r="B142" s="61"/>
      <c r="C142" s="61"/>
      <c r="D142" s="61"/>
      <c r="E142" s="61"/>
      <c r="F142" s="61"/>
      <c r="G142" s="61"/>
      <c r="H142" s="61"/>
      <c r="I142" s="58" t="str">
        <f>IF(AND(ISBLANK(A142),ISBLANK(B142)),"",IF(OR(ISBLANK(A142),ISBLANK(B142)),"-",LEN(Tableau47[[#This Row],[Colonne9]])))</f>
        <v/>
      </c>
      <c r="J142" s="59" t="str">
        <f>IF(AND(ISBLANK(A142),ISBLANK(B142)),"",IF(OR(ISBLANK(A142),ISBLANK(B142)),"à compléter",
IF(H142=0,"",LOOKUP(H142,'Objets de gestion'!C:C,'Objets de gestion'!F:F)&amp;"_")
&amp;IF(F142=0,"",LOOKUP(F142,'Objets de gestion'!C:C,'Objets de gestion'!F:F)&amp;"_")
&amp;IF(D142=0,"",LOOKUP(D142,'Objets de gestion'!C:C,'Objets de gestion'!F:F)&amp;"_")
&amp;IF(B142=0,"",LOOKUP(B142,'Objets de gestion'!C:C,'Objets de gestion'!F:F))
))</f>
        <v/>
      </c>
      <c r="K142" s="57" t="str">
        <f t="shared" si="6"/>
        <v/>
      </c>
      <c r="L142" s="57" t="str">
        <f>IF(AND(ISBLANK(A142),ISBLANK(B142)),"",IF(OR(ISBLANK(A142),ISBLANK(B142)),"-",
IF(ISBLANK(B142),"",LOOKUP(B142,'Objets de gestion'!C:C,'Objets de gestion'!E:E))
&amp;IF(ISBLANK(C142),""," "&amp;LOOKUP(C142,Articles!A:A,Articles!B:B))
&amp;IF(ISBLANK(D142),""," "&amp;LOOKUP(D142,'Objets de gestion'!C:C,'Objets de gestion'!E:E))
&amp;IF(ISBLANK(E142),""," "&amp;LOOKUP(E142,Articles!A:A,Articles!B:B))
&amp;IF(ISBLANK(F142),""," "&amp;LOOKUP(F142,'Objets de gestion'!C:C,'Objets de gestion'!E:E))
&amp;IF(ISBLANK(G142),""," "&amp;LOOKUP(G142,Articles!A:A,Articles!B:B))
&amp;IF(ISBLANK(H142),""," "&amp;LOOKUP(H142,'Objets de gestion'!C:C,'Objets de gestion'!E:E))
))</f>
        <v/>
      </c>
      <c r="M142" s="57" t="str">
        <f t="shared" si="7"/>
        <v/>
      </c>
    </row>
    <row r="143" spans="1:13" s="57" customFormat="1" ht="15.75" x14ac:dyDescent="0.25">
      <c r="A143" s="62"/>
      <c r="B143" s="61"/>
      <c r="C143" s="61"/>
      <c r="D143" s="61"/>
      <c r="E143" s="61"/>
      <c r="F143" s="61"/>
      <c r="G143" s="61"/>
      <c r="H143" s="61"/>
      <c r="I143" s="58" t="str">
        <f>IF(AND(ISBLANK(A143),ISBLANK(B143)),"",IF(OR(ISBLANK(A143),ISBLANK(B143)),"-",LEN(Tableau47[[#This Row],[Colonne9]])))</f>
        <v/>
      </c>
      <c r="J143" s="59" t="str">
        <f>IF(AND(ISBLANK(A143),ISBLANK(B143)),"",IF(OR(ISBLANK(A143),ISBLANK(B143)),"à compléter",
IF(H143=0,"",LOOKUP(H143,'Objets de gestion'!C:C,'Objets de gestion'!F:F)&amp;"_")
&amp;IF(F143=0,"",LOOKUP(F143,'Objets de gestion'!C:C,'Objets de gestion'!F:F)&amp;"_")
&amp;IF(D143=0,"",LOOKUP(D143,'Objets de gestion'!C:C,'Objets de gestion'!F:F)&amp;"_")
&amp;IF(B143=0,"",LOOKUP(B143,'Objets de gestion'!C:C,'Objets de gestion'!F:F))
))</f>
        <v/>
      </c>
      <c r="K143" s="57" t="str">
        <f t="shared" si="6"/>
        <v/>
      </c>
      <c r="L143" s="57" t="str">
        <f>IF(AND(ISBLANK(A143),ISBLANK(B143)),"",IF(OR(ISBLANK(A143),ISBLANK(B143)),"-",
IF(ISBLANK(B143),"",LOOKUP(B143,'Objets de gestion'!C:C,'Objets de gestion'!E:E))
&amp;IF(ISBLANK(C143),""," "&amp;LOOKUP(C143,Articles!A:A,Articles!B:B))
&amp;IF(ISBLANK(D143),""," "&amp;LOOKUP(D143,'Objets de gestion'!C:C,'Objets de gestion'!E:E))
&amp;IF(ISBLANK(E143),""," "&amp;LOOKUP(E143,Articles!A:A,Articles!B:B))
&amp;IF(ISBLANK(F143),""," "&amp;LOOKUP(F143,'Objets de gestion'!C:C,'Objets de gestion'!E:E))
&amp;IF(ISBLANK(G143),""," "&amp;LOOKUP(G143,Articles!A:A,Articles!B:B))
&amp;IF(ISBLANK(H143),""," "&amp;LOOKUP(H143,'Objets de gestion'!C:C,'Objets de gestion'!E:E))
))</f>
        <v/>
      </c>
      <c r="M143" s="57" t="str">
        <f t="shared" si="7"/>
        <v/>
      </c>
    </row>
    <row r="144" spans="1:13" s="57" customFormat="1" ht="15.75" x14ac:dyDescent="0.25">
      <c r="A144" s="62"/>
      <c r="B144" s="61"/>
      <c r="C144" s="61"/>
      <c r="D144" s="61"/>
      <c r="E144" s="61"/>
      <c r="F144" s="61"/>
      <c r="G144" s="61"/>
      <c r="H144" s="61"/>
      <c r="I144" s="58" t="str">
        <f>IF(AND(ISBLANK(A144),ISBLANK(B144)),"",IF(OR(ISBLANK(A144),ISBLANK(B144)),"-",LEN(Tableau47[[#This Row],[Colonne9]])))</f>
        <v/>
      </c>
      <c r="J144" s="59" t="str">
        <f>IF(AND(ISBLANK(A144),ISBLANK(B144)),"",IF(OR(ISBLANK(A144),ISBLANK(B144)),"à compléter",
IF(H144=0,"",LOOKUP(H144,'Objets de gestion'!C:C,'Objets de gestion'!F:F)&amp;"_")
&amp;IF(F144=0,"",LOOKUP(F144,'Objets de gestion'!C:C,'Objets de gestion'!F:F)&amp;"_")
&amp;IF(D144=0,"",LOOKUP(D144,'Objets de gestion'!C:C,'Objets de gestion'!F:F)&amp;"_")
&amp;IF(B144=0,"",LOOKUP(B144,'Objets de gestion'!C:C,'Objets de gestion'!F:F))
))</f>
        <v/>
      </c>
      <c r="K144" s="57" t="str">
        <f t="shared" si="6"/>
        <v/>
      </c>
      <c r="L144" s="57" t="str">
        <f>IF(AND(ISBLANK(A144),ISBLANK(B144)),"",IF(OR(ISBLANK(A144),ISBLANK(B144)),"-",
IF(ISBLANK(B144),"",LOOKUP(B144,'Objets de gestion'!C:C,'Objets de gestion'!E:E))
&amp;IF(ISBLANK(C144),""," "&amp;LOOKUP(C144,Articles!A:A,Articles!B:B))
&amp;IF(ISBLANK(D144),""," "&amp;LOOKUP(D144,'Objets de gestion'!C:C,'Objets de gestion'!E:E))
&amp;IF(ISBLANK(E144),""," "&amp;LOOKUP(E144,Articles!A:A,Articles!B:B))
&amp;IF(ISBLANK(F144),""," "&amp;LOOKUP(F144,'Objets de gestion'!C:C,'Objets de gestion'!E:E))
&amp;IF(ISBLANK(G144),""," "&amp;LOOKUP(G144,Articles!A:A,Articles!B:B))
&amp;IF(ISBLANK(H144),""," "&amp;LOOKUP(H144,'Objets de gestion'!C:C,'Objets de gestion'!E:E))
))</f>
        <v/>
      </c>
      <c r="M144" s="57" t="str">
        <f t="shared" si="7"/>
        <v/>
      </c>
    </row>
    <row r="145" spans="1:13" s="57" customFormat="1" ht="15.75" x14ac:dyDescent="0.25">
      <c r="A145" s="62"/>
      <c r="B145" s="61"/>
      <c r="C145" s="61"/>
      <c r="D145" s="61"/>
      <c r="E145" s="61"/>
      <c r="F145" s="61"/>
      <c r="G145" s="61"/>
      <c r="H145" s="61"/>
      <c r="I145" s="58" t="str">
        <f>IF(AND(ISBLANK(A145),ISBLANK(B145)),"",IF(OR(ISBLANK(A145),ISBLANK(B145)),"-",LEN(Tableau47[[#This Row],[Colonne9]])))</f>
        <v/>
      </c>
      <c r="J145" s="59" t="str">
        <f>IF(AND(ISBLANK(A145),ISBLANK(B145)),"",IF(OR(ISBLANK(A145),ISBLANK(B145)),"à compléter",
IF(H145=0,"",LOOKUP(H145,'Objets de gestion'!C:C,'Objets de gestion'!F:F)&amp;"_")
&amp;IF(F145=0,"",LOOKUP(F145,'Objets de gestion'!C:C,'Objets de gestion'!F:F)&amp;"_")
&amp;IF(D145=0,"",LOOKUP(D145,'Objets de gestion'!C:C,'Objets de gestion'!F:F)&amp;"_")
&amp;IF(B145=0,"",LOOKUP(B145,'Objets de gestion'!C:C,'Objets de gestion'!F:F))
))</f>
        <v/>
      </c>
      <c r="K145" s="57" t="str">
        <f t="shared" si="6"/>
        <v/>
      </c>
      <c r="L145" s="57" t="str">
        <f>IF(AND(ISBLANK(A145),ISBLANK(B145)),"",IF(OR(ISBLANK(A145),ISBLANK(B145)),"-",
IF(ISBLANK(B145),"",LOOKUP(B145,'Objets de gestion'!C:C,'Objets de gestion'!E:E))
&amp;IF(ISBLANK(C145),""," "&amp;LOOKUP(C145,Articles!A:A,Articles!B:B))
&amp;IF(ISBLANK(D145),""," "&amp;LOOKUP(D145,'Objets de gestion'!C:C,'Objets de gestion'!E:E))
&amp;IF(ISBLANK(E145),""," "&amp;LOOKUP(E145,Articles!A:A,Articles!B:B))
&amp;IF(ISBLANK(F145),""," "&amp;LOOKUP(F145,'Objets de gestion'!C:C,'Objets de gestion'!E:E))
&amp;IF(ISBLANK(G145),""," "&amp;LOOKUP(G145,Articles!A:A,Articles!B:B))
&amp;IF(ISBLANK(H145),""," "&amp;LOOKUP(H145,'Objets de gestion'!C:C,'Objets de gestion'!E:E))
))</f>
        <v/>
      </c>
      <c r="M145" s="57" t="str">
        <f t="shared" si="7"/>
        <v/>
      </c>
    </row>
    <row r="146" spans="1:13" s="57" customFormat="1" ht="15.75" x14ac:dyDescent="0.25">
      <c r="A146" s="62"/>
      <c r="B146" s="61"/>
      <c r="C146" s="61"/>
      <c r="D146" s="61"/>
      <c r="E146" s="61"/>
      <c r="F146" s="61"/>
      <c r="G146" s="61"/>
      <c r="H146" s="61"/>
      <c r="I146" s="58" t="str">
        <f>IF(AND(ISBLANK(A146),ISBLANK(B146)),"",IF(OR(ISBLANK(A146),ISBLANK(B146)),"-",LEN(Tableau47[[#This Row],[Colonne9]])))</f>
        <v/>
      </c>
      <c r="J146" s="59" t="str">
        <f>IF(AND(ISBLANK(A146),ISBLANK(B146)),"",IF(OR(ISBLANK(A146),ISBLANK(B146)),"à compléter",
IF(H146=0,"",LOOKUP(H146,'Objets de gestion'!C:C,'Objets de gestion'!F:F)&amp;"_")
&amp;IF(F146=0,"",LOOKUP(F146,'Objets de gestion'!C:C,'Objets de gestion'!F:F)&amp;"_")
&amp;IF(D146=0,"",LOOKUP(D146,'Objets de gestion'!C:C,'Objets de gestion'!F:F)&amp;"_")
&amp;IF(B146=0,"",LOOKUP(B146,'Objets de gestion'!C:C,'Objets de gestion'!F:F))
))</f>
        <v/>
      </c>
      <c r="K146" s="57" t="str">
        <f t="shared" si="6"/>
        <v/>
      </c>
      <c r="L146" s="57" t="str">
        <f>IF(AND(ISBLANK(A146),ISBLANK(B146)),"",IF(OR(ISBLANK(A146),ISBLANK(B146)),"-",
IF(ISBLANK(B146),"",LOOKUP(B146,'Objets de gestion'!C:C,'Objets de gestion'!E:E))
&amp;IF(ISBLANK(C146),""," "&amp;LOOKUP(C146,Articles!A:A,Articles!B:B))
&amp;IF(ISBLANK(D146),""," "&amp;LOOKUP(D146,'Objets de gestion'!C:C,'Objets de gestion'!E:E))
&amp;IF(ISBLANK(E146),""," "&amp;LOOKUP(E146,Articles!A:A,Articles!B:B))
&amp;IF(ISBLANK(F146),""," "&amp;LOOKUP(F146,'Objets de gestion'!C:C,'Objets de gestion'!E:E))
&amp;IF(ISBLANK(G146),""," "&amp;LOOKUP(G146,Articles!A:A,Articles!B:B))
&amp;IF(ISBLANK(H146),""," "&amp;LOOKUP(H146,'Objets de gestion'!C:C,'Objets de gestion'!E:E))
))</f>
        <v/>
      </c>
      <c r="M146" s="57" t="str">
        <f t="shared" si="7"/>
        <v/>
      </c>
    </row>
    <row r="147" spans="1:13" s="57" customFormat="1" ht="15.75" x14ac:dyDescent="0.25">
      <c r="A147" s="62"/>
      <c r="B147" s="61"/>
      <c r="C147" s="61"/>
      <c r="D147" s="61"/>
      <c r="E147" s="61"/>
      <c r="F147" s="61"/>
      <c r="G147" s="61"/>
      <c r="H147" s="61"/>
      <c r="I147" s="58" t="str">
        <f>IF(AND(ISBLANK(A147),ISBLANK(B147)),"",IF(OR(ISBLANK(A147),ISBLANK(B147)),"-",LEN(Tableau47[[#This Row],[Colonne9]])))</f>
        <v/>
      </c>
      <c r="J147" s="59" t="str">
        <f>IF(AND(ISBLANK(A147),ISBLANK(B147)),"",IF(OR(ISBLANK(A147),ISBLANK(B147)),"à compléter",
IF(H147=0,"",LOOKUP(H147,'Objets de gestion'!C:C,'Objets de gestion'!F:F)&amp;"_")
&amp;IF(F147=0,"",LOOKUP(F147,'Objets de gestion'!C:C,'Objets de gestion'!F:F)&amp;"_")
&amp;IF(D147=0,"",LOOKUP(D147,'Objets de gestion'!C:C,'Objets de gestion'!F:F)&amp;"_")
&amp;IF(B147=0,"",LOOKUP(B147,'Objets de gestion'!C:C,'Objets de gestion'!F:F))
))</f>
        <v/>
      </c>
      <c r="K147" s="57" t="str">
        <f t="shared" si="6"/>
        <v/>
      </c>
      <c r="L147" s="57" t="str">
        <f>IF(AND(ISBLANK(A147),ISBLANK(B147)),"",IF(OR(ISBLANK(A147),ISBLANK(B147)),"-",
IF(ISBLANK(B147),"",LOOKUP(B147,'Objets de gestion'!C:C,'Objets de gestion'!E:E))
&amp;IF(ISBLANK(C147),""," "&amp;LOOKUP(C147,Articles!A:A,Articles!B:B))
&amp;IF(ISBLANK(D147),""," "&amp;LOOKUP(D147,'Objets de gestion'!C:C,'Objets de gestion'!E:E))
&amp;IF(ISBLANK(E147),""," "&amp;LOOKUP(E147,Articles!A:A,Articles!B:B))
&amp;IF(ISBLANK(F147),""," "&amp;LOOKUP(F147,'Objets de gestion'!C:C,'Objets de gestion'!E:E))
&amp;IF(ISBLANK(G147),""," "&amp;LOOKUP(G147,Articles!A:A,Articles!B:B))
&amp;IF(ISBLANK(H147),""," "&amp;LOOKUP(H147,'Objets de gestion'!C:C,'Objets de gestion'!E:E))
))</f>
        <v/>
      </c>
      <c r="M147" s="57" t="str">
        <f t="shared" si="7"/>
        <v/>
      </c>
    </row>
    <row r="148" spans="1:13" s="57" customFormat="1" ht="15.75" x14ac:dyDescent="0.25">
      <c r="A148" s="62"/>
      <c r="B148" s="61"/>
      <c r="C148" s="61"/>
      <c r="D148" s="61"/>
      <c r="E148" s="61"/>
      <c r="F148" s="61"/>
      <c r="G148" s="61"/>
      <c r="H148" s="61"/>
      <c r="I148" s="58" t="str">
        <f>IF(AND(ISBLANK(A148),ISBLANK(B148)),"",IF(OR(ISBLANK(A148),ISBLANK(B148)),"-",LEN(Tableau47[[#This Row],[Colonne9]])))</f>
        <v/>
      </c>
      <c r="J148" s="59" t="str">
        <f>IF(AND(ISBLANK(A148),ISBLANK(B148)),"",IF(OR(ISBLANK(A148),ISBLANK(B148)),"à compléter",
IF(H148=0,"",LOOKUP(H148,'Objets de gestion'!C:C,'Objets de gestion'!F:F)&amp;"_")
&amp;IF(F148=0,"",LOOKUP(F148,'Objets de gestion'!C:C,'Objets de gestion'!F:F)&amp;"_")
&amp;IF(D148=0,"",LOOKUP(D148,'Objets de gestion'!C:C,'Objets de gestion'!F:F)&amp;"_")
&amp;IF(B148=0,"",LOOKUP(B148,'Objets de gestion'!C:C,'Objets de gestion'!F:F))
))</f>
        <v/>
      </c>
      <c r="K148" s="57" t="str">
        <f t="shared" si="6"/>
        <v/>
      </c>
      <c r="L148" s="57" t="str">
        <f>IF(AND(ISBLANK(A148),ISBLANK(B148)),"",IF(OR(ISBLANK(A148),ISBLANK(B148)),"-",
IF(ISBLANK(B148),"",LOOKUP(B148,'Objets de gestion'!C:C,'Objets de gestion'!E:E))
&amp;IF(ISBLANK(C148),""," "&amp;LOOKUP(C148,Articles!A:A,Articles!B:B))
&amp;IF(ISBLANK(D148),""," "&amp;LOOKUP(D148,'Objets de gestion'!C:C,'Objets de gestion'!E:E))
&amp;IF(ISBLANK(E148),""," "&amp;LOOKUP(E148,Articles!A:A,Articles!B:B))
&amp;IF(ISBLANK(F148),""," "&amp;LOOKUP(F148,'Objets de gestion'!C:C,'Objets de gestion'!E:E))
&amp;IF(ISBLANK(G148),""," "&amp;LOOKUP(G148,Articles!A:A,Articles!B:B))
&amp;IF(ISBLANK(H148),""," "&amp;LOOKUP(H148,'Objets de gestion'!C:C,'Objets de gestion'!E:E))
))</f>
        <v/>
      </c>
      <c r="M148" s="57" t="str">
        <f t="shared" si="7"/>
        <v/>
      </c>
    </row>
    <row r="149" spans="1:13" s="57" customFormat="1" ht="15.75" x14ac:dyDescent="0.25">
      <c r="A149" s="62"/>
      <c r="B149" s="61"/>
      <c r="C149" s="61"/>
      <c r="D149" s="61"/>
      <c r="E149" s="61"/>
      <c r="F149" s="61"/>
      <c r="G149" s="61"/>
      <c r="H149" s="61"/>
      <c r="I149" s="58" t="str">
        <f>IF(AND(ISBLANK(A149),ISBLANK(B149)),"",IF(OR(ISBLANK(A149),ISBLANK(B149)),"-",LEN(Tableau47[[#This Row],[Colonne9]])))</f>
        <v/>
      </c>
      <c r="J149" s="59" t="str">
        <f>IF(AND(ISBLANK(A149),ISBLANK(B149)),"",IF(OR(ISBLANK(A149),ISBLANK(B149)),"à compléter",
IF(H149=0,"",LOOKUP(H149,'Objets de gestion'!C:C,'Objets de gestion'!F:F)&amp;"_")
&amp;IF(F149=0,"",LOOKUP(F149,'Objets de gestion'!C:C,'Objets de gestion'!F:F)&amp;"_")
&amp;IF(D149=0,"",LOOKUP(D149,'Objets de gestion'!C:C,'Objets de gestion'!F:F)&amp;"_")
&amp;IF(B149=0,"",LOOKUP(B149,'Objets de gestion'!C:C,'Objets de gestion'!F:F))
))</f>
        <v/>
      </c>
      <c r="K149" s="57" t="str">
        <f t="shared" si="6"/>
        <v/>
      </c>
      <c r="L149" s="57" t="str">
        <f>IF(AND(ISBLANK(A149),ISBLANK(B149)),"",IF(OR(ISBLANK(A149),ISBLANK(B149)),"-",
IF(ISBLANK(B149),"",LOOKUP(B149,'Objets de gestion'!C:C,'Objets de gestion'!E:E))
&amp;IF(ISBLANK(C149),""," "&amp;LOOKUP(C149,Articles!A:A,Articles!B:B))
&amp;IF(ISBLANK(D149),""," "&amp;LOOKUP(D149,'Objets de gestion'!C:C,'Objets de gestion'!E:E))
&amp;IF(ISBLANK(E149),""," "&amp;LOOKUP(E149,Articles!A:A,Articles!B:B))
&amp;IF(ISBLANK(F149),""," "&amp;LOOKUP(F149,'Objets de gestion'!C:C,'Objets de gestion'!E:E))
&amp;IF(ISBLANK(G149),""," "&amp;LOOKUP(G149,Articles!A:A,Articles!B:B))
&amp;IF(ISBLANK(H149),""," "&amp;LOOKUP(H149,'Objets de gestion'!C:C,'Objets de gestion'!E:E))
))</f>
        <v/>
      </c>
      <c r="M149" s="57" t="str">
        <f t="shared" si="7"/>
        <v/>
      </c>
    </row>
    <row r="150" spans="1:13" s="57" customFormat="1" ht="15.75" x14ac:dyDescent="0.25">
      <c r="A150" s="62"/>
      <c r="B150" s="61"/>
      <c r="C150" s="61"/>
      <c r="D150" s="61"/>
      <c r="E150" s="61"/>
      <c r="F150" s="61"/>
      <c r="G150" s="61"/>
      <c r="H150" s="61"/>
      <c r="I150" s="58" t="str">
        <f>IF(AND(ISBLANK(A150),ISBLANK(B150)),"",IF(OR(ISBLANK(A150),ISBLANK(B150)),"-",LEN(Tableau47[[#This Row],[Colonne9]])))</f>
        <v/>
      </c>
      <c r="J150" s="59" t="str">
        <f>IF(AND(ISBLANK(A150),ISBLANK(B150)),"",IF(OR(ISBLANK(A150),ISBLANK(B150)),"à compléter",
IF(H150=0,"",LOOKUP(H150,'Objets de gestion'!C:C,'Objets de gestion'!F:F)&amp;"_")
&amp;IF(F150=0,"",LOOKUP(F150,'Objets de gestion'!C:C,'Objets de gestion'!F:F)&amp;"_")
&amp;IF(D150=0,"",LOOKUP(D150,'Objets de gestion'!C:C,'Objets de gestion'!F:F)&amp;"_")
&amp;IF(B150=0,"",LOOKUP(B150,'Objets de gestion'!C:C,'Objets de gestion'!F:F))
))</f>
        <v/>
      </c>
      <c r="K150" s="57" t="str">
        <f t="shared" si="6"/>
        <v/>
      </c>
      <c r="L150" s="57" t="str">
        <f>IF(AND(ISBLANK(A150),ISBLANK(B150)),"",IF(OR(ISBLANK(A150),ISBLANK(B150)),"-",
IF(ISBLANK(B150),"",LOOKUP(B150,'Objets de gestion'!C:C,'Objets de gestion'!E:E))
&amp;IF(ISBLANK(C150),""," "&amp;LOOKUP(C150,Articles!A:A,Articles!B:B))
&amp;IF(ISBLANK(D150),""," "&amp;LOOKUP(D150,'Objets de gestion'!C:C,'Objets de gestion'!E:E))
&amp;IF(ISBLANK(E150),""," "&amp;LOOKUP(E150,Articles!A:A,Articles!B:B))
&amp;IF(ISBLANK(F150),""," "&amp;LOOKUP(F150,'Objets de gestion'!C:C,'Objets de gestion'!E:E))
&amp;IF(ISBLANK(G150),""," "&amp;LOOKUP(G150,Articles!A:A,Articles!B:B))
&amp;IF(ISBLANK(H150),""," "&amp;LOOKUP(H150,'Objets de gestion'!C:C,'Objets de gestion'!E:E))
))</f>
        <v/>
      </c>
      <c r="M150" s="57" t="str">
        <f t="shared" si="7"/>
        <v/>
      </c>
    </row>
    <row r="151" spans="1:13" s="57" customFormat="1" ht="15.75" x14ac:dyDescent="0.25">
      <c r="A151" s="62"/>
      <c r="B151" s="61"/>
      <c r="C151" s="61"/>
      <c r="D151" s="61"/>
      <c r="E151" s="61"/>
      <c r="F151" s="61"/>
      <c r="G151" s="61"/>
      <c r="H151" s="61"/>
      <c r="I151" s="58" t="str">
        <f>IF(AND(ISBLANK(A151),ISBLANK(B151)),"",IF(OR(ISBLANK(A151),ISBLANK(B151)),"-",LEN(Tableau47[[#This Row],[Colonne9]])))</f>
        <v/>
      </c>
      <c r="J151" s="59" t="str">
        <f>IF(AND(ISBLANK(A151),ISBLANK(B151)),"",IF(OR(ISBLANK(A151),ISBLANK(B151)),"à compléter",
IF(H151=0,"",LOOKUP(H151,'Objets de gestion'!C:C,'Objets de gestion'!F:F)&amp;"_")
&amp;IF(F151=0,"",LOOKUP(F151,'Objets de gestion'!C:C,'Objets de gestion'!F:F)&amp;"_")
&amp;IF(D151=0,"",LOOKUP(D151,'Objets de gestion'!C:C,'Objets de gestion'!F:F)&amp;"_")
&amp;IF(B151=0,"",LOOKUP(B151,'Objets de gestion'!C:C,'Objets de gestion'!F:F))
))</f>
        <v/>
      </c>
      <c r="K151" s="57" t="str">
        <f t="shared" si="6"/>
        <v/>
      </c>
      <c r="L151" s="57" t="str">
        <f>IF(AND(ISBLANK(A151),ISBLANK(B151)),"",IF(OR(ISBLANK(A151),ISBLANK(B151)),"-",
IF(ISBLANK(B151),"",LOOKUP(B151,'Objets de gestion'!C:C,'Objets de gestion'!E:E))
&amp;IF(ISBLANK(C151),""," "&amp;LOOKUP(C151,Articles!A:A,Articles!B:B))
&amp;IF(ISBLANK(D151),""," "&amp;LOOKUP(D151,'Objets de gestion'!C:C,'Objets de gestion'!E:E))
&amp;IF(ISBLANK(E151),""," "&amp;LOOKUP(E151,Articles!A:A,Articles!B:B))
&amp;IF(ISBLANK(F151),""," "&amp;LOOKUP(F151,'Objets de gestion'!C:C,'Objets de gestion'!E:E))
&amp;IF(ISBLANK(G151),""," "&amp;LOOKUP(G151,Articles!A:A,Articles!B:B))
&amp;IF(ISBLANK(H151),""," "&amp;LOOKUP(H151,'Objets de gestion'!C:C,'Objets de gestion'!E:E))
))</f>
        <v/>
      </c>
      <c r="M151" s="57" t="str">
        <f t="shared" si="7"/>
        <v/>
      </c>
    </row>
    <row r="152" spans="1:13" s="57" customFormat="1" ht="15.75" x14ac:dyDescent="0.25">
      <c r="A152" s="62"/>
      <c r="B152" s="61"/>
      <c r="C152" s="61"/>
      <c r="D152" s="61"/>
      <c r="E152" s="61"/>
      <c r="F152" s="61"/>
      <c r="G152" s="61"/>
      <c r="H152" s="61"/>
      <c r="I152" s="58" t="str">
        <f>IF(AND(ISBLANK(A152),ISBLANK(B152)),"",IF(OR(ISBLANK(A152),ISBLANK(B152)),"-",LEN(Tableau47[[#This Row],[Colonne9]])))</f>
        <v/>
      </c>
      <c r="J152" s="59" t="str">
        <f>IF(AND(ISBLANK(A152),ISBLANK(B152)),"",IF(OR(ISBLANK(A152),ISBLANK(B152)),"à compléter",
IF(H152=0,"",LOOKUP(H152,'Objets de gestion'!C:C,'Objets de gestion'!F:F)&amp;"_")
&amp;IF(F152=0,"",LOOKUP(F152,'Objets de gestion'!C:C,'Objets de gestion'!F:F)&amp;"_")
&amp;IF(D152=0,"",LOOKUP(D152,'Objets de gestion'!C:C,'Objets de gestion'!F:F)&amp;"_")
&amp;IF(B152=0,"",LOOKUP(B152,'Objets de gestion'!C:C,'Objets de gestion'!F:F))
))</f>
        <v/>
      </c>
      <c r="K152" s="57" t="str">
        <f t="shared" si="6"/>
        <v/>
      </c>
      <c r="L152" s="57" t="str">
        <f>IF(AND(ISBLANK(A152),ISBLANK(B152)),"",IF(OR(ISBLANK(A152),ISBLANK(B152)),"-",
IF(ISBLANK(B152),"",LOOKUP(B152,'Objets de gestion'!C:C,'Objets de gestion'!E:E))
&amp;IF(ISBLANK(C152),""," "&amp;LOOKUP(C152,Articles!A:A,Articles!B:B))
&amp;IF(ISBLANK(D152),""," "&amp;LOOKUP(D152,'Objets de gestion'!C:C,'Objets de gestion'!E:E))
&amp;IF(ISBLANK(E152),""," "&amp;LOOKUP(E152,Articles!A:A,Articles!B:B))
&amp;IF(ISBLANK(F152),""," "&amp;LOOKUP(F152,'Objets de gestion'!C:C,'Objets de gestion'!E:E))
&amp;IF(ISBLANK(G152),""," "&amp;LOOKUP(G152,Articles!A:A,Articles!B:B))
&amp;IF(ISBLANK(H152),""," "&amp;LOOKUP(H152,'Objets de gestion'!C:C,'Objets de gestion'!E:E))
))</f>
        <v/>
      </c>
      <c r="M152" s="57" t="str">
        <f t="shared" si="7"/>
        <v/>
      </c>
    </row>
    <row r="153" spans="1:13" s="57" customFormat="1" ht="15.75" x14ac:dyDescent="0.25">
      <c r="A153" s="62"/>
      <c r="B153" s="61"/>
      <c r="C153" s="61"/>
      <c r="D153" s="61"/>
      <c r="E153" s="61"/>
      <c r="F153" s="61"/>
      <c r="G153" s="61"/>
      <c r="H153" s="61"/>
      <c r="I153" s="58" t="str">
        <f>IF(AND(ISBLANK(A153),ISBLANK(B153)),"",IF(OR(ISBLANK(A153),ISBLANK(B153)),"-",LEN(Tableau47[[#This Row],[Colonne9]])))</f>
        <v/>
      </c>
      <c r="J153" s="59" t="str">
        <f>IF(AND(ISBLANK(A153),ISBLANK(B153)),"",IF(OR(ISBLANK(A153),ISBLANK(B153)),"à compléter",
IF(H153=0,"",LOOKUP(H153,'Objets de gestion'!C:C,'Objets de gestion'!F:F)&amp;"_")
&amp;IF(F153=0,"",LOOKUP(F153,'Objets de gestion'!C:C,'Objets de gestion'!F:F)&amp;"_")
&amp;IF(D153=0,"",LOOKUP(D153,'Objets de gestion'!C:C,'Objets de gestion'!F:F)&amp;"_")
&amp;IF(B153=0,"",LOOKUP(B153,'Objets de gestion'!C:C,'Objets de gestion'!F:F))
))</f>
        <v/>
      </c>
      <c r="K153" s="57" t="str">
        <f t="shared" si="6"/>
        <v/>
      </c>
      <c r="L153" s="57" t="str">
        <f>IF(AND(ISBLANK(A153),ISBLANK(B153)),"",IF(OR(ISBLANK(A153),ISBLANK(B153)),"-",
IF(ISBLANK(B153),"",LOOKUP(B153,'Objets de gestion'!C:C,'Objets de gestion'!E:E))
&amp;IF(ISBLANK(C153),""," "&amp;LOOKUP(C153,Articles!A:A,Articles!B:B))
&amp;IF(ISBLANK(D153),""," "&amp;LOOKUP(D153,'Objets de gestion'!C:C,'Objets de gestion'!E:E))
&amp;IF(ISBLANK(E153),""," "&amp;LOOKUP(E153,Articles!A:A,Articles!B:B))
&amp;IF(ISBLANK(F153),""," "&amp;LOOKUP(F153,'Objets de gestion'!C:C,'Objets de gestion'!E:E))
&amp;IF(ISBLANK(G153),""," "&amp;LOOKUP(G153,Articles!A:A,Articles!B:B))
&amp;IF(ISBLANK(H153),""," "&amp;LOOKUP(H153,'Objets de gestion'!C:C,'Objets de gestion'!E:E))
))</f>
        <v/>
      </c>
      <c r="M153" s="57" t="str">
        <f t="shared" si="7"/>
        <v/>
      </c>
    </row>
    <row r="154" spans="1:13" s="57" customFormat="1" ht="15.75" x14ac:dyDescent="0.25">
      <c r="A154" s="62"/>
      <c r="B154" s="61"/>
      <c r="C154" s="61"/>
      <c r="D154" s="61"/>
      <c r="E154" s="61"/>
      <c r="F154" s="61"/>
      <c r="G154" s="61"/>
      <c r="H154" s="61"/>
      <c r="I154" s="58" t="str">
        <f>IF(AND(ISBLANK(A154),ISBLANK(B154)),"",IF(OR(ISBLANK(A154),ISBLANK(B154)),"-",LEN(Tableau47[[#This Row],[Colonne9]])))</f>
        <v/>
      </c>
      <c r="J154" s="59" t="str">
        <f>IF(AND(ISBLANK(A154),ISBLANK(B154)),"",IF(OR(ISBLANK(A154),ISBLANK(B154)),"à compléter",
IF(H154=0,"",LOOKUP(H154,'Objets de gestion'!C:C,'Objets de gestion'!F:F)&amp;"_")
&amp;IF(F154=0,"",LOOKUP(F154,'Objets de gestion'!C:C,'Objets de gestion'!F:F)&amp;"_")
&amp;IF(D154=0,"",LOOKUP(D154,'Objets de gestion'!C:C,'Objets de gestion'!F:F)&amp;"_")
&amp;IF(B154=0,"",LOOKUP(B154,'Objets de gestion'!C:C,'Objets de gestion'!F:F))
))</f>
        <v/>
      </c>
      <c r="K154" s="57" t="str">
        <f t="shared" si="6"/>
        <v/>
      </c>
      <c r="L154" s="57" t="str">
        <f>IF(AND(ISBLANK(A154),ISBLANK(B154)),"",IF(OR(ISBLANK(A154),ISBLANK(B154)),"-",
IF(ISBLANK(B154),"",LOOKUP(B154,'Objets de gestion'!C:C,'Objets de gestion'!E:E))
&amp;IF(ISBLANK(C154),""," "&amp;LOOKUP(C154,Articles!A:A,Articles!B:B))
&amp;IF(ISBLANK(D154),""," "&amp;LOOKUP(D154,'Objets de gestion'!C:C,'Objets de gestion'!E:E))
&amp;IF(ISBLANK(E154),""," "&amp;LOOKUP(E154,Articles!A:A,Articles!B:B))
&amp;IF(ISBLANK(F154),""," "&amp;LOOKUP(F154,'Objets de gestion'!C:C,'Objets de gestion'!E:E))
&amp;IF(ISBLANK(G154),""," "&amp;LOOKUP(G154,Articles!A:A,Articles!B:B))
&amp;IF(ISBLANK(H154),""," "&amp;LOOKUP(H154,'Objets de gestion'!C:C,'Objets de gestion'!E:E))
))</f>
        <v/>
      </c>
      <c r="M154" s="57" t="str">
        <f t="shared" si="7"/>
        <v/>
      </c>
    </row>
    <row r="155" spans="1:13" s="57" customFormat="1" ht="15.75" x14ac:dyDescent="0.25">
      <c r="A155" s="62"/>
      <c r="B155" s="61"/>
      <c r="C155" s="61"/>
      <c r="D155" s="61"/>
      <c r="E155" s="61"/>
      <c r="F155" s="61"/>
      <c r="G155" s="61"/>
      <c r="H155" s="61"/>
      <c r="I155" s="58" t="str">
        <f>IF(AND(ISBLANK(A155),ISBLANK(B155)),"",IF(OR(ISBLANK(A155),ISBLANK(B155)),"-",LEN(Tableau47[[#This Row],[Colonne9]])))</f>
        <v/>
      </c>
      <c r="J155" s="59" t="str">
        <f>IF(AND(ISBLANK(A155),ISBLANK(B155)),"",IF(OR(ISBLANK(A155),ISBLANK(B155)),"à compléter",
IF(H155=0,"",LOOKUP(H155,'Objets de gestion'!C:C,'Objets de gestion'!F:F)&amp;"_")
&amp;IF(F155=0,"",LOOKUP(F155,'Objets de gestion'!C:C,'Objets de gestion'!F:F)&amp;"_")
&amp;IF(D155=0,"",LOOKUP(D155,'Objets de gestion'!C:C,'Objets de gestion'!F:F)&amp;"_")
&amp;IF(B155=0,"",LOOKUP(B155,'Objets de gestion'!C:C,'Objets de gestion'!F:F))
))</f>
        <v/>
      </c>
      <c r="K155" s="57" t="str">
        <f t="shared" si="6"/>
        <v/>
      </c>
      <c r="L155" s="57" t="str">
        <f>IF(AND(ISBLANK(A155),ISBLANK(B155)),"",IF(OR(ISBLANK(A155),ISBLANK(B155)),"-",
IF(ISBLANK(B155),"",LOOKUP(B155,'Objets de gestion'!C:C,'Objets de gestion'!E:E))
&amp;IF(ISBLANK(C155),""," "&amp;LOOKUP(C155,Articles!A:A,Articles!B:B))
&amp;IF(ISBLANK(D155),""," "&amp;LOOKUP(D155,'Objets de gestion'!C:C,'Objets de gestion'!E:E))
&amp;IF(ISBLANK(E155),""," "&amp;LOOKUP(E155,Articles!A:A,Articles!B:B))
&amp;IF(ISBLANK(F155),""," "&amp;LOOKUP(F155,'Objets de gestion'!C:C,'Objets de gestion'!E:E))
&amp;IF(ISBLANK(G155),""," "&amp;LOOKUP(G155,Articles!A:A,Articles!B:B))
&amp;IF(ISBLANK(H155),""," "&amp;LOOKUP(H155,'Objets de gestion'!C:C,'Objets de gestion'!E:E))
))</f>
        <v/>
      </c>
      <c r="M155" s="57" t="str">
        <f t="shared" si="7"/>
        <v/>
      </c>
    </row>
    <row r="156" spans="1:13" s="57" customFormat="1" ht="15.75" x14ac:dyDescent="0.25">
      <c r="A156" s="62"/>
      <c r="B156" s="61"/>
      <c r="C156" s="61"/>
      <c r="D156" s="61"/>
      <c r="E156" s="61"/>
      <c r="F156" s="61"/>
      <c r="G156" s="61"/>
      <c r="H156" s="61"/>
      <c r="I156" s="58" t="str">
        <f>IF(AND(ISBLANK(A156),ISBLANK(B156)),"",IF(OR(ISBLANK(A156),ISBLANK(B156)),"-",LEN(Tableau47[[#This Row],[Colonne9]])))</f>
        <v/>
      </c>
      <c r="J156" s="59" t="str">
        <f>IF(AND(ISBLANK(A156),ISBLANK(B156)),"",IF(OR(ISBLANK(A156),ISBLANK(B156)),"à compléter",
IF(H156=0,"",LOOKUP(H156,'Objets de gestion'!C:C,'Objets de gestion'!F:F)&amp;"_")
&amp;IF(F156=0,"",LOOKUP(F156,'Objets de gestion'!C:C,'Objets de gestion'!F:F)&amp;"_")
&amp;IF(D156=0,"",LOOKUP(D156,'Objets de gestion'!C:C,'Objets de gestion'!F:F)&amp;"_")
&amp;IF(B156=0,"",LOOKUP(B156,'Objets de gestion'!C:C,'Objets de gestion'!F:F))
))</f>
        <v/>
      </c>
      <c r="K156" s="57" t="str">
        <f t="shared" si="6"/>
        <v/>
      </c>
      <c r="L156" s="57" t="str">
        <f>IF(AND(ISBLANK(A156),ISBLANK(B156)),"",IF(OR(ISBLANK(A156),ISBLANK(B156)),"-",
IF(ISBLANK(B156),"",LOOKUP(B156,'Objets de gestion'!C:C,'Objets de gestion'!E:E))
&amp;IF(ISBLANK(C156),""," "&amp;LOOKUP(C156,Articles!A:A,Articles!B:B))
&amp;IF(ISBLANK(D156),""," "&amp;LOOKUP(D156,'Objets de gestion'!C:C,'Objets de gestion'!E:E))
&amp;IF(ISBLANK(E156),""," "&amp;LOOKUP(E156,Articles!A:A,Articles!B:B))
&amp;IF(ISBLANK(F156),""," "&amp;LOOKUP(F156,'Objets de gestion'!C:C,'Objets de gestion'!E:E))
&amp;IF(ISBLANK(G156),""," "&amp;LOOKUP(G156,Articles!A:A,Articles!B:B))
&amp;IF(ISBLANK(H156),""," "&amp;LOOKUP(H156,'Objets de gestion'!C:C,'Objets de gestion'!E:E))
))</f>
        <v/>
      </c>
      <c r="M156" s="57" t="str">
        <f t="shared" si="7"/>
        <v/>
      </c>
    </row>
    <row r="157" spans="1:13" s="57" customFormat="1" ht="15.75" x14ac:dyDescent="0.25">
      <c r="A157" s="64"/>
      <c r="B157" s="61"/>
      <c r="C157" s="61"/>
      <c r="D157" s="61"/>
      <c r="E157" s="61"/>
      <c r="F157" s="61"/>
      <c r="G157" s="61"/>
      <c r="H157" s="61"/>
      <c r="I157" s="58" t="str">
        <f>IF(AND(ISBLANK(A157),ISBLANK(B157)),"",IF(OR(ISBLANK(A157),ISBLANK(B157)),"-",LEN(Tableau47[[#This Row],[Colonne9]])))</f>
        <v/>
      </c>
      <c r="J157" s="59" t="str">
        <f>IF(AND(ISBLANK(A157),ISBLANK(B157)),"",IF(OR(ISBLANK(A157),ISBLANK(B157)),"à compléter",
IF(H157=0,"",LOOKUP(H157,'Objets de gestion'!C:C,'Objets de gestion'!F:F)&amp;"_")
&amp;IF(F157=0,"",LOOKUP(F157,'Objets de gestion'!C:C,'Objets de gestion'!F:F)&amp;"_")
&amp;IF(D157=0,"",LOOKUP(D157,'Objets de gestion'!C:C,'Objets de gestion'!F:F)&amp;"_")
&amp;IF(B157=0,"",LOOKUP(B157,'Objets de gestion'!C:C,'Objets de gestion'!F:F))
))</f>
        <v/>
      </c>
      <c r="K157" s="57" t="str">
        <f t="shared" si="6"/>
        <v/>
      </c>
      <c r="L157" s="57" t="str">
        <f>IF(AND(ISBLANK(A157),ISBLANK(B157)),"",IF(OR(ISBLANK(A157),ISBLANK(B157)),"-",
IF(ISBLANK(B157),"",LOOKUP(B157,'Objets de gestion'!C:C,'Objets de gestion'!E:E))
&amp;IF(ISBLANK(C157),""," "&amp;LOOKUP(C157,Articles!A:A,Articles!B:B))
&amp;IF(ISBLANK(D157),""," "&amp;LOOKUP(D157,'Objets de gestion'!C:C,'Objets de gestion'!E:E))
&amp;IF(ISBLANK(E157),""," "&amp;LOOKUP(E157,Articles!A:A,Articles!B:B))
&amp;IF(ISBLANK(F157),""," "&amp;LOOKUP(F157,'Objets de gestion'!C:C,'Objets de gestion'!E:E))
&amp;IF(ISBLANK(G157),""," "&amp;LOOKUP(G157,Articles!A:A,Articles!B:B))
&amp;IF(ISBLANK(H157),""," "&amp;LOOKUP(H157,'Objets de gestion'!C:C,'Objets de gestion'!E:E))
))</f>
        <v/>
      </c>
      <c r="M157" s="57" t="str">
        <f t="shared" si="7"/>
        <v/>
      </c>
    </row>
  </sheetData>
  <conditionalFormatting sqref="B53">
    <cfRule type="duplicateValues" dxfId="22" priority="21" stopIfTrue="1"/>
  </conditionalFormatting>
  <conditionalFormatting sqref="B55">
    <cfRule type="duplicateValues" dxfId="21" priority="20" stopIfTrue="1"/>
  </conditionalFormatting>
  <conditionalFormatting sqref="B59">
    <cfRule type="duplicateValues" dxfId="20" priority="19" stopIfTrue="1"/>
  </conditionalFormatting>
  <conditionalFormatting sqref="H134">
    <cfRule type="duplicateValues" dxfId="19" priority="18" stopIfTrue="1"/>
  </conditionalFormatting>
  <conditionalFormatting sqref="D135">
    <cfRule type="duplicateValues" dxfId="18" priority="17" stopIfTrue="1"/>
  </conditionalFormatting>
  <conditionalFormatting sqref="D136">
    <cfRule type="duplicateValues" dxfId="17" priority="16" stopIfTrue="1"/>
  </conditionalFormatting>
  <conditionalFormatting sqref="B137">
    <cfRule type="duplicateValues" dxfId="16" priority="15" stopIfTrue="1"/>
  </conditionalFormatting>
  <conditionalFormatting sqref="H138">
    <cfRule type="duplicateValues" dxfId="15" priority="13" stopIfTrue="1"/>
  </conditionalFormatting>
  <conditionalFormatting sqref="H139">
    <cfRule type="duplicateValues" dxfId="14" priority="12" stopIfTrue="1"/>
  </conditionalFormatting>
  <conditionalFormatting sqref="D139">
    <cfRule type="duplicateValues" dxfId="13" priority="11" stopIfTrue="1"/>
  </conditionalFormatting>
  <conditionalFormatting sqref="D140">
    <cfRule type="duplicateValues" dxfId="12" priority="9" stopIfTrue="1"/>
  </conditionalFormatting>
  <conditionalFormatting sqref="B141">
    <cfRule type="duplicateValues" dxfId="11" priority="7" stopIfTrue="1"/>
  </conditionalFormatting>
  <conditionalFormatting sqref="B145">
    <cfRule type="duplicateValues" dxfId="10" priority="6" stopIfTrue="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0">
        <x14:dataValidation type="list" allowBlank="1" showInputMessage="1" showErrorMessage="1">
          <x14:formula1>
            <xm:f>Articles!$A:$A</xm:f>
          </x14:formula1>
          <xm:sqref>C4:C157 E5:E157 G2:G157</xm:sqref>
        </x14:dataValidation>
        <x14:dataValidation type="list" allowBlank="1" showInputMessage="1" showErrorMessage="1">
          <x14:formula1>
            <xm:f>BIB!$A$2:$A$275</xm:f>
          </x14:formula1>
          <xm:sqref>A158:A1048576</xm:sqref>
        </x14:dataValidation>
        <x14:dataValidation type="list" allowBlank="1" showInputMessage="1" showErrorMessage="1">
          <x14:formula1>
            <xm:f>BIB!$A$2:$A$102</xm:f>
          </x14:formula1>
          <xm:sqref>A4:A157</xm:sqref>
        </x14:dataValidation>
        <x14:dataValidation type="list" allowBlank="1" showInputMessage="1" showErrorMessage="1">
          <x14:formula1>
            <xm:f>'[IBIA_TDPRPY_Outil( 2).xlsx]Objets de gestion'!#REF!</xm:f>
          </x14:formula1>
          <xm:sqref>F2:F3 D2:D3 B2</xm:sqref>
        </x14:dataValidation>
        <x14:dataValidation type="list" allowBlank="1" showInputMessage="1" showErrorMessage="1">
          <x14:formula1>
            <xm:f>'[IBIA_TDPRPY_Outil( 2).xlsx]BIB'!#REF!</xm:f>
          </x14:formula1>
          <xm:sqref>A2:A3</xm:sqref>
        </x14:dataValidation>
        <x14:dataValidation type="list" allowBlank="1" showInputMessage="1" showErrorMessage="1">
          <x14:formula1>
            <xm:f>'[IBIA_TDPRPY_Outil( 2).xlsx]Articles'!#REF!</xm:f>
          </x14:formula1>
          <xm:sqref>C2:C3 E2:E3</xm:sqref>
        </x14:dataValidation>
        <x14:dataValidation type="list" allowBlank="1" showInputMessage="1" showErrorMessage="1">
          <x14:formula1>
            <xm:f>'Objets de gestion'!$C:$C</xm:f>
          </x14:formula1>
          <xm:sqref>F5:F157</xm:sqref>
        </x14:dataValidation>
        <x14:dataValidation type="list" allowBlank="1" showInputMessage="1" showErrorMessage="1">
          <x14:formula1>
            <xm:f>'Objets de gestion'!$C:$C</xm:f>
          </x14:formula1>
          <xm:sqref>H2:H157</xm:sqref>
        </x14:dataValidation>
        <x14:dataValidation type="list" allowBlank="1" showInputMessage="1" showErrorMessage="1">
          <x14:formula1>
            <xm:f>'Objets de gestion'!$C:$C</xm:f>
          </x14:formula1>
          <xm:sqref>B3:B157</xm:sqref>
        </x14:dataValidation>
        <x14:dataValidation type="list" allowBlank="1" showInputMessage="1" showErrorMessage="1">
          <x14:formula1>
            <xm:f>'Objets de gestion'!$C:$C</xm:f>
          </x14:formula1>
          <xm:sqref>D4:D157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XFB1895"/>
  <sheetViews>
    <sheetView topLeftCell="A1886" workbookViewId="0">
      <selection activeCell="E1899" sqref="E1899"/>
    </sheetView>
  </sheetViews>
  <sheetFormatPr baseColWidth="10" defaultRowHeight="15" x14ac:dyDescent="0.25"/>
  <cols>
    <col min="1" max="1" width="13.42578125" style="40" customWidth="1"/>
    <col min="2" max="2" width="8" customWidth="1"/>
    <col min="3" max="3" width="42.7109375" bestFit="1" customWidth="1"/>
    <col min="4" max="4" width="53.85546875" bestFit="1" customWidth="1"/>
    <col min="5" max="5" width="23.85546875" customWidth="1"/>
    <col min="6" max="6" width="13" customWidth="1"/>
  </cols>
  <sheetData>
    <row r="1" spans="1:6" s="24" customFormat="1" ht="24" customHeight="1" x14ac:dyDescent="0.25">
      <c r="A1" s="39" t="s">
        <v>60</v>
      </c>
      <c r="B1" s="23" t="s">
        <v>61</v>
      </c>
      <c r="C1" s="23" t="s">
        <v>62</v>
      </c>
      <c r="D1" s="23" t="s">
        <v>63</v>
      </c>
      <c r="E1" s="23" t="s">
        <v>64</v>
      </c>
      <c r="F1" s="23" t="s">
        <v>65</v>
      </c>
    </row>
    <row r="2" spans="1:6" x14ac:dyDescent="0.25">
      <c r="A2" s="40">
        <v>43868</v>
      </c>
      <c r="C2" t="s">
        <v>66</v>
      </c>
      <c r="E2" t="s">
        <v>67</v>
      </c>
      <c r="F2" t="s">
        <v>68</v>
      </c>
    </row>
    <row r="3" spans="1:6" s="66" customFormat="1" x14ac:dyDescent="0.25">
      <c r="A3" s="40">
        <v>43868</v>
      </c>
      <c r="B3" s="67"/>
      <c r="C3" s="67" t="s">
        <v>69</v>
      </c>
      <c r="D3" s="67"/>
      <c r="E3" s="67" t="s">
        <v>70</v>
      </c>
      <c r="F3" s="67" t="s">
        <v>71</v>
      </c>
    </row>
    <row r="4" spans="1:6" x14ac:dyDescent="0.25">
      <c r="A4" s="40">
        <v>43867</v>
      </c>
      <c r="C4" t="s">
        <v>72</v>
      </c>
      <c r="E4" t="s">
        <v>73</v>
      </c>
      <c r="F4" t="s">
        <v>74</v>
      </c>
    </row>
    <row r="5" spans="1:6" x14ac:dyDescent="0.25">
      <c r="A5" s="40">
        <v>43868</v>
      </c>
      <c r="C5" t="s">
        <v>75</v>
      </c>
      <c r="E5" t="s">
        <v>76</v>
      </c>
      <c r="F5" t="s">
        <v>77</v>
      </c>
    </row>
    <row r="6" spans="1:6" x14ac:dyDescent="0.25">
      <c r="A6" s="40">
        <v>43868</v>
      </c>
      <c r="C6" t="s">
        <v>78</v>
      </c>
      <c r="E6" t="s">
        <v>79</v>
      </c>
      <c r="F6" t="s">
        <v>80</v>
      </c>
    </row>
    <row r="7" spans="1:6" x14ac:dyDescent="0.25">
      <c r="A7" s="40">
        <v>43392</v>
      </c>
      <c r="C7" t="s">
        <v>81</v>
      </c>
      <c r="E7" t="s">
        <v>81</v>
      </c>
      <c r="F7" t="s">
        <v>82</v>
      </c>
    </row>
    <row r="8" spans="1:6" s="66" customFormat="1" x14ac:dyDescent="0.25">
      <c r="A8" s="40">
        <v>44018</v>
      </c>
      <c r="B8" s="67"/>
      <c r="C8" s="66" t="s">
        <v>83</v>
      </c>
      <c r="E8" s="66" t="s">
        <v>84</v>
      </c>
      <c r="F8" s="66" t="s">
        <v>85</v>
      </c>
    </row>
    <row r="9" spans="1:6" x14ac:dyDescent="0.25">
      <c r="A9" s="41">
        <v>44199</v>
      </c>
      <c r="B9" s="28"/>
      <c r="C9" s="28" t="s">
        <v>4516</v>
      </c>
      <c r="D9" s="28"/>
      <c r="E9" s="28" t="s">
        <v>4676</v>
      </c>
      <c r="F9" s="28" t="s">
        <v>3414</v>
      </c>
    </row>
    <row r="10" spans="1:6" x14ac:dyDescent="0.25">
      <c r="A10" s="41">
        <v>44199</v>
      </c>
      <c r="B10" s="28"/>
      <c r="C10" s="28" t="s">
        <v>4517</v>
      </c>
      <c r="D10" s="28"/>
      <c r="E10" s="28" t="s">
        <v>3716</v>
      </c>
      <c r="F10" s="28" t="s">
        <v>3717</v>
      </c>
    </row>
    <row r="11" spans="1:6" x14ac:dyDescent="0.25">
      <c r="A11" s="41">
        <v>44199</v>
      </c>
      <c r="B11" s="28"/>
      <c r="C11" s="28" t="s">
        <v>4518</v>
      </c>
      <c r="D11" s="28"/>
      <c r="E11" s="28" t="s">
        <v>4518</v>
      </c>
      <c r="F11" s="28" t="s">
        <v>4677</v>
      </c>
    </row>
    <row r="12" spans="1:6" x14ac:dyDescent="0.25">
      <c r="A12" s="40">
        <v>43724</v>
      </c>
      <c r="B12" s="67"/>
      <c r="C12" s="67" t="s">
        <v>86</v>
      </c>
      <c r="D12" s="67" t="s">
        <v>87</v>
      </c>
      <c r="E12" s="67" t="s">
        <v>86</v>
      </c>
      <c r="F12" s="67" t="s">
        <v>88</v>
      </c>
    </row>
    <row r="13" spans="1:6" x14ac:dyDescent="0.25">
      <c r="A13" s="40">
        <v>44082</v>
      </c>
      <c r="B13" s="67"/>
      <c r="C13" s="67" t="s">
        <v>90</v>
      </c>
      <c r="D13" s="67"/>
      <c r="E13" s="67" t="s">
        <v>91</v>
      </c>
      <c r="F13" s="67" t="s">
        <v>92</v>
      </c>
    </row>
    <row r="14" spans="1:6" x14ac:dyDescent="0.25">
      <c r="A14" s="40">
        <v>44082</v>
      </c>
      <c r="C14" t="s">
        <v>93</v>
      </c>
      <c r="E14" t="s">
        <v>94</v>
      </c>
      <c r="F14" t="s">
        <v>95</v>
      </c>
    </row>
    <row r="15" spans="1:6" x14ac:dyDescent="0.25">
      <c r="A15" s="40">
        <v>44040</v>
      </c>
      <c r="C15" t="s">
        <v>96</v>
      </c>
      <c r="E15" t="s">
        <v>96</v>
      </c>
      <c r="F15" t="s">
        <v>97</v>
      </c>
    </row>
    <row r="16" spans="1:6" x14ac:dyDescent="0.25">
      <c r="A16" s="40">
        <v>44054</v>
      </c>
      <c r="C16" t="s">
        <v>98</v>
      </c>
      <c r="E16" t="s">
        <v>99</v>
      </c>
      <c r="F16" t="s">
        <v>100</v>
      </c>
    </row>
    <row r="17" spans="1:6" x14ac:dyDescent="0.25">
      <c r="A17" s="40">
        <v>44012</v>
      </c>
      <c r="C17" t="s">
        <v>101</v>
      </c>
      <c r="E17" t="s">
        <v>102</v>
      </c>
      <c r="F17" t="s">
        <v>103</v>
      </c>
    </row>
    <row r="18" spans="1:6" x14ac:dyDescent="0.25">
      <c r="A18" s="40">
        <v>44049</v>
      </c>
      <c r="C18" t="s">
        <v>104</v>
      </c>
      <c r="E18" t="s">
        <v>105</v>
      </c>
      <c r="F18" t="s">
        <v>106</v>
      </c>
    </row>
    <row r="19" spans="1:6" x14ac:dyDescent="0.25">
      <c r="A19" s="40">
        <v>43719</v>
      </c>
      <c r="C19" t="s">
        <v>107</v>
      </c>
      <c r="D19" t="s">
        <v>108</v>
      </c>
      <c r="E19" t="s">
        <v>109</v>
      </c>
      <c r="F19" t="s">
        <v>110</v>
      </c>
    </row>
    <row r="20" spans="1:6" x14ac:dyDescent="0.25">
      <c r="A20" s="40">
        <v>43721</v>
      </c>
      <c r="C20" t="s">
        <v>111</v>
      </c>
      <c r="E20" t="s">
        <v>112</v>
      </c>
      <c r="F20" t="s">
        <v>113</v>
      </c>
    </row>
    <row r="21" spans="1:6" x14ac:dyDescent="0.25">
      <c r="A21" s="40">
        <v>43860</v>
      </c>
      <c r="C21" t="s">
        <v>115</v>
      </c>
      <c r="E21" t="s">
        <v>116</v>
      </c>
      <c r="F21" t="s">
        <v>117</v>
      </c>
    </row>
    <row r="22" spans="1:6" x14ac:dyDescent="0.25">
      <c r="A22" s="40">
        <v>43448</v>
      </c>
      <c r="C22" t="s">
        <v>119</v>
      </c>
      <c r="E22" t="s">
        <v>119</v>
      </c>
      <c r="F22" t="s">
        <v>119</v>
      </c>
    </row>
    <row r="23" spans="1:6" s="2" customFormat="1" x14ac:dyDescent="0.25">
      <c r="A23" s="40">
        <v>43760</v>
      </c>
      <c r="B23" s="50"/>
      <c r="C23" s="50" t="s">
        <v>120</v>
      </c>
      <c r="D23" s="50"/>
      <c r="E23" s="50" t="s">
        <v>120</v>
      </c>
      <c r="F23" s="50" t="s">
        <v>121</v>
      </c>
    </row>
    <row r="24" spans="1:6" x14ac:dyDescent="0.25">
      <c r="A24" s="41">
        <v>44199</v>
      </c>
      <c r="B24" s="28"/>
      <c r="C24" s="28" t="s">
        <v>4519</v>
      </c>
      <c r="D24" s="28"/>
      <c r="E24" s="28" t="s">
        <v>4519</v>
      </c>
      <c r="F24" s="28" t="s">
        <v>4678</v>
      </c>
    </row>
    <row r="25" spans="1:6" x14ac:dyDescent="0.25">
      <c r="A25" s="40">
        <v>43740</v>
      </c>
      <c r="C25" t="s">
        <v>122</v>
      </c>
      <c r="E25" t="s">
        <v>123</v>
      </c>
      <c r="F25" t="s">
        <v>124</v>
      </c>
    </row>
    <row r="26" spans="1:6" x14ac:dyDescent="0.25">
      <c r="A26" s="40">
        <v>43741</v>
      </c>
      <c r="B26" s="67"/>
      <c r="C26" s="67" t="s">
        <v>125</v>
      </c>
      <c r="D26" s="67"/>
      <c r="E26" s="67" t="s">
        <v>126</v>
      </c>
      <c r="F26" s="67" t="s">
        <v>127</v>
      </c>
    </row>
    <row r="27" spans="1:6" x14ac:dyDescent="0.25">
      <c r="A27" s="40">
        <v>43465</v>
      </c>
      <c r="B27" s="50"/>
      <c r="C27" s="50" t="s">
        <v>128</v>
      </c>
      <c r="D27" s="50"/>
      <c r="E27" s="50" t="s">
        <v>129</v>
      </c>
      <c r="F27" s="50" t="s">
        <v>130</v>
      </c>
    </row>
    <row r="28" spans="1:6" x14ac:dyDescent="0.25">
      <c r="A28" s="40">
        <v>43465</v>
      </c>
      <c r="C28" t="s">
        <v>131</v>
      </c>
      <c r="E28" t="s">
        <v>132</v>
      </c>
      <c r="F28" t="s">
        <v>133</v>
      </c>
    </row>
    <row r="29" spans="1:6" x14ac:dyDescent="0.25">
      <c r="A29" s="41">
        <v>44301</v>
      </c>
      <c r="B29" s="28">
        <v>1</v>
      </c>
      <c r="C29" s="28" t="s">
        <v>5539</v>
      </c>
      <c r="D29" s="28"/>
      <c r="E29" s="28" t="s">
        <v>5540</v>
      </c>
      <c r="F29" s="28" t="s">
        <v>5541</v>
      </c>
    </row>
    <row r="30" spans="1:6" x14ac:dyDescent="0.25">
      <c r="A30" s="40">
        <v>43448</v>
      </c>
      <c r="C30" t="s">
        <v>134</v>
      </c>
      <c r="D30" t="s">
        <v>135</v>
      </c>
      <c r="E30" t="s">
        <v>136</v>
      </c>
      <c r="F30" t="s">
        <v>137</v>
      </c>
    </row>
    <row r="31" spans="1:6" x14ac:dyDescent="0.25">
      <c r="A31" s="40">
        <v>43887</v>
      </c>
      <c r="B31" s="67"/>
      <c r="C31" s="67" t="s">
        <v>138</v>
      </c>
      <c r="D31" s="67"/>
      <c r="E31" s="67" t="s">
        <v>139</v>
      </c>
      <c r="F31" s="67" t="s">
        <v>140</v>
      </c>
    </row>
    <row r="32" spans="1:6" x14ac:dyDescent="0.25">
      <c r="A32" s="40">
        <v>43469</v>
      </c>
      <c r="B32" s="50"/>
      <c r="C32" s="50" t="s">
        <v>141</v>
      </c>
      <c r="D32" s="50"/>
      <c r="E32" s="50" t="s">
        <v>142</v>
      </c>
      <c r="F32" s="50" t="s">
        <v>143</v>
      </c>
    </row>
    <row r="33" spans="1:6" x14ac:dyDescent="0.25">
      <c r="A33" s="41">
        <v>44199</v>
      </c>
      <c r="B33" s="28"/>
      <c r="C33" s="28" t="s">
        <v>4520</v>
      </c>
      <c r="D33" s="28"/>
      <c r="E33" s="28" t="s">
        <v>4679</v>
      </c>
      <c r="F33" s="28" t="s">
        <v>4680</v>
      </c>
    </row>
    <row r="34" spans="1:6" x14ac:dyDescent="0.25">
      <c r="A34" s="40">
        <v>44172</v>
      </c>
      <c r="C34" t="s">
        <v>144</v>
      </c>
      <c r="E34" t="s">
        <v>145</v>
      </c>
      <c r="F34" t="s">
        <v>146</v>
      </c>
    </row>
    <row r="35" spans="1:6" x14ac:dyDescent="0.25">
      <c r="A35" s="40">
        <v>43608</v>
      </c>
      <c r="B35" s="67"/>
      <c r="C35" s="67" t="s">
        <v>147</v>
      </c>
      <c r="D35" s="67"/>
      <c r="E35" s="67" t="s">
        <v>147</v>
      </c>
      <c r="F35" s="67" t="s">
        <v>148</v>
      </c>
    </row>
    <row r="36" spans="1:6" x14ac:dyDescent="0.25">
      <c r="A36" s="40">
        <v>44083</v>
      </c>
      <c r="B36" s="50"/>
      <c r="C36" s="50" t="s">
        <v>149</v>
      </c>
      <c r="D36" s="50"/>
      <c r="E36" s="50" t="s">
        <v>150</v>
      </c>
      <c r="F36" s="50" t="s">
        <v>151</v>
      </c>
    </row>
    <row r="37" spans="1:6" x14ac:dyDescent="0.25">
      <c r="A37" s="40">
        <v>43815</v>
      </c>
      <c r="C37" t="s">
        <v>152</v>
      </c>
      <c r="E37" t="s">
        <v>153</v>
      </c>
      <c r="F37" t="s">
        <v>154</v>
      </c>
    </row>
    <row r="38" spans="1:6" x14ac:dyDescent="0.25">
      <c r="A38" s="40">
        <v>43868</v>
      </c>
      <c r="C38" t="s">
        <v>155</v>
      </c>
      <c r="E38" t="s">
        <v>156</v>
      </c>
      <c r="F38" t="s">
        <v>157</v>
      </c>
    </row>
    <row r="39" spans="1:6" x14ac:dyDescent="0.25">
      <c r="A39" s="40">
        <v>43384</v>
      </c>
      <c r="C39" t="s">
        <v>158</v>
      </c>
      <c r="E39" t="s">
        <v>159</v>
      </c>
      <c r="F39" t="s">
        <v>160</v>
      </c>
    </row>
    <row r="40" spans="1:6" x14ac:dyDescent="0.25">
      <c r="A40" s="40">
        <v>44055</v>
      </c>
      <c r="C40" t="s">
        <v>161</v>
      </c>
      <c r="E40" t="s">
        <v>162</v>
      </c>
      <c r="F40" t="s">
        <v>163</v>
      </c>
    </row>
    <row r="41" spans="1:6" x14ac:dyDescent="0.25">
      <c r="A41" s="40">
        <v>44049</v>
      </c>
      <c r="C41" t="s">
        <v>164</v>
      </c>
      <c r="E41" t="s">
        <v>165</v>
      </c>
      <c r="F41" t="s">
        <v>166</v>
      </c>
    </row>
    <row r="42" spans="1:6" x14ac:dyDescent="0.25">
      <c r="A42" s="40">
        <v>44049</v>
      </c>
      <c r="C42" t="s">
        <v>168</v>
      </c>
      <c r="E42" t="s">
        <v>169</v>
      </c>
      <c r="F42" t="s">
        <v>170</v>
      </c>
    </row>
    <row r="43" spans="1:6" x14ac:dyDescent="0.25">
      <c r="A43" s="41">
        <v>44199</v>
      </c>
      <c r="B43" s="28"/>
      <c r="C43" s="28" t="s">
        <v>4521</v>
      </c>
      <c r="D43" s="28"/>
      <c r="E43" s="28" t="s">
        <v>1159</v>
      </c>
      <c r="F43" s="28" t="s">
        <v>1160</v>
      </c>
    </row>
    <row r="44" spans="1:6" x14ac:dyDescent="0.25">
      <c r="A44" s="40">
        <v>43724</v>
      </c>
      <c r="C44" t="s">
        <v>171</v>
      </c>
      <c r="E44" t="s">
        <v>172</v>
      </c>
      <c r="F44" t="s">
        <v>173</v>
      </c>
    </row>
    <row r="45" spans="1:6" x14ac:dyDescent="0.25">
      <c r="A45" s="40">
        <v>43724</v>
      </c>
      <c r="B45" s="67"/>
      <c r="C45" s="67" t="s">
        <v>174</v>
      </c>
      <c r="D45" s="67"/>
      <c r="E45" s="67" t="s">
        <v>174</v>
      </c>
      <c r="F45" s="67" t="s">
        <v>175</v>
      </c>
    </row>
    <row r="46" spans="1:6" x14ac:dyDescent="0.25">
      <c r="A46" s="40">
        <v>43523</v>
      </c>
      <c r="B46" s="50"/>
      <c r="C46" s="50" t="s">
        <v>176</v>
      </c>
      <c r="D46" s="50"/>
      <c r="E46" s="50" t="s">
        <v>177</v>
      </c>
      <c r="F46" s="50" t="s">
        <v>178</v>
      </c>
    </row>
    <row r="47" spans="1:6" x14ac:dyDescent="0.25">
      <c r="A47" s="41">
        <v>44301</v>
      </c>
      <c r="B47" s="28">
        <v>1</v>
      </c>
      <c r="C47" s="28" t="s">
        <v>5542</v>
      </c>
      <c r="D47" s="28"/>
      <c r="E47" s="28" t="s">
        <v>5543</v>
      </c>
      <c r="F47" s="28" t="s">
        <v>182</v>
      </c>
    </row>
    <row r="48" spans="1:6" x14ac:dyDescent="0.25">
      <c r="A48" s="40">
        <v>43756</v>
      </c>
      <c r="C48" t="s">
        <v>180</v>
      </c>
      <c r="E48" t="s">
        <v>181</v>
      </c>
      <c r="F48" t="s">
        <v>182</v>
      </c>
    </row>
    <row r="49" spans="1:6" x14ac:dyDescent="0.25">
      <c r="A49" s="41">
        <v>44301</v>
      </c>
      <c r="B49" s="28">
        <v>1</v>
      </c>
      <c r="C49" s="28" t="s">
        <v>5544</v>
      </c>
      <c r="D49" s="28"/>
      <c r="E49" s="28" t="s">
        <v>5545</v>
      </c>
      <c r="F49" s="28" t="s">
        <v>5546</v>
      </c>
    </row>
    <row r="50" spans="1:6" x14ac:dyDescent="0.25">
      <c r="A50" s="40">
        <v>43755</v>
      </c>
      <c r="B50" s="50"/>
      <c r="C50" s="50" t="s">
        <v>183</v>
      </c>
      <c r="D50" s="50"/>
      <c r="E50" s="50" t="s">
        <v>184</v>
      </c>
      <c r="F50" s="50" t="s">
        <v>185</v>
      </c>
    </row>
    <row r="51" spans="1:6" x14ac:dyDescent="0.25">
      <c r="A51" s="40">
        <v>43867</v>
      </c>
      <c r="B51" s="67"/>
      <c r="C51" s="67" t="s">
        <v>186</v>
      </c>
      <c r="D51" s="67"/>
      <c r="E51" s="67" t="s">
        <v>187</v>
      </c>
      <c r="F51" s="67" t="s">
        <v>188</v>
      </c>
    </row>
    <row r="52" spans="1:6" x14ac:dyDescent="0.25">
      <c r="A52" s="40">
        <v>44173</v>
      </c>
      <c r="B52" s="50"/>
      <c r="C52" s="50" t="s">
        <v>189</v>
      </c>
      <c r="D52" s="50"/>
      <c r="E52" s="50" t="s">
        <v>190</v>
      </c>
      <c r="F52" s="50" t="s">
        <v>191</v>
      </c>
    </row>
    <row r="53" spans="1:6" x14ac:dyDescent="0.25">
      <c r="A53" s="40">
        <v>43732</v>
      </c>
      <c r="C53" t="s">
        <v>192</v>
      </c>
      <c r="D53" t="s">
        <v>193</v>
      </c>
      <c r="E53" t="s">
        <v>194</v>
      </c>
      <c r="F53" t="s">
        <v>195</v>
      </c>
    </row>
    <row r="54" spans="1:6" x14ac:dyDescent="0.25">
      <c r="A54" s="40">
        <v>43732</v>
      </c>
      <c r="C54" t="s">
        <v>196</v>
      </c>
      <c r="E54" t="s">
        <v>197</v>
      </c>
      <c r="F54" t="s">
        <v>198</v>
      </c>
    </row>
    <row r="55" spans="1:6" x14ac:dyDescent="0.25">
      <c r="A55" s="40">
        <v>44120</v>
      </c>
      <c r="C55" t="s">
        <v>199</v>
      </c>
      <c r="E55" t="s">
        <v>200</v>
      </c>
      <c r="F55" t="s">
        <v>201</v>
      </c>
    </row>
    <row r="56" spans="1:6" x14ac:dyDescent="0.25">
      <c r="A56" s="41">
        <v>44200</v>
      </c>
      <c r="B56" s="28"/>
      <c r="C56" s="28" t="s">
        <v>4924</v>
      </c>
      <c r="D56" s="28"/>
      <c r="E56" s="28" t="s">
        <v>5098</v>
      </c>
      <c r="F56" s="28" t="s">
        <v>5262</v>
      </c>
    </row>
    <row r="57" spans="1:6" x14ac:dyDescent="0.25">
      <c r="A57" s="41">
        <v>44200</v>
      </c>
      <c r="B57" s="28"/>
      <c r="C57" s="28" t="s">
        <v>4925</v>
      </c>
      <c r="D57" s="28"/>
      <c r="E57" s="28" t="s">
        <v>5099</v>
      </c>
      <c r="F57" s="28" t="s">
        <v>5263</v>
      </c>
    </row>
    <row r="58" spans="1:6" x14ac:dyDescent="0.25">
      <c r="A58" s="41">
        <v>44200</v>
      </c>
      <c r="B58" s="28"/>
      <c r="C58" s="28" t="s">
        <v>4926</v>
      </c>
      <c r="D58" s="28"/>
      <c r="E58" s="28" t="s">
        <v>5100</v>
      </c>
      <c r="F58" s="28" t="s">
        <v>5264</v>
      </c>
    </row>
    <row r="59" spans="1:6" x14ac:dyDescent="0.25">
      <c r="A59" s="41">
        <v>44200</v>
      </c>
      <c r="B59" s="28"/>
      <c r="C59" s="28" t="s">
        <v>4927</v>
      </c>
      <c r="D59" s="28"/>
      <c r="E59" s="28" t="s">
        <v>5101</v>
      </c>
      <c r="F59" s="28" t="s">
        <v>5265</v>
      </c>
    </row>
    <row r="60" spans="1:6" x14ac:dyDescent="0.25">
      <c r="A60" s="41">
        <v>44200</v>
      </c>
      <c r="B60" s="28"/>
      <c r="C60" s="28" t="s">
        <v>4928</v>
      </c>
      <c r="D60" s="28"/>
      <c r="E60" s="28" t="s">
        <v>5102</v>
      </c>
      <c r="F60" s="28" t="s">
        <v>5266</v>
      </c>
    </row>
    <row r="61" spans="1:6" x14ac:dyDescent="0.25">
      <c r="A61" s="41">
        <v>44200</v>
      </c>
      <c r="B61" s="28"/>
      <c r="C61" s="28" t="s">
        <v>4929</v>
      </c>
      <c r="D61" s="28"/>
      <c r="E61" s="28" t="s">
        <v>5103</v>
      </c>
      <c r="F61" s="28" t="s">
        <v>5267</v>
      </c>
    </row>
    <row r="62" spans="1:6" x14ac:dyDescent="0.25">
      <c r="A62" s="41">
        <v>44200</v>
      </c>
      <c r="B62" s="28"/>
      <c r="C62" s="28" t="s">
        <v>4930</v>
      </c>
      <c r="D62" s="28"/>
      <c r="E62" s="28" t="s">
        <v>5104</v>
      </c>
      <c r="F62" s="28" t="s">
        <v>5268</v>
      </c>
    </row>
    <row r="63" spans="1:6" x14ac:dyDescent="0.25">
      <c r="A63" s="41">
        <v>44200</v>
      </c>
      <c r="B63" s="28"/>
      <c r="C63" s="28" t="s">
        <v>4931</v>
      </c>
      <c r="D63" s="28"/>
      <c r="E63" s="28" t="s">
        <v>5105</v>
      </c>
      <c r="F63" s="28" t="s">
        <v>2283</v>
      </c>
    </row>
    <row r="64" spans="1:6" x14ac:dyDescent="0.25">
      <c r="A64" s="40">
        <v>44011</v>
      </c>
      <c r="B64" s="67"/>
      <c r="C64" s="67" t="s">
        <v>202</v>
      </c>
      <c r="D64" s="67"/>
      <c r="E64" s="67" t="s">
        <v>203</v>
      </c>
      <c r="F64" s="67" t="s">
        <v>204</v>
      </c>
    </row>
    <row r="65" spans="1:6" x14ac:dyDescent="0.25">
      <c r="A65" s="40">
        <v>44000</v>
      </c>
      <c r="B65" s="67"/>
      <c r="C65" s="67" t="s">
        <v>205</v>
      </c>
      <c r="D65" s="67"/>
      <c r="E65" s="67" t="s">
        <v>206</v>
      </c>
      <c r="F65" s="67" t="s">
        <v>207</v>
      </c>
    </row>
    <row r="66" spans="1:6" x14ac:dyDescent="0.25">
      <c r="A66" s="41">
        <v>44301</v>
      </c>
      <c r="B66" s="28">
        <v>1</v>
      </c>
      <c r="C66" s="28" t="s">
        <v>5547</v>
      </c>
      <c r="D66" s="28"/>
      <c r="E66" s="28" t="s">
        <v>5548</v>
      </c>
      <c r="F66" s="28" t="s">
        <v>5549</v>
      </c>
    </row>
    <row r="67" spans="1:6" x14ac:dyDescent="0.25">
      <c r="A67" s="40">
        <v>43965</v>
      </c>
      <c r="C67" t="s">
        <v>208</v>
      </c>
      <c r="E67" t="s">
        <v>209</v>
      </c>
      <c r="F67" t="s">
        <v>210</v>
      </c>
    </row>
    <row r="68" spans="1:6" x14ac:dyDescent="0.25">
      <c r="A68" s="40">
        <v>44049</v>
      </c>
      <c r="B68" s="67"/>
      <c r="C68" s="67" t="s">
        <v>211</v>
      </c>
      <c r="D68" s="67"/>
      <c r="E68" s="67" t="s">
        <v>212</v>
      </c>
      <c r="F68" s="67" t="s">
        <v>213</v>
      </c>
    </row>
    <row r="69" spans="1:6" x14ac:dyDescent="0.25">
      <c r="A69" s="41">
        <v>44199</v>
      </c>
      <c r="B69" s="28"/>
      <c r="C69" s="28" t="s">
        <v>4522</v>
      </c>
      <c r="D69" s="28"/>
      <c r="E69" s="28" t="s">
        <v>4681</v>
      </c>
      <c r="F69" s="28" t="s">
        <v>4682</v>
      </c>
    </row>
    <row r="70" spans="1:6" x14ac:dyDescent="0.25">
      <c r="A70" s="41">
        <v>44200</v>
      </c>
      <c r="B70" s="28"/>
      <c r="C70" s="28" t="s">
        <v>4932</v>
      </c>
      <c r="D70" s="28"/>
      <c r="E70" s="28" t="s">
        <v>4932</v>
      </c>
      <c r="F70" s="28" t="s">
        <v>5269</v>
      </c>
    </row>
    <row r="71" spans="1:6" x14ac:dyDescent="0.25">
      <c r="A71" s="40">
        <v>43655</v>
      </c>
      <c r="B71" s="67"/>
      <c r="C71" s="67" t="s">
        <v>214</v>
      </c>
      <c r="D71" s="67"/>
      <c r="E71" s="67" t="s">
        <v>215</v>
      </c>
      <c r="F71" s="67" t="s">
        <v>216</v>
      </c>
    </row>
    <row r="72" spans="1:6" x14ac:dyDescent="0.25">
      <c r="A72" s="40">
        <v>43867</v>
      </c>
      <c r="B72" s="67"/>
      <c r="C72" s="67" t="s">
        <v>217</v>
      </c>
      <c r="D72" s="67"/>
      <c r="E72" s="67" t="s">
        <v>218</v>
      </c>
      <c r="F72" s="67" t="s">
        <v>219</v>
      </c>
    </row>
    <row r="73" spans="1:6" x14ac:dyDescent="0.25">
      <c r="A73" s="40">
        <v>43910</v>
      </c>
      <c r="B73" s="50"/>
      <c r="C73" s="50" t="s">
        <v>220</v>
      </c>
      <c r="D73" s="50"/>
      <c r="E73" s="50" t="s">
        <v>221</v>
      </c>
      <c r="F73" s="50" t="s">
        <v>222</v>
      </c>
    </row>
    <row r="74" spans="1:6" x14ac:dyDescent="0.25">
      <c r="A74" s="40">
        <v>43662</v>
      </c>
      <c r="B74" s="44"/>
      <c r="C74" s="44" t="s">
        <v>223</v>
      </c>
      <c r="D74" s="44"/>
      <c r="E74" s="44" t="s">
        <v>224</v>
      </c>
      <c r="F74" s="44" t="s">
        <v>219</v>
      </c>
    </row>
    <row r="75" spans="1:6" x14ac:dyDescent="0.25">
      <c r="A75" s="41">
        <v>44199</v>
      </c>
      <c r="B75" s="28"/>
      <c r="C75" s="28" t="s">
        <v>4523</v>
      </c>
      <c r="D75" s="28"/>
      <c r="E75" s="28" t="s">
        <v>4683</v>
      </c>
      <c r="F75" s="28" t="s">
        <v>4684</v>
      </c>
    </row>
    <row r="76" spans="1:6" x14ac:dyDescent="0.25">
      <c r="A76" s="40">
        <v>43724</v>
      </c>
      <c r="C76" t="s">
        <v>225</v>
      </c>
      <c r="E76" t="s">
        <v>226</v>
      </c>
      <c r="F76" t="s">
        <v>227</v>
      </c>
    </row>
    <row r="77" spans="1:6" x14ac:dyDescent="0.25">
      <c r="A77" s="40">
        <v>43644</v>
      </c>
      <c r="B77" s="67"/>
      <c r="C77" s="67" t="s">
        <v>228</v>
      </c>
      <c r="D77" s="67"/>
      <c r="E77" s="67" t="s">
        <v>229</v>
      </c>
      <c r="F77" s="67" t="s">
        <v>230</v>
      </c>
    </row>
    <row r="78" spans="1:6" x14ac:dyDescent="0.25">
      <c r="A78" s="40">
        <v>43644</v>
      </c>
      <c r="B78" s="50"/>
      <c r="C78" s="50" t="s">
        <v>231</v>
      </c>
      <c r="D78" s="50"/>
      <c r="E78" s="50" t="s">
        <v>232</v>
      </c>
      <c r="F78" s="50" t="s">
        <v>233</v>
      </c>
    </row>
    <row r="79" spans="1:6" x14ac:dyDescent="0.25">
      <c r="A79" s="40">
        <v>44019</v>
      </c>
      <c r="B79" s="44"/>
      <c r="C79" s="44" t="s">
        <v>234</v>
      </c>
      <c r="D79" s="44"/>
      <c r="E79" s="44" t="s">
        <v>235</v>
      </c>
      <c r="F79" s="44" t="s">
        <v>236</v>
      </c>
    </row>
    <row r="80" spans="1:6" x14ac:dyDescent="0.25">
      <c r="A80" s="41">
        <v>44199</v>
      </c>
      <c r="B80" s="28"/>
      <c r="C80" s="28" t="s">
        <v>4524</v>
      </c>
      <c r="D80" s="28"/>
      <c r="E80" s="28" t="s">
        <v>4524</v>
      </c>
      <c r="F80" s="28" t="s">
        <v>4685</v>
      </c>
    </row>
    <row r="81" spans="1:6" x14ac:dyDescent="0.25">
      <c r="A81" s="41">
        <v>44199</v>
      </c>
      <c r="B81" s="28"/>
      <c r="C81" s="28" t="s">
        <v>4525</v>
      </c>
      <c r="D81" s="28"/>
      <c r="E81" s="28" t="s">
        <v>4686</v>
      </c>
      <c r="F81" s="28" t="s">
        <v>4687</v>
      </c>
    </row>
    <row r="82" spans="1:6" x14ac:dyDescent="0.25">
      <c r="A82" s="41">
        <v>44199</v>
      </c>
      <c r="B82" s="28"/>
      <c r="C82" s="28" t="s">
        <v>4526</v>
      </c>
      <c r="D82" s="28"/>
      <c r="E82" s="28" t="s">
        <v>4688</v>
      </c>
      <c r="F82" s="28" t="s">
        <v>645</v>
      </c>
    </row>
    <row r="83" spans="1:6" x14ac:dyDescent="0.25">
      <c r="A83" s="40">
        <v>43612</v>
      </c>
      <c r="B83" s="67"/>
      <c r="C83" s="67" t="s">
        <v>237</v>
      </c>
      <c r="D83" s="67"/>
      <c r="E83" s="67" t="s">
        <v>238</v>
      </c>
      <c r="F83" s="67" t="s">
        <v>239</v>
      </c>
    </row>
    <row r="84" spans="1:6" x14ac:dyDescent="0.25">
      <c r="A84" s="41">
        <v>44199</v>
      </c>
      <c r="B84" s="28"/>
      <c r="C84" s="28" t="s">
        <v>4527</v>
      </c>
      <c r="D84" s="28"/>
      <c r="E84" s="28" t="s">
        <v>4689</v>
      </c>
      <c r="F84" s="28" t="s">
        <v>4690</v>
      </c>
    </row>
    <row r="85" spans="1:6" x14ac:dyDescent="0.25">
      <c r="B85" s="50"/>
      <c r="C85" s="50" t="s">
        <v>240</v>
      </c>
      <c r="D85" s="50"/>
      <c r="E85" s="50" t="s">
        <v>241</v>
      </c>
      <c r="F85" s="50" t="s">
        <v>242</v>
      </c>
    </row>
    <row r="86" spans="1:6" x14ac:dyDescent="0.25">
      <c r="A86" s="40">
        <v>43489</v>
      </c>
      <c r="B86" s="67"/>
      <c r="C86" s="67" t="s">
        <v>243</v>
      </c>
      <c r="D86" s="67"/>
      <c r="E86" s="67" t="s">
        <v>244</v>
      </c>
      <c r="F86" s="67" t="s">
        <v>245</v>
      </c>
    </row>
    <row r="87" spans="1:6" x14ac:dyDescent="0.25">
      <c r="A87" s="41">
        <v>44200</v>
      </c>
      <c r="B87" s="28"/>
      <c r="C87" s="28" t="s">
        <v>4933</v>
      </c>
      <c r="D87" s="28"/>
      <c r="E87" s="28" t="s">
        <v>5106</v>
      </c>
      <c r="F87" s="28" t="s">
        <v>5270</v>
      </c>
    </row>
    <row r="88" spans="1:6" x14ac:dyDescent="0.25">
      <c r="A88" s="40">
        <v>43465</v>
      </c>
      <c r="B88" s="44"/>
      <c r="C88" s="44" t="s">
        <v>247</v>
      </c>
      <c r="D88" s="44"/>
      <c r="E88" s="44" t="s">
        <v>248</v>
      </c>
      <c r="F88" s="44" t="s">
        <v>249</v>
      </c>
    </row>
    <row r="89" spans="1:6" x14ac:dyDescent="0.25">
      <c r="A89" s="41">
        <v>44200</v>
      </c>
      <c r="B89" s="28"/>
      <c r="C89" s="28" t="s">
        <v>4934</v>
      </c>
      <c r="D89" s="28"/>
      <c r="E89" s="28" t="s">
        <v>5107</v>
      </c>
      <c r="F89" s="28" t="s">
        <v>5271</v>
      </c>
    </row>
    <row r="90" spans="1:6" x14ac:dyDescent="0.25">
      <c r="A90" s="40">
        <v>43700</v>
      </c>
      <c r="B90" s="50"/>
      <c r="C90" s="50" t="s">
        <v>250</v>
      </c>
      <c r="D90" s="50"/>
      <c r="E90" s="50" t="s">
        <v>251</v>
      </c>
      <c r="F90" s="50" t="s">
        <v>252</v>
      </c>
    </row>
    <row r="91" spans="1:6" x14ac:dyDescent="0.25">
      <c r="A91" s="40">
        <v>44148</v>
      </c>
      <c r="B91" s="67"/>
      <c r="C91" s="67" t="s">
        <v>253</v>
      </c>
      <c r="D91" s="67"/>
      <c r="E91" s="67" t="s">
        <v>254</v>
      </c>
      <c r="F91" s="67" t="s">
        <v>255</v>
      </c>
    </row>
    <row r="92" spans="1:6" x14ac:dyDescent="0.25">
      <c r="A92" s="40">
        <v>43493</v>
      </c>
      <c r="B92" s="50"/>
      <c r="C92" s="50" t="s">
        <v>256</v>
      </c>
      <c r="D92" s="50"/>
      <c r="E92" s="50" t="s">
        <v>257</v>
      </c>
      <c r="F92" s="50" t="s">
        <v>258</v>
      </c>
    </row>
    <row r="93" spans="1:6" x14ac:dyDescent="0.25">
      <c r="A93" s="40">
        <v>43493</v>
      </c>
      <c r="B93" s="44"/>
      <c r="C93" s="44" t="s">
        <v>259</v>
      </c>
      <c r="D93" s="44"/>
      <c r="E93" s="44" t="s">
        <v>260</v>
      </c>
      <c r="F93" s="44" t="s">
        <v>261</v>
      </c>
    </row>
    <row r="94" spans="1:6" x14ac:dyDescent="0.25">
      <c r="A94" s="41">
        <v>44200</v>
      </c>
      <c r="B94" s="28"/>
      <c r="C94" s="28" t="s">
        <v>4935</v>
      </c>
      <c r="D94" s="28"/>
      <c r="E94" s="28" t="s">
        <v>5108</v>
      </c>
      <c r="F94" s="28" t="s">
        <v>5272</v>
      </c>
    </row>
    <row r="95" spans="1:6" x14ac:dyDescent="0.25">
      <c r="A95" s="41">
        <v>44199</v>
      </c>
      <c r="B95" s="28"/>
      <c r="C95" s="28" t="s">
        <v>4528</v>
      </c>
      <c r="D95" s="28"/>
      <c r="E95" s="28" t="s">
        <v>4691</v>
      </c>
      <c r="F95" s="28" t="s">
        <v>245</v>
      </c>
    </row>
    <row r="96" spans="1:6" x14ac:dyDescent="0.25">
      <c r="A96" s="40">
        <v>43461</v>
      </c>
      <c r="B96" s="67"/>
      <c r="C96" s="67" t="s">
        <v>262</v>
      </c>
      <c r="D96" s="67"/>
      <c r="E96" s="67" t="s">
        <v>263</v>
      </c>
      <c r="F96" s="67" t="s">
        <v>264</v>
      </c>
    </row>
    <row r="97" spans="1:6" x14ac:dyDescent="0.25">
      <c r="A97" s="41">
        <v>44199</v>
      </c>
      <c r="B97" s="28"/>
      <c r="C97" s="28" t="s">
        <v>4529</v>
      </c>
      <c r="D97" s="28"/>
      <c r="E97" s="28" t="s">
        <v>4692</v>
      </c>
      <c r="F97" s="28" t="s">
        <v>264</v>
      </c>
    </row>
    <row r="98" spans="1:6" x14ac:dyDescent="0.25">
      <c r="A98" s="40">
        <v>43465</v>
      </c>
      <c r="B98" s="50"/>
      <c r="C98" s="50" t="s">
        <v>265</v>
      </c>
      <c r="D98" s="50"/>
      <c r="E98" s="50" t="s">
        <v>266</v>
      </c>
      <c r="F98" s="50" t="s">
        <v>267</v>
      </c>
    </row>
    <row r="99" spans="1:6" x14ac:dyDescent="0.25">
      <c r="A99" s="40">
        <v>43761</v>
      </c>
      <c r="B99" s="67"/>
      <c r="C99" s="67" t="s">
        <v>268</v>
      </c>
      <c r="D99" s="67"/>
      <c r="E99" s="67" t="s">
        <v>269</v>
      </c>
      <c r="F99" s="67" t="s">
        <v>270</v>
      </c>
    </row>
    <row r="100" spans="1:6" x14ac:dyDescent="0.25">
      <c r="A100" s="40">
        <v>44151</v>
      </c>
      <c r="B100" s="50"/>
      <c r="C100" s="50" t="s">
        <v>271</v>
      </c>
      <c r="D100" s="50"/>
      <c r="E100" s="50" t="s">
        <v>271</v>
      </c>
      <c r="F100" s="50" t="s">
        <v>272</v>
      </c>
    </row>
    <row r="101" spans="1:6" x14ac:dyDescent="0.25">
      <c r="A101" s="40">
        <v>44159</v>
      </c>
      <c r="C101" t="s">
        <v>273</v>
      </c>
      <c r="E101" t="s">
        <v>274</v>
      </c>
      <c r="F101" t="s">
        <v>272</v>
      </c>
    </row>
    <row r="102" spans="1:6" x14ac:dyDescent="0.25">
      <c r="A102" s="40">
        <v>43899</v>
      </c>
      <c r="C102" t="s">
        <v>275</v>
      </c>
      <c r="E102" t="s">
        <v>275</v>
      </c>
      <c r="F102" t="s">
        <v>276</v>
      </c>
    </row>
    <row r="103" spans="1:6" x14ac:dyDescent="0.25">
      <c r="A103" s="40">
        <v>43899</v>
      </c>
      <c r="C103" t="s">
        <v>277</v>
      </c>
      <c r="E103" t="s">
        <v>277</v>
      </c>
      <c r="F103" t="s">
        <v>278</v>
      </c>
    </row>
    <row r="104" spans="1:6" x14ac:dyDescent="0.25">
      <c r="A104" s="40">
        <v>44055</v>
      </c>
      <c r="C104" t="s">
        <v>279</v>
      </c>
      <c r="E104" t="s">
        <v>279</v>
      </c>
      <c r="F104" t="s">
        <v>280</v>
      </c>
    </row>
    <row r="105" spans="1:6" x14ac:dyDescent="0.25">
      <c r="A105" s="40">
        <v>43937</v>
      </c>
      <c r="C105" t="s">
        <v>281</v>
      </c>
      <c r="E105" t="s">
        <v>282</v>
      </c>
      <c r="F105" t="s">
        <v>283</v>
      </c>
    </row>
    <row r="106" spans="1:6" x14ac:dyDescent="0.25">
      <c r="A106" s="40">
        <v>44000</v>
      </c>
      <c r="C106" t="s">
        <v>284</v>
      </c>
      <c r="E106" t="s">
        <v>284</v>
      </c>
      <c r="F106" t="s">
        <v>285</v>
      </c>
    </row>
    <row r="107" spans="1:6" x14ac:dyDescent="0.25">
      <c r="A107" s="40">
        <v>43530</v>
      </c>
      <c r="C107" t="s">
        <v>286</v>
      </c>
      <c r="E107" t="s">
        <v>287</v>
      </c>
      <c r="F107" t="s">
        <v>288</v>
      </c>
    </row>
    <row r="108" spans="1:6" x14ac:dyDescent="0.25">
      <c r="A108" s="40">
        <v>43530</v>
      </c>
      <c r="C108" t="s">
        <v>289</v>
      </c>
      <c r="E108" t="s">
        <v>290</v>
      </c>
      <c r="F108" t="s">
        <v>291</v>
      </c>
    </row>
    <row r="109" spans="1:6" x14ac:dyDescent="0.25">
      <c r="A109" s="40">
        <v>44054</v>
      </c>
      <c r="C109" t="s">
        <v>292</v>
      </c>
      <c r="E109" t="s">
        <v>293</v>
      </c>
      <c r="F109" t="s">
        <v>294</v>
      </c>
    </row>
    <row r="110" spans="1:6" x14ac:dyDescent="0.25">
      <c r="A110" s="40">
        <v>43490</v>
      </c>
      <c r="C110" t="s">
        <v>295</v>
      </c>
      <c r="E110" t="s">
        <v>296</v>
      </c>
      <c r="F110" t="s">
        <v>297</v>
      </c>
    </row>
    <row r="111" spans="1:6" x14ac:dyDescent="0.25">
      <c r="A111" s="40">
        <v>44173</v>
      </c>
      <c r="C111" t="s">
        <v>2837</v>
      </c>
      <c r="E111" t="s">
        <v>2838</v>
      </c>
      <c r="F111" t="s">
        <v>279</v>
      </c>
    </row>
    <row r="112" spans="1:6" x14ac:dyDescent="0.25">
      <c r="A112" s="40">
        <v>43644</v>
      </c>
      <c r="C112" t="s">
        <v>298</v>
      </c>
      <c r="E112" t="s">
        <v>299</v>
      </c>
      <c r="F112" t="s">
        <v>300</v>
      </c>
    </row>
    <row r="113" spans="1:6" x14ac:dyDescent="0.25">
      <c r="A113" s="40">
        <v>43644</v>
      </c>
      <c r="C113" t="s">
        <v>301</v>
      </c>
      <c r="D113" t="s">
        <v>302</v>
      </c>
      <c r="E113" t="s">
        <v>303</v>
      </c>
      <c r="F113" t="s">
        <v>304</v>
      </c>
    </row>
    <row r="114" spans="1:6" x14ac:dyDescent="0.25">
      <c r="A114" s="40">
        <v>43644</v>
      </c>
      <c r="C114" t="s">
        <v>305</v>
      </c>
      <c r="D114" t="s">
        <v>306</v>
      </c>
      <c r="E114" t="s">
        <v>307</v>
      </c>
      <c r="F114" t="s">
        <v>308</v>
      </c>
    </row>
    <row r="115" spans="1:6" x14ac:dyDescent="0.25">
      <c r="A115" s="40">
        <v>44169</v>
      </c>
      <c r="C115" t="s">
        <v>309</v>
      </c>
      <c r="E115" t="s">
        <v>310</v>
      </c>
      <c r="F115" t="s">
        <v>311</v>
      </c>
    </row>
    <row r="116" spans="1:6" x14ac:dyDescent="0.25">
      <c r="A116" s="40">
        <v>43811</v>
      </c>
      <c r="C116" t="s">
        <v>312</v>
      </c>
      <c r="E116" t="s">
        <v>313</v>
      </c>
      <c r="F116" t="s">
        <v>314</v>
      </c>
    </row>
    <row r="117" spans="1:6" x14ac:dyDescent="0.25">
      <c r="A117" s="40">
        <v>44081</v>
      </c>
      <c r="B117" s="44"/>
      <c r="C117" s="44" t="s">
        <v>315</v>
      </c>
      <c r="D117" s="44"/>
      <c r="E117" s="44" t="s">
        <v>316</v>
      </c>
      <c r="F117" s="44" t="s">
        <v>317</v>
      </c>
    </row>
    <row r="118" spans="1:6" x14ac:dyDescent="0.25">
      <c r="A118" s="41">
        <v>44199</v>
      </c>
      <c r="B118" s="28"/>
      <c r="C118" s="28" t="s">
        <v>4530</v>
      </c>
      <c r="D118" s="28"/>
      <c r="E118" s="28" t="s">
        <v>4693</v>
      </c>
      <c r="F118" s="28" t="s">
        <v>4694</v>
      </c>
    </row>
    <row r="119" spans="1:6" x14ac:dyDescent="0.25">
      <c r="A119" s="40">
        <v>44049</v>
      </c>
      <c r="C119" t="s">
        <v>318</v>
      </c>
      <c r="E119" t="s">
        <v>319</v>
      </c>
      <c r="F119" t="s">
        <v>320</v>
      </c>
    </row>
    <row r="120" spans="1:6" x14ac:dyDescent="0.25">
      <c r="A120" s="40">
        <v>43725</v>
      </c>
      <c r="B120" s="67"/>
      <c r="C120" s="67" t="s">
        <v>321</v>
      </c>
      <c r="D120" s="67"/>
      <c r="E120" s="67" t="s">
        <v>322</v>
      </c>
      <c r="F120" s="67" t="s">
        <v>323</v>
      </c>
    </row>
    <row r="121" spans="1:6" x14ac:dyDescent="0.25">
      <c r="A121" s="40">
        <v>43950</v>
      </c>
      <c r="B121" s="50"/>
      <c r="C121" s="50" t="s">
        <v>324</v>
      </c>
      <c r="D121" s="50"/>
      <c r="E121" s="50" t="s">
        <v>325</v>
      </c>
      <c r="F121" s="50" t="s">
        <v>326</v>
      </c>
    </row>
    <row r="122" spans="1:6" x14ac:dyDescent="0.25">
      <c r="A122" s="40">
        <v>43384</v>
      </c>
      <c r="C122" t="s">
        <v>327</v>
      </c>
      <c r="E122" t="s">
        <v>327</v>
      </c>
      <c r="F122" t="s">
        <v>328</v>
      </c>
    </row>
    <row r="123" spans="1:6" x14ac:dyDescent="0.25">
      <c r="A123" s="40">
        <v>43868</v>
      </c>
      <c r="C123" t="s">
        <v>329</v>
      </c>
      <c r="E123" t="s">
        <v>330</v>
      </c>
      <c r="F123" t="s">
        <v>331</v>
      </c>
    </row>
    <row r="124" spans="1:6" x14ac:dyDescent="0.25">
      <c r="A124" s="40">
        <v>44069</v>
      </c>
      <c r="C124" t="s">
        <v>332</v>
      </c>
      <c r="E124" t="s">
        <v>333</v>
      </c>
      <c r="F124" t="s">
        <v>334</v>
      </c>
    </row>
    <row r="125" spans="1:6" x14ac:dyDescent="0.25">
      <c r="A125" s="40">
        <v>43565</v>
      </c>
      <c r="C125" t="s">
        <v>335</v>
      </c>
      <c r="E125" t="s">
        <v>336</v>
      </c>
      <c r="F125" t="s">
        <v>337</v>
      </c>
    </row>
    <row r="126" spans="1:6" x14ac:dyDescent="0.25">
      <c r="A126" s="40">
        <v>43565</v>
      </c>
      <c r="C126" t="s">
        <v>338</v>
      </c>
      <c r="E126" t="s">
        <v>339</v>
      </c>
      <c r="F126" t="s">
        <v>340</v>
      </c>
    </row>
    <row r="127" spans="1:6" x14ac:dyDescent="0.25">
      <c r="A127" s="41">
        <v>44922</v>
      </c>
      <c r="B127" s="28"/>
      <c r="C127" s="28" t="s">
        <v>5843</v>
      </c>
      <c r="D127" s="28"/>
      <c r="E127" s="28" t="s">
        <v>5844</v>
      </c>
      <c r="F127" s="28" t="s">
        <v>5845</v>
      </c>
    </row>
    <row r="128" spans="1:6" x14ac:dyDescent="0.25">
      <c r="A128" s="40">
        <v>43609</v>
      </c>
      <c r="C128" t="s">
        <v>341</v>
      </c>
      <c r="E128" t="s">
        <v>342</v>
      </c>
      <c r="F128" t="s">
        <v>343</v>
      </c>
    </row>
    <row r="129" spans="1:6" x14ac:dyDescent="0.25">
      <c r="A129" s="40">
        <v>43461</v>
      </c>
      <c r="B129" s="44"/>
      <c r="C129" s="44" t="s">
        <v>345</v>
      </c>
      <c r="D129" s="44"/>
      <c r="E129" s="44" t="s">
        <v>346</v>
      </c>
      <c r="F129" s="44" t="s">
        <v>347</v>
      </c>
    </row>
    <row r="130" spans="1:6" x14ac:dyDescent="0.25">
      <c r="B130" s="68"/>
      <c r="C130" s="68" t="s">
        <v>348</v>
      </c>
      <c r="D130" s="68"/>
      <c r="E130" s="68" t="s">
        <v>349</v>
      </c>
      <c r="F130" s="68" t="s">
        <v>350</v>
      </c>
    </row>
    <row r="131" spans="1:6" x14ac:dyDescent="0.25">
      <c r="A131" s="41">
        <v>44199</v>
      </c>
      <c r="B131" s="28"/>
      <c r="C131" s="28" t="s">
        <v>4531</v>
      </c>
      <c r="D131" s="28"/>
      <c r="E131" s="28" t="s">
        <v>4695</v>
      </c>
      <c r="F131" s="28" t="s">
        <v>4696</v>
      </c>
    </row>
    <row r="132" spans="1:6" x14ac:dyDescent="0.25">
      <c r="A132" s="40">
        <v>44068</v>
      </c>
      <c r="B132" s="67"/>
      <c r="C132" s="67" t="s">
        <v>352</v>
      </c>
      <c r="D132" s="67"/>
      <c r="E132" s="67" t="s">
        <v>353</v>
      </c>
      <c r="F132" s="67" t="s">
        <v>354</v>
      </c>
    </row>
    <row r="133" spans="1:6" x14ac:dyDescent="0.25">
      <c r="A133" s="41">
        <v>44922</v>
      </c>
      <c r="B133" s="28"/>
      <c r="C133" s="28" t="s">
        <v>5846</v>
      </c>
      <c r="D133" s="28"/>
      <c r="E133" s="28" t="s">
        <v>5847</v>
      </c>
      <c r="F133" s="28" t="s">
        <v>5848</v>
      </c>
    </row>
    <row r="134" spans="1:6" x14ac:dyDescent="0.25">
      <c r="A134" s="40">
        <v>43761</v>
      </c>
      <c r="C134" t="s">
        <v>355</v>
      </c>
      <c r="E134" t="s">
        <v>356</v>
      </c>
      <c r="F134" t="s">
        <v>357</v>
      </c>
    </row>
    <row r="135" spans="1:6" x14ac:dyDescent="0.25">
      <c r="A135" s="41">
        <v>44200</v>
      </c>
      <c r="B135" s="28"/>
      <c r="C135" s="28" t="s">
        <v>4936</v>
      </c>
      <c r="D135" s="28"/>
      <c r="E135" s="28" t="s">
        <v>5109</v>
      </c>
      <c r="F135" s="28" t="s">
        <v>5273</v>
      </c>
    </row>
    <row r="136" spans="1:6" x14ac:dyDescent="0.25">
      <c r="A136" s="40">
        <v>43840</v>
      </c>
      <c r="B136" s="50"/>
      <c r="C136" s="50" t="s">
        <v>358</v>
      </c>
      <c r="D136" s="50"/>
      <c r="E136" s="50" t="s">
        <v>359</v>
      </c>
      <c r="F136" s="50" t="s">
        <v>360</v>
      </c>
    </row>
    <row r="137" spans="1:6" x14ac:dyDescent="0.25">
      <c r="A137" s="40">
        <v>43587</v>
      </c>
      <c r="B137" s="68"/>
      <c r="C137" s="68" t="s">
        <v>361</v>
      </c>
      <c r="D137" s="68"/>
      <c r="E137" s="68" t="s">
        <v>362</v>
      </c>
      <c r="F137" s="68" t="s">
        <v>363</v>
      </c>
    </row>
    <row r="138" spans="1:6" x14ac:dyDescent="0.25">
      <c r="A138" s="40">
        <v>43815</v>
      </c>
      <c r="C138" t="s">
        <v>364</v>
      </c>
      <c r="E138" t="s">
        <v>365</v>
      </c>
      <c r="F138" t="s">
        <v>366</v>
      </c>
    </row>
    <row r="139" spans="1:6" s="43" customFormat="1" x14ac:dyDescent="0.25">
      <c r="A139" s="41">
        <v>44199</v>
      </c>
      <c r="B139" s="28"/>
      <c r="C139" s="28" t="s">
        <v>4532</v>
      </c>
      <c r="D139" s="28"/>
      <c r="E139" s="28" t="s">
        <v>4697</v>
      </c>
      <c r="F139" s="28" t="s">
        <v>2008</v>
      </c>
    </row>
    <row r="140" spans="1:6" x14ac:dyDescent="0.25">
      <c r="B140" s="68"/>
      <c r="C140" s="68" t="s">
        <v>367</v>
      </c>
      <c r="D140" s="68"/>
      <c r="E140" s="68" t="s">
        <v>368</v>
      </c>
      <c r="F140" s="68" t="s">
        <v>369</v>
      </c>
    </row>
    <row r="141" spans="1:6" x14ac:dyDescent="0.25">
      <c r="A141" s="40">
        <v>43741</v>
      </c>
      <c r="C141" t="s">
        <v>370</v>
      </c>
      <c r="E141" t="s">
        <v>371</v>
      </c>
      <c r="F141" t="s">
        <v>372</v>
      </c>
    </row>
    <row r="142" spans="1:6" x14ac:dyDescent="0.25">
      <c r="A142" s="41">
        <v>44294</v>
      </c>
      <c r="B142" s="28"/>
      <c r="C142" s="28" t="s">
        <v>5536</v>
      </c>
      <c r="D142" s="28"/>
      <c r="E142" s="28" t="s">
        <v>5537</v>
      </c>
      <c r="F142" s="28" t="s">
        <v>5538</v>
      </c>
    </row>
    <row r="143" spans="1:6" x14ac:dyDescent="0.25">
      <c r="A143" s="40">
        <v>43725</v>
      </c>
      <c r="B143" s="50"/>
      <c r="C143" s="50" t="s">
        <v>373</v>
      </c>
      <c r="D143" s="50"/>
      <c r="E143" s="50" t="s">
        <v>374</v>
      </c>
      <c r="F143" s="50" t="s">
        <v>375</v>
      </c>
    </row>
    <row r="144" spans="1:6" x14ac:dyDescent="0.25">
      <c r="A144" s="40">
        <v>43720</v>
      </c>
      <c r="C144" t="s">
        <v>376</v>
      </c>
      <c r="E144" t="s">
        <v>377</v>
      </c>
      <c r="F144" t="s">
        <v>378</v>
      </c>
    </row>
    <row r="145" spans="1:6" x14ac:dyDescent="0.25">
      <c r="A145" s="40">
        <v>44062</v>
      </c>
      <c r="C145" t="s">
        <v>379</v>
      </c>
      <c r="E145" t="s">
        <v>380</v>
      </c>
      <c r="F145" t="s">
        <v>381</v>
      </c>
    </row>
    <row r="146" spans="1:6" x14ac:dyDescent="0.25">
      <c r="A146" s="40">
        <v>43623</v>
      </c>
      <c r="C146" t="s">
        <v>382</v>
      </c>
      <c r="E146" t="s">
        <v>383</v>
      </c>
      <c r="F146" t="s">
        <v>384</v>
      </c>
    </row>
    <row r="147" spans="1:6" x14ac:dyDescent="0.25">
      <c r="A147" s="40">
        <v>43720</v>
      </c>
      <c r="C147" t="s">
        <v>385</v>
      </c>
      <c r="D147" t="s">
        <v>386</v>
      </c>
      <c r="E147" t="s">
        <v>387</v>
      </c>
      <c r="F147" t="s">
        <v>388</v>
      </c>
    </row>
    <row r="148" spans="1:6" x14ac:dyDescent="0.25">
      <c r="A148" s="40">
        <v>43720</v>
      </c>
      <c r="C148" t="s">
        <v>389</v>
      </c>
      <c r="E148" t="s">
        <v>390</v>
      </c>
      <c r="F148" t="s">
        <v>391</v>
      </c>
    </row>
    <row r="149" spans="1:6" x14ac:dyDescent="0.25">
      <c r="A149" s="40">
        <v>43637</v>
      </c>
      <c r="C149" t="s">
        <v>392</v>
      </c>
      <c r="E149" t="s">
        <v>393</v>
      </c>
      <c r="F149" t="s">
        <v>394</v>
      </c>
    </row>
    <row r="150" spans="1:6" x14ac:dyDescent="0.25">
      <c r="A150" s="40">
        <v>43719</v>
      </c>
      <c r="B150" s="68"/>
      <c r="C150" s="68" t="s">
        <v>395</v>
      </c>
      <c r="D150" s="68"/>
      <c r="E150" s="68" t="s">
        <v>396</v>
      </c>
      <c r="F150" s="68" t="s">
        <v>397</v>
      </c>
    </row>
    <row r="151" spans="1:6" x14ac:dyDescent="0.25">
      <c r="A151" s="40">
        <v>43719</v>
      </c>
      <c r="B151" s="68"/>
      <c r="C151" s="68" t="s">
        <v>398</v>
      </c>
      <c r="D151" s="68"/>
      <c r="E151" s="68" t="s">
        <v>399</v>
      </c>
      <c r="F151" s="68" t="s">
        <v>400</v>
      </c>
    </row>
    <row r="152" spans="1:6" ht="30" x14ac:dyDescent="0.25">
      <c r="A152" s="41">
        <v>44833</v>
      </c>
      <c r="B152" s="28"/>
      <c r="C152" s="28" t="s">
        <v>5840</v>
      </c>
      <c r="D152" s="28"/>
      <c r="E152" s="54" t="s">
        <v>5841</v>
      </c>
      <c r="F152" s="28" t="s">
        <v>5842</v>
      </c>
    </row>
    <row r="153" spans="1:6" s="56" customFormat="1" x14ac:dyDescent="0.25">
      <c r="A153" s="41">
        <v>44301</v>
      </c>
      <c r="B153" s="28">
        <v>1</v>
      </c>
      <c r="C153" s="28" t="s">
        <v>5550</v>
      </c>
      <c r="D153" s="28"/>
      <c r="E153" s="28" t="s">
        <v>5551</v>
      </c>
      <c r="F153" s="28" t="s">
        <v>5552</v>
      </c>
    </row>
    <row r="154" spans="1:6" x14ac:dyDescent="0.25">
      <c r="A154" s="40">
        <v>43344</v>
      </c>
      <c r="B154" s="50"/>
      <c r="C154" s="50" t="s">
        <v>401</v>
      </c>
      <c r="D154" s="50"/>
      <c r="E154" s="50" t="s">
        <v>402</v>
      </c>
      <c r="F154" s="50" t="s">
        <v>403</v>
      </c>
    </row>
    <row r="155" spans="1:6" x14ac:dyDescent="0.25">
      <c r="A155" s="40">
        <v>43517</v>
      </c>
      <c r="B155" s="68"/>
      <c r="C155" s="68" t="s">
        <v>404</v>
      </c>
      <c r="D155" s="68"/>
      <c r="E155" s="68" t="s">
        <v>405</v>
      </c>
      <c r="F155" s="68" t="s">
        <v>406</v>
      </c>
    </row>
    <row r="156" spans="1:6" x14ac:dyDescent="0.25">
      <c r="A156" s="40">
        <v>43746</v>
      </c>
      <c r="B156" s="67"/>
      <c r="C156" s="67" t="s">
        <v>407</v>
      </c>
      <c r="D156" s="67"/>
      <c r="E156" s="67" t="s">
        <v>408</v>
      </c>
      <c r="F156" s="67" t="s">
        <v>409</v>
      </c>
    </row>
    <row r="157" spans="1:6" x14ac:dyDescent="0.25">
      <c r="A157" s="41">
        <v>44200</v>
      </c>
      <c r="B157" s="28"/>
      <c r="C157" s="28" t="s">
        <v>4937</v>
      </c>
      <c r="D157" s="28"/>
      <c r="E157" s="28" t="s">
        <v>4457</v>
      </c>
      <c r="F157" s="28" t="s">
        <v>5274</v>
      </c>
    </row>
    <row r="158" spans="1:6" x14ac:dyDescent="0.25">
      <c r="A158" s="40">
        <v>43613</v>
      </c>
      <c r="B158" s="68"/>
      <c r="C158" s="68" t="s">
        <v>410</v>
      </c>
      <c r="D158" s="68"/>
      <c r="E158" s="68" t="s">
        <v>411</v>
      </c>
      <c r="F158" s="68" t="s">
        <v>412</v>
      </c>
    </row>
    <row r="159" spans="1:6" x14ac:dyDescent="0.25">
      <c r="A159" s="40">
        <v>43344</v>
      </c>
      <c r="B159" s="67"/>
      <c r="C159" s="67" t="s">
        <v>413</v>
      </c>
      <c r="D159" s="67"/>
      <c r="E159" s="67" t="s">
        <v>414</v>
      </c>
      <c r="F159" s="67" t="s">
        <v>415</v>
      </c>
    </row>
    <row r="160" spans="1:6" x14ac:dyDescent="0.25">
      <c r="A160" s="41">
        <v>44301</v>
      </c>
      <c r="B160" s="28">
        <v>1</v>
      </c>
      <c r="C160" s="28" t="s">
        <v>5553</v>
      </c>
      <c r="D160" s="28"/>
      <c r="E160" s="28" t="s">
        <v>5554</v>
      </c>
      <c r="F160" s="28" t="s">
        <v>5555</v>
      </c>
    </row>
    <row r="161" spans="1:6" x14ac:dyDescent="0.25">
      <c r="A161" s="40">
        <v>44172</v>
      </c>
      <c r="B161" s="50"/>
      <c r="C161" s="50" t="s">
        <v>416</v>
      </c>
      <c r="D161" s="50" t="s">
        <v>417</v>
      </c>
      <c r="E161" s="50" t="s">
        <v>418</v>
      </c>
      <c r="F161" s="50" t="s">
        <v>419</v>
      </c>
    </row>
    <row r="162" spans="1:6" x14ac:dyDescent="0.25">
      <c r="A162" s="40">
        <v>44159</v>
      </c>
      <c r="B162" s="68"/>
      <c r="C162" s="68" t="s">
        <v>420</v>
      </c>
      <c r="D162" s="68"/>
      <c r="E162" s="68" t="s">
        <v>420</v>
      </c>
      <c r="F162" s="68" t="s">
        <v>421</v>
      </c>
    </row>
    <row r="163" spans="1:6" x14ac:dyDescent="0.25">
      <c r="A163" s="40">
        <v>44159</v>
      </c>
      <c r="B163" s="68"/>
      <c r="C163" s="68" t="s">
        <v>422</v>
      </c>
      <c r="D163" s="68"/>
      <c r="E163" s="68" t="s">
        <v>423</v>
      </c>
      <c r="F163" s="68" t="s">
        <v>424</v>
      </c>
    </row>
    <row r="164" spans="1:6" x14ac:dyDescent="0.25">
      <c r="A164" s="41">
        <v>44491</v>
      </c>
      <c r="B164" s="28"/>
      <c r="C164" s="28" t="s">
        <v>5701</v>
      </c>
      <c r="D164" s="28"/>
      <c r="E164" s="28" t="s">
        <v>5702</v>
      </c>
      <c r="F164" s="28" t="s">
        <v>5703</v>
      </c>
    </row>
    <row r="165" spans="1:6" x14ac:dyDescent="0.25">
      <c r="A165" s="41">
        <v>44199</v>
      </c>
      <c r="B165" s="28"/>
      <c r="C165" s="28" t="s">
        <v>4533</v>
      </c>
      <c r="D165" s="28"/>
      <c r="E165" s="28" t="s">
        <v>4533</v>
      </c>
      <c r="F165" s="28" t="s">
        <v>4698</v>
      </c>
    </row>
    <row r="166" spans="1:6" x14ac:dyDescent="0.25">
      <c r="A166" s="40">
        <v>43383</v>
      </c>
      <c r="B166" s="50"/>
      <c r="C166" s="50" t="s">
        <v>425</v>
      </c>
      <c r="D166" s="50"/>
      <c r="E166" s="50" t="s">
        <v>426</v>
      </c>
      <c r="F166" s="50" t="s">
        <v>427</v>
      </c>
    </row>
    <row r="167" spans="1:6" x14ac:dyDescent="0.25">
      <c r="A167" s="40">
        <v>43724</v>
      </c>
      <c r="C167" t="s">
        <v>428</v>
      </c>
      <c r="E167" t="s">
        <v>429</v>
      </c>
      <c r="F167" t="s">
        <v>430</v>
      </c>
    </row>
    <row r="168" spans="1:6" x14ac:dyDescent="0.25">
      <c r="A168" s="40">
        <v>43724</v>
      </c>
      <c r="C168" t="s">
        <v>431</v>
      </c>
      <c r="E168" t="s">
        <v>432</v>
      </c>
      <c r="F168" t="s">
        <v>433</v>
      </c>
    </row>
    <row r="169" spans="1:6" x14ac:dyDescent="0.25">
      <c r="A169" s="40">
        <v>43391</v>
      </c>
      <c r="C169" t="s">
        <v>434</v>
      </c>
      <c r="D169" t="s">
        <v>435</v>
      </c>
      <c r="E169" t="s">
        <v>436</v>
      </c>
      <c r="F169" t="s">
        <v>437</v>
      </c>
    </row>
    <row r="170" spans="1:6" x14ac:dyDescent="0.25">
      <c r="A170" s="40">
        <v>43755</v>
      </c>
      <c r="C170" t="s">
        <v>438</v>
      </c>
      <c r="E170" t="s">
        <v>439</v>
      </c>
      <c r="F170" t="s">
        <v>440</v>
      </c>
    </row>
    <row r="171" spans="1:6" x14ac:dyDescent="0.25">
      <c r="A171" s="40">
        <v>44069</v>
      </c>
      <c r="C171" t="s">
        <v>441</v>
      </c>
      <c r="E171" t="s">
        <v>442</v>
      </c>
      <c r="F171" t="s">
        <v>443</v>
      </c>
    </row>
    <row r="172" spans="1:6" x14ac:dyDescent="0.25">
      <c r="A172" s="40">
        <v>44069</v>
      </c>
      <c r="C172" t="s">
        <v>444</v>
      </c>
      <c r="E172" t="s">
        <v>445</v>
      </c>
      <c r="F172" t="s">
        <v>446</v>
      </c>
    </row>
    <row r="173" spans="1:6" x14ac:dyDescent="0.25">
      <c r="A173" s="40">
        <v>43644</v>
      </c>
      <c r="B173" s="44"/>
      <c r="C173" s="44" t="s">
        <v>447</v>
      </c>
      <c r="D173" s="44"/>
      <c r="E173" s="44" t="s">
        <v>448</v>
      </c>
      <c r="F173" s="44" t="s">
        <v>449</v>
      </c>
    </row>
    <row r="174" spans="1:6" x14ac:dyDescent="0.25">
      <c r="A174" s="40">
        <v>43756</v>
      </c>
      <c r="C174" t="s">
        <v>450</v>
      </c>
      <c r="E174" t="s">
        <v>451</v>
      </c>
      <c r="F174" t="s">
        <v>452</v>
      </c>
    </row>
    <row r="175" spans="1:6" x14ac:dyDescent="0.25">
      <c r="A175" s="40">
        <v>43822</v>
      </c>
      <c r="C175" t="s">
        <v>453</v>
      </c>
      <c r="E175" t="s">
        <v>454</v>
      </c>
      <c r="F175" t="s">
        <v>455</v>
      </c>
    </row>
    <row r="176" spans="1:6" x14ac:dyDescent="0.25">
      <c r="A176" s="40">
        <v>43644</v>
      </c>
      <c r="C176" t="s">
        <v>456</v>
      </c>
      <c r="E176" t="s">
        <v>457</v>
      </c>
      <c r="F176" t="s">
        <v>458</v>
      </c>
    </row>
    <row r="177" spans="1:6" x14ac:dyDescent="0.25">
      <c r="A177" s="40">
        <v>43725</v>
      </c>
      <c r="B177" s="68"/>
      <c r="C177" s="68" t="s">
        <v>459</v>
      </c>
      <c r="D177" s="68"/>
      <c r="E177" s="68" t="s">
        <v>460</v>
      </c>
      <c r="F177" s="68" t="s">
        <v>461</v>
      </c>
    </row>
    <row r="178" spans="1:6" x14ac:dyDescent="0.25">
      <c r="A178" s="40">
        <v>44139</v>
      </c>
      <c r="B178" s="67"/>
      <c r="C178" s="67" t="s">
        <v>462</v>
      </c>
      <c r="D178" s="67"/>
      <c r="E178" s="67" t="s">
        <v>463</v>
      </c>
      <c r="F178" s="67" t="s">
        <v>464</v>
      </c>
    </row>
    <row r="179" spans="1:6" x14ac:dyDescent="0.25">
      <c r="A179" s="41">
        <v>44199</v>
      </c>
      <c r="B179" s="28"/>
      <c r="C179" s="28" t="s">
        <v>4534</v>
      </c>
      <c r="D179" s="28"/>
      <c r="E179" s="28" t="s">
        <v>4534</v>
      </c>
      <c r="F179" s="28" t="s">
        <v>4699</v>
      </c>
    </row>
    <row r="180" spans="1:6" x14ac:dyDescent="0.25">
      <c r="A180" s="40">
        <v>44040</v>
      </c>
      <c r="B180" s="50"/>
      <c r="C180" s="50" t="s">
        <v>465</v>
      </c>
      <c r="D180" s="50"/>
      <c r="E180" s="50" t="s">
        <v>466</v>
      </c>
      <c r="F180" s="50" t="s">
        <v>467</v>
      </c>
    </row>
    <row r="181" spans="1:6" x14ac:dyDescent="0.25">
      <c r="A181" s="40">
        <v>43732</v>
      </c>
      <c r="C181" t="s">
        <v>468</v>
      </c>
      <c r="E181" t="s">
        <v>469</v>
      </c>
      <c r="F181" t="s">
        <v>470</v>
      </c>
    </row>
    <row r="182" spans="1:6" x14ac:dyDescent="0.25">
      <c r="A182" s="40">
        <v>44029</v>
      </c>
      <c r="B182" s="68"/>
      <c r="C182" s="68" t="s">
        <v>471</v>
      </c>
      <c r="D182" s="68"/>
      <c r="E182" s="68" t="s">
        <v>472</v>
      </c>
      <c r="F182" s="68" t="s">
        <v>473</v>
      </c>
    </row>
    <row r="183" spans="1:6" x14ac:dyDescent="0.25">
      <c r="A183" s="40">
        <v>44159</v>
      </c>
      <c r="B183" s="67"/>
      <c r="C183" s="67" t="s">
        <v>474</v>
      </c>
      <c r="D183" s="67"/>
      <c r="E183" s="67" t="s">
        <v>475</v>
      </c>
      <c r="F183" s="67" t="s">
        <v>476</v>
      </c>
    </row>
    <row r="184" spans="1:6" x14ac:dyDescent="0.25">
      <c r="A184" s="41">
        <v>44764</v>
      </c>
      <c r="B184" s="28"/>
      <c r="C184" s="28" t="s">
        <v>5818</v>
      </c>
      <c r="D184" s="28"/>
      <c r="E184" s="28" t="s">
        <v>5819</v>
      </c>
      <c r="F184" s="28" t="s">
        <v>5820</v>
      </c>
    </row>
    <row r="185" spans="1:6" x14ac:dyDescent="0.25">
      <c r="A185" s="40">
        <v>43893</v>
      </c>
      <c r="C185" t="s">
        <v>477</v>
      </c>
      <c r="D185" t="s">
        <v>478</v>
      </c>
      <c r="E185" t="s">
        <v>477</v>
      </c>
      <c r="F185" t="s">
        <v>479</v>
      </c>
    </row>
    <row r="186" spans="1:6" x14ac:dyDescent="0.25">
      <c r="A186" s="40">
        <v>43612</v>
      </c>
      <c r="C186" t="s">
        <v>480</v>
      </c>
      <c r="E186" t="s">
        <v>481</v>
      </c>
      <c r="F186" t="s">
        <v>482</v>
      </c>
    </row>
    <row r="187" spans="1:6" x14ac:dyDescent="0.25">
      <c r="A187" s="40">
        <v>43724</v>
      </c>
      <c r="B187" s="68"/>
      <c r="C187" s="68" t="s">
        <v>483</v>
      </c>
      <c r="D187" s="68" t="s">
        <v>484</v>
      </c>
      <c r="E187" s="68" t="s">
        <v>485</v>
      </c>
      <c r="F187" s="68" t="s">
        <v>486</v>
      </c>
    </row>
    <row r="188" spans="1:6" x14ac:dyDescent="0.25">
      <c r="A188" s="40">
        <v>44043</v>
      </c>
      <c r="B188" s="67"/>
      <c r="C188" s="67" t="s">
        <v>487</v>
      </c>
      <c r="D188" s="67"/>
      <c r="E188" s="67" t="s">
        <v>488</v>
      </c>
      <c r="F188" s="67" t="s">
        <v>489</v>
      </c>
    </row>
    <row r="189" spans="1:6" x14ac:dyDescent="0.25">
      <c r="A189" s="41">
        <v>44301</v>
      </c>
      <c r="B189" s="28">
        <v>1</v>
      </c>
      <c r="C189" s="28" t="s">
        <v>5556</v>
      </c>
      <c r="D189" s="28"/>
      <c r="E189" s="28" t="s">
        <v>5557</v>
      </c>
      <c r="F189" s="28" t="s">
        <v>5558</v>
      </c>
    </row>
    <row r="190" spans="1:6" x14ac:dyDescent="0.25">
      <c r="A190" s="40">
        <v>43993</v>
      </c>
      <c r="C190" t="s">
        <v>490</v>
      </c>
      <c r="E190" t="s">
        <v>491</v>
      </c>
      <c r="F190" t="s">
        <v>492</v>
      </c>
    </row>
    <row r="191" spans="1:6" x14ac:dyDescent="0.25">
      <c r="A191" s="40">
        <v>44039</v>
      </c>
      <c r="C191" t="s">
        <v>493</v>
      </c>
      <c r="E191" t="s">
        <v>494</v>
      </c>
      <c r="F191" t="s">
        <v>495</v>
      </c>
    </row>
    <row r="192" spans="1:6" x14ac:dyDescent="0.25">
      <c r="A192" s="40">
        <v>44039</v>
      </c>
      <c r="C192" t="s">
        <v>496</v>
      </c>
      <c r="E192" t="s">
        <v>497</v>
      </c>
      <c r="F192" t="s">
        <v>498</v>
      </c>
    </row>
    <row r="193" spans="1:6" x14ac:dyDescent="0.25">
      <c r="A193" s="40">
        <v>43465</v>
      </c>
      <c r="C193" t="s">
        <v>499</v>
      </c>
      <c r="E193" t="s">
        <v>500</v>
      </c>
      <c r="F193" t="s">
        <v>501</v>
      </c>
    </row>
    <row r="194" spans="1:6" x14ac:dyDescent="0.25">
      <c r="A194" s="40">
        <v>43390</v>
      </c>
      <c r="C194" t="s">
        <v>502</v>
      </c>
      <c r="D194" t="s">
        <v>503</v>
      </c>
      <c r="E194" t="s">
        <v>502</v>
      </c>
      <c r="F194" t="s">
        <v>502</v>
      </c>
    </row>
    <row r="195" spans="1:6" x14ac:dyDescent="0.25">
      <c r="A195" s="40">
        <v>44011</v>
      </c>
      <c r="B195" s="68"/>
      <c r="C195" s="68" t="s">
        <v>504</v>
      </c>
      <c r="D195" s="68"/>
      <c r="E195" s="68" t="s">
        <v>505</v>
      </c>
      <c r="F195" s="68" t="s">
        <v>506</v>
      </c>
    </row>
    <row r="196" spans="1:6" x14ac:dyDescent="0.25">
      <c r="A196" s="40">
        <v>44091</v>
      </c>
      <c r="B196" s="67"/>
      <c r="C196" s="67" t="s">
        <v>507</v>
      </c>
      <c r="D196" s="67" t="s">
        <v>508</v>
      </c>
      <c r="E196" s="67" t="s">
        <v>509</v>
      </c>
      <c r="F196" s="67" t="s">
        <v>510</v>
      </c>
    </row>
    <row r="197" spans="1:6" x14ac:dyDescent="0.25">
      <c r="A197" s="41">
        <v>44199</v>
      </c>
      <c r="B197" s="28"/>
      <c r="C197" s="28" t="s">
        <v>4535</v>
      </c>
      <c r="D197" s="28"/>
      <c r="E197" s="28" t="s">
        <v>4535</v>
      </c>
      <c r="F197" s="28" t="s">
        <v>4535</v>
      </c>
    </row>
    <row r="198" spans="1:6" x14ac:dyDescent="0.25">
      <c r="A198" s="40">
        <v>44111</v>
      </c>
      <c r="B198" s="68"/>
      <c r="C198" s="68" t="s">
        <v>511</v>
      </c>
      <c r="D198" s="68"/>
      <c r="E198" s="68" t="s">
        <v>512</v>
      </c>
      <c r="F198" s="68" t="s">
        <v>513</v>
      </c>
    </row>
    <row r="199" spans="1:6" x14ac:dyDescent="0.25">
      <c r="A199" s="40">
        <v>44120</v>
      </c>
      <c r="B199" s="67"/>
      <c r="C199" s="67" t="s">
        <v>514</v>
      </c>
      <c r="D199" s="67"/>
      <c r="E199" s="67" t="s">
        <v>515</v>
      </c>
      <c r="F199" s="67" t="s">
        <v>516</v>
      </c>
    </row>
    <row r="200" spans="1:6" x14ac:dyDescent="0.25">
      <c r="A200" s="41">
        <v>44491</v>
      </c>
      <c r="B200" s="28"/>
      <c r="C200" s="28" t="s">
        <v>5704</v>
      </c>
      <c r="D200" s="28" t="s">
        <v>5705</v>
      </c>
      <c r="E200" s="28" t="s">
        <v>5706</v>
      </c>
      <c r="F200" s="28" t="s">
        <v>5704</v>
      </c>
    </row>
    <row r="201" spans="1:6" x14ac:dyDescent="0.25">
      <c r="A201" s="40">
        <v>43739</v>
      </c>
      <c r="C201" t="s">
        <v>517</v>
      </c>
      <c r="E201" t="s">
        <v>518</v>
      </c>
      <c r="F201" t="s">
        <v>519</v>
      </c>
    </row>
    <row r="202" spans="1:6" x14ac:dyDescent="0.25">
      <c r="A202" s="40">
        <v>43998</v>
      </c>
      <c r="C202" t="s">
        <v>520</v>
      </c>
      <c r="E202" t="s">
        <v>521</v>
      </c>
      <c r="F202" t="s">
        <v>522</v>
      </c>
    </row>
    <row r="203" spans="1:6" x14ac:dyDescent="0.25">
      <c r="A203" s="40">
        <v>44012</v>
      </c>
      <c r="B203" s="68"/>
      <c r="C203" s="68" t="s">
        <v>523</v>
      </c>
      <c r="D203" s="68"/>
      <c r="E203" s="68" t="s">
        <v>524</v>
      </c>
      <c r="F203" s="68" t="s">
        <v>525</v>
      </c>
    </row>
    <row r="204" spans="1:6" x14ac:dyDescent="0.25">
      <c r="A204" s="40">
        <v>43439</v>
      </c>
      <c r="B204" s="67"/>
      <c r="C204" s="67" t="s">
        <v>526</v>
      </c>
      <c r="D204" s="67" t="s">
        <v>527</v>
      </c>
      <c r="E204" s="67" t="s">
        <v>528</v>
      </c>
      <c r="F204" s="67" t="s">
        <v>529</v>
      </c>
    </row>
    <row r="205" spans="1:6" x14ac:dyDescent="0.25">
      <c r="A205" s="51">
        <v>44583</v>
      </c>
      <c r="B205" s="52" t="e">
        <f>COUNTIF('[2]Liste des champs'!C:I,[2]!ObjGes[[#This Row],[Nom FR]])</f>
        <v>#VALUE!</v>
      </c>
      <c r="C205" s="53" t="s">
        <v>5775</v>
      </c>
      <c r="D205" s="54"/>
      <c r="E205" s="2" t="s">
        <v>5776</v>
      </c>
      <c r="F205" s="2" t="s">
        <v>5777</v>
      </c>
    </row>
    <row r="206" spans="1:6" x14ac:dyDescent="0.25">
      <c r="A206" s="40">
        <v>43384</v>
      </c>
      <c r="B206" s="67"/>
      <c r="C206" s="67" t="s">
        <v>530</v>
      </c>
      <c r="D206" s="67"/>
      <c r="E206" s="67" t="s">
        <v>531</v>
      </c>
      <c r="F206" s="67" t="s">
        <v>532</v>
      </c>
    </row>
    <row r="207" spans="1:6" x14ac:dyDescent="0.25">
      <c r="A207" s="41">
        <v>44301</v>
      </c>
      <c r="B207" s="28">
        <v>1</v>
      </c>
      <c r="C207" s="28" t="s">
        <v>5559</v>
      </c>
      <c r="D207" s="28"/>
      <c r="E207" s="28" t="s">
        <v>5560</v>
      </c>
      <c r="F207" s="28" t="s">
        <v>5561</v>
      </c>
    </row>
    <row r="208" spans="1:6" x14ac:dyDescent="0.25">
      <c r="A208" s="40">
        <v>43384</v>
      </c>
      <c r="B208" s="68"/>
      <c r="C208" s="68" t="s">
        <v>533</v>
      </c>
      <c r="D208" s="68"/>
      <c r="E208" s="68" t="s">
        <v>534</v>
      </c>
      <c r="F208" s="68" t="s">
        <v>535</v>
      </c>
    </row>
    <row r="209" spans="1:6" x14ac:dyDescent="0.25">
      <c r="A209" s="40">
        <v>44092</v>
      </c>
      <c r="B209" s="67"/>
      <c r="C209" s="67" t="s">
        <v>536</v>
      </c>
      <c r="D209" s="67"/>
      <c r="E209" s="67" t="s">
        <v>537</v>
      </c>
      <c r="F209" s="67" t="s">
        <v>538</v>
      </c>
    </row>
    <row r="210" spans="1:6" x14ac:dyDescent="0.25">
      <c r="A210" s="41">
        <v>44199</v>
      </c>
      <c r="B210" s="28"/>
      <c r="C210" s="28" t="s">
        <v>4536</v>
      </c>
      <c r="D210" s="28"/>
      <c r="E210" s="28" t="s">
        <v>4700</v>
      </c>
      <c r="F210" s="28" t="s">
        <v>4701</v>
      </c>
    </row>
    <row r="211" spans="1:6" x14ac:dyDescent="0.25">
      <c r="A211" s="40">
        <v>43384</v>
      </c>
      <c r="C211" t="s">
        <v>539</v>
      </c>
      <c r="D211" t="s">
        <v>540</v>
      </c>
      <c r="E211" t="s">
        <v>541</v>
      </c>
      <c r="F211" t="s">
        <v>542</v>
      </c>
    </row>
    <row r="212" spans="1:6" x14ac:dyDescent="0.25">
      <c r="A212" s="40">
        <v>43644</v>
      </c>
      <c r="C212" t="s">
        <v>543</v>
      </c>
      <c r="E212" t="s">
        <v>544</v>
      </c>
      <c r="F212" t="s">
        <v>545</v>
      </c>
    </row>
    <row r="213" spans="1:6" x14ac:dyDescent="0.25">
      <c r="A213" s="40">
        <v>44070</v>
      </c>
      <c r="C213" t="s">
        <v>546</v>
      </c>
      <c r="E213" t="s">
        <v>547</v>
      </c>
      <c r="F213" t="s">
        <v>548</v>
      </c>
    </row>
    <row r="214" spans="1:6" x14ac:dyDescent="0.25">
      <c r="A214" s="40">
        <v>43662</v>
      </c>
      <c r="C214" t="s">
        <v>549</v>
      </c>
      <c r="E214" t="s">
        <v>550</v>
      </c>
      <c r="F214" t="s">
        <v>551</v>
      </c>
    </row>
    <row r="215" spans="1:6" x14ac:dyDescent="0.25">
      <c r="A215" s="40">
        <v>43700</v>
      </c>
      <c r="C215" t="s">
        <v>553</v>
      </c>
      <c r="E215" t="s">
        <v>554</v>
      </c>
      <c r="F215" t="s">
        <v>555</v>
      </c>
    </row>
    <row r="216" spans="1:6" x14ac:dyDescent="0.25">
      <c r="A216" s="40">
        <v>43356</v>
      </c>
      <c r="B216" s="49"/>
      <c r="C216" s="49" t="s">
        <v>557</v>
      </c>
      <c r="D216" s="49" t="e">
        <f>PROPER([3]!ObjGes[[#This Row],[Nom EN]])</f>
        <v>#REF!</v>
      </c>
      <c r="E216" s="49" t="s">
        <v>558</v>
      </c>
      <c r="F216" s="49" t="s">
        <v>559</v>
      </c>
    </row>
    <row r="217" spans="1:6" x14ac:dyDescent="0.25">
      <c r="A217" s="40">
        <v>44070</v>
      </c>
      <c r="B217" s="68"/>
      <c r="C217" s="68" t="s">
        <v>560</v>
      </c>
      <c r="D217" s="68"/>
      <c r="E217" s="68" t="s">
        <v>561</v>
      </c>
      <c r="F217" s="68" t="s">
        <v>562</v>
      </c>
    </row>
    <row r="218" spans="1:6" x14ac:dyDescent="0.25">
      <c r="A218" s="40">
        <v>43662</v>
      </c>
      <c r="B218" s="67"/>
      <c r="C218" s="67" t="s">
        <v>563</v>
      </c>
      <c r="D218" s="67"/>
      <c r="E218" s="67" t="s">
        <v>564</v>
      </c>
      <c r="F218" s="67" t="s">
        <v>565</v>
      </c>
    </row>
    <row r="219" spans="1:6" x14ac:dyDescent="0.25">
      <c r="A219" s="41">
        <v>44199</v>
      </c>
      <c r="B219" s="28"/>
      <c r="C219" s="28" t="s">
        <v>4537</v>
      </c>
      <c r="D219" s="28"/>
      <c r="E219" s="28" t="s">
        <v>4702</v>
      </c>
      <c r="F219" s="28" t="s">
        <v>4703</v>
      </c>
    </row>
    <row r="220" spans="1:6" x14ac:dyDescent="0.25">
      <c r="A220" s="40">
        <v>43503</v>
      </c>
      <c r="C220" t="s">
        <v>4538</v>
      </c>
      <c r="E220" t="s">
        <v>566</v>
      </c>
      <c r="F220" t="s">
        <v>567</v>
      </c>
    </row>
    <row r="221" spans="1:6" x14ac:dyDescent="0.25">
      <c r="A221" s="40">
        <v>44139</v>
      </c>
      <c r="C221" t="s">
        <v>568</v>
      </c>
      <c r="E221" t="s">
        <v>568</v>
      </c>
      <c r="F221" t="s">
        <v>568</v>
      </c>
    </row>
    <row r="222" spans="1:6" x14ac:dyDescent="0.25">
      <c r="A222" s="40">
        <v>43636</v>
      </c>
      <c r="C222" t="s">
        <v>569</v>
      </c>
      <c r="E222" t="s">
        <v>570</v>
      </c>
      <c r="F222" t="s">
        <v>571</v>
      </c>
    </row>
    <row r="223" spans="1:6" x14ac:dyDescent="0.25">
      <c r="A223" s="40">
        <v>43719</v>
      </c>
      <c r="C223" t="s">
        <v>572</v>
      </c>
      <c r="E223" t="s">
        <v>573</v>
      </c>
      <c r="F223" t="s">
        <v>574</v>
      </c>
    </row>
    <row r="224" spans="1:6" x14ac:dyDescent="0.25">
      <c r="A224" s="40">
        <v>43636</v>
      </c>
      <c r="C224" t="s">
        <v>575</v>
      </c>
      <c r="E224" t="s">
        <v>576</v>
      </c>
      <c r="F224" t="s">
        <v>577</v>
      </c>
    </row>
    <row r="225" spans="1:6" x14ac:dyDescent="0.25">
      <c r="A225" s="40">
        <v>44159</v>
      </c>
      <c r="C225" t="s">
        <v>578</v>
      </c>
      <c r="E225" t="s">
        <v>579</v>
      </c>
      <c r="F225" t="s">
        <v>580</v>
      </c>
    </row>
    <row r="226" spans="1:6" x14ac:dyDescent="0.25">
      <c r="A226" s="40">
        <v>44075</v>
      </c>
      <c r="C226" t="s">
        <v>581</v>
      </c>
      <c r="E226" t="s">
        <v>582</v>
      </c>
      <c r="F226" t="s">
        <v>583</v>
      </c>
    </row>
    <row r="227" spans="1:6" x14ac:dyDescent="0.25">
      <c r="A227" s="40">
        <v>43344</v>
      </c>
      <c r="C227" t="s">
        <v>584</v>
      </c>
      <c r="E227" t="s">
        <v>585</v>
      </c>
      <c r="F227" t="s">
        <v>586</v>
      </c>
    </row>
    <row r="228" spans="1:6" x14ac:dyDescent="0.25">
      <c r="A228" s="40">
        <v>44082</v>
      </c>
      <c r="C228" t="s">
        <v>587</v>
      </c>
      <c r="E228" t="s">
        <v>588</v>
      </c>
      <c r="F228" t="s">
        <v>589</v>
      </c>
    </row>
    <row r="229" spans="1:6" x14ac:dyDescent="0.25">
      <c r="A229" s="40">
        <v>43860</v>
      </c>
      <c r="C229" t="s">
        <v>590</v>
      </c>
      <c r="E229" t="s">
        <v>591</v>
      </c>
      <c r="F229" t="s">
        <v>592</v>
      </c>
    </row>
    <row r="230" spans="1:6" x14ac:dyDescent="0.25">
      <c r="A230" s="40">
        <v>44118</v>
      </c>
      <c r="C230" t="s">
        <v>593</v>
      </c>
      <c r="E230" t="s">
        <v>594</v>
      </c>
      <c r="F230" t="s">
        <v>595</v>
      </c>
    </row>
    <row r="231" spans="1:6" x14ac:dyDescent="0.25">
      <c r="A231" s="40">
        <v>43761</v>
      </c>
      <c r="C231" t="s">
        <v>596</v>
      </c>
      <c r="E231" t="s">
        <v>597</v>
      </c>
      <c r="F231" t="s">
        <v>598</v>
      </c>
    </row>
    <row r="232" spans="1:6" x14ac:dyDescent="0.25">
      <c r="A232" s="40">
        <v>43865</v>
      </c>
      <c r="C232" t="s">
        <v>599</v>
      </c>
      <c r="E232" t="s">
        <v>600</v>
      </c>
      <c r="F232" t="s">
        <v>601</v>
      </c>
    </row>
    <row r="233" spans="1:6" x14ac:dyDescent="0.25">
      <c r="A233" s="40">
        <v>44063</v>
      </c>
      <c r="C233" t="s">
        <v>602</v>
      </c>
      <c r="E233" t="s">
        <v>603</v>
      </c>
      <c r="F233" t="s">
        <v>604</v>
      </c>
    </row>
    <row r="234" spans="1:6" x14ac:dyDescent="0.25">
      <c r="A234" s="40">
        <v>44140</v>
      </c>
      <c r="C234" t="s">
        <v>605</v>
      </c>
      <c r="E234" t="s">
        <v>606</v>
      </c>
      <c r="F234" t="s">
        <v>607</v>
      </c>
    </row>
    <row r="235" spans="1:6" x14ac:dyDescent="0.25">
      <c r="A235" s="40">
        <v>44069</v>
      </c>
      <c r="C235" t="s">
        <v>608</v>
      </c>
      <c r="E235" t="s">
        <v>609</v>
      </c>
      <c r="F235" t="s">
        <v>610</v>
      </c>
    </row>
    <row r="236" spans="1:6" x14ac:dyDescent="0.25">
      <c r="A236" s="40">
        <v>43724</v>
      </c>
      <c r="C236" t="s">
        <v>611</v>
      </c>
      <c r="E236" t="s">
        <v>612</v>
      </c>
      <c r="F236" t="s">
        <v>613</v>
      </c>
    </row>
    <row r="237" spans="1:6" x14ac:dyDescent="0.25">
      <c r="A237" s="40">
        <v>43725</v>
      </c>
      <c r="C237" t="s">
        <v>614</v>
      </c>
      <c r="E237" t="s">
        <v>615</v>
      </c>
      <c r="F237" t="s">
        <v>616</v>
      </c>
    </row>
    <row r="238" spans="1:6" x14ac:dyDescent="0.25">
      <c r="A238" s="40">
        <v>44013</v>
      </c>
      <c r="C238" t="s">
        <v>617</v>
      </c>
      <c r="E238" t="s">
        <v>618</v>
      </c>
      <c r="F238" t="s">
        <v>619</v>
      </c>
    </row>
    <row r="239" spans="1:6" x14ac:dyDescent="0.25">
      <c r="A239" s="40">
        <v>44011</v>
      </c>
      <c r="C239" t="s">
        <v>620</v>
      </c>
      <c r="E239" t="s">
        <v>621</v>
      </c>
      <c r="F239" t="s">
        <v>622</v>
      </c>
    </row>
    <row r="240" spans="1:6" x14ac:dyDescent="0.25">
      <c r="A240" s="40">
        <v>43461</v>
      </c>
      <c r="C240" t="s">
        <v>623</v>
      </c>
      <c r="E240" t="s">
        <v>624</v>
      </c>
      <c r="F240" t="s">
        <v>625</v>
      </c>
    </row>
    <row r="241" spans="1:6" x14ac:dyDescent="0.25">
      <c r="A241" s="40">
        <v>44166</v>
      </c>
      <c r="C241" t="s">
        <v>626</v>
      </c>
      <c r="E241" t="s">
        <v>627</v>
      </c>
      <c r="F241" t="s">
        <v>628</v>
      </c>
    </row>
    <row r="242" spans="1:6" x14ac:dyDescent="0.25">
      <c r="A242" s="40">
        <v>43761</v>
      </c>
      <c r="C242" t="s">
        <v>629</v>
      </c>
      <c r="E242" t="s">
        <v>630</v>
      </c>
      <c r="F242" t="s">
        <v>631</v>
      </c>
    </row>
    <row r="243" spans="1:6" x14ac:dyDescent="0.25">
      <c r="A243" s="40">
        <v>43724</v>
      </c>
      <c r="C243" t="s">
        <v>632</v>
      </c>
      <c r="E243" t="s">
        <v>633</v>
      </c>
      <c r="F243" t="s">
        <v>634</v>
      </c>
    </row>
    <row r="244" spans="1:6" x14ac:dyDescent="0.25">
      <c r="A244" s="40">
        <v>43724</v>
      </c>
      <c r="C244" t="s">
        <v>636</v>
      </c>
      <c r="E244" t="s">
        <v>637</v>
      </c>
      <c r="F244" t="s">
        <v>638</v>
      </c>
    </row>
    <row r="245" spans="1:6" x14ac:dyDescent="0.25">
      <c r="A245" s="40">
        <v>43724</v>
      </c>
      <c r="C245" t="s">
        <v>639</v>
      </c>
      <c r="E245" t="s">
        <v>640</v>
      </c>
      <c r="F245" t="s">
        <v>641</v>
      </c>
    </row>
    <row r="246" spans="1:6" x14ac:dyDescent="0.25">
      <c r="A246" s="40">
        <v>43724</v>
      </c>
      <c r="C246" t="s">
        <v>642</v>
      </c>
      <c r="E246" t="s">
        <v>643</v>
      </c>
      <c r="F246" t="s">
        <v>644</v>
      </c>
    </row>
    <row r="247" spans="1:6" x14ac:dyDescent="0.25">
      <c r="A247" s="40">
        <v>43384</v>
      </c>
      <c r="C247" t="s">
        <v>646</v>
      </c>
      <c r="E247" t="s">
        <v>647</v>
      </c>
      <c r="F247" t="s">
        <v>648</v>
      </c>
    </row>
    <row r="248" spans="1:6" x14ac:dyDescent="0.25">
      <c r="A248" s="40">
        <v>44075</v>
      </c>
      <c r="C248" t="s">
        <v>649</v>
      </c>
      <c r="E248" t="s">
        <v>650</v>
      </c>
      <c r="F248" t="s">
        <v>651</v>
      </c>
    </row>
    <row r="249" spans="1:6" x14ac:dyDescent="0.25">
      <c r="A249" s="40">
        <v>43384</v>
      </c>
      <c r="C249" t="s">
        <v>652</v>
      </c>
      <c r="E249" t="s">
        <v>653</v>
      </c>
      <c r="F249" t="s">
        <v>654</v>
      </c>
    </row>
    <row r="250" spans="1:6" x14ac:dyDescent="0.25">
      <c r="A250" s="40">
        <v>44013</v>
      </c>
      <c r="C250" t="s">
        <v>655</v>
      </c>
      <c r="E250" t="s">
        <v>656</v>
      </c>
      <c r="F250" t="s">
        <v>657</v>
      </c>
    </row>
    <row r="251" spans="1:6" x14ac:dyDescent="0.25">
      <c r="A251" s="40">
        <v>43384</v>
      </c>
      <c r="B251" s="49"/>
      <c r="C251" s="49" t="s">
        <v>658</v>
      </c>
      <c r="D251" s="49"/>
      <c r="E251" s="49" t="s">
        <v>659</v>
      </c>
      <c r="F251" s="49" t="s">
        <v>660</v>
      </c>
    </row>
    <row r="252" spans="1:6" x14ac:dyDescent="0.25">
      <c r="A252" s="40">
        <v>43868</v>
      </c>
      <c r="B252" s="68"/>
      <c r="C252" s="68" t="s">
        <v>661</v>
      </c>
      <c r="D252" s="68"/>
      <c r="E252" s="68" t="s">
        <v>662</v>
      </c>
      <c r="F252" s="68" t="s">
        <v>663</v>
      </c>
    </row>
    <row r="253" spans="1:6" x14ac:dyDescent="0.25">
      <c r="A253" s="40">
        <v>43467</v>
      </c>
      <c r="B253" s="67"/>
      <c r="C253" s="67" t="s">
        <v>664</v>
      </c>
      <c r="D253" s="67"/>
      <c r="E253" s="67" t="s">
        <v>665</v>
      </c>
      <c r="F253" s="67" t="s">
        <v>666</v>
      </c>
    </row>
    <row r="254" spans="1:6" x14ac:dyDescent="0.25">
      <c r="A254" s="41">
        <v>44301</v>
      </c>
      <c r="B254" s="28">
        <v>1</v>
      </c>
      <c r="C254" s="28" t="s">
        <v>5562</v>
      </c>
      <c r="D254" s="28"/>
      <c r="E254" s="28" t="s">
        <v>5563</v>
      </c>
      <c r="F254" s="28" t="s">
        <v>5564</v>
      </c>
    </row>
    <row r="255" spans="1:6" x14ac:dyDescent="0.25">
      <c r="A255" s="40">
        <v>43865</v>
      </c>
      <c r="C255" t="s">
        <v>667</v>
      </c>
      <c r="E255" t="s">
        <v>668</v>
      </c>
      <c r="F255" t="s">
        <v>669</v>
      </c>
    </row>
    <row r="256" spans="1:6" x14ac:dyDescent="0.25">
      <c r="A256" s="40">
        <v>44054</v>
      </c>
      <c r="C256" t="s">
        <v>670</v>
      </c>
      <c r="E256" t="s">
        <v>671</v>
      </c>
      <c r="F256" t="s">
        <v>672</v>
      </c>
    </row>
    <row r="257" spans="1:6" x14ac:dyDescent="0.25">
      <c r="A257" s="40">
        <v>44040</v>
      </c>
      <c r="B257" s="49"/>
      <c r="C257" s="49" t="s">
        <v>673</v>
      </c>
      <c r="D257" s="49"/>
      <c r="E257" s="49" t="s">
        <v>674</v>
      </c>
      <c r="F257" s="49" t="s">
        <v>675</v>
      </c>
    </row>
    <row r="258" spans="1:6" x14ac:dyDescent="0.25">
      <c r="A258" s="40">
        <v>43724</v>
      </c>
      <c r="B258" s="68"/>
      <c r="C258" s="68" t="s">
        <v>676</v>
      </c>
      <c r="D258" s="68" t="s">
        <v>677</v>
      </c>
      <c r="E258" s="68" t="s">
        <v>676</v>
      </c>
      <c r="F258" s="68" t="s">
        <v>678</v>
      </c>
    </row>
    <row r="259" spans="1:6" x14ac:dyDescent="0.25">
      <c r="A259" s="40">
        <v>43724</v>
      </c>
      <c r="B259" s="67"/>
      <c r="C259" s="67" t="s">
        <v>679</v>
      </c>
      <c r="D259" s="67" t="s">
        <v>680</v>
      </c>
      <c r="E259" s="67" t="s">
        <v>679</v>
      </c>
      <c r="F259" s="67" t="s">
        <v>679</v>
      </c>
    </row>
    <row r="260" spans="1:6" x14ac:dyDescent="0.25">
      <c r="A260" s="41">
        <v>44301</v>
      </c>
      <c r="B260" s="28">
        <v>4</v>
      </c>
      <c r="C260" s="28" t="s">
        <v>5565</v>
      </c>
      <c r="D260" s="28" t="s">
        <v>5566</v>
      </c>
      <c r="E260" s="28" t="s">
        <v>5565</v>
      </c>
      <c r="F260" s="28" t="s">
        <v>5565</v>
      </c>
    </row>
    <row r="261" spans="1:6" x14ac:dyDescent="0.25">
      <c r="A261" s="40">
        <v>44091</v>
      </c>
      <c r="B261" s="68"/>
      <c r="C261" t="s">
        <v>681</v>
      </c>
      <c r="D261" t="s">
        <v>682</v>
      </c>
      <c r="E261" t="s">
        <v>683</v>
      </c>
      <c r="F261" t="s">
        <v>684</v>
      </c>
    </row>
    <row r="262" spans="1:6" x14ac:dyDescent="0.25">
      <c r="A262" s="40">
        <v>44091</v>
      </c>
      <c r="C262" t="s">
        <v>685</v>
      </c>
      <c r="D262" t="s">
        <v>682</v>
      </c>
      <c r="E262" t="s">
        <v>686</v>
      </c>
      <c r="F262" t="s">
        <v>687</v>
      </c>
    </row>
    <row r="263" spans="1:6" x14ac:dyDescent="0.25">
      <c r="A263" s="41">
        <v>44833</v>
      </c>
      <c r="B263" s="28"/>
      <c r="C263" s="49" t="s">
        <v>5837</v>
      </c>
      <c r="D263" s="49"/>
      <c r="E263" s="49" t="s">
        <v>5838</v>
      </c>
      <c r="F263" s="49" t="s">
        <v>5839</v>
      </c>
    </row>
    <row r="264" spans="1:6" x14ac:dyDescent="0.25">
      <c r="A264" s="40">
        <v>44082</v>
      </c>
      <c r="B264" s="56"/>
      <c r="C264" s="56" t="s">
        <v>688</v>
      </c>
      <c r="D264" s="56"/>
      <c r="E264" s="56" t="s">
        <v>688</v>
      </c>
      <c r="F264" s="56" t="s">
        <v>689</v>
      </c>
    </row>
    <row r="265" spans="1:6" x14ac:dyDescent="0.25">
      <c r="A265" s="40">
        <v>43725</v>
      </c>
      <c r="B265" s="68"/>
      <c r="C265" s="68" t="s">
        <v>690</v>
      </c>
      <c r="D265" s="68"/>
      <c r="E265" s="68" t="s">
        <v>691</v>
      </c>
      <c r="F265" s="68" t="s">
        <v>692</v>
      </c>
    </row>
    <row r="266" spans="1:6" x14ac:dyDescent="0.25">
      <c r="A266" s="40">
        <v>43725</v>
      </c>
      <c r="B266" s="68"/>
      <c r="C266" s="68" t="s">
        <v>693</v>
      </c>
      <c r="D266" s="68"/>
      <c r="E266" s="68" t="s">
        <v>694</v>
      </c>
      <c r="F266" s="68" t="s">
        <v>695</v>
      </c>
    </row>
    <row r="267" spans="1:6" x14ac:dyDescent="0.25">
      <c r="A267" s="41">
        <v>44199</v>
      </c>
      <c r="B267" s="28"/>
      <c r="C267" s="28" t="s">
        <v>4539</v>
      </c>
      <c r="D267" s="28"/>
      <c r="E267" s="28" t="s">
        <v>4539</v>
      </c>
      <c r="F267" s="28" t="s">
        <v>4704</v>
      </c>
    </row>
    <row r="268" spans="1:6" x14ac:dyDescent="0.25">
      <c r="A268" s="41">
        <v>44301</v>
      </c>
      <c r="B268" s="28">
        <v>1</v>
      </c>
      <c r="C268" s="28" t="s">
        <v>5567</v>
      </c>
      <c r="D268" s="28"/>
      <c r="E268" s="28" t="s">
        <v>5568</v>
      </c>
      <c r="F268" s="28" t="s">
        <v>5569</v>
      </c>
    </row>
    <row r="269" spans="1:6" x14ac:dyDescent="0.25">
      <c r="A269" s="40">
        <v>44133</v>
      </c>
      <c r="B269" s="49"/>
      <c r="C269" s="49" t="s">
        <v>696</v>
      </c>
      <c r="D269" s="49"/>
      <c r="E269" s="49" t="s">
        <v>697</v>
      </c>
      <c r="F269" s="49" t="s">
        <v>698</v>
      </c>
    </row>
    <row r="270" spans="1:6" x14ac:dyDescent="0.25">
      <c r="A270" s="40">
        <v>44159</v>
      </c>
      <c r="B270" s="56"/>
      <c r="C270" s="56" t="s">
        <v>699</v>
      </c>
      <c r="D270" s="56"/>
      <c r="E270" s="56" t="s">
        <v>700</v>
      </c>
      <c r="F270" s="56" t="s">
        <v>701</v>
      </c>
    </row>
    <row r="271" spans="1:6" x14ac:dyDescent="0.25">
      <c r="A271" s="40">
        <v>44230</v>
      </c>
      <c r="B271" s="68"/>
      <c r="C271" s="68" t="s">
        <v>5450</v>
      </c>
      <c r="D271" s="68"/>
      <c r="E271" s="68" t="s">
        <v>5451</v>
      </c>
      <c r="F271" s="68" t="s">
        <v>5452</v>
      </c>
    </row>
    <row r="272" spans="1:6" x14ac:dyDescent="0.25">
      <c r="A272" s="40">
        <v>44145</v>
      </c>
      <c r="C272" t="s">
        <v>702</v>
      </c>
      <c r="E272" t="s">
        <v>703</v>
      </c>
      <c r="F272" t="s">
        <v>704</v>
      </c>
    </row>
    <row r="273" spans="1:6" x14ac:dyDescent="0.25">
      <c r="A273" s="41">
        <v>44199</v>
      </c>
      <c r="B273" s="28"/>
      <c r="C273" s="28" t="s">
        <v>4540</v>
      </c>
      <c r="D273" s="28"/>
      <c r="E273" s="28" t="s">
        <v>4705</v>
      </c>
      <c r="F273" s="28" t="s">
        <v>4706</v>
      </c>
    </row>
    <row r="274" spans="1:6" x14ac:dyDescent="0.25">
      <c r="A274" s="40">
        <v>43647</v>
      </c>
      <c r="B274" s="56"/>
      <c r="C274" s="56" t="s">
        <v>705</v>
      </c>
      <c r="D274" s="56"/>
      <c r="E274" s="56" t="s">
        <v>706</v>
      </c>
      <c r="F274" s="56" t="s">
        <v>707</v>
      </c>
    </row>
    <row r="275" spans="1:6" x14ac:dyDescent="0.25">
      <c r="A275" s="40">
        <v>44075</v>
      </c>
      <c r="B275" s="68"/>
      <c r="C275" s="68" t="s">
        <v>708</v>
      </c>
      <c r="D275" s="68"/>
      <c r="E275" s="68" t="s">
        <v>709</v>
      </c>
      <c r="F275" s="68" t="s">
        <v>710</v>
      </c>
    </row>
    <row r="276" spans="1:6" x14ac:dyDescent="0.25">
      <c r="A276" s="40">
        <v>43724</v>
      </c>
      <c r="B276" s="44"/>
      <c r="C276" s="44" t="s">
        <v>711</v>
      </c>
      <c r="D276" s="44" t="s">
        <v>712</v>
      </c>
      <c r="E276" s="44" t="s">
        <v>712</v>
      </c>
      <c r="F276" s="44" t="s">
        <v>713</v>
      </c>
    </row>
    <row r="277" spans="1:6" x14ac:dyDescent="0.25">
      <c r="A277" s="41">
        <v>44301</v>
      </c>
      <c r="B277" s="28">
        <v>0</v>
      </c>
      <c r="C277" s="28" t="s">
        <v>5570</v>
      </c>
      <c r="D277" s="28" t="s">
        <v>5571</v>
      </c>
      <c r="E277" s="28" t="s">
        <v>5572</v>
      </c>
      <c r="F277" s="28" t="s">
        <v>5573</v>
      </c>
    </row>
    <row r="278" spans="1:6" x14ac:dyDescent="0.25">
      <c r="A278" s="40">
        <v>44082</v>
      </c>
      <c r="C278" t="s">
        <v>714</v>
      </c>
      <c r="E278" t="s">
        <v>714</v>
      </c>
      <c r="F278" t="s">
        <v>714</v>
      </c>
    </row>
    <row r="279" spans="1:6" s="66" customFormat="1" x14ac:dyDescent="0.25">
      <c r="A279" s="40">
        <v>43867</v>
      </c>
      <c r="B279" s="67"/>
      <c r="C279" s="67" t="s">
        <v>715</v>
      </c>
      <c r="D279" s="67"/>
      <c r="E279" s="67" t="s">
        <v>716</v>
      </c>
      <c r="F279" s="67" t="s">
        <v>717</v>
      </c>
    </row>
    <row r="280" spans="1:6" x14ac:dyDescent="0.25">
      <c r="A280" s="40">
        <v>44012</v>
      </c>
      <c r="C280" t="s">
        <v>718</v>
      </c>
      <c r="E280" t="s">
        <v>719</v>
      </c>
      <c r="F280" t="s">
        <v>720</v>
      </c>
    </row>
    <row r="281" spans="1:6" x14ac:dyDescent="0.25">
      <c r="C281" t="s">
        <v>721</v>
      </c>
      <c r="E281" t="s">
        <v>722</v>
      </c>
      <c r="F281" t="s">
        <v>723</v>
      </c>
    </row>
    <row r="282" spans="1:6" x14ac:dyDescent="0.25">
      <c r="A282" s="40">
        <v>44007</v>
      </c>
      <c r="B282" s="49"/>
      <c r="C282" s="49" t="s">
        <v>724</v>
      </c>
      <c r="D282" s="49"/>
      <c r="E282" s="49" t="s">
        <v>725</v>
      </c>
      <c r="F282" s="49" t="s">
        <v>726</v>
      </c>
    </row>
    <row r="283" spans="1:6" x14ac:dyDescent="0.25">
      <c r="A283" s="40">
        <v>44011</v>
      </c>
      <c r="B283" s="68"/>
      <c r="C283" s="68" t="s">
        <v>727</v>
      </c>
      <c r="D283" s="68"/>
      <c r="E283" s="68" t="s">
        <v>727</v>
      </c>
      <c r="F283" s="68" t="s">
        <v>728</v>
      </c>
    </row>
    <row r="284" spans="1:6" x14ac:dyDescent="0.25">
      <c r="A284" s="40">
        <v>44091</v>
      </c>
      <c r="B284" s="67"/>
      <c r="C284" s="67" t="s">
        <v>729</v>
      </c>
      <c r="D284" s="67" t="s">
        <v>730</v>
      </c>
      <c r="E284" s="67" t="s">
        <v>731</v>
      </c>
      <c r="F284" s="67" t="s">
        <v>732</v>
      </c>
    </row>
    <row r="285" spans="1:6" x14ac:dyDescent="0.25">
      <c r="A285" s="41">
        <v>44199</v>
      </c>
      <c r="B285" s="28"/>
      <c r="C285" s="28" t="s">
        <v>4541</v>
      </c>
      <c r="D285" s="28"/>
      <c r="E285" s="28" t="s">
        <v>4707</v>
      </c>
      <c r="F285" s="28" t="s">
        <v>4708</v>
      </c>
    </row>
    <row r="286" spans="1:6" x14ac:dyDescent="0.25">
      <c r="A286" s="40">
        <v>44091</v>
      </c>
      <c r="B286" s="67"/>
      <c r="C286" s="67" t="s">
        <v>733</v>
      </c>
      <c r="D286" s="67" t="s">
        <v>730</v>
      </c>
      <c r="E286" s="67" t="s">
        <v>734</v>
      </c>
      <c r="F286" s="67" t="s">
        <v>735</v>
      </c>
    </row>
    <row r="287" spans="1:6" x14ac:dyDescent="0.25">
      <c r="A287" s="41">
        <v>44813</v>
      </c>
      <c r="B287" s="28"/>
      <c r="C287" s="28" t="s">
        <v>5806</v>
      </c>
      <c r="D287" s="28"/>
      <c r="E287" s="28" t="s">
        <v>5807</v>
      </c>
      <c r="F287" s="28" t="s">
        <v>5808</v>
      </c>
    </row>
    <row r="288" spans="1:6" x14ac:dyDescent="0.25">
      <c r="A288" s="40">
        <v>44813</v>
      </c>
      <c r="C288" t="s">
        <v>5812</v>
      </c>
      <c r="E288" t="s">
        <v>5813</v>
      </c>
      <c r="F288" t="s">
        <v>5814</v>
      </c>
    </row>
    <row r="289" spans="1:6" x14ac:dyDescent="0.25">
      <c r="A289" s="40">
        <v>43794</v>
      </c>
      <c r="B289" s="49"/>
      <c r="C289" s="49" t="s">
        <v>736</v>
      </c>
      <c r="D289" s="49"/>
      <c r="E289" s="49" t="s">
        <v>737</v>
      </c>
      <c r="F289" s="49" t="s">
        <v>738</v>
      </c>
    </row>
    <row r="290" spans="1:6" x14ac:dyDescent="0.25">
      <c r="A290" s="40">
        <v>44081</v>
      </c>
      <c r="B290" s="37"/>
      <c r="C290" s="37" t="s">
        <v>739</v>
      </c>
      <c r="D290" s="37"/>
      <c r="E290" s="37" t="s">
        <v>740</v>
      </c>
      <c r="F290" s="37" t="s">
        <v>741</v>
      </c>
    </row>
    <row r="291" spans="1:6" x14ac:dyDescent="0.25">
      <c r="A291" s="40">
        <v>44139</v>
      </c>
      <c r="B291" s="56"/>
      <c r="C291" s="56" t="s">
        <v>742</v>
      </c>
      <c r="D291" s="56"/>
      <c r="E291" s="56" t="s">
        <v>743</v>
      </c>
      <c r="F291" s="56" t="s">
        <v>744</v>
      </c>
    </row>
    <row r="292" spans="1:6" s="56" customFormat="1" x14ac:dyDescent="0.25">
      <c r="A292" s="40">
        <v>44117</v>
      </c>
      <c r="C292" s="56" t="s">
        <v>745</v>
      </c>
      <c r="D292" s="56" t="s">
        <v>746</v>
      </c>
      <c r="E292" s="56" t="s">
        <v>747</v>
      </c>
      <c r="F292" s="56" t="s">
        <v>748</v>
      </c>
    </row>
    <row r="293" spans="1:6" x14ac:dyDescent="0.25">
      <c r="A293" s="40">
        <v>44813</v>
      </c>
      <c r="B293" s="68"/>
      <c r="C293" s="68" t="s">
        <v>5826</v>
      </c>
      <c r="D293" s="68"/>
      <c r="E293" s="68" t="s">
        <v>5827</v>
      </c>
      <c r="F293" s="68" t="s">
        <v>5828</v>
      </c>
    </row>
    <row r="294" spans="1:6" x14ac:dyDescent="0.25">
      <c r="A294" s="40">
        <v>44168</v>
      </c>
      <c r="B294" s="67"/>
      <c r="C294" s="67" t="s">
        <v>749</v>
      </c>
      <c r="D294" s="67"/>
      <c r="E294" s="67" t="s">
        <v>750</v>
      </c>
      <c r="F294" s="67" t="s">
        <v>748</v>
      </c>
    </row>
    <row r="295" spans="1:6" x14ac:dyDescent="0.25">
      <c r="A295" s="41">
        <v>44236</v>
      </c>
      <c r="B295" s="28"/>
      <c r="C295" s="28" t="s">
        <v>5462</v>
      </c>
      <c r="D295" s="28"/>
      <c r="E295" s="28" t="s">
        <v>5463</v>
      </c>
      <c r="F295" s="28" t="s">
        <v>5464</v>
      </c>
    </row>
    <row r="296" spans="1:6" x14ac:dyDescent="0.25">
      <c r="C296" t="s">
        <v>751</v>
      </c>
      <c r="E296" t="s">
        <v>752</v>
      </c>
      <c r="F296" t="s">
        <v>753</v>
      </c>
    </row>
    <row r="297" spans="1:6" x14ac:dyDescent="0.25">
      <c r="A297" s="40">
        <v>43384</v>
      </c>
      <c r="B297" s="34"/>
      <c r="C297" s="34" t="s">
        <v>754</v>
      </c>
      <c r="D297" s="34"/>
      <c r="E297" s="34" t="s">
        <v>754</v>
      </c>
      <c r="F297" s="34" t="s">
        <v>754</v>
      </c>
    </row>
    <row r="298" spans="1:6" x14ac:dyDescent="0.25">
      <c r="A298" s="40">
        <v>44091</v>
      </c>
      <c r="B298" s="49"/>
      <c r="C298" s="49" t="s">
        <v>755</v>
      </c>
      <c r="D298" s="49"/>
      <c r="E298" s="49" t="s">
        <v>755</v>
      </c>
      <c r="F298" s="49" t="s">
        <v>755</v>
      </c>
    </row>
    <row r="299" spans="1:6" x14ac:dyDescent="0.25">
      <c r="A299" s="40">
        <v>44019</v>
      </c>
      <c r="B299" s="44"/>
      <c r="C299" s="44" t="s">
        <v>756</v>
      </c>
      <c r="D299" s="44"/>
      <c r="E299" s="44" t="s">
        <v>756</v>
      </c>
      <c r="F299" s="44" t="s">
        <v>757</v>
      </c>
    </row>
    <row r="300" spans="1:6" x14ac:dyDescent="0.25">
      <c r="A300" s="40">
        <v>44004</v>
      </c>
      <c r="B300" s="56"/>
      <c r="C300" s="56" t="s">
        <v>758</v>
      </c>
      <c r="D300" s="56"/>
      <c r="E300" s="56" t="s">
        <v>758</v>
      </c>
      <c r="F300" s="56" t="s">
        <v>759</v>
      </c>
    </row>
    <row r="301" spans="1:6" x14ac:dyDescent="0.25">
      <c r="A301" s="40">
        <v>44168</v>
      </c>
      <c r="B301" s="68"/>
      <c r="C301" s="68" t="s">
        <v>760</v>
      </c>
      <c r="D301" s="68"/>
      <c r="E301" s="68" t="s">
        <v>761</v>
      </c>
      <c r="F301" s="68" t="s">
        <v>762</v>
      </c>
    </row>
    <row r="302" spans="1:6" x14ac:dyDescent="0.25">
      <c r="A302" s="40">
        <v>43515</v>
      </c>
      <c r="B302" s="67"/>
      <c r="C302" s="67" t="s">
        <v>763</v>
      </c>
      <c r="D302" s="67"/>
      <c r="E302" s="67" t="s">
        <v>764</v>
      </c>
      <c r="F302" s="67" t="s">
        <v>765</v>
      </c>
    </row>
    <row r="303" spans="1:6" x14ac:dyDescent="0.25">
      <c r="A303" s="41">
        <v>44200</v>
      </c>
      <c r="B303" s="28"/>
      <c r="C303" s="28" t="s">
        <v>4938</v>
      </c>
      <c r="D303" s="28"/>
      <c r="E303" s="28" t="s">
        <v>5110</v>
      </c>
      <c r="F303" s="28" t="s">
        <v>5275</v>
      </c>
    </row>
    <row r="304" spans="1:6" x14ac:dyDescent="0.25">
      <c r="A304" s="40">
        <v>43608</v>
      </c>
      <c r="B304" s="49"/>
      <c r="C304" s="49" t="s">
        <v>766</v>
      </c>
      <c r="D304" s="49" t="s">
        <v>767</v>
      </c>
      <c r="E304" s="49" t="s">
        <v>768</v>
      </c>
      <c r="F304" s="49" t="s">
        <v>769</v>
      </c>
    </row>
    <row r="305" spans="1:6" x14ac:dyDescent="0.25">
      <c r="A305" s="40">
        <v>43732</v>
      </c>
      <c r="C305" t="s">
        <v>770</v>
      </c>
      <c r="E305" t="s">
        <v>771</v>
      </c>
      <c r="F305" t="s">
        <v>772</v>
      </c>
    </row>
    <row r="306" spans="1:6" x14ac:dyDescent="0.25">
      <c r="A306" s="40">
        <v>44172</v>
      </c>
      <c r="B306" s="56"/>
      <c r="C306" s="56" t="s">
        <v>773</v>
      </c>
      <c r="D306" s="56"/>
      <c r="E306" s="56" t="s">
        <v>774</v>
      </c>
      <c r="F306" s="56" t="s">
        <v>775</v>
      </c>
    </row>
    <row r="307" spans="1:6" x14ac:dyDescent="0.25">
      <c r="A307" s="40">
        <v>43733</v>
      </c>
      <c r="B307" s="68"/>
      <c r="C307" s="68" t="s">
        <v>776</v>
      </c>
      <c r="D307" s="68"/>
      <c r="E307" s="68" t="s">
        <v>777</v>
      </c>
      <c r="F307" s="68" t="s">
        <v>778</v>
      </c>
    </row>
    <row r="308" spans="1:6" x14ac:dyDescent="0.25">
      <c r="A308" s="40">
        <v>43724</v>
      </c>
      <c r="B308" s="67"/>
      <c r="C308" s="67" t="s">
        <v>779</v>
      </c>
      <c r="D308" s="67"/>
      <c r="E308" s="67" t="s">
        <v>779</v>
      </c>
      <c r="F308" s="67" t="s">
        <v>780</v>
      </c>
    </row>
    <row r="309" spans="1:6" x14ac:dyDescent="0.25">
      <c r="A309" s="41">
        <v>44200</v>
      </c>
      <c r="B309" s="28"/>
      <c r="C309" s="28" t="s">
        <v>4939</v>
      </c>
      <c r="D309" s="28"/>
      <c r="E309" s="28" t="s">
        <v>4939</v>
      </c>
      <c r="F309" s="28" t="s">
        <v>5276</v>
      </c>
    </row>
    <row r="310" spans="1:6" x14ac:dyDescent="0.25">
      <c r="A310" s="40">
        <v>44172</v>
      </c>
      <c r="C310" t="s">
        <v>781</v>
      </c>
      <c r="E310" t="s">
        <v>782</v>
      </c>
      <c r="F310" t="s">
        <v>783</v>
      </c>
    </row>
    <row r="311" spans="1:6" x14ac:dyDescent="0.25">
      <c r="A311" s="40">
        <v>43937</v>
      </c>
      <c r="B311" s="49"/>
      <c r="C311" s="49" t="s">
        <v>784</v>
      </c>
      <c r="D311" s="49"/>
      <c r="E311" s="49" t="s">
        <v>784</v>
      </c>
      <c r="F311" s="49" t="s">
        <v>785</v>
      </c>
    </row>
    <row r="312" spans="1:6" x14ac:dyDescent="0.25">
      <c r="A312" s="40">
        <v>44000</v>
      </c>
      <c r="C312" t="s">
        <v>786</v>
      </c>
      <c r="E312" t="s">
        <v>787</v>
      </c>
      <c r="F312" t="s">
        <v>788</v>
      </c>
    </row>
    <row r="313" spans="1:6" x14ac:dyDescent="0.25">
      <c r="A313" s="40">
        <v>44005</v>
      </c>
      <c r="B313" s="56"/>
      <c r="C313" s="56" t="s">
        <v>789</v>
      </c>
      <c r="D313" s="56"/>
      <c r="E313" s="56" t="s">
        <v>790</v>
      </c>
      <c r="F313" s="56" t="s">
        <v>791</v>
      </c>
    </row>
    <row r="314" spans="1:6" x14ac:dyDescent="0.25">
      <c r="A314" s="40">
        <v>44000</v>
      </c>
      <c r="B314" s="68"/>
      <c r="C314" s="68" t="s">
        <v>792</v>
      </c>
      <c r="D314" s="68"/>
      <c r="E314" s="68" t="s">
        <v>793</v>
      </c>
      <c r="F314" s="68" t="s">
        <v>794</v>
      </c>
    </row>
    <row r="315" spans="1:6" x14ac:dyDescent="0.25">
      <c r="A315" s="40">
        <v>43503</v>
      </c>
      <c r="B315" s="67"/>
      <c r="C315" s="67" t="s">
        <v>795</v>
      </c>
      <c r="D315" s="67"/>
      <c r="E315" s="67" t="s">
        <v>796</v>
      </c>
      <c r="F315" s="67" t="s">
        <v>797</v>
      </c>
    </row>
    <row r="316" spans="1:6" x14ac:dyDescent="0.25">
      <c r="A316" s="41">
        <v>44199</v>
      </c>
      <c r="B316" s="28"/>
      <c r="C316" s="28" t="s">
        <v>4542</v>
      </c>
      <c r="D316" s="28"/>
      <c r="E316" s="28" t="s">
        <v>4709</v>
      </c>
      <c r="F316" s="28" t="s">
        <v>4710</v>
      </c>
    </row>
    <row r="317" spans="1:6" x14ac:dyDescent="0.25">
      <c r="A317" s="40">
        <v>43721</v>
      </c>
      <c r="B317" s="56"/>
      <c r="C317" s="56" t="s">
        <v>798</v>
      </c>
      <c r="D317" s="56"/>
      <c r="E317" s="56" t="s">
        <v>799</v>
      </c>
      <c r="F317" s="56" t="s">
        <v>800</v>
      </c>
    </row>
    <row r="318" spans="1:6" x14ac:dyDescent="0.25">
      <c r="A318" s="40">
        <v>43530</v>
      </c>
      <c r="B318" s="68"/>
      <c r="C318" s="68" t="s">
        <v>801</v>
      </c>
      <c r="D318" s="68"/>
      <c r="E318" s="68" t="s">
        <v>802</v>
      </c>
      <c r="F318" s="68" t="s">
        <v>803</v>
      </c>
    </row>
    <row r="319" spans="1:6" x14ac:dyDescent="0.25">
      <c r="A319" s="40">
        <v>43609</v>
      </c>
      <c r="B319" s="67"/>
      <c r="C319" s="67" t="s">
        <v>804</v>
      </c>
      <c r="D319" s="67" t="s">
        <v>805</v>
      </c>
      <c r="E319" s="67" t="s">
        <v>806</v>
      </c>
      <c r="F319" s="67" t="s">
        <v>807</v>
      </c>
    </row>
    <row r="320" spans="1:6" x14ac:dyDescent="0.25">
      <c r="A320" s="41">
        <v>44301</v>
      </c>
      <c r="B320" s="28">
        <v>1</v>
      </c>
      <c r="C320" s="28" t="s">
        <v>5574</v>
      </c>
      <c r="D320" s="28"/>
      <c r="E320" s="28" t="s">
        <v>5575</v>
      </c>
      <c r="F320" s="28" t="s">
        <v>5576</v>
      </c>
    </row>
    <row r="321" spans="1:6" x14ac:dyDescent="0.25">
      <c r="A321" s="40">
        <v>43719</v>
      </c>
      <c r="C321" t="s">
        <v>808</v>
      </c>
      <c r="E321" t="s">
        <v>808</v>
      </c>
      <c r="F321" t="s">
        <v>809</v>
      </c>
    </row>
    <row r="322" spans="1:6" x14ac:dyDescent="0.25">
      <c r="A322" s="40">
        <v>43756</v>
      </c>
      <c r="C322" t="s">
        <v>810</v>
      </c>
      <c r="E322" t="s">
        <v>811</v>
      </c>
      <c r="F322" t="s">
        <v>812</v>
      </c>
    </row>
    <row r="323" spans="1:6" x14ac:dyDescent="0.25">
      <c r="A323" s="40">
        <v>43644</v>
      </c>
      <c r="B323" s="34"/>
      <c r="C323" s="34" t="s">
        <v>813</v>
      </c>
      <c r="D323" s="34"/>
      <c r="E323" s="34" t="s">
        <v>814</v>
      </c>
      <c r="F323" s="34" t="s">
        <v>815</v>
      </c>
    </row>
    <row r="324" spans="1:6" x14ac:dyDescent="0.25">
      <c r="A324" s="40">
        <v>43644</v>
      </c>
      <c r="B324" s="37"/>
      <c r="C324" s="37" t="s">
        <v>816</v>
      </c>
      <c r="D324" s="37"/>
      <c r="E324" s="37" t="s">
        <v>817</v>
      </c>
      <c r="F324" s="37" t="s">
        <v>818</v>
      </c>
    </row>
    <row r="325" spans="1:6" x14ac:dyDescent="0.25">
      <c r="A325" s="40">
        <v>44011</v>
      </c>
      <c r="B325" s="44"/>
      <c r="C325" s="44" t="s">
        <v>819</v>
      </c>
      <c r="D325" s="44"/>
      <c r="E325" s="44" t="s">
        <v>820</v>
      </c>
      <c r="F325" s="44" t="s">
        <v>821</v>
      </c>
    </row>
    <row r="326" spans="1:6" x14ac:dyDescent="0.25">
      <c r="A326" s="40">
        <v>44011</v>
      </c>
      <c r="B326" s="44"/>
      <c r="C326" s="44" t="s">
        <v>822</v>
      </c>
      <c r="D326" s="44"/>
      <c r="E326" s="44" t="s">
        <v>823</v>
      </c>
      <c r="F326" s="44" t="s">
        <v>824</v>
      </c>
    </row>
    <row r="327" spans="1:6" x14ac:dyDescent="0.25">
      <c r="A327" s="40">
        <v>43644</v>
      </c>
      <c r="B327" s="37"/>
      <c r="C327" s="37" t="s">
        <v>825</v>
      </c>
      <c r="D327" s="37"/>
      <c r="E327" s="37" t="s">
        <v>826</v>
      </c>
      <c r="F327" s="37" t="s">
        <v>827</v>
      </c>
    </row>
    <row r="328" spans="1:6" x14ac:dyDescent="0.25">
      <c r="A328" s="40">
        <v>43756</v>
      </c>
      <c r="B328" s="44"/>
      <c r="C328" s="44" t="s">
        <v>828</v>
      </c>
      <c r="D328" s="44"/>
      <c r="E328" s="44" t="s">
        <v>829</v>
      </c>
      <c r="F328" s="44" t="s">
        <v>830</v>
      </c>
    </row>
    <row r="329" spans="1:6" x14ac:dyDescent="0.25">
      <c r="A329" s="40">
        <v>43644</v>
      </c>
      <c r="B329" s="44"/>
      <c r="C329" s="44" t="s">
        <v>831</v>
      </c>
      <c r="D329" s="44"/>
      <c r="E329" s="44" t="s">
        <v>832</v>
      </c>
      <c r="F329" s="44" t="s">
        <v>833</v>
      </c>
    </row>
    <row r="330" spans="1:6" x14ac:dyDescent="0.25">
      <c r="A330" s="40">
        <v>43644</v>
      </c>
      <c r="B330" s="44"/>
      <c r="C330" s="44" t="s">
        <v>834</v>
      </c>
      <c r="D330" s="44"/>
      <c r="E330" s="44" t="s">
        <v>835</v>
      </c>
      <c r="F330" s="44" t="s">
        <v>836</v>
      </c>
    </row>
    <row r="331" spans="1:6" x14ac:dyDescent="0.25">
      <c r="A331" s="40">
        <v>43738</v>
      </c>
      <c r="C331" t="s">
        <v>837</v>
      </c>
      <c r="E331" t="s">
        <v>837</v>
      </c>
      <c r="F331" t="s">
        <v>838</v>
      </c>
    </row>
    <row r="332" spans="1:6" x14ac:dyDescent="0.25">
      <c r="A332" s="40">
        <v>43756</v>
      </c>
      <c r="C332" t="s">
        <v>839</v>
      </c>
      <c r="E332" t="s">
        <v>808</v>
      </c>
      <c r="F332" t="s">
        <v>809</v>
      </c>
    </row>
    <row r="333" spans="1:6" x14ac:dyDescent="0.25">
      <c r="A333" s="40">
        <v>43563</v>
      </c>
      <c r="C333" t="s">
        <v>840</v>
      </c>
      <c r="E333" t="s">
        <v>841</v>
      </c>
      <c r="F333" t="s">
        <v>842</v>
      </c>
    </row>
    <row r="334" spans="1:6" x14ac:dyDescent="0.25">
      <c r="A334" s="40">
        <v>44166</v>
      </c>
      <c r="B334" s="34"/>
      <c r="C334" s="34" t="s">
        <v>843</v>
      </c>
      <c r="D334" s="34"/>
      <c r="E334" s="34" t="s">
        <v>844</v>
      </c>
      <c r="F334" s="34" t="s">
        <v>845</v>
      </c>
    </row>
    <row r="335" spans="1:6" x14ac:dyDescent="0.25">
      <c r="A335" s="40">
        <v>43467</v>
      </c>
      <c r="B335" s="37"/>
      <c r="C335" s="37" t="s">
        <v>4543</v>
      </c>
      <c r="D335" s="37"/>
      <c r="E335" s="37" t="s">
        <v>4711</v>
      </c>
      <c r="F335" s="37" t="s">
        <v>847</v>
      </c>
    </row>
    <row r="336" spans="1:6" x14ac:dyDescent="0.25">
      <c r="A336" s="40">
        <v>43469</v>
      </c>
      <c r="B336" s="44"/>
      <c r="C336" s="44" t="s">
        <v>848</v>
      </c>
      <c r="D336" s="44"/>
      <c r="E336" s="44" t="s">
        <v>849</v>
      </c>
      <c r="F336" s="44" t="s">
        <v>850</v>
      </c>
    </row>
    <row r="337" spans="1:6" x14ac:dyDescent="0.25">
      <c r="A337" s="40">
        <v>44075</v>
      </c>
      <c r="C337" t="s">
        <v>851</v>
      </c>
      <c r="E337" t="s">
        <v>852</v>
      </c>
      <c r="F337" t="s">
        <v>853</v>
      </c>
    </row>
    <row r="338" spans="1:6" x14ac:dyDescent="0.25">
      <c r="A338" s="40">
        <v>44075</v>
      </c>
      <c r="B338" s="49"/>
      <c r="C338" s="49" t="s">
        <v>854</v>
      </c>
      <c r="D338" s="49"/>
      <c r="E338" s="49" t="s">
        <v>855</v>
      </c>
      <c r="F338" s="49" t="s">
        <v>856</v>
      </c>
    </row>
    <row r="339" spans="1:6" x14ac:dyDescent="0.25">
      <c r="A339" s="40">
        <v>44075</v>
      </c>
      <c r="B339" s="49"/>
      <c r="C339" s="49" t="s">
        <v>857</v>
      </c>
      <c r="D339" s="49"/>
      <c r="E339" s="49" t="s">
        <v>858</v>
      </c>
      <c r="F339" s="49" t="s">
        <v>859</v>
      </c>
    </row>
    <row r="340" spans="1:6" x14ac:dyDescent="0.25">
      <c r="A340" s="40">
        <v>44075</v>
      </c>
      <c r="B340" s="56"/>
      <c r="C340" s="56" t="s">
        <v>860</v>
      </c>
      <c r="D340" s="56"/>
      <c r="E340" s="56" t="s">
        <v>861</v>
      </c>
      <c r="F340" s="56" t="s">
        <v>862</v>
      </c>
    </row>
    <row r="341" spans="1:6" x14ac:dyDescent="0.25">
      <c r="A341" s="40">
        <v>43725</v>
      </c>
      <c r="B341" s="68"/>
      <c r="C341" s="68" t="s">
        <v>863</v>
      </c>
      <c r="D341" s="68"/>
      <c r="E341" s="68" t="s">
        <v>864</v>
      </c>
      <c r="F341" s="68" t="s">
        <v>865</v>
      </c>
    </row>
    <row r="342" spans="1:6" x14ac:dyDescent="0.25">
      <c r="A342" s="40">
        <v>43530</v>
      </c>
      <c r="B342" s="68"/>
      <c r="C342" s="68" t="s">
        <v>866</v>
      </c>
      <c r="D342" s="68"/>
      <c r="E342" s="68" t="s">
        <v>867</v>
      </c>
      <c r="F342" s="68" t="s">
        <v>868</v>
      </c>
    </row>
    <row r="343" spans="1:6" x14ac:dyDescent="0.25">
      <c r="A343" s="41">
        <v>44200</v>
      </c>
      <c r="B343" s="28"/>
      <c r="C343" s="28" t="s">
        <v>4940</v>
      </c>
      <c r="D343" s="28"/>
      <c r="E343" s="28" t="s">
        <v>5111</v>
      </c>
      <c r="F343" s="28" t="s">
        <v>5277</v>
      </c>
    </row>
    <row r="344" spans="1:6" x14ac:dyDescent="0.25">
      <c r="A344" s="41">
        <v>44200</v>
      </c>
      <c r="B344" s="28"/>
      <c r="C344" s="28" t="s">
        <v>4941</v>
      </c>
      <c r="D344" s="28"/>
      <c r="E344" s="28" t="s">
        <v>5112</v>
      </c>
      <c r="F344" s="28" t="s">
        <v>5278</v>
      </c>
    </row>
    <row r="345" spans="1:6" x14ac:dyDescent="0.25">
      <c r="A345" s="40">
        <v>44084</v>
      </c>
      <c r="B345" s="68"/>
      <c r="C345" s="68" t="s">
        <v>869</v>
      </c>
      <c r="D345" s="68"/>
      <c r="E345" s="68" t="s">
        <v>870</v>
      </c>
      <c r="F345" s="68" t="s">
        <v>871</v>
      </c>
    </row>
    <row r="346" spans="1:6" x14ac:dyDescent="0.25">
      <c r="A346" s="41">
        <v>44199</v>
      </c>
      <c r="B346" s="28"/>
      <c r="C346" s="28" t="s">
        <v>4544</v>
      </c>
      <c r="D346" s="28"/>
      <c r="E346" s="28" t="s">
        <v>4712</v>
      </c>
      <c r="F346" s="28" t="s">
        <v>4713</v>
      </c>
    </row>
    <row r="347" spans="1:6" x14ac:dyDescent="0.25">
      <c r="A347" s="41">
        <v>44199</v>
      </c>
      <c r="B347" s="28"/>
      <c r="C347" s="28" t="s">
        <v>4545</v>
      </c>
      <c r="D347" s="28"/>
      <c r="E347" s="28" t="s">
        <v>4714</v>
      </c>
      <c r="F347" s="28" t="s">
        <v>1040</v>
      </c>
    </row>
    <row r="348" spans="1:6" x14ac:dyDescent="0.25">
      <c r="A348" s="41">
        <v>44199</v>
      </c>
      <c r="B348" s="28"/>
      <c r="C348" s="28" t="s">
        <v>4546</v>
      </c>
      <c r="D348" s="28"/>
      <c r="E348" s="28" t="s">
        <v>4715</v>
      </c>
      <c r="F348" s="28" t="s">
        <v>4716</v>
      </c>
    </row>
    <row r="349" spans="1:6" x14ac:dyDescent="0.25">
      <c r="A349" s="40">
        <v>44117</v>
      </c>
      <c r="B349" s="49"/>
      <c r="C349" s="49" t="s">
        <v>872</v>
      </c>
      <c r="D349" s="49"/>
      <c r="E349" s="49" t="s">
        <v>873</v>
      </c>
      <c r="F349" s="49" t="s">
        <v>874</v>
      </c>
    </row>
    <row r="350" spans="1:6" x14ac:dyDescent="0.25">
      <c r="A350" s="40">
        <v>44159</v>
      </c>
      <c r="C350" t="s">
        <v>875</v>
      </c>
      <c r="E350" t="s">
        <v>873</v>
      </c>
      <c r="F350" t="s">
        <v>874</v>
      </c>
    </row>
    <row r="351" spans="1:6" x14ac:dyDescent="0.25">
      <c r="A351" s="40">
        <v>44091</v>
      </c>
      <c r="B351" s="56"/>
      <c r="C351" s="56" t="s">
        <v>876</v>
      </c>
      <c r="D351" s="56"/>
      <c r="E351" s="56" t="s">
        <v>877</v>
      </c>
      <c r="F351" s="56" t="s">
        <v>878</v>
      </c>
    </row>
    <row r="352" spans="1:6" x14ac:dyDescent="0.25">
      <c r="A352" s="40">
        <v>44091</v>
      </c>
      <c r="B352" s="68"/>
      <c r="C352" s="68" t="s">
        <v>879</v>
      </c>
      <c r="D352" s="68"/>
      <c r="E352" s="68" t="s">
        <v>880</v>
      </c>
      <c r="F352" s="68" t="s">
        <v>881</v>
      </c>
    </row>
    <row r="353" spans="1:6" x14ac:dyDescent="0.25">
      <c r="A353" s="40">
        <v>44091</v>
      </c>
      <c r="B353" s="67"/>
      <c r="C353" s="67" t="s">
        <v>882</v>
      </c>
      <c r="D353" s="67"/>
      <c r="E353" s="67" t="s">
        <v>883</v>
      </c>
      <c r="F353" s="67" t="s">
        <v>884</v>
      </c>
    </row>
    <row r="354" spans="1:6" x14ac:dyDescent="0.25">
      <c r="A354" s="41">
        <v>44199</v>
      </c>
      <c r="B354" s="28"/>
      <c r="C354" s="28" t="s">
        <v>4547</v>
      </c>
      <c r="D354" s="28"/>
      <c r="E354" s="28" t="s">
        <v>873</v>
      </c>
      <c r="F354" s="28" t="s">
        <v>874</v>
      </c>
    </row>
    <row r="355" spans="1:6" x14ac:dyDescent="0.25">
      <c r="A355" s="40">
        <v>43794</v>
      </c>
      <c r="C355" t="s">
        <v>885</v>
      </c>
      <c r="E355" t="s">
        <v>886</v>
      </c>
      <c r="F355" t="s">
        <v>887</v>
      </c>
    </row>
    <row r="356" spans="1:6" x14ac:dyDescent="0.25">
      <c r="A356" s="40">
        <v>43794</v>
      </c>
      <c r="C356" t="s">
        <v>888</v>
      </c>
      <c r="E356" t="s">
        <v>889</v>
      </c>
      <c r="F356" t="s">
        <v>890</v>
      </c>
    </row>
    <row r="357" spans="1:6" x14ac:dyDescent="0.25">
      <c r="C357" t="s">
        <v>891</v>
      </c>
      <c r="E357" t="s">
        <v>892</v>
      </c>
      <c r="F357" t="s">
        <v>893</v>
      </c>
    </row>
    <row r="358" spans="1:6" x14ac:dyDescent="0.25">
      <c r="A358" s="40">
        <v>44159</v>
      </c>
      <c r="C358" t="s">
        <v>894</v>
      </c>
      <c r="E358" t="s">
        <v>895</v>
      </c>
      <c r="F358" t="s">
        <v>896</v>
      </c>
    </row>
    <row r="359" spans="1:6" x14ac:dyDescent="0.25">
      <c r="A359" s="40">
        <v>43812</v>
      </c>
      <c r="C359" t="s">
        <v>897</v>
      </c>
      <c r="E359" t="s">
        <v>898</v>
      </c>
      <c r="F359" t="s">
        <v>899</v>
      </c>
    </row>
    <row r="360" spans="1:6" x14ac:dyDescent="0.25">
      <c r="A360" s="40">
        <v>44091</v>
      </c>
      <c r="C360" t="s">
        <v>900</v>
      </c>
      <c r="E360" t="s">
        <v>901</v>
      </c>
      <c r="F360" t="s">
        <v>902</v>
      </c>
    </row>
    <row r="361" spans="1:6" x14ac:dyDescent="0.25">
      <c r="A361" s="40">
        <v>44091</v>
      </c>
      <c r="C361" t="s">
        <v>903</v>
      </c>
      <c r="E361" t="s">
        <v>904</v>
      </c>
      <c r="F361" t="s">
        <v>905</v>
      </c>
    </row>
    <row r="362" spans="1:6" x14ac:dyDescent="0.25">
      <c r="A362" s="40">
        <v>44159</v>
      </c>
      <c r="C362" t="s">
        <v>906</v>
      </c>
      <c r="E362" t="s">
        <v>907</v>
      </c>
      <c r="F362" t="s">
        <v>908</v>
      </c>
    </row>
    <row r="363" spans="1:6" x14ac:dyDescent="0.25">
      <c r="A363" s="40">
        <v>44172</v>
      </c>
      <c r="C363" t="s">
        <v>909</v>
      </c>
      <c r="E363" t="s">
        <v>910</v>
      </c>
      <c r="F363" t="s">
        <v>911</v>
      </c>
    </row>
    <row r="364" spans="1:6" x14ac:dyDescent="0.25">
      <c r="A364" s="40">
        <v>44091</v>
      </c>
      <c r="C364" t="s">
        <v>912</v>
      </c>
      <c r="E364" t="s">
        <v>913</v>
      </c>
      <c r="F364" t="s">
        <v>914</v>
      </c>
    </row>
    <row r="365" spans="1:6" x14ac:dyDescent="0.25">
      <c r="A365" s="40">
        <v>44091</v>
      </c>
      <c r="C365" t="s">
        <v>915</v>
      </c>
      <c r="E365" t="s">
        <v>916</v>
      </c>
      <c r="F365" t="s">
        <v>917</v>
      </c>
    </row>
    <row r="366" spans="1:6" x14ac:dyDescent="0.25">
      <c r="A366" s="40">
        <v>44169</v>
      </c>
      <c r="C366" t="s">
        <v>918</v>
      </c>
      <c r="E366" t="s">
        <v>919</v>
      </c>
      <c r="F366" t="s">
        <v>920</v>
      </c>
    </row>
    <row r="367" spans="1:6" x14ac:dyDescent="0.25">
      <c r="A367" s="40">
        <v>44172</v>
      </c>
      <c r="B367" s="34"/>
      <c r="C367" s="34" t="s">
        <v>921</v>
      </c>
      <c r="D367" s="34"/>
      <c r="E367" s="34" t="s">
        <v>922</v>
      </c>
      <c r="F367" s="34" t="s">
        <v>923</v>
      </c>
    </row>
    <row r="368" spans="1:6" x14ac:dyDescent="0.25">
      <c r="A368" s="40">
        <v>44173</v>
      </c>
      <c r="B368" s="37"/>
      <c r="C368" s="37" t="s">
        <v>924</v>
      </c>
      <c r="D368" s="37"/>
      <c r="E368" s="37" t="s">
        <v>925</v>
      </c>
      <c r="F368" s="37" t="s">
        <v>926</v>
      </c>
    </row>
    <row r="369" spans="1:6" x14ac:dyDescent="0.25">
      <c r="A369" s="40">
        <v>44173</v>
      </c>
      <c r="B369" s="44"/>
      <c r="C369" s="44" t="s">
        <v>2834</v>
      </c>
      <c r="D369" s="44"/>
      <c r="E369" s="44" t="s">
        <v>2835</v>
      </c>
      <c r="F369" s="44" t="s">
        <v>2836</v>
      </c>
    </row>
    <row r="370" spans="1:6" x14ac:dyDescent="0.25">
      <c r="A370" s="40">
        <v>44173</v>
      </c>
      <c r="C370" t="s">
        <v>2831</v>
      </c>
      <c r="E370" t="s">
        <v>2832</v>
      </c>
      <c r="F370" t="s">
        <v>2833</v>
      </c>
    </row>
    <row r="371" spans="1:6" x14ac:dyDescent="0.25">
      <c r="A371" s="40">
        <v>43644</v>
      </c>
      <c r="C371" t="s">
        <v>929</v>
      </c>
      <c r="E371" t="s">
        <v>930</v>
      </c>
      <c r="F371" t="s">
        <v>931</v>
      </c>
    </row>
    <row r="372" spans="1:6" x14ac:dyDescent="0.25">
      <c r="A372" s="40">
        <v>44007</v>
      </c>
      <c r="C372" t="s">
        <v>932</v>
      </c>
      <c r="E372" t="s">
        <v>933</v>
      </c>
      <c r="F372" t="s">
        <v>934</v>
      </c>
    </row>
    <row r="373" spans="1:6" x14ac:dyDescent="0.25">
      <c r="A373" s="40">
        <v>43644</v>
      </c>
      <c r="C373" t="s">
        <v>935</v>
      </c>
      <c r="E373" t="s">
        <v>936</v>
      </c>
      <c r="F373" t="s">
        <v>937</v>
      </c>
    </row>
    <row r="374" spans="1:6" x14ac:dyDescent="0.25">
      <c r="A374" s="40">
        <v>43725</v>
      </c>
      <c r="C374" t="s">
        <v>938</v>
      </c>
      <c r="E374" t="s">
        <v>939</v>
      </c>
      <c r="F374" t="s">
        <v>940</v>
      </c>
    </row>
    <row r="375" spans="1:6" x14ac:dyDescent="0.25">
      <c r="A375" s="41">
        <v>44922</v>
      </c>
      <c r="B375" s="28"/>
      <c r="C375" s="28" t="s">
        <v>5849</v>
      </c>
      <c r="D375" s="28"/>
      <c r="E375" s="28" t="s">
        <v>5849</v>
      </c>
      <c r="F375" s="28" t="s">
        <v>5850</v>
      </c>
    </row>
    <row r="376" spans="1:6" x14ac:dyDescent="0.25">
      <c r="A376" s="40">
        <v>43515</v>
      </c>
      <c r="C376" t="s">
        <v>941</v>
      </c>
      <c r="E376" t="s">
        <v>941</v>
      </c>
      <c r="F376" t="s">
        <v>942</v>
      </c>
    </row>
    <row r="377" spans="1:6" x14ac:dyDescent="0.25">
      <c r="A377" s="40">
        <v>44120</v>
      </c>
      <c r="C377" t="s">
        <v>943</v>
      </c>
      <c r="E377" t="s">
        <v>944</v>
      </c>
      <c r="F377" t="s">
        <v>945</v>
      </c>
    </row>
    <row r="378" spans="1:6" x14ac:dyDescent="0.25">
      <c r="A378" s="40">
        <v>43588</v>
      </c>
      <c r="C378" t="s">
        <v>946</v>
      </c>
      <c r="E378" t="s">
        <v>947</v>
      </c>
      <c r="F378" t="s">
        <v>948</v>
      </c>
    </row>
    <row r="379" spans="1:6" x14ac:dyDescent="0.25">
      <c r="A379" s="40">
        <v>43867</v>
      </c>
      <c r="C379" t="s">
        <v>949</v>
      </c>
      <c r="E379" t="s">
        <v>950</v>
      </c>
      <c r="F379" t="s">
        <v>951</v>
      </c>
    </row>
    <row r="380" spans="1:6" x14ac:dyDescent="0.25">
      <c r="A380" s="40">
        <v>44041</v>
      </c>
      <c r="C380" t="s">
        <v>952</v>
      </c>
      <c r="E380" t="s">
        <v>953</v>
      </c>
      <c r="F380" t="s">
        <v>954</v>
      </c>
    </row>
    <row r="381" spans="1:6" x14ac:dyDescent="0.25">
      <c r="A381" s="40">
        <v>43811</v>
      </c>
      <c r="C381" t="s">
        <v>955</v>
      </c>
      <c r="E381" t="s">
        <v>956</v>
      </c>
      <c r="F381" t="s">
        <v>957</v>
      </c>
    </row>
    <row r="382" spans="1:6" x14ac:dyDescent="0.25">
      <c r="A382" s="40">
        <v>44011</v>
      </c>
      <c r="B382" s="49"/>
      <c r="C382" s="49" t="s">
        <v>958</v>
      </c>
      <c r="D382" s="49"/>
      <c r="E382" s="49" t="s">
        <v>959</v>
      </c>
      <c r="F382" s="49" t="s">
        <v>960</v>
      </c>
    </row>
    <row r="383" spans="1:6" x14ac:dyDescent="0.25">
      <c r="A383" s="40">
        <v>43530</v>
      </c>
      <c r="C383" t="s">
        <v>961</v>
      </c>
      <c r="E383" t="s">
        <v>962</v>
      </c>
      <c r="F383" t="s">
        <v>963</v>
      </c>
    </row>
    <row r="384" spans="1:6" x14ac:dyDescent="0.25">
      <c r="A384" s="40">
        <v>44085</v>
      </c>
      <c r="B384" s="56"/>
      <c r="C384" s="56" t="s">
        <v>964</v>
      </c>
      <c r="D384" s="56"/>
      <c r="E384" s="56" t="s">
        <v>965</v>
      </c>
      <c r="F384" s="56" t="s">
        <v>966</v>
      </c>
    </row>
    <row r="385" spans="1:6" x14ac:dyDescent="0.25">
      <c r="A385" s="40">
        <v>43865</v>
      </c>
      <c r="B385" s="68"/>
      <c r="C385" s="68" t="s">
        <v>967</v>
      </c>
      <c r="D385" s="68"/>
      <c r="E385" s="68" t="s">
        <v>968</v>
      </c>
      <c r="F385" s="68" t="s">
        <v>969</v>
      </c>
    </row>
    <row r="386" spans="1:6" x14ac:dyDescent="0.25">
      <c r="A386" s="40">
        <v>43868</v>
      </c>
      <c r="B386" s="67"/>
      <c r="C386" s="67" t="s">
        <v>970</v>
      </c>
      <c r="D386" s="67"/>
      <c r="E386" s="67" t="s">
        <v>971</v>
      </c>
      <c r="F386" s="67" t="s">
        <v>972</v>
      </c>
    </row>
    <row r="387" spans="1:6" x14ac:dyDescent="0.25">
      <c r="A387" s="40">
        <v>43868</v>
      </c>
      <c r="B387" s="49"/>
      <c r="C387" s="49" t="s">
        <v>973</v>
      </c>
      <c r="D387" s="49"/>
      <c r="E387" s="49" t="s">
        <v>974</v>
      </c>
      <c r="F387" s="49" t="s">
        <v>975</v>
      </c>
    </row>
    <row r="388" spans="1:6" x14ac:dyDescent="0.25">
      <c r="A388" s="41">
        <v>44199</v>
      </c>
      <c r="B388" s="28"/>
      <c r="C388" s="28" t="s">
        <v>4548</v>
      </c>
      <c r="D388" s="28"/>
      <c r="E388" s="28" t="s">
        <v>4717</v>
      </c>
      <c r="F388" s="28" t="s">
        <v>4718</v>
      </c>
    </row>
    <row r="389" spans="1:6" x14ac:dyDescent="0.25">
      <c r="A389" s="40">
        <v>44172</v>
      </c>
      <c r="B389" s="56"/>
      <c r="C389" s="56" t="s">
        <v>976</v>
      </c>
      <c r="D389" s="56"/>
      <c r="E389" s="56" t="s">
        <v>977</v>
      </c>
      <c r="F389" s="56" t="s">
        <v>978</v>
      </c>
    </row>
    <row r="390" spans="1:6" x14ac:dyDescent="0.25">
      <c r="A390" s="40">
        <v>43564</v>
      </c>
      <c r="B390" s="68"/>
      <c r="C390" s="68" t="s">
        <v>979</v>
      </c>
      <c r="D390" s="68"/>
      <c r="E390" s="68" t="s">
        <v>980</v>
      </c>
      <c r="F390" s="68" t="s">
        <v>981</v>
      </c>
    </row>
    <row r="391" spans="1:6" x14ac:dyDescent="0.25">
      <c r="A391" s="40">
        <v>44091</v>
      </c>
      <c r="B391" s="67"/>
      <c r="C391" s="67" t="s">
        <v>982</v>
      </c>
      <c r="D391" s="67"/>
      <c r="E391" s="67" t="s">
        <v>982</v>
      </c>
      <c r="F391" s="67" t="s">
        <v>983</v>
      </c>
    </row>
    <row r="392" spans="1:6" x14ac:dyDescent="0.25">
      <c r="A392" s="40">
        <v>44091</v>
      </c>
      <c r="C392" t="s">
        <v>984</v>
      </c>
      <c r="E392" t="s">
        <v>985</v>
      </c>
      <c r="F392" t="s">
        <v>986</v>
      </c>
    </row>
    <row r="393" spans="1:6" x14ac:dyDescent="0.25">
      <c r="A393" s="41">
        <v>44480</v>
      </c>
      <c r="B393" s="28"/>
      <c r="C393" s="28" t="s">
        <v>5698</v>
      </c>
      <c r="D393" s="28"/>
      <c r="E393" s="28" t="s">
        <v>5699</v>
      </c>
      <c r="F393" s="28" t="s">
        <v>5700</v>
      </c>
    </row>
    <row r="394" spans="1:6" x14ac:dyDescent="0.25">
      <c r="A394" s="40">
        <v>43719</v>
      </c>
      <c r="C394" t="s">
        <v>987</v>
      </c>
      <c r="E394" t="s">
        <v>988</v>
      </c>
      <c r="F394" t="s">
        <v>989</v>
      </c>
    </row>
    <row r="395" spans="1:6" x14ac:dyDescent="0.25">
      <c r="A395" s="40">
        <v>43965</v>
      </c>
      <c r="C395" t="s">
        <v>990</v>
      </c>
      <c r="E395" t="s">
        <v>991</v>
      </c>
      <c r="F395" t="s">
        <v>992</v>
      </c>
    </row>
    <row r="396" spans="1:6" x14ac:dyDescent="0.25">
      <c r="A396" s="40">
        <v>43965</v>
      </c>
      <c r="C396" t="s">
        <v>993</v>
      </c>
      <c r="E396" t="s">
        <v>994</v>
      </c>
      <c r="F396" t="s">
        <v>995</v>
      </c>
    </row>
    <row r="397" spans="1:6" x14ac:dyDescent="0.25">
      <c r="A397" s="40">
        <v>44013</v>
      </c>
      <c r="B397" s="48"/>
      <c r="C397" s="48" t="s">
        <v>996</v>
      </c>
      <c r="D397" s="48"/>
      <c r="E397" s="48" t="s">
        <v>996</v>
      </c>
      <c r="F397" s="48" t="s">
        <v>997</v>
      </c>
    </row>
    <row r="398" spans="1:6" x14ac:dyDescent="0.25">
      <c r="A398" s="40">
        <v>44120</v>
      </c>
      <c r="B398" s="49"/>
      <c r="C398" s="49" t="s">
        <v>998</v>
      </c>
      <c r="D398" s="49"/>
      <c r="E398" s="49" t="s">
        <v>998</v>
      </c>
      <c r="F398" s="49" t="s">
        <v>999</v>
      </c>
    </row>
    <row r="399" spans="1:6" x14ac:dyDescent="0.25">
      <c r="A399" s="40">
        <v>43755</v>
      </c>
      <c r="C399" t="s">
        <v>1000</v>
      </c>
      <c r="E399" t="s">
        <v>1001</v>
      </c>
      <c r="F399" t="s">
        <v>1002</v>
      </c>
    </row>
    <row r="400" spans="1:6" x14ac:dyDescent="0.25">
      <c r="A400" s="40">
        <v>43636</v>
      </c>
      <c r="C400" t="s">
        <v>1004</v>
      </c>
      <c r="E400" t="s">
        <v>1005</v>
      </c>
      <c r="F400" t="s">
        <v>1006</v>
      </c>
    </row>
    <row r="401" spans="1:6" x14ac:dyDescent="0.25">
      <c r="A401" s="40">
        <v>44082</v>
      </c>
      <c r="B401" s="56"/>
      <c r="C401" s="56" t="s">
        <v>1007</v>
      </c>
      <c r="D401" s="56"/>
      <c r="E401" s="56" t="s">
        <v>1008</v>
      </c>
      <c r="F401" s="56" t="s">
        <v>1009</v>
      </c>
    </row>
    <row r="402" spans="1:6" x14ac:dyDescent="0.25">
      <c r="A402" s="40">
        <v>43344</v>
      </c>
      <c r="B402" s="68"/>
      <c r="C402" s="68" t="s">
        <v>1010</v>
      </c>
      <c r="D402" s="68" t="s">
        <v>1010</v>
      </c>
      <c r="E402" s="68" t="s">
        <v>1011</v>
      </c>
      <c r="F402" s="68" t="s">
        <v>1009</v>
      </c>
    </row>
    <row r="403" spans="1:6" x14ac:dyDescent="0.25">
      <c r="A403" s="40">
        <v>43344</v>
      </c>
      <c r="B403" s="67"/>
      <c r="C403" s="67" t="s">
        <v>1012</v>
      </c>
      <c r="D403" s="67" t="s">
        <v>1013</v>
      </c>
      <c r="E403" s="67" t="s">
        <v>1014</v>
      </c>
      <c r="F403" s="67" t="s">
        <v>1015</v>
      </c>
    </row>
    <row r="404" spans="1:6" x14ac:dyDescent="0.25">
      <c r="A404" s="40">
        <v>43609</v>
      </c>
      <c r="C404" t="s">
        <v>1016</v>
      </c>
      <c r="E404" t="s">
        <v>1017</v>
      </c>
      <c r="F404" t="s">
        <v>1018</v>
      </c>
    </row>
    <row r="405" spans="1:6" x14ac:dyDescent="0.25">
      <c r="A405" s="41">
        <v>44301</v>
      </c>
      <c r="B405" s="28">
        <v>1</v>
      </c>
      <c r="C405" s="28" t="s">
        <v>5577</v>
      </c>
      <c r="D405" s="28"/>
      <c r="E405" s="28" t="s">
        <v>5578</v>
      </c>
      <c r="F405" s="28" t="s">
        <v>5579</v>
      </c>
    </row>
    <row r="406" spans="1:6" x14ac:dyDescent="0.25">
      <c r="A406" s="40">
        <v>43587</v>
      </c>
      <c r="C406" t="s">
        <v>1019</v>
      </c>
      <c r="E406" t="s">
        <v>1020</v>
      </c>
      <c r="F406" t="s">
        <v>1021</v>
      </c>
    </row>
    <row r="407" spans="1:6" x14ac:dyDescent="0.25">
      <c r="A407" s="40">
        <v>43588</v>
      </c>
      <c r="C407" t="s">
        <v>1022</v>
      </c>
      <c r="E407" t="s">
        <v>1023</v>
      </c>
      <c r="F407" t="s">
        <v>1024</v>
      </c>
    </row>
    <row r="408" spans="1:6" x14ac:dyDescent="0.25">
      <c r="A408" s="40">
        <v>43900</v>
      </c>
      <c r="B408" s="48"/>
      <c r="C408" s="48" t="s">
        <v>1025</v>
      </c>
      <c r="D408" s="48"/>
      <c r="E408" s="48" t="s">
        <v>1026</v>
      </c>
      <c r="F408" s="48" t="s">
        <v>1027</v>
      </c>
    </row>
    <row r="409" spans="1:6" x14ac:dyDescent="0.25">
      <c r="A409" s="40">
        <v>43899</v>
      </c>
      <c r="B409" s="49"/>
      <c r="C409" s="49" t="s">
        <v>1029</v>
      </c>
      <c r="D409" s="49"/>
      <c r="E409" s="49" t="s">
        <v>1030</v>
      </c>
      <c r="F409" s="49" t="s">
        <v>1031</v>
      </c>
    </row>
    <row r="410" spans="1:6" x14ac:dyDescent="0.25">
      <c r="A410" s="40">
        <v>43899</v>
      </c>
      <c r="C410" t="s">
        <v>1032</v>
      </c>
      <c r="E410" t="s">
        <v>1033</v>
      </c>
      <c r="F410" t="s">
        <v>1034</v>
      </c>
    </row>
    <row r="411" spans="1:6" x14ac:dyDescent="0.25">
      <c r="A411" s="40">
        <v>43899</v>
      </c>
      <c r="C411" t="s">
        <v>1035</v>
      </c>
      <c r="E411" t="s">
        <v>1036</v>
      </c>
      <c r="F411" t="s">
        <v>1037</v>
      </c>
    </row>
    <row r="412" spans="1:6" x14ac:dyDescent="0.25">
      <c r="A412" s="40">
        <v>43523</v>
      </c>
      <c r="B412" s="56"/>
      <c r="C412" s="56" t="s">
        <v>1038</v>
      </c>
      <c r="D412" s="56"/>
      <c r="E412" s="56" t="s">
        <v>1039</v>
      </c>
      <c r="F412" s="56" t="s">
        <v>1040</v>
      </c>
    </row>
    <row r="413" spans="1:6" x14ac:dyDescent="0.25">
      <c r="A413" s="40">
        <v>43937</v>
      </c>
      <c r="B413" s="68"/>
      <c r="C413" s="68" t="s">
        <v>1041</v>
      </c>
      <c r="D413" s="68"/>
      <c r="E413" s="68" t="s">
        <v>1042</v>
      </c>
      <c r="F413" s="68" t="s">
        <v>1043</v>
      </c>
    </row>
    <row r="414" spans="1:6" x14ac:dyDescent="0.25">
      <c r="A414" s="40">
        <v>43867</v>
      </c>
      <c r="B414" s="67"/>
      <c r="C414" s="67" t="s">
        <v>1044</v>
      </c>
      <c r="D414" s="67"/>
      <c r="E414" s="67" t="s">
        <v>1045</v>
      </c>
      <c r="F414" s="67" t="s">
        <v>1046</v>
      </c>
    </row>
    <row r="415" spans="1:6" x14ac:dyDescent="0.25">
      <c r="A415" s="40">
        <v>43700</v>
      </c>
      <c r="B415" s="37"/>
      <c r="C415" s="37" t="s">
        <v>1047</v>
      </c>
      <c r="D415" s="37"/>
      <c r="E415" s="37" t="s">
        <v>1048</v>
      </c>
      <c r="F415" s="37" t="s">
        <v>1049</v>
      </c>
    </row>
    <row r="416" spans="1:6" x14ac:dyDescent="0.25">
      <c r="A416" s="41">
        <v>44301</v>
      </c>
      <c r="B416" s="28">
        <v>1</v>
      </c>
      <c r="C416" s="28" t="s">
        <v>5580</v>
      </c>
      <c r="D416" s="28"/>
      <c r="E416" s="28" t="s">
        <v>5581</v>
      </c>
      <c r="F416" s="28" t="s">
        <v>5582</v>
      </c>
    </row>
    <row r="417" spans="1:6" x14ac:dyDescent="0.25">
      <c r="A417" s="41">
        <v>44922</v>
      </c>
      <c r="B417" s="28"/>
      <c r="C417" s="28" t="s">
        <v>5851</v>
      </c>
      <c r="D417" s="28"/>
      <c r="E417" s="28" t="s">
        <v>5852</v>
      </c>
      <c r="F417" s="28" t="s">
        <v>5853</v>
      </c>
    </row>
    <row r="418" spans="1:6" s="56" customFormat="1" x14ac:dyDescent="0.25">
      <c r="A418" s="40">
        <v>43383</v>
      </c>
      <c r="C418" s="56" t="s">
        <v>1050</v>
      </c>
      <c r="E418" s="56" t="s">
        <v>1051</v>
      </c>
      <c r="F418" s="56" t="s">
        <v>1052</v>
      </c>
    </row>
    <row r="419" spans="1:6" x14ac:dyDescent="0.25">
      <c r="A419" s="40">
        <v>43355</v>
      </c>
      <c r="B419" s="48"/>
      <c r="C419" s="48" t="s">
        <v>1053</v>
      </c>
      <c r="D419" s="48" t="s">
        <v>1054</v>
      </c>
      <c r="E419" s="48" t="s">
        <v>1055</v>
      </c>
      <c r="F419" s="48" t="s">
        <v>1056</v>
      </c>
    </row>
    <row r="420" spans="1:6" x14ac:dyDescent="0.25">
      <c r="A420" s="40">
        <v>44118</v>
      </c>
      <c r="B420" s="49"/>
      <c r="C420" s="49" t="s">
        <v>1057</v>
      </c>
      <c r="D420" s="49"/>
      <c r="E420" s="49" t="s">
        <v>1058</v>
      </c>
      <c r="F420" s="49" t="s">
        <v>1059</v>
      </c>
    </row>
    <row r="421" spans="1:6" x14ac:dyDescent="0.25">
      <c r="A421" s="40">
        <v>44813</v>
      </c>
      <c r="C421" t="s">
        <v>5829</v>
      </c>
      <c r="E421" t="s">
        <v>5830</v>
      </c>
      <c r="F421" t="s">
        <v>5831</v>
      </c>
    </row>
    <row r="422" spans="1:6" x14ac:dyDescent="0.25">
      <c r="A422" s="40">
        <v>43756</v>
      </c>
      <c r="C422" t="s">
        <v>1060</v>
      </c>
      <c r="E422" t="s">
        <v>1061</v>
      </c>
      <c r="F422" t="s">
        <v>1062</v>
      </c>
    </row>
    <row r="423" spans="1:6" x14ac:dyDescent="0.25">
      <c r="A423" s="40">
        <v>43756</v>
      </c>
      <c r="B423" s="56"/>
      <c r="C423" s="56" t="s">
        <v>1063</v>
      </c>
      <c r="D423" s="56"/>
      <c r="E423" s="56" t="s">
        <v>1064</v>
      </c>
      <c r="F423" s="56" t="s">
        <v>1065</v>
      </c>
    </row>
    <row r="424" spans="1:6" x14ac:dyDescent="0.25">
      <c r="A424" s="40">
        <v>44068</v>
      </c>
      <c r="B424" s="68"/>
      <c r="C424" s="68" t="s">
        <v>1066</v>
      </c>
      <c r="D424" s="68"/>
      <c r="E424" s="68" t="s">
        <v>1067</v>
      </c>
      <c r="F424" s="68" t="s">
        <v>1068</v>
      </c>
    </row>
    <row r="425" spans="1:6" x14ac:dyDescent="0.25">
      <c r="A425" s="40">
        <v>44091</v>
      </c>
      <c r="B425" s="67"/>
      <c r="C425" s="67" t="s">
        <v>1069</v>
      </c>
      <c r="D425" s="67"/>
      <c r="E425" s="67" t="s">
        <v>1070</v>
      </c>
      <c r="F425" s="67" t="s">
        <v>1071</v>
      </c>
    </row>
    <row r="426" spans="1:6" x14ac:dyDescent="0.25">
      <c r="A426" s="40">
        <v>43355</v>
      </c>
      <c r="C426" t="s">
        <v>1072</v>
      </c>
      <c r="D426" t="s">
        <v>1073</v>
      </c>
      <c r="E426" t="s">
        <v>1074</v>
      </c>
      <c r="F426" t="s">
        <v>1075</v>
      </c>
    </row>
    <row r="427" spans="1:6" x14ac:dyDescent="0.25">
      <c r="A427" s="40">
        <v>43355</v>
      </c>
      <c r="C427" t="s">
        <v>1076</v>
      </c>
      <c r="D427" t="s">
        <v>1077</v>
      </c>
      <c r="E427" t="s">
        <v>1078</v>
      </c>
      <c r="F427" t="s">
        <v>1079</v>
      </c>
    </row>
    <row r="428" spans="1:6" x14ac:dyDescent="0.25">
      <c r="A428" s="41">
        <v>44301</v>
      </c>
      <c r="B428" s="28">
        <v>1</v>
      </c>
      <c r="C428" s="28" t="s">
        <v>5583</v>
      </c>
      <c r="D428" s="28"/>
      <c r="E428" s="28" t="s">
        <v>5584</v>
      </c>
      <c r="F428" s="28" t="s">
        <v>5585</v>
      </c>
    </row>
    <row r="429" spans="1:6" x14ac:dyDescent="0.25">
      <c r="A429" s="40">
        <v>43516</v>
      </c>
      <c r="C429" t="s">
        <v>1080</v>
      </c>
      <c r="E429" t="s">
        <v>1081</v>
      </c>
      <c r="F429" t="s">
        <v>1082</v>
      </c>
    </row>
    <row r="430" spans="1:6" x14ac:dyDescent="0.25">
      <c r="A430" s="40">
        <v>43746</v>
      </c>
      <c r="C430" t="s">
        <v>1083</v>
      </c>
      <c r="E430" t="s">
        <v>1084</v>
      </c>
      <c r="F430" t="s">
        <v>1085</v>
      </c>
    </row>
    <row r="431" spans="1:6" x14ac:dyDescent="0.25">
      <c r="A431" s="40">
        <v>43587</v>
      </c>
      <c r="C431" t="s">
        <v>1086</v>
      </c>
      <c r="E431" t="s">
        <v>1087</v>
      </c>
      <c r="F431" t="s">
        <v>1088</v>
      </c>
    </row>
    <row r="432" spans="1:6" x14ac:dyDescent="0.25">
      <c r="A432" s="40">
        <v>44159</v>
      </c>
      <c r="C432" t="s">
        <v>1089</v>
      </c>
      <c r="E432" t="s">
        <v>1090</v>
      </c>
      <c r="F432" t="s">
        <v>1091</v>
      </c>
    </row>
    <row r="433" spans="1:6" x14ac:dyDescent="0.25">
      <c r="A433" s="40">
        <v>43514</v>
      </c>
      <c r="B433" s="48"/>
      <c r="C433" s="48" t="s">
        <v>1092</v>
      </c>
      <c r="D433" s="48"/>
      <c r="E433" s="48" t="s">
        <v>1093</v>
      </c>
      <c r="F433" s="48" t="s">
        <v>1094</v>
      </c>
    </row>
    <row r="434" spans="1:6" x14ac:dyDescent="0.25">
      <c r="A434" s="40">
        <v>44018</v>
      </c>
      <c r="B434" s="49"/>
      <c r="C434" s="49" t="s">
        <v>1095</v>
      </c>
      <c r="D434" s="49"/>
      <c r="E434" s="49" t="s">
        <v>1096</v>
      </c>
      <c r="F434" s="49" t="s">
        <v>1097</v>
      </c>
    </row>
    <row r="435" spans="1:6" x14ac:dyDescent="0.25">
      <c r="A435" s="40">
        <v>44111</v>
      </c>
      <c r="B435" s="49"/>
      <c r="C435" s="49" t="s">
        <v>1098</v>
      </c>
      <c r="D435" s="49"/>
      <c r="E435" s="49" t="s">
        <v>1099</v>
      </c>
      <c r="F435" s="49" t="s">
        <v>1100</v>
      </c>
    </row>
    <row r="436" spans="1:6" x14ac:dyDescent="0.25">
      <c r="A436" s="40">
        <v>44018</v>
      </c>
      <c r="B436" s="44"/>
      <c r="C436" s="44" t="s">
        <v>1101</v>
      </c>
      <c r="D436" s="44"/>
      <c r="E436" s="44" t="s">
        <v>1102</v>
      </c>
      <c r="F436" s="44" t="s">
        <v>1103</v>
      </c>
    </row>
    <row r="437" spans="1:6" x14ac:dyDescent="0.25">
      <c r="A437" s="40">
        <v>43465</v>
      </c>
      <c r="B437" s="56"/>
      <c r="C437" s="56" t="s">
        <v>1104</v>
      </c>
      <c r="D437" s="56"/>
      <c r="E437" s="56" t="s">
        <v>1105</v>
      </c>
      <c r="F437" s="56" t="s">
        <v>1106</v>
      </c>
    </row>
    <row r="438" spans="1:6" x14ac:dyDescent="0.25">
      <c r="A438" s="40">
        <v>43514</v>
      </c>
      <c r="B438" s="68"/>
      <c r="C438" s="68" t="s">
        <v>1107</v>
      </c>
      <c r="D438" s="68"/>
      <c r="E438" s="68" t="s">
        <v>1108</v>
      </c>
      <c r="F438" s="68" t="s">
        <v>1094</v>
      </c>
    </row>
    <row r="439" spans="1:6" x14ac:dyDescent="0.25">
      <c r="A439" s="40">
        <v>43860</v>
      </c>
      <c r="B439" s="68"/>
      <c r="C439" s="68" t="s">
        <v>1109</v>
      </c>
      <c r="D439" s="68"/>
      <c r="E439" s="68" t="s">
        <v>1109</v>
      </c>
      <c r="F439" s="68" t="s">
        <v>1110</v>
      </c>
    </row>
    <row r="440" spans="1:6" x14ac:dyDescent="0.25">
      <c r="A440" s="40">
        <v>44085</v>
      </c>
      <c r="B440" s="67"/>
      <c r="C440" s="67" t="s">
        <v>1111</v>
      </c>
      <c r="D440" s="67"/>
      <c r="E440" s="67" t="s">
        <v>1112</v>
      </c>
      <c r="F440" s="67" t="s">
        <v>1113</v>
      </c>
    </row>
    <row r="441" spans="1:6" x14ac:dyDescent="0.25">
      <c r="A441" s="40">
        <v>43725</v>
      </c>
      <c r="B441" s="48"/>
      <c r="C441" s="48" t="s">
        <v>1114</v>
      </c>
      <c r="D441" s="48"/>
      <c r="E441" s="48" t="s">
        <v>1115</v>
      </c>
      <c r="F441" s="48" t="s">
        <v>1116</v>
      </c>
    </row>
    <row r="442" spans="1:6" x14ac:dyDescent="0.25">
      <c r="A442" s="41">
        <v>44200</v>
      </c>
      <c r="B442" s="28"/>
      <c r="C442" s="28" t="s">
        <v>4942</v>
      </c>
      <c r="D442" s="28"/>
      <c r="E442" s="28" t="s">
        <v>5113</v>
      </c>
      <c r="F442" s="28" t="s">
        <v>5279</v>
      </c>
    </row>
    <row r="443" spans="1:6" x14ac:dyDescent="0.25">
      <c r="A443" s="41">
        <v>44200</v>
      </c>
      <c r="B443" s="28"/>
      <c r="C443" s="28" t="s">
        <v>4943</v>
      </c>
      <c r="D443" s="28"/>
      <c r="E443" s="28" t="s">
        <v>5114</v>
      </c>
      <c r="F443" s="28" t="s">
        <v>5280</v>
      </c>
    </row>
    <row r="444" spans="1:6" x14ac:dyDescent="0.25">
      <c r="A444" s="40">
        <v>44013</v>
      </c>
      <c r="C444" t="s">
        <v>1117</v>
      </c>
      <c r="E444" t="s">
        <v>1118</v>
      </c>
      <c r="F444" t="s">
        <v>1119</v>
      </c>
    </row>
    <row r="445" spans="1:6" x14ac:dyDescent="0.25">
      <c r="A445" s="40">
        <v>43637</v>
      </c>
      <c r="B445" s="56"/>
      <c r="C445" s="56" t="s">
        <v>1120</v>
      </c>
      <c r="D445" s="56"/>
      <c r="E445" s="56" t="s">
        <v>1121</v>
      </c>
      <c r="F445" s="56" t="s">
        <v>1122</v>
      </c>
    </row>
    <row r="446" spans="1:6" x14ac:dyDescent="0.25">
      <c r="A446" s="40">
        <v>43461</v>
      </c>
      <c r="B446" s="68"/>
      <c r="C446" s="68" t="s">
        <v>1123</v>
      </c>
      <c r="D446" s="68"/>
      <c r="E446" s="68" t="s">
        <v>1124</v>
      </c>
      <c r="F446" s="68" t="s">
        <v>1125</v>
      </c>
    </row>
    <row r="447" spans="1:6" x14ac:dyDescent="0.25">
      <c r="A447" s="40">
        <v>43724</v>
      </c>
      <c r="B447" s="67"/>
      <c r="C447" s="67" t="s">
        <v>1126</v>
      </c>
      <c r="D447" s="67"/>
      <c r="E447" s="67" t="s">
        <v>1127</v>
      </c>
      <c r="F447" s="67" t="s">
        <v>1128</v>
      </c>
    </row>
    <row r="448" spans="1:6" x14ac:dyDescent="0.25">
      <c r="A448" s="40">
        <v>44084</v>
      </c>
      <c r="B448" s="37"/>
      <c r="C448" s="37" t="s">
        <v>1129</v>
      </c>
      <c r="D448" s="37"/>
      <c r="E448" s="37" t="s">
        <v>1130</v>
      </c>
      <c r="F448" s="37" t="s">
        <v>1131</v>
      </c>
    </row>
    <row r="449" spans="1:6" x14ac:dyDescent="0.25">
      <c r="A449" s="40">
        <v>43461</v>
      </c>
      <c r="B449" s="48"/>
      <c r="C449" s="48" t="s">
        <v>1132</v>
      </c>
      <c r="D449" s="48"/>
      <c r="E449" s="48" t="s">
        <v>1133</v>
      </c>
      <c r="F449" s="48" t="s">
        <v>1134</v>
      </c>
    </row>
    <row r="450" spans="1:6" x14ac:dyDescent="0.25">
      <c r="A450" s="41">
        <v>44236</v>
      </c>
      <c r="B450" s="28"/>
      <c r="C450" s="28" t="s">
        <v>5465</v>
      </c>
      <c r="D450" s="28"/>
      <c r="E450" s="28" t="s">
        <v>5466</v>
      </c>
      <c r="F450" s="28" t="s">
        <v>4270</v>
      </c>
    </row>
    <row r="451" spans="1:6" x14ac:dyDescent="0.25">
      <c r="A451" s="40">
        <v>43725</v>
      </c>
      <c r="C451" t="s">
        <v>1135</v>
      </c>
      <c r="E451" t="s">
        <v>1136</v>
      </c>
      <c r="F451" t="s">
        <v>1028</v>
      </c>
    </row>
    <row r="452" spans="1:6" x14ac:dyDescent="0.25">
      <c r="A452" s="40">
        <v>43644</v>
      </c>
      <c r="C452" t="s">
        <v>1137</v>
      </c>
      <c r="E452" t="s">
        <v>1138</v>
      </c>
      <c r="F452" t="s">
        <v>1139</v>
      </c>
    </row>
    <row r="453" spans="1:6" x14ac:dyDescent="0.25">
      <c r="A453" s="40">
        <v>43937</v>
      </c>
      <c r="B453" s="56"/>
      <c r="C453" s="56" t="s">
        <v>1140</v>
      </c>
      <c r="D453" s="56"/>
      <c r="E453" s="56" t="s">
        <v>1141</v>
      </c>
      <c r="F453" s="56" t="s">
        <v>1142</v>
      </c>
    </row>
    <row r="454" spans="1:6" x14ac:dyDescent="0.25">
      <c r="A454" s="40">
        <v>43644</v>
      </c>
      <c r="B454" s="68"/>
      <c r="C454" s="68" t="s">
        <v>1143</v>
      </c>
      <c r="D454" s="68"/>
      <c r="E454" s="68" t="s">
        <v>1144</v>
      </c>
      <c r="F454" s="68" t="s">
        <v>1145</v>
      </c>
    </row>
    <row r="455" spans="1:6" x14ac:dyDescent="0.25">
      <c r="A455" s="40">
        <v>43899</v>
      </c>
      <c r="B455" s="67"/>
      <c r="C455" s="67" t="s">
        <v>1146</v>
      </c>
      <c r="D455" s="67"/>
      <c r="E455" s="67" t="s">
        <v>1147</v>
      </c>
      <c r="F455" s="67" t="s">
        <v>1148</v>
      </c>
    </row>
    <row r="456" spans="1:6" x14ac:dyDescent="0.25">
      <c r="A456" s="40">
        <v>43899</v>
      </c>
      <c r="B456" s="49"/>
      <c r="C456" s="49" t="s">
        <v>1149</v>
      </c>
      <c r="D456" s="49"/>
      <c r="E456" s="49" t="s">
        <v>1150</v>
      </c>
      <c r="F456" s="49" t="s">
        <v>1151</v>
      </c>
    </row>
    <row r="457" spans="1:6" x14ac:dyDescent="0.25">
      <c r="A457" s="40">
        <v>43644</v>
      </c>
      <c r="B457" s="56"/>
      <c r="C457" s="56" t="s">
        <v>1152</v>
      </c>
      <c r="D457" s="56"/>
      <c r="E457" s="56" t="s">
        <v>1153</v>
      </c>
      <c r="F457" s="56" t="s">
        <v>1154</v>
      </c>
    </row>
    <row r="458" spans="1:6" x14ac:dyDescent="0.25">
      <c r="A458" s="41">
        <v>44301</v>
      </c>
      <c r="B458" s="28">
        <v>2</v>
      </c>
      <c r="C458" s="28" t="s">
        <v>5586</v>
      </c>
      <c r="D458" s="28"/>
      <c r="E458" s="28" t="s">
        <v>1138</v>
      </c>
      <c r="F458" s="28" t="s">
        <v>1139</v>
      </c>
    </row>
    <row r="459" spans="1:6" x14ac:dyDescent="0.25">
      <c r="A459" s="40">
        <v>43899</v>
      </c>
      <c r="B459" s="67"/>
      <c r="C459" s="67" t="s">
        <v>1155</v>
      </c>
      <c r="D459" s="67"/>
      <c r="E459" s="67" t="s">
        <v>1156</v>
      </c>
      <c r="F459" s="67" t="s">
        <v>1157</v>
      </c>
    </row>
    <row r="460" spans="1:6" x14ac:dyDescent="0.25">
      <c r="A460" s="40">
        <v>44172</v>
      </c>
      <c r="B460" s="68"/>
      <c r="C460" s="68" t="s">
        <v>1158</v>
      </c>
      <c r="D460" s="68"/>
      <c r="E460" s="68" t="s">
        <v>1159</v>
      </c>
      <c r="F460" s="68" t="s">
        <v>1160</v>
      </c>
    </row>
    <row r="461" spans="1:6" x14ac:dyDescent="0.25">
      <c r="A461" s="40">
        <v>43864</v>
      </c>
      <c r="B461" s="67"/>
      <c r="C461" s="67" t="s">
        <v>1161</v>
      </c>
      <c r="D461" s="67"/>
      <c r="E461" s="67" t="s">
        <v>1162</v>
      </c>
      <c r="F461" s="67" t="s">
        <v>1163</v>
      </c>
    </row>
    <row r="462" spans="1:6" x14ac:dyDescent="0.25">
      <c r="A462" s="41">
        <v>44200</v>
      </c>
      <c r="B462" s="28"/>
      <c r="C462" s="28" t="s">
        <v>4944</v>
      </c>
      <c r="D462" s="28"/>
      <c r="E462" s="28" t="s">
        <v>5115</v>
      </c>
      <c r="F462" s="28" t="s">
        <v>5281</v>
      </c>
    </row>
    <row r="463" spans="1:6" x14ac:dyDescent="0.25">
      <c r="A463" s="40">
        <v>43384</v>
      </c>
      <c r="B463" s="49"/>
      <c r="C463" s="49" t="s">
        <v>1164</v>
      </c>
      <c r="D463" s="49"/>
      <c r="E463" s="49" t="s">
        <v>1165</v>
      </c>
      <c r="F463" s="49" t="s">
        <v>1166</v>
      </c>
    </row>
    <row r="464" spans="1:6" x14ac:dyDescent="0.25">
      <c r="A464" s="41">
        <v>44200</v>
      </c>
      <c r="B464" s="28"/>
      <c r="C464" s="28" t="s">
        <v>4945</v>
      </c>
      <c r="D464" s="28"/>
      <c r="E464" s="28" t="s">
        <v>5116</v>
      </c>
      <c r="F464" s="28" t="s">
        <v>5282</v>
      </c>
    </row>
    <row r="465" spans="1:6" x14ac:dyDescent="0.25">
      <c r="A465" s="40">
        <v>44012</v>
      </c>
      <c r="B465" s="44"/>
      <c r="C465" s="44" t="s">
        <v>1167</v>
      </c>
      <c r="D465" s="44"/>
      <c r="E465" s="44" t="s">
        <v>1168</v>
      </c>
      <c r="F465" s="44" t="s">
        <v>1169</v>
      </c>
    </row>
    <row r="466" spans="1:6" x14ac:dyDescent="0.25">
      <c r="A466" s="40">
        <v>43620</v>
      </c>
      <c r="B466" s="56"/>
      <c r="C466" s="56" t="s">
        <v>1170</v>
      </c>
      <c r="D466" s="56"/>
      <c r="E466" s="56" t="s">
        <v>1171</v>
      </c>
      <c r="F466" s="56" t="s">
        <v>1172</v>
      </c>
    </row>
    <row r="467" spans="1:6" x14ac:dyDescent="0.25">
      <c r="A467" s="40">
        <v>43344</v>
      </c>
      <c r="B467" s="68"/>
      <c r="C467" s="68" t="s">
        <v>1173</v>
      </c>
      <c r="D467" s="68" t="s">
        <v>1174</v>
      </c>
      <c r="E467" s="68" t="s">
        <v>1175</v>
      </c>
      <c r="F467" s="68" t="s">
        <v>1176</v>
      </c>
    </row>
    <row r="468" spans="1:6" x14ac:dyDescent="0.25">
      <c r="A468" s="40">
        <v>43465</v>
      </c>
      <c r="B468" s="67"/>
      <c r="C468" s="67" t="s">
        <v>1177</v>
      </c>
      <c r="D468" s="67"/>
      <c r="E468" s="67" t="s">
        <v>1177</v>
      </c>
      <c r="F468" s="67" t="s">
        <v>1178</v>
      </c>
    </row>
    <row r="469" spans="1:6" x14ac:dyDescent="0.25">
      <c r="A469" s="41">
        <v>44922</v>
      </c>
      <c r="B469" s="28"/>
      <c r="C469" s="28" t="s">
        <v>5854</v>
      </c>
      <c r="D469" s="28"/>
      <c r="E469" s="28" t="s">
        <v>5855</v>
      </c>
      <c r="F469" s="28" t="s">
        <v>5856</v>
      </c>
    </row>
    <row r="470" spans="1:6" x14ac:dyDescent="0.25">
      <c r="A470" s="40">
        <v>43634</v>
      </c>
      <c r="B470" s="44"/>
      <c r="C470" s="44" t="s">
        <v>1179</v>
      </c>
      <c r="D470" s="44"/>
      <c r="E470" s="44" t="s">
        <v>1180</v>
      </c>
      <c r="F470" s="44" t="s">
        <v>1181</v>
      </c>
    </row>
    <row r="471" spans="1:6" x14ac:dyDescent="0.25">
      <c r="A471" s="40">
        <v>43588</v>
      </c>
      <c r="B471" s="56"/>
      <c r="C471" s="56" t="s">
        <v>1182</v>
      </c>
      <c r="D471" s="56"/>
      <c r="E471" s="56" t="s">
        <v>1183</v>
      </c>
      <c r="F471" s="56" t="s">
        <v>1184</v>
      </c>
    </row>
    <row r="472" spans="1:6" x14ac:dyDescent="0.25">
      <c r="A472" s="41">
        <v>44199</v>
      </c>
      <c r="B472" s="28"/>
      <c r="C472" s="28" t="s">
        <v>1185</v>
      </c>
      <c r="D472" s="28"/>
      <c r="E472" s="28" t="s">
        <v>1186</v>
      </c>
      <c r="F472" s="28" t="s">
        <v>1181</v>
      </c>
    </row>
    <row r="473" spans="1:6" x14ac:dyDescent="0.25">
      <c r="A473" s="40">
        <v>43815</v>
      </c>
      <c r="B473" s="67"/>
      <c r="C473" s="67" t="s">
        <v>1187</v>
      </c>
      <c r="D473" s="67"/>
      <c r="E473" s="67" t="s">
        <v>1188</v>
      </c>
      <c r="F473" s="67" t="s">
        <v>1189</v>
      </c>
    </row>
    <row r="474" spans="1:6" x14ac:dyDescent="0.25">
      <c r="A474" s="40">
        <v>43755</v>
      </c>
      <c r="B474" s="37"/>
      <c r="C474" s="37" t="s">
        <v>1190</v>
      </c>
      <c r="D474" s="37"/>
      <c r="E474" s="37" t="s">
        <v>1191</v>
      </c>
      <c r="F474" s="37" t="s">
        <v>1192</v>
      </c>
    </row>
    <row r="475" spans="1:6" x14ac:dyDescent="0.25">
      <c r="A475" s="40">
        <v>43760</v>
      </c>
      <c r="B475" s="48"/>
      <c r="C475" s="48" t="s">
        <v>1193</v>
      </c>
      <c r="D475" s="48"/>
      <c r="E475" s="48" t="s">
        <v>1193</v>
      </c>
      <c r="F475" s="48" t="s">
        <v>1194</v>
      </c>
    </row>
    <row r="476" spans="1:6" x14ac:dyDescent="0.25">
      <c r="A476" s="40">
        <v>43644</v>
      </c>
      <c r="B476" s="49"/>
      <c r="C476" s="49" t="s">
        <v>1195</v>
      </c>
      <c r="D476" s="49" t="s">
        <v>1196</v>
      </c>
      <c r="E476" s="49" t="s">
        <v>1197</v>
      </c>
      <c r="F476" s="49" t="s">
        <v>1198</v>
      </c>
    </row>
    <row r="477" spans="1:6" x14ac:dyDescent="0.25">
      <c r="A477" s="41">
        <v>44199</v>
      </c>
      <c r="B477" s="28"/>
      <c r="C477" s="28" t="s">
        <v>4549</v>
      </c>
      <c r="D477" s="28"/>
      <c r="E477" s="28" t="s">
        <v>4719</v>
      </c>
      <c r="F477" s="28" t="s">
        <v>4720</v>
      </c>
    </row>
    <row r="478" spans="1:6" x14ac:dyDescent="0.25">
      <c r="A478" s="40">
        <v>43815</v>
      </c>
      <c r="B478" s="49"/>
      <c r="C478" s="49" t="s">
        <v>1199</v>
      </c>
      <c r="D478" s="49"/>
      <c r="E478" s="49" t="s">
        <v>1200</v>
      </c>
      <c r="F478" s="49" t="s">
        <v>1201</v>
      </c>
    </row>
    <row r="479" spans="1:6" x14ac:dyDescent="0.25">
      <c r="A479" s="40">
        <v>43725</v>
      </c>
      <c r="B479" s="56"/>
      <c r="C479" s="56" t="s">
        <v>1202</v>
      </c>
      <c r="D479" s="56"/>
      <c r="E479" s="56" t="s">
        <v>1202</v>
      </c>
      <c r="F479" s="56" t="s">
        <v>1203</v>
      </c>
    </row>
    <row r="480" spans="1:6" x14ac:dyDescent="0.25">
      <c r="A480" s="40">
        <v>43864</v>
      </c>
      <c r="B480" s="68"/>
      <c r="C480" s="68" t="s">
        <v>1204</v>
      </c>
      <c r="D480" s="68"/>
      <c r="E480" s="68" t="s">
        <v>1205</v>
      </c>
      <c r="F480" s="68" t="s">
        <v>1206</v>
      </c>
    </row>
    <row r="481" spans="1:6" x14ac:dyDescent="0.25">
      <c r="A481" s="40">
        <v>44133</v>
      </c>
      <c r="B481" s="67"/>
      <c r="C481" s="67" t="s">
        <v>1207</v>
      </c>
      <c r="D481" s="67"/>
      <c r="E481" s="67" t="s">
        <v>1208</v>
      </c>
      <c r="F481" s="67" t="s">
        <v>1209</v>
      </c>
    </row>
    <row r="482" spans="1:6" x14ac:dyDescent="0.25">
      <c r="A482" s="40">
        <v>44019</v>
      </c>
      <c r="B482" s="68"/>
      <c r="C482" s="68" t="s">
        <v>1210</v>
      </c>
      <c r="D482" s="68"/>
      <c r="E482" s="68" t="s">
        <v>1211</v>
      </c>
      <c r="F482" s="68" t="s">
        <v>1212</v>
      </c>
    </row>
    <row r="483" spans="1:6" x14ac:dyDescent="0.25">
      <c r="A483" s="40">
        <v>43724</v>
      </c>
      <c r="B483" s="68"/>
      <c r="C483" s="68" t="s">
        <v>1213</v>
      </c>
      <c r="D483" s="68" t="s">
        <v>1214</v>
      </c>
      <c r="E483" s="68" t="s">
        <v>1213</v>
      </c>
      <c r="F483" s="68" t="s">
        <v>1215</v>
      </c>
    </row>
    <row r="484" spans="1:6" x14ac:dyDescent="0.25">
      <c r="A484" s="40">
        <v>44091</v>
      </c>
      <c r="B484" s="68"/>
      <c r="C484" s="68" t="s">
        <v>1216</v>
      </c>
      <c r="D484" s="68"/>
      <c r="E484" s="68" t="s">
        <v>1216</v>
      </c>
      <c r="F484" s="68" t="s">
        <v>1216</v>
      </c>
    </row>
    <row r="485" spans="1:6" x14ac:dyDescent="0.25">
      <c r="A485" s="41">
        <v>44200</v>
      </c>
      <c r="B485" s="28"/>
      <c r="C485" s="28" t="s">
        <v>1219</v>
      </c>
      <c r="D485" s="28"/>
      <c r="E485" s="28" t="s">
        <v>1219</v>
      </c>
      <c r="F485" s="28" t="s">
        <v>1220</v>
      </c>
    </row>
    <row r="486" spans="1:6" x14ac:dyDescent="0.25">
      <c r="A486" s="40">
        <v>43124</v>
      </c>
      <c r="B486" s="68"/>
      <c r="C486" s="68" t="s">
        <v>1217</v>
      </c>
      <c r="D486" s="68" t="s">
        <v>1218</v>
      </c>
      <c r="E486" s="68" t="s">
        <v>1219</v>
      </c>
      <c r="F486" s="68" t="s">
        <v>1220</v>
      </c>
    </row>
    <row r="487" spans="1:6" x14ac:dyDescent="0.25">
      <c r="A487" s="41">
        <v>44200</v>
      </c>
      <c r="B487" s="28"/>
      <c r="C487" s="28" t="s">
        <v>4946</v>
      </c>
      <c r="D487" s="28"/>
      <c r="E487" s="28" t="s">
        <v>5117</v>
      </c>
      <c r="F487" s="28" t="s">
        <v>5283</v>
      </c>
    </row>
    <row r="488" spans="1:6" x14ac:dyDescent="0.25">
      <c r="A488" s="41">
        <v>44200</v>
      </c>
      <c r="B488" s="28"/>
      <c r="C488" s="28" t="s">
        <v>4947</v>
      </c>
      <c r="D488" s="28"/>
      <c r="E488" s="28" t="s">
        <v>5118</v>
      </c>
      <c r="F488" s="28" t="s">
        <v>5284</v>
      </c>
    </row>
    <row r="489" spans="1:6" x14ac:dyDescent="0.25">
      <c r="A489" s="41">
        <v>44200</v>
      </c>
      <c r="B489" s="28"/>
      <c r="C489" s="28" t="s">
        <v>4948</v>
      </c>
      <c r="D489" s="28"/>
      <c r="E489" s="28" t="s">
        <v>5119</v>
      </c>
      <c r="F489" s="28" t="s">
        <v>5285</v>
      </c>
    </row>
    <row r="490" spans="1:6" x14ac:dyDescent="0.25">
      <c r="A490" s="40">
        <v>43700</v>
      </c>
      <c r="B490" s="68"/>
      <c r="C490" s="68" t="s">
        <v>1221</v>
      </c>
      <c r="D490" s="68"/>
      <c r="E490" s="68" t="s">
        <v>1222</v>
      </c>
      <c r="F490" s="68" t="s">
        <v>1223</v>
      </c>
    </row>
    <row r="491" spans="1:6" x14ac:dyDescent="0.25">
      <c r="A491" s="41">
        <v>44200</v>
      </c>
      <c r="B491" s="28"/>
      <c r="C491" s="28" t="s">
        <v>4949</v>
      </c>
      <c r="D491" s="28"/>
      <c r="E491" s="28" t="s">
        <v>5120</v>
      </c>
      <c r="F491" s="28" t="s">
        <v>1223</v>
      </c>
    </row>
    <row r="492" spans="1:6" x14ac:dyDescent="0.25">
      <c r="A492" s="41">
        <v>44200</v>
      </c>
      <c r="B492" s="28"/>
      <c r="C492" s="28" t="s">
        <v>4950</v>
      </c>
      <c r="D492" s="28"/>
      <c r="E492" s="28" t="s">
        <v>5121</v>
      </c>
      <c r="F492" s="28" t="s">
        <v>5286</v>
      </c>
    </row>
    <row r="493" spans="1:6" x14ac:dyDescent="0.25">
      <c r="A493" s="41">
        <v>44200</v>
      </c>
      <c r="B493" s="28"/>
      <c r="C493" s="28" t="s">
        <v>4951</v>
      </c>
      <c r="D493" s="28"/>
      <c r="E493" s="28" t="s">
        <v>5122</v>
      </c>
      <c r="F493" s="28" t="s">
        <v>5287</v>
      </c>
    </row>
    <row r="494" spans="1:6" x14ac:dyDescent="0.25">
      <c r="A494" s="41">
        <v>44200</v>
      </c>
      <c r="B494" s="28"/>
      <c r="C494" s="28" t="s">
        <v>4952</v>
      </c>
      <c r="D494" s="28"/>
      <c r="E494" s="28" t="s">
        <v>5123</v>
      </c>
      <c r="F494" s="28" t="s">
        <v>5288</v>
      </c>
    </row>
    <row r="495" spans="1:6" x14ac:dyDescent="0.25">
      <c r="A495" s="41">
        <v>44200</v>
      </c>
      <c r="B495" s="28"/>
      <c r="C495" s="28" t="s">
        <v>4953</v>
      </c>
      <c r="D495" s="28"/>
      <c r="E495" s="28" t="s">
        <v>5124</v>
      </c>
      <c r="F495" s="28" t="s">
        <v>5289</v>
      </c>
    </row>
    <row r="496" spans="1:6" x14ac:dyDescent="0.25">
      <c r="A496" s="41">
        <v>44200</v>
      </c>
      <c r="B496" s="28"/>
      <c r="C496" s="28" t="s">
        <v>4954</v>
      </c>
      <c r="D496" s="28"/>
      <c r="E496" s="28" t="s">
        <v>5120</v>
      </c>
      <c r="F496" s="28" t="s">
        <v>1223</v>
      </c>
    </row>
    <row r="497" spans="1:6" x14ac:dyDescent="0.25">
      <c r="A497" s="41">
        <v>44200</v>
      </c>
      <c r="B497" s="28"/>
      <c r="C497" s="28" t="s">
        <v>4955</v>
      </c>
      <c r="D497" s="28"/>
      <c r="E497" s="28" t="s">
        <v>5125</v>
      </c>
      <c r="F497" s="28" t="s">
        <v>5290</v>
      </c>
    </row>
    <row r="498" spans="1:6" x14ac:dyDescent="0.25">
      <c r="A498" s="41">
        <v>44200</v>
      </c>
      <c r="B498" s="28"/>
      <c r="C498" s="28" t="s">
        <v>4956</v>
      </c>
      <c r="D498" s="28"/>
      <c r="E498" s="28" t="s">
        <v>5126</v>
      </c>
      <c r="F498" s="28" t="s">
        <v>5291</v>
      </c>
    </row>
    <row r="499" spans="1:6" x14ac:dyDescent="0.25">
      <c r="A499" s="40">
        <v>43514</v>
      </c>
      <c r="B499" s="68"/>
      <c r="C499" s="68" t="s">
        <v>1224</v>
      </c>
      <c r="D499" s="68"/>
      <c r="E499" s="68" t="s">
        <v>1225</v>
      </c>
      <c r="F499" s="68" t="s">
        <v>1226</v>
      </c>
    </row>
    <row r="500" spans="1:6" x14ac:dyDescent="0.25">
      <c r="A500" s="41">
        <v>44200</v>
      </c>
      <c r="B500" s="28"/>
      <c r="C500" s="28" t="s">
        <v>4957</v>
      </c>
      <c r="D500" s="28"/>
      <c r="E500" s="28" t="s">
        <v>5127</v>
      </c>
      <c r="F500" s="28" t="s">
        <v>5292</v>
      </c>
    </row>
    <row r="501" spans="1:6" x14ac:dyDescent="0.25">
      <c r="A501" s="40">
        <v>43516</v>
      </c>
      <c r="B501" s="68"/>
      <c r="C501" s="68" t="s">
        <v>1227</v>
      </c>
      <c r="D501" s="68"/>
      <c r="E501" s="68" t="s">
        <v>1228</v>
      </c>
      <c r="F501" s="68" t="s">
        <v>1229</v>
      </c>
    </row>
    <row r="502" spans="1:6" x14ac:dyDescent="0.25">
      <c r="A502" s="41">
        <v>44200</v>
      </c>
      <c r="B502" s="28"/>
      <c r="C502" s="28" t="s">
        <v>4958</v>
      </c>
      <c r="D502" s="28"/>
      <c r="E502" s="28" t="s">
        <v>5128</v>
      </c>
      <c r="F502" s="28" t="s">
        <v>5293</v>
      </c>
    </row>
    <row r="503" spans="1:6" x14ac:dyDescent="0.25">
      <c r="A503" s="41">
        <v>44200</v>
      </c>
      <c r="B503" s="28"/>
      <c r="C503" s="28" t="s">
        <v>4959</v>
      </c>
      <c r="D503" s="28"/>
      <c r="E503" s="28" t="s">
        <v>5129</v>
      </c>
      <c r="F503" s="28" t="s">
        <v>5294</v>
      </c>
    </row>
    <row r="504" spans="1:6" x14ac:dyDescent="0.25">
      <c r="A504" s="41">
        <v>44200</v>
      </c>
      <c r="B504" s="28"/>
      <c r="C504" s="28" t="s">
        <v>4960</v>
      </c>
      <c r="D504" s="28"/>
      <c r="E504" s="28" t="s">
        <v>5130</v>
      </c>
      <c r="F504" s="28" t="s">
        <v>5295</v>
      </c>
    </row>
    <row r="505" spans="1:6" x14ac:dyDescent="0.25">
      <c r="A505" s="41">
        <v>44200</v>
      </c>
      <c r="B505" s="28"/>
      <c r="C505" s="28" t="s">
        <v>4961</v>
      </c>
      <c r="D505" s="28"/>
      <c r="E505" s="28" t="s">
        <v>5131</v>
      </c>
      <c r="F505" s="28" t="s">
        <v>5296</v>
      </c>
    </row>
    <row r="506" spans="1:6" x14ac:dyDescent="0.25">
      <c r="A506" s="41">
        <v>44200</v>
      </c>
      <c r="B506" s="28"/>
      <c r="C506" s="28" t="s">
        <v>4962</v>
      </c>
      <c r="D506" s="28"/>
      <c r="E506" s="28" t="s">
        <v>5132</v>
      </c>
      <c r="F506" s="28" t="s">
        <v>5297</v>
      </c>
    </row>
    <row r="507" spans="1:6" x14ac:dyDescent="0.25">
      <c r="A507" s="41">
        <v>44200</v>
      </c>
      <c r="B507" s="28"/>
      <c r="C507" s="28" t="s">
        <v>4963</v>
      </c>
      <c r="D507" s="28"/>
      <c r="E507" s="28" t="s">
        <v>5133</v>
      </c>
      <c r="F507" s="28" t="s">
        <v>5298</v>
      </c>
    </row>
    <row r="508" spans="1:6" x14ac:dyDescent="0.25">
      <c r="A508" s="40">
        <v>43517</v>
      </c>
      <c r="B508" s="68"/>
      <c r="C508" s="68" t="s">
        <v>1230</v>
      </c>
      <c r="D508" s="68"/>
      <c r="E508" s="68" t="s">
        <v>1231</v>
      </c>
      <c r="F508" s="68" t="s">
        <v>1232</v>
      </c>
    </row>
    <row r="509" spans="1:6" x14ac:dyDescent="0.25">
      <c r="A509" s="41">
        <v>44200</v>
      </c>
      <c r="B509" s="28"/>
      <c r="C509" s="28" t="s">
        <v>4964</v>
      </c>
      <c r="D509" s="28"/>
      <c r="E509" s="28" t="s">
        <v>5134</v>
      </c>
      <c r="F509" s="28" t="s">
        <v>5299</v>
      </c>
    </row>
    <row r="510" spans="1:6" x14ac:dyDescent="0.25">
      <c r="A510" s="41">
        <v>44200</v>
      </c>
      <c r="B510" s="28"/>
      <c r="C510" s="28" t="s">
        <v>4965</v>
      </c>
      <c r="D510" s="28"/>
      <c r="E510" s="28" t="s">
        <v>5135</v>
      </c>
      <c r="F510" s="28" t="s">
        <v>5300</v>
      </c>
    </row>
    <row r="511" spans="1:6" x14ac:dyDescent="0.25">
      <c r="A511" s="41">
        <v>44200</v>
      </c>
      <c r="B511" s="28"/>
      <c r="C511" s="28" t="s">
        <v>4966</v>
      </c>
      <c r="D511" s="28"/>
      <c r="E511" s="28" t="s">
        <v>5136</v>
      </c>
      <c r="F511" s="28" t="s">
        <v>5301</v>
      </c>
    </row>
    <row r="512" spans="1:6" x14ac:dyDescent="0.25">
      <c r="A512" s="41">
        <v>44200</v>
      </c>
      <c r="B512" s="28"/>
      <c r="C512" s="28" t="s">
        <v>4967</v>
      </c>
      <c r="D512" s="28"/>
      <c r="E512" s="28" t="s">
        <v>5137</v>
      </c>
      <c r="F512" s="28" t="s">
        <v>5302</v>
      </c>
    </row>
    <row r="513" spans="1:6" x14ac:dyDescent="0.25">
      <c r="A513" s="41">
        <v>44200</v>
      </c>
      <c r="B513" s="28"/>
      <c r="C513" s="28" t="s">
        <v>4968</v>
      </c>
      <c r="D513" s="28"/>
      <c r="E513" s="28" t="s">
        <v>5138</v>
      </c>
      <c r="F513" s="28" t="s">
        <v>5303</v>
      </c>
    </row>
    <row r="514" spans="1:6" x14ac:dyDescent="0.25">
      <c r="A514" s="41">
        <v>44649</v>
      </c>
      <c r="B514" s="28"/>
      <c r="C514" s="28" t="s">
        <v>5780</v>
      </c>
      <c r="D514" s="28"/>
      <c r="E514" s="28" t="s">
        <v>5782</v>
      </c>
      <c r="F514" s="28" t="s">
        <v>5781</v>
      </c>
    </row>
    <row r="515" spans="1:6" x14ac:dyDescent="0.25">
      <c r="A515" s="41">
        <v>44200</v>
      </c>
      <c r="B515" s="28"/>
      <c r="C515" s="28" t="s">
        <v>4969</v>
      </c>
      <c r="D515" s="28"/>
      <c r="E515" s="28" t="s">
        <v>5139</v>
      </c>
      <c r="F515" s="28" t="s">
        <v>5304</v>
      </c>
    </row>
    <row r="516" spans="1:6" x14ac:dyDescent="0.25">
      <c r="A516" s="41">
        <v>44200</v>
      </c>
      <c r="B516" s="28"/>
      <c r="C516" s="28" t="s">
        <v>4970</v>
      </c>
      <c r="D516" s="28"/>
      <c r="E516" s="28" t="s">
        <v>5140</v>
      </c>
      <c r="F516" s="28" t="s">
        <v>5305</v>
      </c>
    </row>
    <row r="517" spans="1:6" x14ac:dyDescent="0.25">
      <c r="A517" s="41">
        <v>44200</v>
      </c>
      <c r="B517" s="28"/>
      <c r="C517" s="28" t="s">
        <v>4971</v>
      </c>
      <c r="D517" s="28"/>
      <c r="E517" s="28" t="s">
        <v>5141</v>
      </c>
      <c r="F517" s="28" t="s">
        <v>5306</v>
      </c>
    </row>
    <row r="518" spans="1:6" x14ac:dyDescent="0.25">
      <c r="A518" s="41">
        <v>44200</v>
      </c>
      <c r="B518" s="28"/>
      <c r="C518" s="28" t="s">
        <v>4972</v>
      </c>
      <c r="D518" s="28"/>
      <c r="E518" s="28" t="s">
        <v>5142</v>
      </c>
      <c r="F518" s="28" t="s">
        <v>5307</v>
      </c>
    </row>
    <row r="519" spans="1:6" x14ac:dyDescent="0.25">
      <c r="A519" s="41">
        <v>44200</v>
      </c>
      <c r="B519" s="28"/>
      <c r="C519" s="28" t="s">
        <v>4973</v>
      </c>
      <c r="D519" s="28"/>
      <c r="E519" s="28" t="s">
        <v>5143</v>
      </c>
      <c r="F519" s="28" t="s">
        <v>5308</v>
      </c>
    </row>
    <row r="520" spans="1:6" x14ac:dyDescent="0.25">
      <c r="A520" s="41">
        <v>44200</v>
      </c>
      <c r="B520" s="28"/>
      <c r="C520" s="28" t="s">
        <v>4974</v>
      </c>
      <c r="D520" s="28"/>
      <c r="E520" s="28" t="s">
        <v>5144</v>
      </c>
      <c r="F520" s="28" t="s">
        <v>5309</v>
      </c>
    </row>
    <row r="521" spans="1:6" x14ac:dyDescent="0.25">
      <c r="A521" s="41">
        <v>44200</v>
      </c>
      <c r="B521" s="28"/>
      <c r="C521" s="28" t="s">
        <v>4975</v>
      </c>
      <c r="D521" s="28"/>
      <c r="E521" s="28" t="s">
        <v>5145</v>
      </c>
      <c r="F521" s="28" t="s">
        <v>5310</v>
      </c>
    </row>
    <row r="522" spans="1:6" x14ac:dyDescent="0.25">
      <c r="A522" s="41">
        <v>44200</v>
      </c>
      <c r="B522" s="28"/>
      <c r="C522" s="28" t="s">
        <v>4976</v>
      </c>
      <c r="D522" s="28"/>
      <c r="E522" s="28" t="s">
        <v>5146</v>
      </c>
      <c r="F522" s="28" t="s">
        <v>5311</v>
      </c>
    </row>
    <row r="523" spans="1:6" x14ac:dyDescent="0.25">
      <c r="A523" s="41">
        <v>44200</v>
      </c>
      <c r="B523" s="28"/>
      <c r="C523" s="28" t="s">
        <v>4977</v>
      </c>
      <c r="D523" s="28"/>
      <c r="E523" s="28" t="s">
        <v>5147</v>
      </c>
      <c r="F523" s="28" t="s">
        <v>5312</v>
      </c>
    </row>
    <row r="524" spans="1:6" x14ac:dyDescent="0.25">
      <c r="A524" s="41">
        <v>44200</v>
      </c>
      <c r="B524" s="28"/>
      <c r="C524" s="28" t="s">
        <v>4978</v>
      </c>
      <c r="D524" s="28"/>
      <c r="E524" s="28" t="s">
        <v>5148</v>
      </c>
      <c r="F524" s="28" t="s">
        <v>5313</v>
      </c>
    </row>
    <row r="525" spans="1:6" x14ac:dyDescent="0.25">
      <c r="A525" s="41">
        <v>44200</v>
      </c>
      <c r="B525" s="28"/>
      <c r="C525" s="28" t="s">
        <v>4979</v>
      </c>
      <c r="D525" s="28"/>
      <c r="E525" s="28" t="s">
        <v>5149</v>
      </c>
      <c r="F525" s="28" t="s">
        <v>5314</v>
      </c>
    </row>
    <row r="526" spans="1:6" x14ac:dyDescent="0.25">
      <c r="A526" s="41">
        <v>44200</v>
      </c>
      <c r="B526" s="28"/>
      <c r="C526" s="28" t="s">
        <v>4980</v>
      </c>
      <c r="D526" s="28"/>
      <c r="E526" s="28" t="s">
        <v>5150</v>
      </c>
      <c r="F526" s="28" t="s">
        <v>5315</v>
      </c>
    </row>
    <row r="527" spans="1:6" x14ac:dyDescent="0.25">
      <c r="A527" s="41">
        <v>44200</v>
      </c>
      <c r="B527" s="28"/>
      <c r="C527" s="28" t="s">
        <v>1233</v>
      </c>
      <c r="D527" s="28"/>
      <c r="E527" s="28" t="s">
        <v>5151</v>
      </c>
      <c r="F527" s="28" t="s">
        <v>5316</v>
      </c>
    </row>
    <row r="528" spans="1:6" x14ac:dyDescent="0.25">
      <c r="A528" s="41">
        <v>44200</v>
      </c>
      <c r="B528" s="28"/>
      <c r="C528" s="28" t="s">
        <v>4981</v>
      </c>
      <c r="D528" s="28"/>
      <c r="E528" s="28" t="s">
        <v>5152</v>
      </c>
      <c r="F528" s="28" t="s">
        <v>5317</v>
      </c>
    </row>
    <row r="529" spans="1:6" x14ac:dyDescent="0.25">
      <c r="A529" s="40">
        <v>43390</v>
      </c>
      <c r="B529" s="28"/>
      <c r="C529" s="28" t="s">
        <v>1235</v>
      </c>
      <c r="D529" s="28"/>
      <c r="E529" s="28" t="s">
        <v>5153</v>
      </c>
      <c r="F529" s="28" t="s">
        <v>1236</v>
      </c>
    </row>
    <row r="530" spans="1:6" x14ac:dyDescent="0.25">
      <c r="A530" s="41">
        <v>44200</v>
      </c>
      <c r="B530" s="28"/>
      <c r="C530" s="28" t="s">
        <v>4982</v>
      </c>
      <c r="D530" s="28"/>
      <c r="E530" s="28" t="s">
        <v>5154</v>
      </c>
      <c r="F530" s="28" t="s">
        <v>5318</v>
      </c>
    </row>
    <row r="531" spans="1:6" x14ac:dyDescent="0.25">
      <c r="A531" s="41">
        <v>44200</v>
      </c>
      <c r="B531" s="28"/>
      <c r="C531" s="28" t="s">
        <v>4983</v>
      </c>
      <c r="D531" s="28"/>
      <c r="E531" s="28" t="s">
        <v>5155</v>
      </c>
      <c r="F531" s="28" t="s">
        <v>5319</v>
      </c>
    </row>
    <row r="532" spans="1:6" x14ac:dyDescent="0.25">
      <c r="A532" s="41">
        <v>44200</v>
      </c>
      <c r="B532" s="28"/>
      <c r="C532" s="28" t="s">
        <v>4984</v>
      </c>
      <c r="D532" s="28"/>
      <c r="E532" s="28" t="s">
        <v>5156</v>
      </c>
      <c r="F532" s="28" t="s">
        <v>5320</v>
      </c>
    </row>
    <row r="533" spans="1:6" x14ac:dyDescent="0.25">
      <c r="A533" s="41">
        <v>44200</v>
      </c>
      <c r="B533" s="28"/>
      <c r="C533" s="28" t="s">
        <v>4985</v>
      </c>
      <c r="D533" s="28"/>
      <c r="E533" s="28" t="s">
        <v>5157</v>
      </c>
      <c r="F533" s="28" t="s">
        <v>5321</v>
      </c>
    </row>
    <row r="534" spans="1:6" x14ac:dyDescent="0.25">
      <c r="A534" s="41">
        <v>44200</v>
      </c>
      <c r="B534" s="28"/>
      <c r="C534" s="28" t="s">
        <v>4986</v>
      </c>
      <c r="D534" s="28"/>
      <c r="E534" s="28" t="s">
        <v>5158</v>
      </c>
      <c r="F534" s="28" t="s">
        <v>5322</v>
      </c>
    </row>
    <row r="535" spans="1:6" x14ac:dyDescent="0.25">
      <c r="A535" s="40">
        <v>43390</v>
      </c>
      <c r="B535" s="68"/>
      <c r="C535" s="68" t="s">
        <v>1237</v>
      </c>
      <c r="D535" s="68"/>
      <c r="E535" s="68" t="s">
        <v>1238</v>
      </c>
      <c r="F535" s="68" t="s">
        <v>1239</v>
      </c>
    </row>
    <row r="536" spans="1:6" x14ac:dyDescent="0.25">
      <c r="A536" s="41">
        <v>44200</v>
      </c>
      <c r="B536" s="28"/>
      <c r="C536" s="28" t="s">
        <v>4987</v>
      </c>
      <c r="D536" s="28"/>
      <c r="E536" s="28" t="s">
        <v>5159</v>
      </c>
      <c r="F536" s="28" t="s">
        <v>5323</v>
      </c>
    </row>
    <row r="537" spans="1:6" x14ac:dyDescent="0.25">
      <c r="A537" s="41">
        <v>44200</v>
      </c>
      <c r="B537" s="28"/>
      <c r="C537" s="28" t="s">
        <v>4988</v>
      </c>
      <c r="D537" s="28"/>
      <c r="E537" s="28" t="s">
        <v>1234</v>
      </c>
      <c r="F537" s="28" t="s">
        <v>5324</v>
      </c>
    </row>
    <row r="538" spans="1:6" x14ac:dyDescent="0.25">
      <c r="A538" s="41">
        <v>44200</v>
      </c>
      <c r="B538" s="28"/>
      <c r="C538" s="28" t="s">
        <v>4989</v>
      </c>
      <c r="D538" s="28"/>
      <c r="E538" s="28" t="s">
        <v>5160</v>
      </c>
      <c r="F538" s="28" t="s">
        <v>5325</v>
      </c>
    </row>
    <row r="539" spans="1:6" x14ac:dyDescent="0.25">
      <c r="A539" s="41">
        <v>44200</v>
      </c>
      <c r="B539" s="28"/>
      <c r="C539" s="28" t="s">
        <v>4990</v>
      </c>
      <c r="D539" s="28"/>
      <c r="E539" s="28" t="s">
        <v>5161</v>
      </c>
      <c r="F539" s="28" t="s">
        <v>5326</v>
      </c>
    </row>
    <row r="540" spans="1:6" x14ac:dyDescent="0.25">
      <c r="A540" s="41">
        <v>44200</v>
      </c>
      <c r="B540" s="28"/>
      <c r="C540" s="28" t="s">
        <v>4991</v>
      </c>
      <c r="D540" s="28"/>
      <c r="E540" s="28" t="s">
        <v>5162</v>
      </c>
      <c r="F540" s="28" t="s">
        <v>5327</v>
      </c>
    </row>
    <row r="541" spans="1:6" x14ac:dyDescent="0.25">
      <c r="A541" s="41">
        <v>44200</v>
      </c>
      <c r="B541" s="28"/>
      <c r="C541" s="28" t="s">
        <v>4992</v>
      </c>
      <c r="D541" s="28"/>
      <c r="E541" s="28" t="s">
        <v>5163</v>
      </c>
      <c r="F541" s="28" t="s">
        <v>5328</v>
      </c>
    </row>
    <row r="542" spans="1:6" x14ac:dyDescent="0.25">
      <c r="A542" s="41">
        <v>44200</v>
      </c>
      <c r="B542" s="28"/>
      <c r="C542" s="28" t="s">
        <v>4993</v>
      </c>
      <c r="D542" s="28"/>
      <c r="E542" s="28" t="s">
        <v>5164</v>
      </c>
      <c r="F542" s="28" t="s">
        <v>5329</v>
      </c>
    </row>
    <row r="543" spans="1:6" x14ac:dyDescent="0.25">
      <c r="A543" s="41">
        <v>44200</v>
      </c>
      <c r="B543" s="28"/>
      <c r="C543" s="28" t="s">
        <v>4994</v>
      </c>
      <c r="D543" s="28"/>
      <c r="E543" s="28" t="s">
        <v>5165</v>
      </c>
      <c r="F543" s="28" t="s">
        <v>5330</v>
      </c>
    </row>
    <row r="544" spans="1:6" x14ac:dyDescent="0.25">
      <c r="A544" s="41">
        <v>44200</v>
      </c>
      <c r="B544" s="28"/>
      <c r="C544" s="28" t="s">
        <v>4995</v>
      </c>
      <c r="D544" s="28"/>
      <c r="E544" s="28" t="s">
        <v>5166</v>
      </c>
      <c r="F544" s="28" t="s">
        <v>5331</v>
      </c>
    </row>
    <row r="545" spans="1:6" x14ac:dyDescent="0.25">
      <c r="A545" s="41">
        <v>44301</v>
      </c>
      <c r="B545" s="28">
        <v>0</v>
      </c>
      <c r="C545" s="28" t="s">
        <v>5587</v>
      </c>
      <c r="D545" s="28"/>
      <c r="E545" s="28" t="s">
        <v>5588</v>
      </c>
      <c r="F545" s="28" t="s">
        <v>5589</v>
      </c>
    </row>
    <row r="546" spans="1:6" x14ac:dyDescent="0.25">
      <c r="A546" s="41">
        <v>44200</v>
      </c>
      <c r="B546" s="28"/>
      <c r="C546" s="28" t="s">
        <v>4996</v>
      </c>
      <c r="D546" s="28"/>
      <c r="E546" s="28" t="s">
        <v>5167</v>
      </c>
      <c r="F546" s="28" t="s">
        <v>5332</v>
      </c>
    </row>
    <row r="547" spans="1:6" x14ac:dyDescent="0.25">
      <c r="A547" s="41">
        <v>44200</v>
      </c>
      <c r="B547" s="28"/>
      <c r="C547" s="28" t="s">
        <v>4997</v>
      </c>
      <c r="D547" s="28"/>
      <c r="E547" s="28" t="s">
        <v>5168</v>
      </c>
      <c r="F547" s="28" t="s">
        <v>5333</v>
      </c>
    </row>
    <row r="548" spans="1:6" x14ac:dyDescent="0.25">
      <c r="A548" s="41">
        <v>44200</v>
      </c>
      <c r="B548" s="28"/>
      <c r="C548" s="28" t="s">
        <v>4998</v>
      </c>
      <c r="D548" s="28"/>
      <c r="E548" s="28" t="s">
        <v>5169</v>
      </c>
      <c r="F548" s="28" t="s">
        <v>5334</v>
      </c>
    </row>
    <row r="549" spans="1:6" x14ac:dyDescent="0.25">
      <c r="A549" s="41">
        <v>44200</v>
      </c>
      <c r="B549" s="28"/>
      <c r="C549" s="28" t="s">
        <v>4999</v>
      </c>
      <c r="D549" s="28"/>
      <c r="E549" s="28" t="s">
        <v>5170</v>
      </c>
      <c r="F549" s="28" t="s">
        <v>5335</v>
      </c>
    </row>
    <row r="550" spans="1:6" x14ac:dyDescent="0.25">
      <c r="A550" s="41">
        <v>44200</v>
      </c>
      <c r="B550" s="28"/>
      <c r="C550" s="28" t="s">
        <v>5000</v>
      </c>
      <c r="D550" s="28"/>
      <c r="E550" s="28" t="s">
        <v>5171</v>
      </c>
      <c r="F550" s="28" t="s">
        <v>5336</v>
      </c>
    </row>
    <row r="551" spans="1:6" x14ac:dyDescent="0.25">
      <c r="A551" s="40">
        <v>43609</v>
      </c>
      <c r="B551" s="68"/>
      <c r="C551" s="68" t="s">
        <v>1240</v>
      </c>
      <c r="D551" s="68"/>
      <c r="E551" s="68" t="s">
        <v>1241</v>
      </c>
      <c r="F551" s="68" t="s">
        <v>1242</v>
      </c>
    </row>
    <row r="552" spans="1:6" x14ac:dyDescent="0.25">
      <c r="B552" s="67"/>
      <c r="C552" s="67" t="s">
        <v>1243</v>
      </c>
      <c r="D552" s="67" t="s">
        <v>2</v>
      </c>
      <c r="E552" s="67" t="s">
        <v>1244</v>
      </c>
      <c r="F552" s="67" t="s">
        <v>1245</v>
      </c>
    </row>
    <row r="553" spans="1:6" x14ac:dyDescent="0.25">
      <c r="A553" s="41">
        <v>44199</v>
      </c>
      <c r="B553" s="28"/>
      <c r="C553" s="28" t="s">
        <v>4550</v>
      </c>
      <c r="D553" s="28"/>
      <c r="E553" s="28" t="s">
        <v>4721</v>
      </c>
      <c r="F553" s="28" t="s">
        <v>4722</v>
      </c>
    </row>
    <row r="554" spans="1:6" x14ac:dyDescent="0.25">
      <c r="A554" s="40">
        <v>43865</v>
      </c>
      <c r="B554" s="67"/>
      <c r="C554" s="67" t="s">
        <v>1246</v>
      </c>
      <c r="D554" s="67"/>
      <c r="E554" s="67" t="s">
        <v>1247</v>
      </c>
      <c r="F554" s="67" t="s">
        <v>1248</v>
      </c>
    </row>
    <row r="555" spans="1:6" x14ac:dyDescent="0.25">
      <c r="A555" s="40">
        <v>44043</v>
      </c>
      <c r="B555" s="68"/>
      <c r="C555" s="68" t="s">
        <v>1249</v>
      </c>
      <c r="D555" s="68"/>
      <c r="E555" s="68" t="s">
        <v>1250</v>
      </c>
      <c r="F555" s="68" t="s">
        <v>1251</v>
      </c>
    </row>
    <row r="556" spans="1:6" x14ac:dyDescent="0.25">
      <c r="A556" s="41">
        <v>44199</v>
      </c>
      <c r="B556" s="28"/>
      <c r="C556" s="28" t="s">
        <v>4551</v>
      </c>
      <c r="D556" s="28"/>
      <c r="E556" s="28" t="s">
        <v>4723</v>
      </c>
      <c r="F556" s="28" t="s">
        <v>4724</v>
      </c>
    </row>
    <row r="557" spans="1:6" x14ac:dyDescent="0.25">
      <c r="A557" s="40">
        <v>44040</v>
      </c>
      <c r="B557" s="67"/>
      <c r="C557" s="67" t="s">
        <v>1252</v>
      </c>
      <c r="D557" s="67"/>
      <c r="E557" s="67" t="s">
        <v>1253</v>
      </c>
      <c r="F557" s="67" t="s">
        <v>1254</v>
      </c>
    </row>
    <row r="558" spans="1:6" x14ac:dyDescent="0.25">
      <c r="A558" s="41">
        <v>44491</v>
      </c>
      <c r="B558" s="28"/>
      <c r="C558" s="28" t="s">
        <v>5707</v>
      </c>
      <c r="D558" s="28"/>
      <c r="E558" s="28" t="s">
        <v>5708</v>
      </c>
      <c r="F558" s="28" t="s">
        <v>1257</v>
      </c>
    </row>
    <row r="559" spans="1:6" x14ac:dyDescent="0.25">
      <c r="A559" s="40">
        <v>43893</v>
      </c>
      <c r="B559" s="56"/>
      <c r="C559" s="56" t="s">
        <v>1255</v>
      </c>
      <c r="D559" s="56"/>
      <c r="E559" s="56" t="s">
        <v>1256</v>
      </c>
      <c r="F559" s="56" t="s">
        <v>1257</v>
      </c>
    </row>
    <row r="560" spans="1:6" x14ac:dyDescent="0.25">
      <c r="A560" s="41">
        <v>44491</v>
      </c>
      <c r="B560" s="28"/>
      <c r="C560" s="28" t="s">
        <v>5709</v>
      </c>
      <c r="D560" s="28" t="s">
        <v>5709</v>
      </c>
      <c r="E560" s="28" t="s">
        <v>5710</v>
      </c>
      <c r="F560" s="28" t="s">
        <v>5711</v>
      </c>
    </row>
    <row r="561" spans="1:6" x14ac:dyDescent="0.25">
      <c r="A561" s="41">
        <v>44271</v>
      </c>
      <c r="B561" s="28"/>
      <c r="C561" s="28" t="s">
        <v>5520</v>
      </c>
      <c r="D561" s="28"/>
      <c r="E561" s="28" t="s">
        <v>5521</v>
      </c>
      <c r="F561" s="28" t="s">
        <v>1257</v>
      </c>
    </row>
    <row r="562" spans="1:6" x14ac:dyDescent="0.25">
      <c r="A562" s="40">
        <v>43479</v>
      </c>
      <c r="B562" s="68"/>
      <c r="C562" s="68" t="s">
        <v>1258</v>
      </c>
      <c r="D562" s="68"/>
      <c r="E562" s="68" t="s">
        <v>1259</v>
      </c>
      <c r="F562" s="68" t="s">
        <v>1260</v>
      </c>
    </row>
    <row r="563" spans="1:6" x14ac:dyDescent="0.25">
      <c r="A563" s="40">
        <v>43455</v>
      </c>
      <c r="B563" s="67"/>
      <c r="C563" s="67" t="s">
        <v>1261</v>
      </c>
      <c r="D563" s="67"/>
      <c r="E563" s="67" t="s">
        <v>1262</v>
      </c>
      <c r="F563" s="67" t="s">
        <v>1263</v>
      </c>
    </row>
    <row r="564" spans="1:6" x14ac:dyDescent="0.25">
      <c r="A564" s="40">
        <v>43739</v>
      </c>
      <c r="B564" s="68"/>
      <c r="C564" s="68" t="s">
        <v>1264</v>
      </c>
      <c r="D564" s="68"/>
      <c r="E564" s="68" t="s">
        <v>1265</v>
      </c>
      <c r="F564" s="68" t="s">
        <v>1266</v>
      </c>
    </row>
    <row r="565" spans="1:6" x14ac:dyDescent="0.25">
      <c r="A565" s="41">
        <v>44199</v>
      </c>
      <c r="B565" s="28"/>
      <c r="C565" s="28" t="s">
        <v>4552</v>
      </c>
      <c r="D565" s="28"/>
      <c r="E565" s="28" t="s">
        <v>4725</v>
      </c>
      <c r="F565" s="28" t="s">
        <v>4726</v>
      </c>
    </row>
    <row r="566" spans="1:6" x14ac:dyDescent="0.25">
      <c r="A566" s="41">
        <v>44200</v>
      </c>
      <c r="B566" s="28"/>
      <c r="C566" s="28" t="s">
        <v>5001</v>
      </c>
      <c r="D566" s="28"/>
      <c r="E566" s="28" t="s">
        <v>5172</v>
      </c>
      <c r="F566" s="28" t="s">
        <v>5337</v>
      </c>
    </row>
    <row r="567" spans="1:6" x14ac:dyDescent="0.25">
      <c r="A567" s="41">
        <v>44199</v>
      </c>
      <c r="B567" s="28"/>
      <c r="C567" s="28" t="s">
        <v>4553</v>
      </c>
      <c r="D567" s="28"/>
      <c r="E567" s="28" t="s">
        <v>4727</v>
      </c>
      <c r="F567" s="28" t="s">
        <v>4728</v>
      </c>
    </row>
    <row r="568" spans="1:6" x14ac:dyDescent="0.25">
      <c r="A568" s="40">
        <v>43644</v>
      </c>
      <c r="B568" s="49"/>
      <c r="C568" s="49" t="s">
        <v>1267</v>
      </c>
      <c r="D568" s="49"/>
      <c r="E568" s="49" t="s">
        <v>1268</v>
      </c>
      <c r="F568" s="49" t="s">
        <v>1269</v>
      </c>
    </row>
    <row r="569" spans="1:6" x14ac:dyDescent="0.25">
      <c r="A569" s="41">
        <v>44200</v>
      </c>
      <c r="B569" s="28"/>
      <c r="C569" s="28" t="s">
        <v>5002</v>
      </c>
      <c r="D569" s="28"/>
      <c r="E569" s="28" t="s">
        <v>5173</v>
      </c>
      <c r="F569" s="28" t="s">
        <v>5338</v>
      </c>
    </row>
    <row r="570" spans="1:6" x14ac:dyDescent="0.25">
      <c r="A570" s="40">
        <v>43762</v>
      </c>
      <c r="B570" s="38"/>
      <c r="C570" s="38" t="s">
        <v>1270</v>
      </c>
      <c r="D570" s="38"/>
      <c r="E570" s="38" t="s">
        <v>1271</v>
      </c>
      <c r="F570" s="38" t="s">
        <v>1272</v>
      </c>
    </row>
    <row r="571" spans="1:6" x14ac:dyDescent="0.25">
      <c r="A571" s="40">
        <v>44006</v>
      </c>
      <c r="B571" s="44"/>
      <c r="C571" s="44" t="s">
        <v>1273</v>
      </c>
      <c r="D571" s="44"/>
      <c r="E571" s="44" t="s">
        <v>1274</v>
      </c>
      <c r="F571" s="44" t="s">
        <v>1275</v>
      </c>
    </row>
    <row r="572" spans="1:6" x14ac:dyDescent="0.25">
      <c r="A572" s="40">
        <v>43530</v>
      </c>
      <c r="B572" s="48"/>
      <c r="C572" s="48" t="s">
        <v>1276</v>
      </c>
      <c r="D572" s="48"/>
      <c r="E572" s="48" t="s">
        <v>1277</v>
      </c>
      <c r="F572" s="48" t="s">
        <v>1278</v>
      </c>
    </row>
    <row r="573" spans="1:6" x14ac:dyDescent="0.25">
      <c r="A573" s="40">
        <v>43530</v>
      </c>
      <c r="B573" s="56"/>
      <c r="C573" s="56" t="s">
        <v>1279</v>
      </c>
      <c r="D573" s="56"/>
      <c r="E573" s="56" t="s">
        <v>1280</v>
      </c>
      <c r="F573" s="56" t="s">
        <v>1281</v>
      </c>
    </row>
    <row r="574" spans="1:6" x14ac:dyDescent="0.25">
      <c r="A574" s="40">
        <v>44082</v>
      </c>
      <c r="B574" s="48"/>
      <c r="C574" s="48" t="s">
        <v>1282</v>
      </c>
      <c r="D574" s="48"/>
      <c r="E574" s="48" t="s">
        <v>1283</v>
      </c>
      <c r="F574" s="48" t="s">
        <v>1278</v>
      </c>
    </row>
    <row r="575" spans="1:6" x14ac:dyDescent="0.25">
      <c r="B575" s="68"/>
      <c r="C575" s="68" t="s">
        <v>1284</v>
      </c>
      <c r="D575" s="68"/>
      <c r="E575" s="68" t="s">
        <v>1285</v>
      </c>
      <c r="F575" s="68" t="s">
        <v>1286</v>
      </c>
    </row>
    <row r="576" spans="1:6" x14ac:dyDescent="0.25">
      <c r="B576" s="67"/>
      <c r="C576" s="67" t="s">
        <v>1287</v>
      </c>
      <c r="D576" s="67"/>
      <c r="E576" s="67" t="s">
        <v>1288</v>
      </c>
      <c r="F576" s="67" t="s">
        <v>1289</v>
      </c>
    </row>
    <row r="577" spans="1:6" x14ac:dyDescent="0.25">
      <c r="A577" s="40">
        <v>44813</v>
      </c>
      <c r="B577" s="48"/>
      <c r="C577" s="48" t="s">
        <v>5815</v>
      </c>
      <c r="D577" s="48"/>
      <c r="E577" s="48" t="s">
        <v>5816</v>
      </c>
      <c r="F577" s="48" t="s">
        <v>5817</v>
      </c>
    </row>
    <row r="578" spans="1:6" x14ac:dyDescent="0.25">
      <c r="A578" s="40">
        <v>43741</v>
      </c>
      <c r="B578" s="56"/>
      <c r="C578" s="56" t="s">
        <v>1290</v>
      </c>
      <c r="D578" s="56"/>
      <c r="E578" s="56" t="s">
        <v>1291</v>
      </c>
      <c r="F578" s="56" t="s">
        <v>1292</v>
      </c>
    </row>
    <row r="579" spans="1:6" x14ac:dyDescent="0.25">
      <c r="B579" s="49"/>
      <c r="C579" s="49" t="s">
        <v>1293</v>
      </c>
      <c r="D579" s="49"/>
      <c r="E579" s="49" t="s">
        <v>1294</v>
      </c>
      <c r="F579" s="49" t="s">
        <v>1295</v>
      </c>
    </row>
    <row r="580" spans="1:6" x14ac:dyDescent="0.25">
      <c r="A580" s="41">
        <v>44301</v>
      </c>
      <c r="B580" s="28">
        <v>1</v>
      </c>
      <c r="C580" s="28" t="s">
        <v>5590</v>
      </c>
      <c r="D580" s="28"/>
      <c r="E580" s="28" t="s">
        <v>5591</v>
      </c>
      <c r="F580" s="28" t="s">
        <v>5592</v>
      </c>
    </row>
    <row r="581" spans="1:6" x14ac:dyDescent="0.25">
      <c r="A581" s="40">
        <v>43467</v>
      </c>
      <c r="B581" s="67"/>
      <c r="C581" s="67" t="s">
        <v>1296</v>
      </c>
      <c r="D581" s="67"/>
      <c r="E581" s="67" t="s">
        <v>1297</v>
      </c>
      <c r="F581" s="67" t="s">
        <v>1298</v>
      </c>
    </row>
    <row r="582" spans="1:6" x14ac:dyDescent="0.25">
      <c r="A582" s="40">
        <v>43588</v>
      </c>
      <c r="B582" s="68"/>
      <c r="C582" s="68" t="s">
        <v>1299</v>
      </c>
      <c r="D582" s="68"/>
      <c r="E582" s="68" t="s">
        <v>1300</v>
      </c>
      <c r="F582" s="68" t="s">
        <v>1301</v>
      </c>
    </row>
    <row r="583" spans="1:6" x14ac:dyDescent="0.25">
      <c r="A583" s="40">
        <v>44006</v>
      </c>
      <c r="B583" s="67"/>
      <c r="C583" s="67" t="s">
        <v>1302</v>
      </c>
      <c r="D583" s="67"/>
      <c r="E583" s="67" t="s">
        <v>1303</v>
      </c>
      <c r="F583" s="67" t="s">
        <v>1304</v>
      </c>
    </row>
    <row r="584" spans="1:6" x14ac:dyDescent="0.25">
      <c r="A584" s="40">
        <v>43739</v>
      </c>
      <c r="B584" s="56"/>
      <c r="C584" s="56" t="s">
        <v>1305</v>
      </c>
      <c r="D584" s="56"/>
      <c r="E584" s="56" t="s">
        <v>1306</v>
      </c>
      <c r="F584" s="56" t="s">
        <v>1307</v>
      </c>
    </row>
    <row r="585" spans="1:6" x14ac:dyDescent="0.25">
      <c r="A585" s="41">
        <v>44199</v>
      </c>
      <c r="B585" s="28"/>
      <c r="C585" s="28" t="s">
        <v>4554</v>
      </c>
      <c r="D585" s="28"/>
      <c r="E585" s="28" t="s">
        <v>4729</v>
      </c>
      <c r="F585" s="28" t="s">
        <v>4730</v>
      </c>
    </row>
    <row r="586" spans="1:6" x14ac:dyDescent="0.25">
      <c r="A586" s="40">
        <v>43860</v>
      </c>
      <c r="B586" s="68"/>
      <c r="C586" s="68" t="s">
        <v>1308</v>
      </c>
      <c r="D586" s="68"/>
      <c r="E586" s="68" t="s">
        <v>1309</v>
      </c>
      <c r="F586" s="68" t="s">
        <v>1310</v>
      </c>
    </row>
    <row r="587" spans="1:6" x14ac:dyDescent="0.25">
      <c r="A587" s="41">
        <v>44199</v>
      </c>
      <c r="B587" s="28"/>
      <c r="C587" s="28" t="s">
        <v>4555</v>
      </c>
      <c r="D587" s="28"/>
      <c r="E587" s="28" t="s">
        <v>4731</v>
      </c>
      <c r="F587" s="28" t="s">
        <v>4732</v>
      </c>
    </row>
    <row r="588" spans="1:6" x14ac:dyDescent="0.25">
      <c r="A588" s="40">
        <v>43462</v>
      </c>
      <c r="B588" s="68"/>
      <c r="C588" s="68" t="s">
        <v>1311</v>
      </c>
      <c r="D588" s="68"/>
      <c r="E588" s="68" t="s">
        <v>1312</v>
      </c>
      <c r="F588" s="68" t="s">
        <v>1313</v>
      </c>
    </row>
    <row r="589" spans="1:6" x14ac:dyDescent="0.25">
      <c r="A589" s="40">
        <v>43599</v>
      </c>
      <c r="B589" s="68"/>
      <c r="C589" s="68" t="s">
        <v>1314</v>
      </c>
      <c r="D589" s="68"/>
      <c r="E589" s="68" t="s">
        <v>1315</v>
      </c>
      <c r="F589" s="68" t="s">
        <v>1316</v>
      </c>
    </row>
    <row r="590" spans="1:6" x14ac:dyDescent="0.25">
      <c r="A590" s="41">
        <v>44200</v>
      </c>
      <c r="B590" s="28"/>
      <c r="C590" s="28" t="s">
        <v>5003</v>
      </c>
      <c r="D590" s="28"/>
      <c r="E590" s="28" t="s">
        <v>5174</v>
      </c>
      <c r="F590" s="28" t="s">
        <v>5339</v>
      </c>
    </row>
    <row r="591" spans="1:6" x14ac:dyDescent="0.25">
      <c r="A591" s="41">
        <v>44200</v>
      </c>
      <c r="B591" s="28"/>
      <c r="C591" s="28" t="s">
        <v>5004</v>
      </c>
      <c r="D591" s="28"/>
      <c r="E591" s="28" t="s">
        <v>5175</v>
      </c>
      <c r="F591" s="28" t="s">
        <v>5340</v>
      </c>
    </row>
    <row r="592" spans="1:6" x14ac:dyDescent="0.25">
      <c r="A592" s="40">
        <v>44069</v>
      </c>
      <c r="B592" s="49"/>
      <c r="C592" s="49" t="s">
        <v>1317</v>
      </c>
      <c r="D592" s="49"/>
      <c r="E592" s="49" t="s">
        <v>1318</v>
      </c>
      <c r="F592" s="49" t="s">
        <v>1319</v>
      </c>
    </row>
    <row r="593" spans="1:6" x14ac:dyDescent="0.25">
      <c r="A593" s="41">
        <v>44199</v>
      </c>
      <c r="B593" s="28"/>
      <c r="C593" s="28" t="s">
        <v>4556</v>
      </c>
      <c r="D593" s="28"/>
      <c r="E593" s="28" t="s">
        <v>4733</v>
      </c>
      <c r="F593" s="28" t="s">
        <v>3308</v>
      </c>
    </row>
    <row r="594" spans="1:6" x14ac:dyDescent="0.25">
      <c r="A594" s="41">
        <v>44200</v>
      </c>
      <c r="B594" s="28"/>
      <c r="C594" s="28" t="s">
        <v>5005</v>
      </c>
      <c r="D594" s="28"/>
      <c r="E594" s="28" t="s">
        <v>5176</v>
      </c>
      <c r="F594" s="28" t="s">
        <v>5341</v>
      </c>
    </row>
    <row r="595" spans="1:6" x14ac:dyDescent="0.25">
      <c r="A595" s="40">
        <v>43756</v>
      </c>
      <c r="B595" s="38"/>
      <c r="C595" s="38" t="s">
        <v>1320</v>
      </c>
      <c r="D595" s="38"/>
      <c r="E595" s="38" t="s">
        <v>1321</v>
      </c>
      <c r="F595" s="38" t="s">
        <v>1322</v>
      </c>
    </row>
    <row r="596" spans="1:6" x14ac:dyDescent="0.25">
      <c r="A596" s="40">
        <v>44091</v>
      </c>
      <c r="B596" s="68"/>
      <c r="C596" s="68" t="s">
        <v>1323</v>
      </c>
      <c r="D596" s="68"/>
      <c r="E596" s="68" t="s">
        <v>1324</v>
      </c>
      <c r="F596" s="68" t="s">
        <v>1325</v>
      </c>
    </row>
    <row r="597" spans="1:6" x14ac:dyDescent="0.25">
      <c r="A597" s="40">
        <v>43587</v>
      </c>
      <c r="B597" s="67"/>
      <c r="C597" s="67" t="s">
        <v>1326</v>
      </c>
      <c r="D597" s="67"/>
      <c r="E597" s="67" t="s">
        <v>1327</v>
      </c>
      <c r="F597" s="67" t="s">
        <v>1328</v>
      </c>
    </row>
    <row r="598" spans="1:6" x14ac:dyDescent="0.25">
      <c r="A598" s="40">
        <v>43587</v>
      </c>
      <c r="B598" s="68"/>
      <c r="C598" s="68" t="s">
        <v>1329</v>
      </c>
      <c r="D598" s="68"/>
      <c r="E598" s="68" t="s">
        <v>1330</v>
      </c>
      <c r="F598" s="68" t="s">
        <v>1331</v>
      </c>
    </row>
    <row r="599" spans="1:6" x14ac:dyDescent="0.25">
      <c r="A599" s="40">
        <v>44062</v>
      </c>
      <c r="B599" s="68"/>
      <c r="C599" s="68" t="s">
        <v>1332</v>
      </c>
      <c r="D599" s="68"/>
      <c r="E599" s="68" t="s">
        <v>1333</v>
      </c>
      <c r="F599" s="68" t="s">
        <v>1334</v>
      </c>
    </row>
    <row r="600" spans="1:6" x14ac:dyDescent="0.25">
      <c r="A600" s="40">
        <v>44041</v>
      </c>
      <c r="B600" s="68"/>
      <c r="C600" s="68" t="s">
        <v>1335</v>
      </c>
      <c r="D600" s="68"/>
      <c r="E600" s="68" t="s">
        <v>1336</v>
      </c>
      <c r="F600" s="68" t="s">
        <v>1337</v>
      </c>
    </row>
    <row r="601" spans="1:6" x14ac:dyDescent="0.25">
      <c r="A601" s="41">
        <v>44199</v>
      </c>
      <c r="B601" s="28"/>
      <c r="C601" s="28" t="s">
        <v>4557</v>
      </c>
      <c r="D601" s="28"/>
      <c r="E601" s="28" t="s">
        <v>4734</v>
      </c>
      <c r="F601" s="28" t="s">
        <v>4735</v>
      </c>
    </row>
    <row r="602" spans="1:6" x14ac:dyDescent="0.25">
      <c r="A602" s="40">
        <v>43819</v>
      </c>
      <c r="B602" s="67"/>
      <c r="C602" s="67" t="s">
        <v>1338</v>
      </c>
      <c r="D602" s="67"/>
      <c r="E602" s="67" t="s">
        <v>1339</v>
      </c>
      <c r="F602" s="67" t="s">
        <v>1340</v>
      </c>
    </row>
    <row r="603" spans="1:6" x14ac:dyDescent="0.25">
      <c r="A603" s="41">
        <v>44199</v>
      </c>
      <c r="B603" s="28"/>
      <c r="C603" s="28" t="s">
        <v>4558</v>
      </c>
      <c r="D603" s="28"/>
      <c r="E603" s="28" t="s">
        <v>4736</v>
      </c>
      <c r="F603" s="28" t="s">
        <v>4737</v>
      </c>
    </row>
    <row r="604" spans="1:6" x14ac:dyDescent="0.25">
      <c r="A604" s="41">
        <v>44199</v>
      </c>
      <c r="B604" s="28"/>
      <c r="C604" s="28" t="s">
        <v>4559</v>
      </c>
      <c r="D604" s="28"/>
      <c r="E604" s="28" t="s">
        <v>4738</v>
      </c>
      <c r="F604" s="28" t="s">
        <v>4739</v>
      </c>
    </row>
    <row r="605" spans="1:6" x14ac:dyDescent="0.25">
      <c r="A605" s="41">
        <v>44301</v>
      </c>
      <c r="B605" s="28">
        <v>1</v>
      </c>
      <c r="C605" s="28" t="s">
        <v>5593</v>
      </c>
      <c r="D605" s="28"/>
      <c r="E605" s="28" t="s">
        <v>5594</v>
      </c>
      <c r="F605" s="28" t="s">
        <v>4383</v>
      </c>
    </row>
    <row r="606" spans="1:6" x14ac:dyDescent="0.25">
      <c r="A606" s="41">
        <v>44200</v>
      </c>
      <c r="B606" s="28"/>
      <c r="C606" s="28" t="s">
        <v>5006</v>
      </c>
      <c r="D606" s="28"/>
      <c r="E606" s="28" t="s">
        <v>5006</v>
      </c>
      <c r="F606" s="28" t="s">
        <v>5342</v>
      </c>
    </row>
    <row r="607" spans="1:6" x14ac:dyDescent="0.25">
      <c r="B607" s="68"/>
      <c r="C607" s="68" t="s">
        <v>1341</v>
      </c>
      <c r="D607" s="68"/>
      <c r="E607" s="68" t="s">
        <v>1342</v>
      </c>
      <c r="F607" s="68" t="s">
        <v>1343</v>
      </c>
    </row>
    <row r="608" spans="1:6" x14ac:dyDescent="0.25">
      <c r="A608" s="40">
        <v>43465</v>
      </c>
      <c r="B608" s="67"/>
      <c r="C608" s="67" t="s">
        <v>1344</v>
      </c>
      <c r="D608" s="67"/>
      <c r="E608" s="67" t="s">
        <v>1345</v>
      </c>
      <c r="F608" s="67" t="s">
        <v>1346</v>
      </c>
    </row>
    <row r="609" spans="1:6" x14ac:dyDescent="0.25">
      <c r="A609" s="40">
        <v>43467</v>
      </c>
      <c r="B609" s="44"/>
      <c r="C609" s="44" t="s">
        <v>1347</v>
      </c>
      <c r="D609" s="44"/>
      <c r="E609" s="44" t="s">
        <v>1348</v>
      </c>
      <c r="F609" s="44" t="s">
        <v>1349</v>
      </c>
    </row>
    <row r="610" spans="1:6" x14ac:dyDescent="0.25">
      <c r="A610" s="40">
        <v>44123</v>
      </c>
      <c r="C610" t="s">
        <v>1350</v>
      </c>
      <c r="E610" t="s">
        <v>1351</v>
      </c>
      <c r="F610" t="s">
        <v>1352</v>
      </c>
    </row>
    <row r="611" spans="1:6" x14ac:dyDescent="0.25">
      <c r="A611" s="41">
        <v>44199</v>
      </c>
      <c r="B611" s="28"/>
      <c r="C611" s="28" t="s">
        <v>4560</v>
      </c>
      <c r="D611" s="28"/>
      <c r="E611" s="28" t="s">
        <v>4740</v>
      </c>
      <c r="F611" s="28" t="s">
        <v>4741</v>
      </c>
    </row>
    <row r="612" spans="1:6" x14ac:dyDescent="0.25">
      <c r="A612" s="41">
        <v>44199</v>
      </c>
      <c r="B612" s="28"/>
      <c r="C612" s="28" t="s">
        <v>4561</v>
      </c>
      <c r="D612" s="28"/>
      <c r="E612" s="28" t="s">
        <v>4742</v>
      </c>
      <c r="F612" s="28" t="s">
        <v>1355</v>
      </c>
    </row>
    <row r="613" spans="1:6" x14ac:dyDescent="0.25">
      <c r="A613" s="40">
        <v>43662</v>
      </c>
      <c r="B613" s="49"/>
      <c r="C613" s="49" t="s">
        <v>1353</v>
      </c>
      <c r="D613" s="49"/>
      <c r="E613" s="49" t="s">
        <v>1354</v>
      </c>
      <c r="F613" s="49" t="s">
        <v>1355</v>
      </c>
    </row>
    <row r="614" spans="1:6" x14ac:dyDescent="0.25">
      <c r="A614" s="40">
        <v>43868</v>
      </c>
      <c r="B614" s="34"/>
      <c r="C614" s="34" t="s">
        <v>1356</v>
      </c>
      <c r="D614" s="34"/>
      <c r="E614" s="34" t="s">
        <v>1357</v>
      </c>
      <c r="F614" s="34" t="s">
        <v>1358</v>
      </c>
    </row>
    <row r="615" spans="1:6" x14ac:dyDescent="0.25">
      <c r="A615" s="40">
        <v>43587</v>
      </c>
      <c r="B615" s="37"/>
      <c r="C615" s="37" t="s">
        <v>1359</v>
      </c>
      <c r="D615" s="37"/>
      <c r="E615" s="37" t="s">
        <v>1360</v>
      </c>
      <c r="F615" s="37" t="s">
        <v>1361</v>
      </c>
    </row>
    <row r="616" spans="1:6" x14ac:dyDescent="0.25">
      <c r="A616" s="40">
        <v>43461</v>
      </c>
      <c r="B616" s="48"/>
      <c r="C616" s="48" t="s">
        <v>1362</v>
      </c>
      <c r="D616" s="48"/>
      <c r="E616" s="48" t="s">
        <v>1363</v>
      </c>
      <c r="F616" s="48" t="s">
        <v>1364</v>
      </c>
    </row>
    <row r="617" spans="1:6" x14ac:dyDescent="0.25">
      <c r="A617" s="40">
        <v>43587</v>
      </c>
      <c r="B617" s="49"/>
      <c r="C617" s="49" t="s">
        <v>1365</v>
      </c>
      <c r="D617" s="49"/>
      <c r="E617" s="49" t="s">
        <v>1366</v>
      </c>
      <c r="F617" s="49" t="s">
        <v>1367</v>
      </c>
    </row>
    <row r="618" spans="1:6" x14ac:dyDescent="0.25">
      <c r="A618" s="40">
        <v>43756</v>
      </c>
      <c r="B618" s="56"/>
      <c r="C618" s="56" t="s">
        <v>1368</v>
      </c>
      <c r="D618" s="56"/>
      <c r="E618" s="56" t="s">
        <v>1369</v>
      </c>
      <c r="F618" s="56" t="s">
        <v>1370</v>
      </c>
    </row>
    <row r="619" spans="1:6" x14ac:dyDescent="0.25">
      <c r="A619" s="41">
        <v>44922</v>
      </c>
      <c r="B619" s="28"/>
      <c r="C619" s="28" t="s">
        <v>5857</v>
      </c>
      <c r="D619" s="28"/>
      <c r="E619" s="28" t="s">
        <v>5858</v>
      </c>
      <c r="F619" s="28" t="s">
        <v>5859</v>
      </c>
    </row>
    <row r="620" spans="1:6" x14ac:dyDescent="0.25">
      <c r="A620" s="40">
        <v>43344</v>
      </c>
      <c r="B620" s="68"/>
      <c r="C620" s="68" t="s">
        <v>1372</v>
      </c>
      <c r="D620" s="68"/>
      <c r="E620" s="68" t="s">
        <v>1373</v>
      </c>
      <c r="F620" s="68" t="s">
        <v>1374</v>
      </c>
    </row>
    <row r="621" spans="1:6" x14ac:dyDescent="0.25">
      <c r="A621" s="40">
        <v>43612</v>
      </c>
      <c r="B621" s="67"/>
      <c r="C621" s="67" t="s">
        <v>1375</v>
      </c>
      <c r="D621" s="67"/>
      <c r="E621" s="67" t="s">
        <v>1376</v>
      </c>
      <c r="F621" s="67" t="s">
        <v>1377</v>
      </c>
    </row>
    <row r="622" spans="1:6" x14ac:dyDescent="0.25">
      <c r="A622" s="40">
        <v>43588</v>
      </c>
      <c r="B622" s="56"/>
      <c r="C622" s="56" t="s">
        <v>1378</v>
      </c>
      <c r="D622" s="56"/>
      <c r="E622" s="56" t="s">
        <v>1379</v>
      </c>
      <c r="F622" s="56" t="s">
        <v>1380</v>
      </c>
    </row>
    <row r="623" spans="1:6" x14ac:dyDescent="0.25">
      <c r="A623" s="40">
        <v>44090</v>
      </c>
      <c r="C623" t="s">
        <v>1381</v>
      </c>
      <c r="E623" t="s">
        <v>1382</v>
      </c>
      <c r="F623" t="s">
        <v>1383</v>
      </c>
    </row>
    <row r="624" spans="1:6" x14ac:dyDescent="0.25">
      <c r="B624" s="68"/>
      <c r="C624" s="68" t="s">
        <v>1384</v>
      </c>
      <c r="D624" s="68" t="s">
        <v>1385</v>
      </c>
      <c r="E624" s="68" t="s">
        <v>1386</v>
      </c>
      <c r="F624" s="68" t="s">
        <v>1387</v>
      </c>
    </row>
    <row r="625" spans="1:6" x14ac:dyDescent="0.25">
      <c r="B625" s="67"/>
      <c r="C625" s="67" t="s">
        <v>1269</v>
      </c>
      <c r="D625" s="67" t="s">
        <v>1388</v>
      </c>
      <c r="E625" s="67" t="s">
        <v>1269</v>
      </c>
      <c r="F625" s="67" t="s">
        <v>1269</v>
      </c>
    </row>
    <row r="626" spans="1:6" x14ac:dyDescent="0.25">
      <c r="A626" s="41">
        <v>44199</v>
      </c>
      <c r="B626" s="28"/>
      <c r="C626" s="28" t="s">
        <v>4562</v>
      </c>
      <c r="D626" s="28"/>
      <c r="E626" s="28" t="s">
        <v>4743</v>
      </c>
      <c r="F626" s="28" t="s">
        <v>4744</v>
      </c>
    </row>
    <row r="627" spans="1:6" x14ac:dyDescent="0.25">
      <c r="A627" s="40">
        <v>44120</v>
      </c>
      <c r="B627" s="67"/>
      <c r="C627" s="67" t="s">
        <v>1389</v>
      </c>
      <c r="D627" s="67"/>
      <c r="E627" s="67" t="s">
        <v>1390</v>
      </c>
      <c r="F627" s="67" t="s">
        <v>1391</v>
      </c>
    </row>
    <row r="628" spans="1:6" x14ac:dyDescent="0.25">
      <c r="A628" s="40">
        <v>43637</v>
      </c>
      <c r="B628" s="34"/>
      <c r="C628" s="34" t="s">
        <v>1392</v>
      </c>
      <c r="D628" s="34"/>
      <c r="E628" s="34" t="s">
        <v>1393</v>
      </c>
      <c r="F628" s="34" t="s">
        <v>1394</v>
      </c>
    </row>
    <row r="629" spans="1:6" x14ac:dyDescent="0.25">
      <c r="A629" s="40">
        <v>43644</v>
      </c>
      <c r="B629" s="68"/>
      <c r="C629" s="68" t="s">
        <v>1395</v>
      </c>
      <c r="D629" s="68"/>
      <c r="E629" s="68" t="s">
        <v>1395</v>
      </c>
      <c r="F629" s="68" t="s">
        <v>1396</v>
      </c>
    </row>
    <row r="630" spans="1:6" x14ac:dyDescent="0.25">
      <c r="A630" s="41">
        <v>44200</v>
      </c>
      <c r="B630" s="28"/>
      <c r="C630" s="28" t="s">
        <v>5007</v>
      </c>
      <c r="D630" s="28"/>
      <c r="E630" s="28" t="s">
        <v>5177</v>
      </c>
      <c r="F630" s="28" t="s">
        <v>5343</v>
      </c>
    </row>
    <row r="631" spans="1:6" x14ac:dyDescent="0.25">
      <c r="A631" s="40">
        <v>44123</v>
      </c>
      <c r="B631" s="38"/>
      <c r="C631" s="38" t="s">
        <v>1397</v>
      </c>
      <c r="D631" s="38"/>
      <c r="E631" s="38" t="s">
        <v>1397</v>
      </c>
      <c r="F631" s="38" t="s">
        <v>1398</v>
      </c>
    </row>
    <row r="632" spans="1:6" x14ac:dyDescent="0.25">
      <c r="A632" s="41">
        <v>44199</v>
      </c>
      <c r="B632" s="28"/>
      <c r="C632" s="28" t="s">
        <v>4563</v>
      </c>
      <c r="D632" s="28"/>
      <c r="E632" s="28" t="s">
        <v>4745</v>
      </c>
      <c r="F632" s="28" t="s">
        <v>4746</v>
      </c>
    </row>
    <row r="633" spans="1:6" x14ac:dyDescent="0.25">
      <c r="A633" s="40">
        <v>44075</v>
      </c>
      <c r="C633" t="s">
        <v>1399</v>
      </c>
      <c r="E633" t="s">
        <v>1399</v>
      </c>
      <c r="F633" t="s">
        <v>1400</v>
      </c>
    </row>
    <row r="634" spans="1:6" x14ac:dyDescent="0.25">
      <c r="A634" s="40">
        <v>44040</v>
      </c>
      <c r="C634" t="s">
        <v>1401</v>
      </c>
      <c r="E634" t="s">
        <v>1402</v>
      </c>
      <c r="F634" t="s">
        <v>1403</v>
      </c>
    </row>
    <row r="635" spans="1:6" x14ac:dyDescent="0.25">
      <c r="A635" s="41">
        <v>44199</v>
      </c>
      <c r="B635" s="28"/>
      <c r="C635" s="28" t="s">
        <v>4564</v>
      </c>
      <c r="D635" s="28"/>
      <c r="E635" s="28" t="s">
        <v>4747</v>
      </c>
      <c r="F635" s="28" t="s">
        <v>4748</v>
      </c>
    </row>
    <row r="636" spans="1:6" x14ac:dyDescent="0.25">
      <c r="A636" s="40">
        <v>43636</v>
      </c>
      <c r="B636" s="34"/>
      <c r="C636" s="34" t="s">
        <v>1404</v>
      </c>
      <c r="D636" s="34"/>
      <c r="E636" s="34" t="s">
        <v>1405</v>
      </c>
      <c r="F636" s="34" t="s">
        <v>1406</v>
      </c>
    </row>
    <row r="637" spans="1:6" x14ac:dyDescent="0.25">
      <c r="A637" s="40">
        <v>43647</v>
      </c>
      <c r="B637" s="68"/>
      <c r="C637" s="68" t="s">
        <v>1407</v>
      </c>
      <c r="D637" s="68"/>
      <c r="E637" s="68" t="s">
        <v>1408</v>
      </c>
      <c r="F637" s="68" t="s">
        <v>1409</v>
      </c>
    </row>
    <row r="638" spans="1:6" x14ac:dyDescent="0.25">
      <c r="A638" s="40">
        <v>43864</v>
      </c>
      <c r="B638" s="67"/>
      <c r="C638" s="67" t="s">
        <v>1410</v>
      </c>
      <c r="D638" s="67"/>
      <c r="E638" s="67" t="s">
        <v>1411</v>
      </c>
      <c r="F638" s="67" t="s">
        <v>1412</v>
      </c>
    </row>
    <row r="639" spans="1:6" x14ac:dyDescent="0.25">
      <c r="A639" s="40">
        <v>44123</v>
      </c>
      <c r="B639" s="48"/>
      <c r="C639" s="48" t="s">
        <v>1413</v>
      </c>
      <c r="D639" s="48"/>
      <c r="E639" s="48" t="s">
        <v>1414</v>
      </c>
      <c r="F639" s="48" t="s">
        <v>1415</v>
      </c>
    </row>
    <row r="640" spans="1:6" x14ac:dyDescent="0.25">
      <c r="A640" s="40">
        <v>43655</v>
      </c>
      <c r="B640" s="49"/>
      <c r="C640" s="49" t="s">
        <v>1416</v>
      </c>
      <c r="D640" s="49"/>
      <c r="E640" s="49" t="s">
        <v>1417</v>
      </c>
      <c r="F640" s="49" t="s">
        <v>1418</v>
      </c>
    </row>
    <row r="641" spans="1:6" x14ac:dyDescent="0.25">
      <c r="A641" s="40">
        <v>44075</v>
      </c>
      <c r="C641" t="s">
        <v>1419</v>
      </c>
      <c r="E641" t="s">
        <v>1420</v>
      </c>
      <c r="F641" t="s">
        <v>1421</v>
      </c>
    </row>
    <row r="642" spans="1:6" x14ac:dyDescent="0.25">
      <c r="A642" s="40">
        <v>44075</v>
      </c>
      <c r="B642" s="34"/>
      <c r="C642" s="34" t="s">
        <v>1422</v>
      </c>
      <c r="D642" s="34"/>
      <c r="E642" s="34" t="s">
        <v>1423</v>
      </c>
      <c r="F642" s="34" t="s">
        <v>1424</v>
      </c>
    </row>
    <row r="643" spans="1:6" x14ac:dyDescent="0.25">
      <c r="A643" s="41">
        <v>44200</v>
      </c>
      <c r="B643" s="28"/>
      <c r="C643" s="28" t="s">
        <v>5008</v>
      </c>
      <c r="D643" s="28"/>
      <c r="E643" s="28" t="s">
        <v>5178</v>
      </c>
      <c r="F643" s="28" t="s">
        <v>1418</v>
      </c>
    </row>
    <row r="644" spans="1:6" x14ac:dyDescent="0.25">
      <c r="A644" s="40">
        <v>43868</v>
      </c>
      <c r="C644" t="s">
        <v>1425</v>
      </c>
      <c r="E644" t="s">
        <v>1426</v>
      </c>
      <c r="F644" t="s">
        <v>1427</v>
      </c>
    </row>
    <row r="645" spans="1:6" x14ac:dyDescent="0.25">
      <c r="A645" s="40">
        <v>43647</v>
      </c>
      <c r="B645" s="68"/>
      <c r="C645" s="68" t="s">
        <v>1428</v>
      </c>
      <c r="D645" s="68"/>
      <c r="E645" s="68" t="s">
        <v>1429</v>
      </c>
      <c r="F645" s="68" t="s">
        <v>1430</v>
      </c>
    </row>
    <row r="646" spans="1:6" x14ac:dyDescent="0.25">
      <c r="A646" s="40">
        <v>43719</v>
      </c>
      <c r="B646" s="67"/>
      <c r="C646" s="67" t="s">
        <v>1431</v>
      </c>
      <c r="D646" s="67"/>
      <c r="E646" s="67" t="s">
        <v>1432</v>
      </c>
      <c r="F646" s="67" t="s">
        <v>1433</v>
      </c>
    </row>
    <row r="647" spans="1:6" x14ac:dyDescent="0.25">
      <c r="A647" s="40">
        <v>44159</v>
      </c>
      <c r="B647" s="68"/>
      <c r="C647" s="68" t="s">
        <v>1434</v>
      </c>
      <c r="D647" s="68"/>
      <c r="E647" s="68" t="s">
        <v>1435</v>
      </c>
      <c r="F647" s="68" t="s">
        <v>1436</v>
      </c>
    </row>
    <row r="648" spans="1:6" x14ac:dyDescent="0.25">
      <c r="A648" s="40">
        <v>44040</v>
      </c>
      <c r="B648" s="67"/>
      <c r="C648" s="67" t="s">
        <v>1437</v>
      </c>
      <c r="D648" s="67"/>
      <c r="E648" s="67" t="s">
        <v>1438</v>
      </c>
      <c r="F648" s="67" t="s">
        <v>1439</v>
      </c>
    </row>
    <row r="649" spans="1:6" x14ac:dyDescent="0.25">
      <c r="C649" t="s">
        <v>1440</v>
      </c>
      <c r="E649" t="s">
        <v>1441</v>
      </c>
      <c r="F649" t="s">
        <v>1442</v>
      </c>
    </row>
    <row r="650" spans="1:6" x14ac:dyDescent="0.25">
      <c r="A650" s="40">
        <v>43467</v>
      </c>
      <c r="C650" t="s">
        <v>1443</v>
      </c>
      <c r="E650" t="s">
        <v>1444</v>
      </c>
      <c r="F650" t="s">
        <v>1445</v>
      </c>
    </row>
    <row r="651" spans="1:6" x14ac:dyDescent="0.25">
      <c r="A651" s="41">
        <v>44301</v>
      </c>
      <c r="B651" s="28">
        <v>1</v>
      </c>
      <c r="C651" s="28" t="s">
        <v>5595</v>
      </c>
      <c r="D651" s="28"/>
      <c r="E651" s="28" t="s">
        <v>5596</v>
      </c>
      <c r="F651" s="28" t="s">
        <v>5597</v>
      </c>
    </row>
    <row r="652" spans="1:6" x14ac:dyDescent="0.25">
      <c r="A652" s="40">
        <v>43893</v>
      </c>
      <c r="C652" t="s">
        <v>1446</v>
      </c>
      <c r="D652" t="s">
        <v>1447</v>
      </c>
      <c r="E652" t="s">
        <v>1448</v>
      </c>
      <c r="F652" t="s">
        <v>1448</v>
      </c>
    </row>
    <row r="653" spans="1:6" x14ac:dyDescent="0.25">
      <c r="A653" s="41">
        <v>44199</v>
      </c>
      <c r="B653" s="28"/>
      <c r="C653" s="28" t="s">
        <v>4565</v>
      </c>
      <c r="D653" s="28"/>
      <c r="E653" s="28" t="s">
        <v>4749</v>
      </c>
      <c r="F653" s="28" t="s">
        <v>4750</v>
      </c>
    </row>
    <row r="654" spans="1:6" x14ac:dyDescent="0.25">
      <c r="A654" s="40">
        <v>44081</v>
      </c>
      <c r="B654" s="49"/>
      <c r="C654" s="49" t="s">
        <v>1449</v>
      </c>
      <c r="D654" s="49" t="s">
        <v>1450</v>
      </c>
      <c r="E654" s="49" t="s">
        <v>1449</v>
      </c>
      <c r="F654" s="49" t="s">
        <v>1449</v>
      </c>
    </row>
    <row r="655" spans="1:6" x14ac:dyDescent="0.25">
      <c r="A655" s="40">
        <v>43766</v>
      </c>
      <c r="B655" s="49"/>
      <c r="C655" s="49" t="s">
        <v>1451</v>
      </c>
      <c r="D655" s="49"/>
      <c r="E655" s="49" t="s">
        <v>1452</v>
      </c>
      <c r="F655" s="49" t="s">
        <v>1453</v>
      </c>
    </row>
    <row r="656" spans="1:6" x14ac:dyDescent="0.25">
      <c r="A656" s="40">
        <v>43644</v>
      </c>
      <c r="C656" t="s">
        <v>1454</v>
      </c>
      <c r="E656" t="s">
        <v>1455</v>
      </c>
      <c r="F656" t="s">
        <v>1456</v>
      </c>
    </row>
    <row r="657" spans="1:6" x14ac:dyDescent="0.25">
      <c r="A657" s="40">
        <v>44083</v>
      </c>
      <c r="C657" t="s">
        <v>1457</v>
      </c>
      <c r="E657" t="s">
        <v>1458</v>
      </c>
      <c r="F657" t="s">
        <v>1459</v>
      </c>
    </row>
    <row r="658" spans="1:6" x14ac:dyDescent="0.25">
      <c r="A658" s="40">
        <v>43356</v>
      </c>
      <c r="C658" t="s">
        <v>1460</v>
      </c>
      <c r="D658" t="e">
        <f>PROPER([3]!ObjGes[[#This Row],[Nom EN]])</f>
        <v>#REF!</v>
      </c>
      <c r="E658" t="s">
        <v>1461</v>
      </c>
      <c r="F658" t="s">
        <v>1462</v>
      </c>
    </row>
    <row r="659" spans="1:6" x14ac:dyDescent="0.25">
      <c r="A659" s="40">
        <v>44083</v>
      </c>
      <c r="B659" s="56"/>
      <c r="C659" s="56" t="s">
        <v>1463</v>
      </c>
      <c r="D659" s="56"/>
      <c r="E659" s="56" t="s">
        <v>1464</v>
      </c>
      <c r="F659" s="56" t="s">
        <v>1465</v>
      </c>
    </row>
    <row r="660" spans="1:6" x14ac:dyDescent="0.25">
      <c r="A660" s="40">
        <v>43518</v>
      </c>
      <c r="C660" t="s">
        <v>1466</v>
      </c>
      <c r="E660" t="s">
        <v>1467</v>
      </c>
      <c r="F660" t="s">
        <v>1468</v>
      </c>
    </row>
    <row r="661" spans="1:6" x14ac:dyDescent="0.25">
      <c r="A661" s="40">
        <v>44083</v>
      </c>
      <c r="B661" s="68"/>
      <c r="C661" s="68" t="s">
        <v>1469</v>
      </c>
      <c r="D661" s="68"/>
      <c r="E661" s="68" t="s">
        <v>1470</v>
      </c>
      <c r="F661" s="68" t="s">
        <v>1471</v>
      </c>
    </row>
    <row r="662" spans="1:6" x14ac:dyDescent="0.25">
      <c r="A662" s="40">
        <v>44083</v>
      </c>
      <c r="B662" s="67"/>
      <c r="C662" s="67" t="s">
        <v>1472</v>
      </c>
      <c r="D662" s="67"/>
      <c r="E662" s="67" t="s">
        <v>1473</v>
      </c>
      <c r="F662" s="67" t="s">
        <v>1474</v>
      </c>
    </row>
    <row r="663" spans="1:6" x14ac:dyDescent="0.25">
      <c r="A663" s="40">
        <v>43356</v>
      </c>
      <c r="C663" t="s">
        <v>1475</v>
      </c>
      <c r="D663" t="e">
        <f>PROPER([3]!ObjGes[[#This Row],[Nom EN]])</f>
        <v>#REF!</v>
      </c>
      <c r="E663" t="s">
        <v>1476</v>
      </c>
      <c r="F663" t="s">
        <v>1477</v>
      </c>
    </row>
    <row r="664" spans="1:6" x14ac:dyDescent="0.25">
      <c r="A664" s="40">
        <v>43613</v>
      </c>
      <c r="C664" t="s">
        <v>1478</v>
      </c>
      <c r="E664" t="s">
        <v>1479</v>
      </c>
      <c r="F664" t="s">
        <v>1480</v>
      </c>
    </row>
    <row r="665" spans="1:6" x14ac:dyDescent="0.25">
      <c r="A665" s="40">
        <v>44069</v>
      </c>
      <c r="C665" t="s">
        <v>1481</v>
      </c>
      <c r="E665" t="s">
        <v>1482</v>
      </c>
      <c r="F665" t="s">
        <v>1483</v>
      </c>
    </row>
    <row r="666" spans="1:6" s="56" customFormat="1" x14ac:dyDescent="0.25">
      <c r="A666" s="40">
        <v>43894</v>
      </c>
      <c r="C666" s="56" t="s">
        <v>1484</v>
      </c>
      <c r="E666" s="56" t="s">
        <v>1485</v>
      </c>
      <c r="F666" s="56" t="s">
        <v>1486</v>
      </c>
    </row>
    <row r="667" spans="1:6" s="56" customFormat="1" x14ac:dyDescent="0.25">
      <c r="A667" s="41">
        <v>44301</v>
      </c>
      <c r="B667" s="28">
        <v>3</v>
      </c>
      <c r="C667" s="28" t="s">
        <v>4566</v>
      </c>
      <c r="D667" s="28"/>
      <c r="E667" s="28" t="s">
        <v>4566</v>
      </c>
      <c r="F667" s="28" t="s">
        <v>4751</v>
      </c>
    </row>
    <row r="668" spans="1:6" x14ac:dyDescent="0.25">
      <c r="A668" s="40">
        <v>44082</v>
      </c>
      <c r="B668" s="56"/>
      <c r="C668" s="56" t="s">
        <v>1487</v>
      </c>
      <c r="D668" s="56"/>
      <c r="E668" s="56" t="s">
        <v>1488</v>
      </c>
      <c r="F668" s="56" t="s">
        <v>1489</v>
      </c>
    </row>
    <row r="669" spans="1:6" x14ac:dyDescent="0.25">
      <c r="A669" s="40">
        <v>43608</v>
      </c>
      <c r="B669" s="56"/>
      <c r="C669" s="56" t="s">
        <v>1490</v>
      </c>
      <c r="D669" s="56"/>
      <c r="E669" s="56" t="s">
        <v>1491</v>
      </c>
      <c r="F669" s="56" t="s">
        <v>1492</v>
      </c>
    </row>
    <row r="670" spans="1:6" x14ac:dyDescent="0.25">
      <c r="A670" s="40">
        <v>43401</v>
      </c>
      <c r="B670" s="68"/>
      <c r="C670" s="68" t="s">
        <v>1493</v>
      </c>
      <c r="D670" s="68"/>
      <c r="E670" s="68" t="s">
        <v>1494</v>
      </c>
      <c r="F670" s="68" t="s">
        <v>1495</v>
      </c>
    </row>
    <row r="671" spans="1:6" x14ac:dyDescent="0.25">
      <c r="A671" s="40">
        <v>43899</v>
      </c>
      <c r="B671" s="67"/>
      <c r="C671" s="67" t="s">
        <v>1496</v>
      </c>
      <c r="D671" s="67" t="s">
        <v>1497</v>
      </c>
      <c r="E671" s="67" t="s">
        <v>1498</v>
      </c>
      <c r="F671" s="67" t="s">
        <v>1499</v>
      </c>
    </row>
    <row r="672" spans="1:6" x14ac:dyDescent="0.25">
      <c r="A672" s="40">
        <v>43514</v>
      </c>
      <c r="C672" t="s">
        <v>1500</v>
      </c>
      <c r="E672" t="s">
        <v>1501</v>
      </c>
      <c r="F672" t="s">
        <v>1502</v>
      </c>
    </row>
    <row r="673" spans="1:6" x14ac:dyDescent="0.25">
      <c r="A673" s="40">
        <v>43356</v>
      </c>
      <c r="C673" t="s">
        <v>1503</v>
      </c>
      <c r="E673" t="s">
        <v>1504</v>
      </c>
      <c r="F673" t="s">
        <v>1505</v>
      </c>
    </row>
    <row r="674" spans="1:6" x14ac:dyDescent="0.25">
      <c r="A674" s="40">
        <v>44763</v>
      </c>
      <c r="B674" s="56"/>
      <c r="C674" s="56" t="s">
        <v>5800</v>
      </c>
      <c r="D674" s="56"/>
      <c r="E674" s="56" t="s">
        <v>5801</v>
      </c>
      <c r="F674" s="56" t="s">
        <v>5802</v>
      </c>
    </row>
    <row r="675" spans="1:6" x14ac:dyDescent="0.25">
      <c r="A675" s="40">
        <v>44111</v>
      </c>
      <c r="B675" s="56"/>
      <c r="C675" s="56" t="s">
        <v>1506</v>
      </c>
      <c r="D675" s="56"/>
      <c r="E675" s="56" t="s">
        <v>1507</v>
      </c>
      <c r="F675" s="56" t="s">
        <v>1508</v>
      </c>
    </row>
    <row r="676" spans="1:6" x14ac:dyDescent="0.25">
      <c r="A676" s="41">
        <v>44922</v>
      </c>
      <c r="B676" s="28"/>
      <c r="C676" s="28" t="s">
        <v>5860</v>
      </c>
      <c r="D676" s="28"/>
      <c r="E676" s="28" t="s">
        <v>5861</v>
      </c>
      <c r="F676" s="28" t="s">
        <v>5862</v>
      </c>
    </row>
    <row r="677" spans="1:6" x14ac:dyDescent="0.25">
      <c r="A677" s="41">
        <v>44199</v>
      </c>
      <c r="B677" s="28"/>
      <c r="C677" s="28" t="s">
        <v>4567</v>
      </c>
      <c r="D677" s="28"/>
      <c r="E677" s="28" t="s">
        <v>4752</v>
      </c>
      <c r="F677" s="28" t="s">
        <v>4753</v>
      </c>
    </row>
    <row r="678" spans="1:6" x14ac:dyDescent="0.25">
      <c r="A678" s="40">
        <v>44082</v>
      </c>
      <c r="C678" t="s">
        <v>1509</v>
      </c>
      <c r="E678" t="s">
        <v>1510</v>
      </c>
      <c r="F678" t="s">
        <v>1511</v>
      </c>
    </row>
    <row r="679" spans="1:6" x14ac:dyDescent="0.25">
      <c r="A679" s="40">
        <v>44013</v>
      </c>
      <c r="C679" t="s">
        <v>1512</v>
      </c>
      <c r="E679" t="s">
        <v>1513</v>
      </c>
      <c r="F679" t="s">
        <v>1514</v>
      </c>
    </row>
    <row r="680" spans="1:6" x14ac:dyDescent="0.25">
      <c r="A680" s="40">
        <v>44013</v>
      </c>
      <c r="B680" s="38"/>
      <c r="C680" s="38" t="s">
        <v>1515</v>
      </c>
      <c r="D680" s="38"/>
      <c r="E680" s="38" t="s">
        <v>1516</v>
      </c>
      <c r="F680" s="38" t="s">
        <v>1517</v>
      </c>
    </row>
    <row r="681" spans="1:6" x14ac:dyDescent="0.25">
      <c r="A681" s="40">
        <v>43530</v>
      </c>
      <c r="B681" s="56"/>
      <c r="C681" s="56" t="s">
        <v>1518</v>
      </c>
      <c r="D681" s="56"/>
      <c r="E681" s="56" t="s">
        <v>1519</v>
      </c>
      <c r="F681" s="56" t="s">
        <v>1520</v>
      </c>
    </row>
    <row r="682" spans="1:6" x14ac:dyDescent="0.25">
      <c r="A682" s="40">
        <v>43465</v>
      </c>
      <c r="B682" s="56"/>
      <c r="C682" s="56" t="s">
        <v>1522</v>
      </c>
      <c r="D682" s="56"/>
      <c r="E682" s="56" t="s">
        <v>1523</v>
      </c>
      <c r="F682" s="56" t="s">
        <v>1524</v>
      </c>
    </row>
    <row r="683" spans="1:6" x14ac:dyDescent="0.25">
      <c r="A683" s="41">
        <v>44199</v>
      </c>
      <c r="B683" s="28"/>
      <c r="C683" s="28" t="s">
        <v>4568</v>
      </c>
      <c r="D683" s="28"/>
      <c r="E683" s="28" t="s">
        <v>4754</v>
      </c>
      <c r="F683" s="28" t="s">
        <v>4755</v>
      </c>
    </row>
    <row r="684" spans="1:6" x14ac:dyDescent="0.25">
      <c r="A684" s="40">
        <v>43530</v>
      </c>
      <c r="B684" s="67"/>
      <c r="C684" s="67" t="s">
        <v>1525</v>
      </c>
      <c r="D684" s="67"/>
      <c r="E684" s="67" t="s">
        <v>1526</v>
      </c>
      <c r="F684" s="67" t="s">
        <v>1527</v>
      </c>
    </row>
    <row r="685" spans="1:6" x14ac:dyDescent="0.25">
      <c r="A685" s="40">
        <v>43893</v>
      </c>
      <c r="C685" t="s">
        <v>1528</v>
      </c>
      <c r="E685" t="s">
        <v>1529</v>
      </c>
      <c r="F685" t="s">
        <v>1530</v>
      </c>
    </row>
    <row r="686" spans="1:6" x14ac:dyDescent="0.25">
      <c r="A686" s="40">
        <v>43867</v>
      </c>
      <c r="C686" t="s">
        <v>1531</v>
      </c>
      <c r="E686" t="s">
        <v>1532</v>
      </c>
      <c r="F686" t="s">
        <v>1533</v>
      </c>
    </row>
    <row r="687" spans="1:6" x14ac:dyDescent="0.25">
      <c r="A687" s="40">
        <v>44152</v>
      </c>
      <c r="C687" t="s">
        <v>1534</v>
      </c>
      <c r="E687" t="s">
        <v>1535</v>
      </c>
      <c r="F687" t="s">
        <v>1536</v>
      </c>
    </row>
    <row r="688" spans="1:6" x14ac:dyDescent="0.25">
      <c r="C688" t="s">
        <v>1537</v>
      </c>
      <c r="E688" t="s">
        <v>1538</v>
      </c>
      <c r="F688" t="s">
        <v>1539</v>
      </c>
    </row>
    <row r="689" spans="1:6" x14ac:dyDescent="0.25">
      <c r="A689" s="40">
        <v>43587</v>
      </c>
      <c r="B689" s="56"/>
      <c r="C689" s="56" t="s">
        <v>1540</v>
      </c>
      <c r="D689" s="56"/>
      <c r="E689" s="56" t="s">
        <v>1541</v>
      </c>
      <c r="F689" s="56" t="s">
        <v>1542</v>
      </c>
    </row>
    <row r="690" spans="1:6" x14ac:dyDescent="0.25">
      <c r="A690" s="41">
        <v>44491</v>
      </c>
      <c r="B690" s="28"/>
      <c r="C690" s="28" t="s">
        <v>5712</v>
      </c>
      <c r="D690" s="28"/>
      <c r="E690" s="28" t="s">
        <v>5713</v>
      </c>
      <c r="F690" s="28" t="s">
        <v>5714</v>
      </c>
    </row>
    <row r="691" spans="1:6" x14ac:dyDescent="0.25">
      <c r="A691" s="40">
        <v>43865</v>
      </c>
      <c r="B691" s="68"/>
      <c r="C691" s="68" t="s">
        <v>1543</v>
      </c>
      <c r="D691" s="68"/>
      <c r="E691" s="68" t="s">
        <v>1544</v>
      </c>
      <c r="F691" s="68" t="s">
        <v>1545</v>
      </c>
    </row>
    <row r="692" spans="1:6" x14ac:dyDescent="0.25">
      <c r="A692" s="40">
        <v>44085</v>
      </c>
      <c r="B692" s="67"/>
      <c r="C692" s="67" t="s">
        <v>1546</v>
      </c>
      <c r="D692" s="67"/>
      <c r="E692" s="67" t="s">
        <v>1547</v>
      </c>
      <c r="F692" s="67" t="s">
        <v>1548</v>
      </c>
    </row>
    <row r="693" spans="1:6" x14ac:dyDescent="0.25">
      <c r="A693" s="40">
        <v>44075</v>
      </c>
      <c r="B693" s="56"/>
      <c r="C693" s="56" t="s">
        <v>1549</v>
      </c>
      <c r="D693" s="56"/>
      <c r="E693" s="56" t="s">
        <v>1550</v>
      </c>
      <c r="F693" s="56" t="s">
        <v>1551</v>
      </c>
    </row>
    <row r="694" spans="1:6" x14ac:dyDescent="0.25">
      <c r="A694" s="40">
        <v>43467</v>
      </c>
      <c r="B694" s="68"/>
      <c r="C694" s="68" t="s">
        <v>1552</v>
      </c>
      <c r="D694" s="68"/>
      <c r="E694" s="68" t="s">
        <v>1553</v>
      </c>
      <c r="F694" s="68" t="s">
        <v>1554</v>
      </c>
    </row>
    <row r="695" spans="1:6" x14ac:dyDescent="0.25">
      <c r="A695" s="40">
        <v>43996</v>
      </c>
      <c r="B695" s="67"/>
      <c r="C695" s="67" t="s">
        <v>1555</v>
      </c>
      <c r="D695" s="67"/>
      <c r="E695" s="67" t="s">
        <v>1556</v>
      </c>
      <c r="F695" s="67" t="s">
        <v>1557</v>
      </c>
    </row>
    <row r="696" spans="1:6" x14ac:dyDescent="0.25">
      <c r="A696" s="40">
        <v>43996</v>
      </c>
      <c r="C696" t="s">
        <v>1558</v>
      </c>
      <c r="E696" t="s">
        <v>1559</v>
      </c>
      <c r="F696" t="s">
        <v>1560</v>
      </c>
    </row>
    <row r="697" spans="1:6" x14ac:dyDescent="0.25">
      <c r="A697" s="40">
        <v>43724</v>
      </c>
      <c r="C697" t="s">
        <v>1561</v>
      </c>
      <c r="E697" t="s">
        <v>1562</v>
      </c>
      <c r="F697" t="s">
        <v>1563</v>
      </c>
    </row>
    <row r="698" spans="1:6" x14ac:dyDescent="0.25">
      <c r="A698" s="41">
        <v>44236</v>
      </c>
      <c r="B698" s="28"/>
      <c r="C698" s="28" t="s">
        <v>5467</v>
      </c>
      <c r="D698" s="28"/>
      <c r="E698" s="28" t="s">
        <v>5468</v>
      </c>
      <c r="F698" s="28" t="s">
        <v>5469</v>
      </c>
    </row>
    <row r="699" spans="1:6" x14ac:dyDescent="0.25">
      <c r="A699" s="40">
        <v>43636</v>
      </c>
      <c r="C699" t="s">
        <v>1564</v>
      </c>
      <c r="E699" t="s">
        <v>1565</v>
      </c>
      <c r="F699" t="s">
        <v>1566</v>
      </c>
    </row>
    <row r="700" spans="1:6" x14ac:dyDescent="0.25">
      <c r="A700" s="40">
        <v>43393</v>
      </c>
      <c r="B700" s="56"/>
      <c r="C700" s="56" t="s">
        <v>1567</v>
      </c>
      <c r="D700" s="56" t="s">
        <v>1568</v>
      </c>
      <c r="E700" s="56" t="s">
        <v>1569</v>
      </c>
      <c r="F700" s="56" t="s">
        <v>1570</v>
      </c>
    </row>
    <row r="701" spans="1:6" x14ac:dyDescent="0.25">
      <c r="A701" s="41">
        <v>44491</v>
      </c>
      <c r="B701" s="28"/>
      <c r="C701" s="28" t="s">
        <v>5715</v>
      </c>
      <c r="D701" s="28"/>
      <c r="E701" s="28" t="s">
        <v>5716</v>
      </c>
      <c r="F701" s="28" t="s">
        <v>5717</v>
      </c>
    </row>
    <row r="702" spans="1:6" x14ac:dyDescent="0.25">
      <c r="A702" s="40">
        <v>43384</v>
      </c>
      <c r="B702" s="68"/>
      <c r="C702" s="68" t="s">
        <v>1571</v>
      </c>
      <c r="D702" s="68" t="s">
        <v>1572</v>
      </c>
      <c r="E702" s="68" t="s">
        <v>1573</v>
      </c>
      <c r="F702" s="68" t="s">
        <v>1574</v>
      </c>
    </row>
    <row r="703" spans="1:6" x14ac:dyDescent="0.25">
      <c r="A703" s="40">
        <v>44172</v>
      </c>
      <c r="B703" s="67"/>
      <c r="C703" s="67" t="s">
        <v>1575</v>
      </c>
      <c r="D703" s="67"/>
      <c r="E703" s="67" t="s">
        <v>1576</v>
      </c>
      <c r="F703" s="67" t="s">
        <v>1577</v>
      </c>
    </row>
    <row r="704" spans="1:6" x14ac:dyDescent="0.25">
      <c r="A704" s="40">
        <v>43985</v>
      </c>
      <c r="B704" s="48"/>
      <c r="C704" s="48" t="s">
        <v>1578</v>
      </c>
      <c r="D704" s="48"/>
      <c r="E704" s="48" t="s">
        <v>1579</v>
      </c>
      <c r="F704" s="48" t="s">
        <v>1580</v>
      </c>
    </row>
    <row r="705" spans="1:6" x14ac:dyDescent="0.25">
      <c r="A705" s="40">
        <v>43725</v>
      </c>
      <c r="B705" s="49"/>
      <c r="C705" s="49" t="s">
        <v>1581</v>
      </c>
      <c r="D705" s="49"/>
      <c r="E705" s="49" t="s">
        <v>1582</v>
      </c>
      <c r="F705" s="49" t="s">
        <v>1583</v>
      </c>
    </row>
    <row r="706" spans="1:6" x14ac:dyDescent="0.25">
      <c r="A706" s="40">
        <v>43868</v>
      </c>
      <c r="B706" s="49"/>
      <c r="C706" s="49" t="s">
        <v>1584</v>
      </c>
      <c r="D706" s="49"/>
      <c r="E706" s="49" t="s">
        <v>1585</v>
      </c>
      <c r="F706" s="49" t="s">
        <v>1586</v>
      </c>
    </row>
    <row r="707" spans="1:6" x14ac:dyDescent="0.25">
      <c r="A707" s="40">
        <v>43719</v>
      </c>
      <c r="B707" s="34"/>
      <c r="C707" s="34" t="s">
        <v>1587</v>
      </c>
      <c r="D707" s="34"/>
      <c r="E707" s="34" t="s">
        <v>1588</v>
      </c>
      <c r="F707" s="34" t="s">
        <v>1589</v>
      </c>
    </row>
    <row r="708" spans="1:6" x14ac:dyDescent="0.25">
      <c r="A708" s="40">
        <v>43815</v>
      </c>
      <c r="B708" s="34"/>
      <c r="C708" s="34" t="s">
        <v>1590</v>
      </c>
      <c r="D708" s="34"/>
      <c r="E708" s="34" t="s">
        <v>1591</v>
      </c>
      <c r="F708" s="34" t="s">
        <v>1592</v>
      </c>
    </row>
    <row r="709" spans="1:6" x14ac:dyDescent="0.25">
      <c r="A709" s="41">
        <v>44301</v>
      </c>
      <c r="B709" s="28">
        <v>1</v>
      </c>
      <c r="C709" s="28" t="s">
        <v>5598</v>
      </c>
      <c r="D709" s="28"/>
      <c r="E709" s="28" t="s">
        <v>5599</v>
      </c>
      <c r="F709" s="28" t="s">
        <v>5600</v>
      </c>
    </row>
    <row r="710" spans="1:6" x14ac:dyDescent="0.25">
      <c r="A710" s="40">
        <v>44064</v>
      </c>
      <c r="B710" s="34"/>
      <c r="C710" s="34" t="s">
        <v>1593</v>
      </c>
      <c r="D710" s="34"/>
      <c r="E710" s="34" t="s">
        <v>1594</v>
      </c>
      <c r="F710" s="34" t="s">
        <v>1595</v>
      </c>
    </row>
    <row r="711" spans="1:6" x14ac:dyDescent="0.25">
      <c r="A711" s="41">
        <v>44922</v>
      </c>
      <c r="B711" s="28"/>
      <c r="C711" s="28" t="s">
        <v>5863</v>
      </c>
      <c r="D711" s="28"/>
      <c r="E711" s="28" t="s">
        <v>5864</v>
      </c>
      <c r="F711" s="28" t="s">
        <v>5865</v>
      </c>
    </row>
    <row r="712" spans="1:6" x14ac:dyDescent="0.25">
      <c r="A712" s="40">
        <v>44005</v>
      </c>
      <c r="B712" s="56"/>
      <c r="C712" s="56" t="s">
        <v>1596</v>
      </c>
      <c r="D712" s="56"/>
      <c r="E712" s="56" t="s">
        <v>1597</v>
      </c>
      <c r="F712" s="56" t="s">
        <v>1598</v>
      </c>
    </row>
    <row r="713" spans="1:6" x14ac:dyDescent="0.25">
      <c r="A713" s="40">
        <v>43530</v>
      </c>
      <c r="B713" s="68"/>
      <c r="C713" s="68" t="s">
        <v>1599</v>
      </c>
      <c r="D713" s="68"/>
      <c r="E713" s="68" t="s">
        <v>1600</v>
      </c>
      <c r="F713" s="68" t="s">
        <v>1601</v>
      </c>
    </row>
    <row r="714" spans="1:6" x14ac:dyDescent="0.25">
      <c r="A714" s="40">
        <v>43815</v>
      </c>
      <c r="B714" s="68"/>
      <c r="C714" s="68" t="s">
        <v>1602</v>
      </c>
      <c r="D714" s="68"/>
      <c r="E714" s="68" t="s">
        <v>1603</v>
      </c>
      <c r="F714" s="68" t="s">
        <v>1604</v>
      </c>
    </row>
    <row r="715" spans="1:6" x14ac:dyDescent="0.25">
      <c r="A715" s="40">
        <v>44082</v>
      </c>
      <c r="B715" s="67"/>
      <c r="C715" s="67" t="s">
        <v>1605</v>
      </c>
      <c r="D715" s="67"/>
      <c r="E715" s="67" t="s">
        <v>1606</v>
      </c>
      <c r="F715" s="67" t="s">
        <v>1607</v>
      </c>
    </row>
    <row r="716" spans="1:6" x14ac:dyDescent="0.25">
      <c r="A716" s="40">
        <v>43815</v>
      </c>
      <c r="B716" s="44"/>
      <c r="C716" s="44" t="s">
        <v>1608</v>
      </c>
      <c r="D716" s="44"/>
      <c r="E716" s="44" t="s">
        <v>1609</v>
      </c>
      <c r="F716" s="44" t="s">
        <v>1610</v>
      </c>
    </row>
    <row r="717" spans="1:6" x14ac:dyDescent="0.25">
      <c r="A717" s="40">
        <v>43462</v>
      </c>
      <c r="B717" s="37"/>
      <c r="C717" s="37" t="s">
        <v>1611</v>
      </c>
      <c r="D717" s="37"/>
      <c r="E717" s="37" t="s">
        <v>1612</v>
      </c>
      <c r="F717" s="37" t="s">
        <v>1613</v>
      </c>
    </row>
    <row r="718" spans="1:6" x14ac:dyDescent="0.25">
      <c r="A718" s="40">
        <v>43965</v>
      </c>
      <c r="C718" t="s">
        <v>1614</v>
      </c>
      <c r="E718" t="s">
        <v>1615</v>
      </c>
      <c r="F718" t="s">
        <v>1616</v>
      </c>
    </row>
    <row r="719" spans="1:6" x14ac:dyDescent="0.25">
      <c r="A719" s="40">
        <v>43647</v>
      </c>
      <c r="C719" t="s">
        <v>1617</v>
      </c>
      <c r="D719" t="s">
        <v>1618</v>
      </c>
      <c r="E719" t="s">
        <v>1617</v>
      </c>
      <c r="F719" t="s">
        <v>1619</v>
      </c>
    </row>
    <row r="720" spans="1:6" x14ac:dyDescent="0.25">
      <c r="A720" s="40">
        <v>44230</v>
      </c>
      <c r="B720" s="38"/>
      <c r="C720" s="38" t="s">
        <v>1618</v>
      </c>
      <c r="D720" s="38" t="s">
        <v>5440</v>
      </c>
      <c r="E720" s="38" t="s">
        <v>1618</v>
      </c>
      <c r="F720" s="38" t="s">
        <v>1619</v>
      </c>
    </row>
    <row r="721" spans="1:6" x14ac:dyDescent="0.25">
      <c r="A721" s="41">
        <v>44236</v>
      </c>
      <c r="B721" s="28"/>
      <c r="C721" s="28" t="s">
        <v>5470</v>
      </c>
      <c r="D721" s="28"/>
      <c r="E721" s="28" t="s">
        <v>5471</v>
      </c>
      <c r="F721" s="28" t="s">
        <v>5472</v>
      </c>
    </row>
    <row r="722" spans="1:6" x14ac:dyDescent="0.25">
      <c r="A722" s="41">
        <v>44199</v>
      </c>
      <c r="B722" s="28"/>
      <c r="C722" s="28" t="s">
        <v>4569</v>
      </c>
      <c r="D722" s="28"/>
      <c r="E722" s="28" t="s">
        <v>4756</v>
      </c>
      <c r="F722" s="28" t="s">
        <v>4757</v>
      </c>
    </row>
    <row r="723" spans="1:6" x14ac:dyDescent="0.25">
      <c r="A723" s="40">
        <v>43384</v>
      </c>
      <c r="C723" t="s">
        <v>1620</v>
      </c>
      <c r="E723" t="s">
        <v>1621</v>
      </c>
      <c r="F723" t="s">
        <v>1622</v>
      </c>
    </row>
    <row r="724" spans="1:6" x14ac:dyDescent="0.25">
      <c r="A724" s="40">
        <v>43893</v>
      </c>
      <c r="C724" t="s">
        <v>1623</v>
      </c>
      <c r="E724" t="s">
        <v>1624</v>
      </c>
      <c r="F724" t="s">
        <v>1625</v>
      </c>
    </row>
    <row r="725" spans="1:6" x14ac:dyDescent="0.25">
      <c r="A725" s="40">
        <v>44054</v>
      </c>
      <c r="C725" t="s">
        <v>1626</v>
      </c>
      <c r="E725" t="s">
        <v>1627</v>
      </c>
      <c r="F725" t="s">
        <v>1628</v>
      </c>
    </row>
    <row r="726" spans="1:6" x14ac:dyDescent="0.25">
      <c r="A726" s="40">
        <v>43472</v>
      </c>
      <c r="C726" t="s">
        <v>1629</v>
      </c>
      <c r="E726" t="s">
        <v>1630</v>
      </c>
      <c r="F726" t="s">
        <v>1631</v>
      </c>
    </row>
    <row r="727" spans="1:6" x14ac:dyDescent="0.25">
      <c r="A727" s="40">
        <v>43391</v>
      </c>
      <c r="C727" t="s">
        <v>1632</v>
      </c>
      <c r="E727" t="s">
        <v>1633</v>
      </c>
      <c r="F727" t="s">
        <v>1634</v>
      </c>
    </row>
    <row r="728" spans="1:6" x14ac:dyDescent="0.25">
      <c r="A728" s="40">
        <v>43725</v>
      </c>
      <c r="B728" s="56"/>
      <c r="C728" s="56" t="s">
        <v>1635</v>
      </c>
      <c r="D728" s="56"/>
      <c r="E728" s="56" t="s">
        <v>1636</v>
      </c>
      <c r="F728" s="56" t="s">
        <v>1637</v>
      </c>
    </row>
    <row r="729" spans="1:6" x14ac:dyDescent="0.25">
      <c r="A729" s="40">
        <v>44172</v>
      </c>
      <c r="B729" s="56"/>
      <c r="C729" s="56" t="s">
        <v>1638</v>
      </c>
      <c r="D729" s="56"/>
      <c r="E729" s="56" t="s">
        <v>1639</v>
      </c>
      <c r="F729" s="56" t="s">
        <v>1640</v>
      </c>
    </row>
    <row r="730" spans="1:6" x14ac:dyDescent="0.25">
      <c r="A730" s="40">
        <v>43530</v>
      </c>
      <c r="B730" s="68"/>
      <c r="C730" s="68" t="s">
        <v>1641</v>
      </c>
      <c r="D730" s="68"/>
      <c r="E730" s="68" t="s">
        <v>1642</v>
      </c>
      <c r="F730" s="68" t="s">
        <v>1643</v>
      </c>
    </row>
    <row r="731" spans="1:6" x14ac:dyDescent="0.25">
      <c r="A731" s="40">
        <v>43469</v>
      </c>
      <c r="B731" s="67"/>
      <c r="C731" s="67" t="s">
        <v>1644</v>
      </c>
      <c r="D731" s="67"/>
      <c r="E731" s="67" t="s">
        <v>1645</v>
      </c>
      <c r="F731" s="67" t="s">
        <v>1646</v>
      </c>
    </row>
    <row r="732" spans="1:6" x14ac:dyDescent="0.25">
      <c r="A732" s="40">
        <v>43719</v>
      </c>
      <c r="B732" s="37"/>
      <c r="C732" s="37" t="s">
        <v>1647</v>
      </c>
      <c r="D732" s="37"/>
      <c r="E732" s="37" t="s">
        <v>1648</v>
      </c>
      <c r="F732" s="37" t="s">
        <v>1646</v>
      </c>
    </row>
    <row r="733" spans="1:6" x14ac:dyDescent="0.25">
      <c r="A733" s="40">
        <v>44120</v>
      </c>
      <c r="C733" t="s">
        <v>1649</v>
      </c>
      <c r="E733" t="s">
        <v>1650</v>
      </c>
      <c r="F733" t="s">
        <v>1651</v>
      </c>
    </row>
    <row r="734" spans="1:6" x14ac:dyDescent="0.25">
      <c r="A734" s="40">
        <v>43720</v>
      </c>
      <c r="C734" t="s">
        <v>1652</v>
      </c>
      <c r="E734" t="s">
        <v>1653</v>
      </c>
      <c r="F734" t="s">
        <v>1654</v>
      </c>
    </row>
    <row r="735" spans="1:6" x14ac:dyDescent="0.25">
      <c r="A735" s="40">
        <v>44040</v>
      </c>
      <c r="B735" s="34"/>
      <c r="C735" s="34" t="s">
        <v>1655</v>
      </c>
      <c r="D735" s="34"/>
      <c r="E735" s="34" t="s">
        <v>1656</v>
      </c>
      <c r="F735" s="34" t="s">
        <v>1657</v>
      </c>
    </row>
    <row r="736" spans="1:6" x14ac:dyDescent="0.25">
      <c r="A736" s="40">
        <v>43481</v>
      </c>
      <c r="B736" s="38"/>
      <c r="C736" s="38" t="s">
        <v>1658</v>
      </c>
      <c r="D736" s="38"/>
      <c r="E736" s="38" t="s">
        <v>1659</v>
      </c>
      <c r="F736" s="38" t="s">
        <v>1660</v>
      </c>
    </row>
    <row r="737" spans="1:6" x14ac:dyDescent="0.25">
      <c r="A737" s="40">
        <v>43480</v>
      </c>
      <c r="B737" s="44"/>
      <c r="C737" s="44" t="s">
        <v>1661</v>
      </c>
      <c r="D737" s="44"/>
      <c r="E737" s="44" t="s">
        <v>1662</v>
      </c>
      <c r="F737" s="44" t="s">
        <v>1663</v>
      </c>
    </row>
    <row r="738" spans="1:6" x14ac:dyDescent="0.25">
      <c r="A738" s="41">
        <v>44491</v>
      </c>
      <c r="B738" s="28"/>
      <c r="C738" s="28" t="s">
        <v>5718</v>
      </c>
      <c r="D738" s="28"/>
      <c r="E738" s="28" t="s">
        <v>5719</v>
      </c>
      <c r="F738" s="28" t="s">
        <v>5720</v>
      </c>
    </row>
    <row r="739" spans="1:6" x14ac:dyDescent="0.25">
      <c r="A739" s="40">
        <v>43563</v>
      </c>
      <c r="B739" s="56"/>
      <c r="C739" s="56" t="s">
        <v>1664</v>
      </c>
      <c r="D739" s="56"/>
      <c r="E739" s="56" t="s">
        <v>1665</v>
      </c>
      <c r="F739" s="56" t="s">
        <v>1666</v>
      </c>
    </row>
    <row r="740" spans="1:6" x14ac:dyDescent="0.25">
      <c r="A740" s="40">
        <v>43630</v>
      </c>
      <c r="B740" s="68"/>
      <c r="C740" s="68" t="s">
        <v>1667</v>
      </c>
      <c r="D740" s="68"/>
      <c r="E740" s="68" t="s">
        <v>1668</v>
      </c>
      <c r="F740" s="68" t="s">
        <v>1669</v>
      </c>
    </row>
    <row r="741" spans="1:6" x14ac:dyDescent="0.25">
      <c r="A741" s="40">
        <v>43592</v>
      </c>
      <c r="B741" s="67"/>
      <c r="C741" s="67" t="s">
        <v>1670</v>
      </c>
      <c r="D741" s="67"/>
      <c r="E741" s="67" t="s">
        <v>1671</v>
      </c>
      <c r="F741" s="67" t="s">
        <v>1672</v>
      </c>
    </row>
    <row r="742" spans="1:6" x14ac:dyDescent="0.25">
      <c r="A742" s="40">
        <v>44140</v>
      </c>
      <c r="B742" s="38"/>
      <c r="C742" s="38" t="s">
        <v>1673</v>
      </c>
      <c r="D742" s="38"/>
      <c r="E742" s="38" t="s">
        <v>1674</v>
      </c>
      <c r="F742" s="38" t="s">
        <v>1675</v>
      </c>
    </row>
    <row r="743" spans="1:6" x14ac:dyDescent="0.25">
      <c r="A743" s="40">
        <v>43754</v>
      </c>
      <c r="B743" s="44"/>
      <c r="C743" s="44" t="s">
        <v>1676</v>
      </c>
      <c r="D743" s="44"/>
      <c r="E743" s="44" t="s">
        <v>1677</v>
      </c>
      <c r="F743" s="44" t="s">
        <v>1678</v>
      </c>
    </row>
    <row r="744" spans="1:6" x14ac:dyDescent="0.25">
      <c r="A744" s="40">
        <v>44055</v>
      </c>
      <c r="C744" t="s">
        <v>1679</v>
      </c>
      <c r="E744" t="s">
        <v>1680</v>
      </c>
      <c r="F744" t="s">
        <v>1681</v>
      </c>
    </row>
    <row r="745" spans="1:6" x14ac:dyDescent="0.25">
      <c r="A745" s="40">
        <v>43592</v>
      </c>
      <c r="B745" s="48"/>
      <c r="C745" s="48" t="s">
        <v>1682</v>
      </c>
      <c r="D745" s="48"/>
      <c r="E745" s="48" t="s">
        <v>1683</v>
      </c>
      <c r="F745" s="48" t="s">
        <v>1684</v>
      </c>
    </row>
    <row r="746" spans="1:6" x14ac:dyDescent="0.25">
      <c r="A746" s="40">
        <v>44169</v>
      </c>
      <c r="B746" s="56"/>
      <c r="C746" s="56" t="s">
        <v>1685</v>
      </c>
      <c r="D746" s="56"/>
      <c r="E746" s="56" t="s">
        <v>1686</v>
      </c>
      <c r="F746" s="56" t="s">
        <v>1687</v>
      </c>
    </row>
    <row r="747" spans="1:6" x14ac:dyDescent="0.25">
      <c r="A747" s="40">
        <v>43864</v>
      </c>
      <c r="B747" s="56"/>
      <c r="C747" s="56" t="s">
        <v>1688</v>
      </c>
      <c r="D747" s="56"/>
      <c r="E747" s="56" t="s">
        <v>1689</v>
      </c>
      <c r="F747" s="56" t="s">
        <v>1690</v>
      </c>
    </row>
    <row r="748" spans="1:6" x14ac:dyDescent="0.25">
      <c r="A748" s="41">
        <v>44301</v>
      </c>
      <c r="B748" s="28">
        <v>1</v>
      </c>
      <c r="C748" s="28" t="s">
        <v>5601</v>
      </c>
      <c r="D748" s="28"/>
      <c r="E748" s="28" t="s">
        <v>5602</v>
      </c>
      <c r="F748" s="28" t="s">
        <v>5603</v>
      </c>
    </row>
    <row r="749" spans="1:6" x14ac:dyDescent="0.25">
      <c r="A749" s="40">
        <v>43461</v>
      </c>
      <c r="B749" s="67"/>
      <c r="C749" s="67" t="s">
        <v>1691</v>
      </c>
      <c r="D749" s="67"/>
      <c r="E749" s="67" t="s">
        <v>1692</v>
      </c>
      <c r="F749" s="67" t="s">
        <v>1693</v>
      </c>
    </row>
    <row r="750" spans="1:6" x14ac:dyDescent="0.25">
      <c r="A750" s="40">
        <v>43634</v>
      </c>
      <c r="B750" s="68"/>
      <c r="C750" s="68" t="s">
        <v>1694</v>
      </c>
      <c r="D750" s="68" t="s">
        <v>1695</v>
      </c>
      <c r="E750" s="68" t="s">
        <v>1696</v>
      </c>
      <c r="F750" s="68" t="s">
        <v>1697</v>
      </c>
    </row>
    <row r="751" spans="1:6" x14ac:dyDescent="0.25">
      <c r="A751" s="40">
        <v>44159</v>
      </c>
      <c r="B751" s="67"/>
      <c r="C751" s="67" t="s">
        <v>1698</v>
      </c>
      <c r="D751" s="67"/>
      <c r="E751" s="67" t="s">
        <v>1699</v>
      </c>
      <c r="F751" s="67" t="s">
        <v>1700</v>
      </c>
    </row>
    <row r="752" spans="1:6" x14ac:dyDescent="0.25">
      <c r="A752" s="40">
        <v>44063</v>
      </c>
      <c r="B752" s="37"/>
      <c r="C752" s="37" t="s">
        <v>1701</v>
      </c>
      <c r="D752" s="37"/>
      <c r="E752" s="37" t="s">
        <v>1702</v>
      </c>
      <c r="F752" s="37" t="s">
        <v>1703</v>
      </c>
    </row>
    <row r="753" spans="1:6" x14ac:dyDescent="0.25">
      <c r="A753" s="40">
        <v>43644</v>
      </c>
      <c r="B753" s="56"/>
      <c r="C753" s="56" t="s">
        <v>1704</v>
      </c>
      <c r="D753" s="56"/>
      <c r="E753" s="56" t="s">
        <v>1705</v>
      </c>
      <c r="F753" s="56" t="s">
        <v>1706</v>
      </c>
    </row>
    <row r="754" spans="1:6" x14ac:dyDescent="0.25">
      <c r="A754" s="40">
        <v>44070</v>
      </c>
      <c r="B754" s="56"/>
      <c r="C754" s="56" t="s">
        <v>1707</v>
      </c>
      <c r="D754" s="56"/>
      <c r="E754" s="56" t="s">
        <v>1708</v>
      </c>
      <c r="F754" s="56" t="s">
        <v>1709</v>
      </c>
    </row>
    <row r="755" spans="1:6" x14ac:dyDescent="0.25">
      <c r="A755" s="40">
        <v>44004</v>
      </c>
      <c r="B755" s="68"/>
      <c r="C755" s="68" t="s">
        <v>1710</v>
      </c>
      <c r="D755" s="68" t="s">
        <v>1711</v>
      </c>
      <c r="E755" s="68" t="s">
        <v>1712</v>
      </c>
      <c r="F755" s="68" t="s">
        <v>1713</v>
      </c>
    </row>
    <row r="756" spans="1:6" x14ac:dyDescent="0.25">
      <c r="A756" s="41">
        <v>44199</v>
      </c>
      <c r="B756" s="28"/>
      <c r="C756" s="28" t="s">
        <v>4570</v>
      </c>
      <c r="D756" s="28"/>
      <c r="E756" s="28" t="s">
        <v>4758</v>
      </c>
      <c r="F756" s="28" t="s">
        <v>1750</v>
      </c>
    </row>
    <row r="757" spans="1:6" x14ac:dyDescent="0.25">
      <c r="A757" s="40">
        <v>44081</v>
      </c>
      <c r="B757" s="67"/>
      <c r="C757" s="67" t="s">
        <v>1714</v>
      </c>
      <c r="D757" s="67"/>
      <c r="E757" s="67" t="s">
        <v>1715</v>
      </c>
      <c r="F757" s="67" t="s">
        <v>1716</v>
      </c>
    </row>
    <row r="758" spans="1:6" x14ac:dyDescent="0.25">
      <c r="A758" s="41">
        <v>44200</v>
      </c>
      <c r="B758" s="28"/>
      <c r="C758" s="28" t="s">
        <v>5009</v>
      </c>
      <c r="D758" s="28"/>
      <c r="E758" s="28" t="s">
        <v>5009</v>
      </c>
      <c r="F758" s="28" t="s">
        <v>5344</v>
      </c>
    </row>
    <row r="759" spans="1:6" x14ac:dyDescent="0.25">
      <c r="A759" s="40">
        <v>44055</v>
      </c>
      <c r="C759" t="s">
        <v>1717</v>
      </c>
      <c r="E759" t="s">
        <v>1717</v>
      </c>
      <c r="F759" t="s">
        <v>1718</v>
      </c>
    </row>
    <row r="760" spans="1:6" x14ac:dyDescent="0.25">
      <c r="A760" s="40">
        <v>44082</v>
      </c>
      <c r="C760" t="s">
        <v>1719</v>
      </c>
      <c r="E760" t="s">
        <v>1719</v>
      </c>
      <c r="F760" t="s">
        <v>1719</v>
      </c>
    </row>
    <row r="761" spans="1:6" x14ac:dyDescent="0.25">
      <c r="A761" s="40">
        <v>44013</v>
      </c>
      <c r="B761" s="48"/>
      <c r="C761" s="48" t="s">
        <v>1720</v>
      </c>
      <c r="D761" s="48"/>
      <c r="E761" s="48" t="s">
        <v>1721</v>
      </c>
      <c r="F761" s="48" t="s">
        <v>1722</v>
      </c>
    </row>
    <row r="762" spans="1:6" x14ac:dyDescent="0.25">
      <c r="A762" s="40">
        <v>44013</v>
      </c>
      <c r="B762" s="49"/>
      <c r="C762" s="49" t="s">
        <v>1723</v>
      </c>
      <c r="D762" s="49"/>
      <c r="E762" s="49" t="s">
        <v>1724</v>
      </c>
      <c r="F762" s="49" t="s">
        <v>1725</v>
      </c>
    </row>
    <row r="763" spans="1:6" x14ac:dyDescent="0.25">
      <c r="A763" s="41">
        <v>44199</v>
      </c>
      <c r="B763" s="28"/>
      <c r="C763" s="28" t="s">
        <v>4571</v>
      </c>
      <c r="D763" s="28"/>
      <c r="E763" s="28" t="s">
        <v>4759</v>
      </c>
      <c r="F763" s="28" t="s">
        <v>4760</v>
      </c>
    </row>
    <row r="764" spans="1:6" x14ac:dyDescent="0.25">
      <c r="A764" s="41">
        <v>44199</v>
      </c>
      <c r="B764" s="28"/>
      <c r="C764" s="28" t="s">
        <v>4572</v>
      </c>
      <c r="D764" s="28"/>
      <c r="E764" s="28" t="s">
        <v>4572</v>
      </c>
      <c r="F764" s="28" t="s">
        <v>4761</v>
      </c>
    </row>
    <row r="765" spans="1:6" x14ac:dyDescent="0.25">
      <c r="A765" s="40">
        <v>44082</v>
      </c>
      <c r="C765" t="s">
        <v>1726</v>
      </c>
      <c r="E765" t="s">
        <v>1726</v>
      </c>
      <c r="F765" t="s">
        <v>1726</v>
      </c>
    </row>
    <row r="766" spans="1:6" x14ac:dyDescent="0.25">
      <c r="A766" s="40">
        <v>43612</v>
      </c>
      <c r="C766" t="s">
        <v>1727</v>
      </c>
      <c r="E766" t="s">
        <v>1727</v>
      </c>
      <c r="F766" t="s">
        <v>1728</v>
      </c>
    </row>
    <row r="767" spans="1:6" x14ac:dyDescent="0.25">
      <c r="A767" s="40">
        <v>44173</v>
      </c>
      <c r="B767" s="48"/>
      <c r="C767" s="48" t="s">
        <v>1729</v>
      </c>
      <c r="D767" s="48"/>
      <c r="E767" s="48" t="s">
        <v>1730</v>
      </c>
      <c r="F767" s="48" t="s">
        <v>1731</v>
      </c>
    </row>
    <row r="768" spans="1:6" x14ac:dyDescent="0.25">
      <c r="A768" s="40">
        <v>43741</v>
      </c>
      <c r="B768" s="56"/>
      <c r="C768" s="56" t="s">
        <v>1732</v>
      </c>
      <c r="D768" s="56"/>
      <c r="E768" s="56" t="s">
        <v>1733</v>
      </c>
      <c r="F768" s="56" t="s">
        <v>1731</v>
      </c>
    </row>
    <row r="769" spans="1:6" x14ac:dyDescent="0.25">
      <c r="A769" s="40">
        <v>43384</v>
      </c>
      <c r="B769" s="56"/>
      <c r="C769" s="56" t="s">
        <v>1734</v>
      </c>
      <c r="D769" s="56"/>
      <c r="E769" s="56" t="s">
        <v>1735</v>
      </c>
      <c r="F769" s="56" t="s">
        <v>1736</v>
      </c>
    </row>
    <row r="770" spans="1:6" x14ac:dyDescent="0.25">
      <c r="A770" s="40">
        <v>43384</v>
      </c>
      <c r="B770" s="68"/>
      <c r="C770" s="68" t="s">
        <v>1738</v>
      </c>
      <c r="D770" s="68"/>
      <c r="E770" s="68" t="s">
        <v>1739</v>
      </c>
      <c r="F770" s="68" t="s">
        <v>1740</v>
      </c>
    </row>
    <row r="771" spans="1:6" x14ac:dyDescent="0.25">
      <c r="A771" s="40">
        <v>43636</v>
      </c>
      <c r="B771" s="67"/>
      <c r="C771" s="67" t="s">
        <v>1741</v>
      </c>
      <c r="D771" s="67"/>
      <c r="E771" s="67" t="s">
        <v>1742</v>
      </c>
      <c r="F771" s="67" t="s">
        <v>1743</v>
      </c>
    </row>
    <row r="772" spans="1:6" x14ac:dyDescent="0.25">
      <c r="A772" s="40">
        <v>43360</v>
      </c>
      <c r="B772" s="68"/>
      <c r="C772" s="68" t="s">
        <v>1744</v>
      </c>
      <c r="D772" s="68" t="e">
        <f>PROPER([3]!ObjGes[[#This Row],[Nom EN]])</f>
        <v>#REF!</v>
      </c>
      <c r="E772" s="68" t="s">
        <v>1745</v>
      </c>
      <c r="F772" s="68" t="s">
        <v>1746</v>
      </c>
    </row>
    <row r="773" spans="1:6" x14ac:dyDescent="0.25">
      <c r="A773" s="40">
        <v>43344</v>
      </c>
      <c r="B773" s="68"/>
      <c r="C773" s="68" t="s">
        <v>1747</v>
      </c>
      <c r="D773" s="68"/>
      <c r="E773" s="68" t="s">
        <v>1748</v>
      </c>
      <c r="F773" s="68" t="s">
        <v>1749</v>
      </c>
    </row>
    <row r="774" spans="1:6" x14ac:dyDescent="0.25">
      <c r="A774" s="40">
        <v>43662</v>
      </c>
      <c r="B774" s="67"/>
      <c r="C774" s="67" t="s">
        <v>1750</v>
      </c>
      <c r="D774" s="67" t="s">
        <v>1751</v>
      </c>
      <c r="E774" s="67" t="s">
        <v>1752</v>
      </c>
      <c r="F774" s="67" t="s">
        <v>1753</v>
      </c>
    </row>
    <row r="775" spans="1:6" x14ac:dyDescent="0.25">
      <c r="A775" s="40">
        <v>43725</v>
      </c>
      <c r="B775" s="56"/>
      <c r="C775" s="56" t="s">
        <v>1754</v>
      </c>
      <c r="D775" s="56"/>
      <c r="E775" s="56" t="s">
        <v>1754</v>
      </c>
      <c r="F775" s="56" t="s">
        <v>1755</v>
      </c>
    </row>
    <row r="776" spans="1:6" x14ac:dyDescent="0.25">
      <c r="A776" s="40">
        <v>43384</v>
      </c>
      <c r="B776" s="68"/>
      <c r="C776" s="68" t="s">
        <v>1756</v>
      </c>
      <c r="D776" s="68"/>
      <c r="E776" s="68" t="s">
        <v>1757</v>
      </c>
      <c r="F776" s="68" t="s">
        <v>1758</v>
      </c>
    </row>
    <row r="777" spans="1:6" x14ac:dyDescent="0.25">
      <c r="A777" s="40">
        <v>44082</v>
      </c>
      <c r="B777" s="67"/>
      <c r="C777" s="67" t="s">
        <v>1759</v>
      </c>
      <c r="D777" s="67"/>
      <c r="E777" s="67" t="s">
        <v>1760</v>
      </c>
      <c r="F777" s="67" t="s">
        <v>1761</v>
      </c>
    </row>
    <row r="778" spans="1:6" x14ac:dyDescent="0.25">
      <c r="A778" s="41">
        <v>44491</v>
      </c>
      <c r="B778" s="28"/>
      <c r="C778" s="28" t="s">
        <v>5721</v>
      </c>
      <c r="D778" s="28"/>
      <c r="E778" s="28" t="s">
        <v>5722</v>
      </c>
      <c r="F778" s="28" t="s">
        <v>5464</v>
      </c>
    </row>
    <row r="779" spans="1:6" x14ac:dyDescent="0.25">
      <c r="A779" s="40">
        <v>43503</v>
      </c>
      <c r="B779" s="56"/>
      <c r="C779" s="56" t="s">
        <v>1762</v>
      </c>
      <c r="D779" s="56"/>
      <c r="E779" s="56" t="s">
        <v>1763</v>
      </c>
      <c r="F779" s="56" t="s">
        <v>1764</v>
      </c>
    </row>
    <row r="780" spans="1:6" x14ac:dyDescent="0.25">
      <c r="A780" s="41">
        <v>44553</v>
      </c>
      <c r="B780" s="28"/>
      <c r="C780" s="28" t="s">
        <v>5723</v>
      </c>
      <c r="D780" s="28"/>
      <c r="E780" s="28" t="s">
        <v>5724</v>
      </c>
      <c r="F780" s="28" t="s">
        <v>5725</v>
      </c>
    </row>
    <row r="781" spans="1:6" x14ac:dyDescent="0.25">
      <c r="A781" s="41">
        <v>44199</v>
      </c>
      <c r="B781" s="28"/>
      <c r="C781" s="28" t="s">
        <v>4573</v>
      </c>
      <c r="D781" s="28"/>
      <c r="E781" s="28" t="s">
        <v>4762</v>
      </c>
      <c r="F781" s="28" t="s">
        <v>4763</v>
      </c>
    </row>
    <row r="782" spans="1:6" x14ac:dyDescent="0.25">
      <c r="A782" s="40">
        <v>44230</v>
      </c>
      <c r="B782" s="48"/>
      <c r="C782" s="48" t="s">
        <v>5441</v>
      </c>
      <c r="D782" s="48"/>
      <c r="E782" s="48" t="s">
        <v>5442</v>
      </c>
      <c r="F782" s="48" t="s">
        <v>5443</v>
      </c>
    </row>
    <row r="783" spans="1:6" x14ac:dyDescent="0.25">
      <c r="A783" s="40">
        <v>43472</v>
      </c>
      <c r="B783" s="56"/>
      <c r="C783" s="56" t="s">
        <v>1765</v>
      </c>
      <c r="D783" s="56"/>
      <c r="E783" s="56" t="s">
        <v>1765</v>
      </c>
      <c r="F783" s="56" t="s">
        <v>1766</v>
      </c>
    </row>
    <row r="784" spans="1:6" x14ac:dyDescent="0.25">
      <c r="A784" s="41">
        <v>44491</v>
      </c>
      <c r="B784" s="28"/>
      <c r="C784" s="28" t="s">
        <v>5726</v>
      </c>
      <c r="D784" s="28"/>
      <c r="E784" s="28" t="s">
        <v>5727</v>
      </c>
      <c r="F784" s="28" t="s">
        <v>5728</v>
      </c>
    </row>
    <row r="785" spans="1:6" x14ac:dyDescent="0.25">
      <c r="A785" s="40">
        <v>44117</v>
      </c>
      <c r="B785" s="68"/>
      <c r="C785" s="68" t="s">
        <v>1767</v>
      </c>
      <c r="D785" s="68"/>
      <c r="E785" s="68" t="s">
        <v>1768</v>
      </c>
      <c r="F785" s="68" t="s">
        <v>1769</v>
      </c>
    </row>
    <row r="786" spans="1:6" x14ac:dyDescent="0.25">
      <c r="A786" s="40">
        <v>43530</v>
      </c>
      <c r="B786" s="67"/>
      <c r="C786" s="67" t="s">
        <v>1770</v>
      </c>
      <c r="D786" s="67"/>
      <c r="E786" s="67" t="s">
        <v>1771</v>
      </c>
      <c r="F786" s="67" t="s">
        <v>1772</v>
      </c>
    </row>
    <row r="787" spans="1:6" x14ac:dyDescent="0.25">
      <c r="A787" s="40">
        <v>44117</v>
      </c>
      <c r="B787" s="56"/>
      <c r="C787" s="56" t="s">
        <v>1773</v>
      </c>
      <c r="D787" s="56"/>
      <c r="E787" s="56" t="s">
        <v>1774</v>
      </c>
      <c r="F787" s="56" t="s">
        <v>1775</v>
      </c>
    </row>
    <row r="788" spans="1:6" x14ac:dyDescent="0.25">
      <c r="A788" s="41">
        <v>44200</v>
      </c>
      <c r="B788" s="28"/>
      <c r="C788" s="28" t="s">
        <v>5010</v>
      </c>
      <c r="D788" s="28"/>
      <c r="E788" s="28" t="s">
        <v>5179</v>
      </c>
      <c r="F788" s="28" t="s">
        <v>5345</v>
      </c>
    </row>
    <row r="789" spans="1:6" x14ac:dyDescent="0.25">
      <c r="A789" s="40">
        <v>44005</v>
      </c>
      <c r="B789" s="68"/>
      <c r="C789" s="68" t="s">
        <v>1776</v>
      </c>
      <c r="D789" s="68"/>
      <c r="E789" s="68" t="s">
        <v>1777</v>
      </c>
      <c r="F789" s="68" t="s">
        <v>1778</v>
      </c>
    </row>
    <row r="790" spans="1:6" x14ac:dyDescent="0.25">
      <c r="A790" s="40">
        <v>44019</v>
      </c>
      <c r="B790" s="67"/>
      <c r="C790" s="67" t="s">
        <v>1779</v>
      </c>
      <c r="D790" s="67"/>
      <c r="E790" s="67" t="s">
        <v>1780</v>
      </c>
      <c r="F790" s="67" t="s">
        <v>1781</v>
      </c>
    </row>
    <row r="791" spans="1:6" x14ac:dyDescent="0.25">
      <c r="A791" s="40">
        <v>43637</v>
      </c>
      <c r="B791" s="56"/>
      <c r="C791" s="56" t="s">
        <v>1782</v>
      </c>
      <c r="D791" s="56"/>
      <c r="E791" s="56" t="s">
        <v>1782</v>
      </c>
      <c r="F791" s="56" t="s">
        <v>1783</v>
      </c>
    </row>
    <row r="792" spans="1:6" x14ac:dyDescent="0.25">
      <c r="A792" s="40">
        <v>43760</v>
      </c>
      <c r="B792" s="68"/>
      <c r="C792" s="68" t="s">
        <v>1784</v>
      </c>
      <c r="D792" s="68"/>
      <c r="E792" s="68" t="s">
        <v>1785</v>
      </c>
      <c r="F792" s="68" t="s">
        <v>1786</v>
      </c>
    </row>
    <row r="793" spans="1:6" x14ac:dyDescent="0.25">
      <c r="A793" s="41">
        <v>44199</v>
      </c>
      <c r="B793" s="28"/>
      <c r="C793" s="28" t="s">
        <v>4574</v>
      </c>
      <c r="D793" s="28"/>
      <c r="E793" s="28" t="s">
        <v>4764</v>
      </c>
      <c r="F793" s="28" t="s">
        <v>4765</v>
      </c>
    </row>
    <row r="794" spans="1:6" x14ac:dyDescent="0.25">
      <c r="A794" s="40">
        <v>43725</v>
      </c>
      <c r="B794" s="56"/>
      <c r="C794" s="56" t="s">
        <v>1787</v>
      </c>
      <c r="D794" s="56" t="s">
        <v>1788</v>
      </c>
      <c r="E794" s="56" t="s">
        <v>1789</v>
      </c>
      <c r="F794" s="56" t="s">
        <v>1790</v>
      </c>
    </row>
    <row r="795" spans="1:6" x14ac:dyDescent="0.25">
      <c r="A795" s="40">
        <v>43724</v>
      </c>
      <c r="B795" s="56"/>
      <c r="C795" s="56" t="s">
        <v>1791</v>
      </c>
      <c r="D795" s="56"/>
      <c r="E795" s="56" t="s">
        <v>1792</v>
      </c>
      <c r="F795" s="56" t="s">
        <v>1793</v>
      </c>
    </row>
    <row r="796" spans="1:6" x14ac:dyDescent="0.25">
      <c r="A796" s="40">
        <v>43725</v>
      </c>
      <c r="B796" s="68"/>
      <c r="C796" s="68" t="s">
        <v>1795</v>
      </c>
      <c r="D796" s="68" t="s">
        <v>1796</v>
      </c>
      <c r="E796" s="68" t="s">
        <v>1797</v>
      </c>
      <c r="F796" s="68" t="s">
        <v>1798</v>
      </c>
    </row>
    <row r="797" spans="1:6" x14ac:dyDescent="0.25">
      <c r="A797" s="41">
        <v>44301</v>
      </c>
      <c r="B797" s="28">
        <v>2</v>
      </c>
      <c r="C797" s="28" t="s">
        <v>5604</v>
      </c>
      <c r="D797" s="28"/>
      <c r="E797" s="28" t="s">
        <v>5605</v>
      </c>
      <c r="F797" s="28" t="s">
        <v>5606</v>
      </c>
    </row>
    <row r="798" spans="1:6" x14ac:dyDescent="0.25">
      <c r="A798" s="40">
        <v>43636</v>
      </c>
      <c r="C798" t="s">
        <v>1799</v>
      </c>
      <c r="E798" t="s">
        <v>1799</v>
      </c>
      <c r="F798" t="s">
        <v>1800</v>
      </c>
    </row>
    <row r="799" spans="1:6" x14ac:dyDescent="0.25">
      <c r="B799" s="44"/>
      <c r="C799" s="44" t="s">
        <v>1801</v>
      </c>
      <c r="D799" s="44"/>
      <c r="E799" s="44" t="s">
        <v>1802</v>
      </c>
      <c r="F799" s="44" t="s">
        <v>1803</v>
      </c>
    </row>
    <row r="800" spans="1:6" x14ac:dyDescent="0.25">
      <c r="A800" s="41">
        <v>44491</v>
      </c>
      <c r="B800" s="28"/>
      <c r="C800" s="28" t="s">
        <v>5729</v>
      </c>
      <c r="D800" s="28"/>
      <c r="E800" s="28" t="s">
        <v>5730</v>
      </c>
      <c r="F800" s="28" t="s">
        <v>1800</v>
      </c>
    </row>
    <row r="801" spans="1:6" x14ac:dyDescent="0.25">
      <c r="A801" s="40">
        <v>43647</v>
      </c>
      <c r="C801" t="s">
        <v>1804</v>
      </c>
      <c r="E801" t="s">
        <v>1805</v>
      </c>
      <c r="F801" t="s">
        <v>1806</v>
      </c>
    </row>
    <row r="802" spans="1:6" x14ac:dyDescent="0.25">
      <c r="A802" s="40">
        <v>43524</v>
      </c>
      <c r="B802" s="48"/>
      <c r="C802" s="48" t="s">
        <v>1807</v>
      </c>
      <c r="D802" s="48"/>
      <c r="E802" s="48" t="s">
        <v>1808</v>
      </c>
      <c r="F802" s="48" t="s">
        <v>1809</v>
      </c>
    </row>
    <row r="803" spans="1:6" x14ac:dyDescent="0.25">
      <c r="A803" s="40">
        <v>43344</v>
      </c>
      <c r="B803" s="49"/>
      <c r="C803" s="49" t="s">
        <v>1810</v>
      </c>
      <c r="D803" s="49" t="s">
        <v>1811</v>
      </c>
      <c r="E803" s="49" t="s">
        <v>1812</v>
      </c>
      <c r="F803" s="49" t="s">
        <v>1813</v>
      </c>
    </row>
    <row r="804" spans="1:6" x14ac:dyDescent="0.25">
      <c r="A804" s="41">
        <v>44199</v>
      </c>
      <c r="B804" s="28"/>
      <c r="C804" s="28" t="s">
        <v>4575</v>
      </c>
      <c r="D804" s="28"/>
      <c r="E804" s="28" t="s">
        <v>4766</v>
      </c>
      <c r="F804" s="28" t="s">
        <v>4767</v>
      </c>
    </row>
    <row r="805" spans="1:6" x14ac:dyDescent="0.25">
      <c r="A805" s="40">
        <v>43700</v>
      </c>
      <c r="B805" s="49"/>
      <c r="C805" s="49" t="s">
        <v>1814</v>
      </c>
      <c r="D805" s="49" t="s">
        <v>1815</v>
      </c>
      <c r="E805" s="49" t="s">
        <v>1816</v>
      </c>
      <c r="F805" s="49" t="s">
        <v>1817</v>
      </c>
    </row>
    <row r="806" spans="1:6" x14ac:dyDescent="0.25">
      <c r="A806" s="40">
        <v>43756</v>
      </c>
      <c r="C806" t="s">
        <v>1818</v>
      </c>
      <c r="E806" t="s">
        <v>1819</v>
      </c>
      <c r="F806" t="s">
        <v>1820</v>
      </c>
    </row>
    <row r="807" spans="1:6" x14ac:dyDescent="0.25">
      <c r="A807" s="40">
        <v>43644</v>
      </c>
      <c r="C807" t="s">
        <v>1821</v>
      </c>
      <c r="E807" t="s">
        <v>1822</v>
      </c>
      <c r="F807" t="s">
        <v>1823</v>
      </c>
    </row>
    <row r="808" spans="1:6" x14ac:dyDescent="0.25">
      <c r="A808" s="40">
        <v>43725</v>
      </c>
      <c r="B808" s="48"/>
      <c r="C808" s="48" t="s">
        <v>1824</v>
      </c>
      <c r="D808" s="48"/>
      <c r="E808" s="48" t="s">
        <v>1825</v>
      </c>
      <c r="F808" s="48" t="s">
        <v>1826</v>
      </c>
    </row>
    <row r="809" spans="1:6" x14ac:dyDescent="0.25">
      <c r="A809" s="40">
        <v>43755</v>
      </c>
      <c r="B809" s="49"/>
      <c r="C809" s="49" t="s">
        <v>1827</v>
      </c>
      <c r="D809" s="49"/>
      <c r="E809" s="49" t="s">
        <v>1828</v>
      </c>
      <c r="F809" s="49" t="s">
        <v>1829</v>
      </c>
    </row>
    <row r="810" spans="1:6" x14ac:dyDescent="0.25">
      <c r="A810" s="40">
        <v>43724</v>
      </c>
      <c r="C810" t="s">
        <v>1830</v>
      </c>
      <c r="E810" t="s">
        <v>1831</v>
      </c>
      <c r="F810" t="s">
        <v>1832</v>
      </c>
    </row>
    <row r="811" spans="1:6" x14ac:dyDescent="0.25">
      <c r="A811" s="40">
        <v>44070</v>
      </c>
      <c r="C811" t="s">
        <v>1833</v>
      </c>
      <c r="E811" t="s">
        <v>1834</v>
      </c>
      <c r="F811" t="s">
        <v>1835</v>
      </c>
    </row>
    <row r="812" spans="1:6" x14ac:dyDescent="0.25">
      <c r="A812" s="40">
        <v>44056</v>
      </c>
      <c r="B812" s="38"/>
      <c r="C812" s="38" t="s">
        <v>1836</v>
      </c>
      <c r="D812" s="38"/>
      <c r="E812" s="38" t="s">
        <v>1837</v>
      </c>
      <c r="F812" s="38" t="s">
        <v>1838</v>
      </c>
    </row>
    <row r="813" spans="1:6" x14ac:dyDescent="0.25">
      <c r="A813" s="40">
        <v>43644</v>
      </c>
      <c r="B813" s="34"/>
      <c r="C813" s="34" t="s">
        <v>1839</v>
      </c>
      <c r="D813" s="34"/>
      <c r="E813" s="34" t="s">
        <v>1840</v>
      </c>
      <c r="F813" s="34" t="s">
        <v>1841</v>
      </c>
    </row>
    <row r="814" spans="1:6" x14ac:dyDescent="0.25">
      <c r="A814" s="40">
        <v>44123</v>
      </c>
      <c r="B814" s="56"/>
      <c r="C814" s="56" t="s">
        <v>1842</v>
      </c>
      <c r="D814" s="56" t="s">
        <v>1843</v>
      </c>
      <c r="E814" s="56" t="s">
        <v>1844</v>
      </c>
      <c r="F814" s="56" t="s">
        <v>1845</v>
      </c>
    </row>
    <row r="815" spans="1:6" x14ac:dyDescent="0.25">
      <c r="A815" s="40">
        <v>43461</v>
      </c>
      <c r="B815" s="56"/>
      <c r="C815" s="56" t="s">
        <v>1846</v>
      </c>
      <c r="D815" s="56"/>
      <c r="E815" s="56" t="s">
        <v>1847</v>
      </c>
      <c r="F815" s="56" t="s">
        <v>1848</v>
      </c>
    </row>
    <row r="816" spans="1:6" x14ac:dyDescent="0.25">
      <c r="A816" s="40">
        <v>44012</v>
      </c>
      <c r="B816" s="68"/>
      <c r="C816" s="68" t="s">
        <v>1849</v>
      </c>
      <c r="D816" s="68"/>
      <c r="E816" s="68" t="s">
        <v>1849</v>
      </c>
      <c r="F816" s="68" t="s">
        <v>1850</v>
      </c>
    </row>
    <row r="817" spans="1:6" x14ac:dyDescent="0.25">
      <c r="A817" s="40">
        <v>44013</v>
      </c>
      <c r="B817" s="68"/>
      <c r="C817" s="68" t="s">
        <v>1851</v>
      </c>
      <c r="D817" s="68"/>
      <c r="E817" s="68" t="s">
        <v>1852</v>
      </c>
      <c r="F817" s="68" t="s">
        <v>1853</v>
      </c>
    </row>
    <row r="818" spans="1:6" x14ac:dyDescent="0.25">
      <c r="A818" s="40">
        <v>43740</v>
      </c>
      <c r="B818" s="67"/>
      <c r="C818" s="67" t="s">
        <v>1854</v>
      </c>
      <c r="D818" s="67"/>
      <c r="E818" s="67" t="s">
        <v>1855</v>
      </c>
      <c r="F818" s="67" t="s">
        <v>1856</v>
      </c>
    </row>
    <row r="819" spans="1:6" x14ac:dyDescent="0.25">
      <c r="A819" s="40">
        <v>43725</v>
      </c>
      <c r="B819" s="56"/>
      <c r="C819" s="56" t="s">
        <v>1857</v>
      </c>
      <c r="D819" s="56"/>
      <c r="E819" s="56" t="s">
        <v>1858</v>
      </c>
      <c r="F819" s="56" t="s">
        <v>1859</v>
      </c>
    </row>
    <row r="820" spans="1:6" x14ac:dyDescent="0.25">
      <c r="A820" s="40">
        <v>44011</v>
      </c>
      <c r="B820" s="56"/>
      <c r="C820" s="56" t="s">
        <v>1860</v>
      </c>
      <c r="D820" s="56"/>
      <c r="E820" s="56" t="s">
        <v>1861</v>
      </c>
      <c r="F820" s="56" t="s">
        <v>1862</v>
      </c>
    </row>
    <row r="821" spans="1:6" x14ac:dyDescent="0.25">
      <c r="A821" s="40">
        <v>44013</v>
      </c>
      <c r="B821" s="68"/>
      <c r="C821" s="68" t="s">
        <v>1863</v>
      </c>
      <c r="D821" s="68"/>
      <c r="E821" s="68" t="s">
        <v>1864</v>
      </c>
      <c r="F821" s="68" t="s">
        <v>1865</v>
      </c>
    </row>
    <row r="822" spans="1:6" x14ac:dyDescent="0.25">
      <c r="A822" s="40">
        <v>44013</v>
      </c>
      <c r="B822" s="67"/>
      <c r="C822" s="67" t="s">
        <v>1866</v>
      </c>
      <c r="D822" s="67"/>
      <c r="E822" s="67" t="s">
        <v>1867</v>
      </c>
      <c r="F822" s="67" t="s">
        <v>1868</v>
      </c>
    </row>
    <row r="823" spans="1:6" x14ac:dyDescent="0.25">
      <c r="A823" s="40">
        <v>44061</v>
      </c>
      <c r="B823" s="38"/>
      <c r="C823" s="38" t="s">
        <v>1869</v>
      </c>
      <c r="D823" s="38"/>
      <c r="E823" s="38" t="s">
        <v>1870</v>
      </c>
      <c r="F823" s="38" t="s">
        <v>1871</v>
      </c>
    </row>
    <row r="824" spans="1:6" x14ac:dyDescent="0.25">
      <c r="A824" s="41">
        <v>44199</v>
      </c>
      <c r="B824" s="28"/>
      <c r="C824" s="28" t="s">
        <v>4576</v>
      </c>
      <c r="D824" s="28"/>
      <c r="E824" s="28" t="s">
        <v>4768</v>
      </c>
      <c r="F824" s="28" t="s">
        <v>4769</v>
      </c>
    </row>
    <row r="825" spans="1:6" x14ac:dyDescent="0.25">
      <c r="A825" s="41">
        <v>44301</v>
      </c>
      <c r="B825" s="28">
        <v>2</v>
      </c>
      <c r="C825" s="28" t="s">
        <v>4577</v>
      </c>
      <c r="D825" s="28"/>
      <c r="E825" s="28" t="s">
        <v>4770</v>
      </c>
      <c r="F825" s="28" t="s">
        <v>4771</v>
      </c>
    </row>
    <row r="826" spans="1:6" x14ac:dyDescent="0.25">
      <c r="A826" s="40">
        <v>43344</v>
      </c>
      <c r="B826" s="49"/>
      <c r="C826" s="49" t="s">
        <v>1872</v>
      </c>
      <c r="D826" s="49" t="s">
        <v>1873</v>
      </c>
      <c r="E826" s="49" t="s">
        <v>1874</v>
      </c>
      <c r="F826" s="49" t="s">
        <v>1875</v>
      </c>
    </row>
    <row r="827" spans="1:6" x14ac:dyDescent="0.25">
      <c r="A827" s="40">
        <v>44061</v>
      </c>
      <c r="B827" s="37"/>
      <c r="C827" s="37" t="s">
        <v>1877</v>
      </c>
      <c r="D827" s="37"/>
      <c r="E827" s="37" t="s">
        <v>1878</v>
      </c>
      <c r="F827" s="37" t="s">
        <v>1879</v>
      </c>
    </row>
    <row r="828" spans="1:6" x14ac:dyDescent="0.25">
      <c r="A828" s="40">
        <v>44061</v>
      </c>
      <c r="B828" s="37"/>
      <c r="C828" s="37" t="s">
        <v>1880</v>
      </c>
      <c r="D828" s="37"/>
      <c r="E828" s="37" t="s">
        <v>1881</v>
      </c>
      <c r="F828" s="37" t="s">
        <v>1882</v>
      </c>
    </row>
    <row r="829" spans="1:6" x14ac:dyDescent="0.25">
      <c r="A829" s="41">
        <v>44270</v>
      </c>
      <c r="B829" s="28"/>
      <c r="C829" s="28" t="s">
        <v>5522</v>
      </c>
      <c r="D829" s="28"/>
      <c r="E829" s="28" t="s">
        <v>5523</v>
      </c>
      <c r="F829" s="28" t="s">
        <v>5524</v>
      </c>
    </row>
    <row r="830" spans="1:6" x14ac:dyDescent="0.25">
      <c r="A830" s="40">
        <v>44140</v>
      </c>
      <c r="B830" s="49"/>
      <c r="C830" s="49" t="s">
        <v>1883</v>
      </c>
      <c r="D830" s="49"/>
      <c r="E830" s="49" t="s">
        <v>1884</v>
      </c>
      <c r="F830" s="49" t="s">
        <v>1885</v>
      </c>
    </row>
    <row r="831" spans="1:6" x14ac:dyDescent="0.25">
      <c r="A831" s="40">
        <v>44064</v>
      </c>
      <c r="B831" s="49"/>
      <c r="C831" s="49" t="s">
        <v>1886</v>
      </c>
      <c r="D831" s="49"/>
      <c r="E831" s="49" t="s">
        <v>1887</v>
      </c>
      <c r="F831" s="49" t="s">
        <v>1888</v>
      </c>
    </row>
    <row r="832" spans="1:6" x14ac:dyDescent="0.25">
      <c r="A832" s="40">
        <v>44064</v>
      </c>
      <c r="B832" s="56"/>
      <c r="C832" s="56" t="s">
        <v>1889</v>
      </c>
      <c r="D832" s="56"/>
      <c r="E832" s="56" t="s">
        <v>1890</v>
      </c>
      <c r="F832" s="56" t="s">
        <v>1891</v>
      </c>
    </row>
    <row r="833" spans="1:6" x14ac:dyDescent="0.25">
      <c r="A833" s="40">
        <v>43636</v>
      </c>
      <c r="B833" s="56"/>
      <c r="C833" s="56" t="s">
        <v>1892</v>
      </c>
      <c r="D833" s="56"/>
      <c r="E833" s="56" t="s">
        <v>1893</v>
      </c>
      <c r="F833" s="56" t="s">
        <v>1894</v>
      </c>
    </row>
    <row r="834" spans="1:6" x14ac:dyDescent="0.25">
      <c r="A834" s="40">
        <v>44061</v>
      </c>
      <c r="B834" s="68"/>
      <c r="C834" s="68" t="s">
        <v>1895</v>
      </c>
      <c r="D834" s="68"/>
      <c r="E834" s="68" t="s">
        <v>1896</v>
      </c>
      <c r="F834" s="68" t="s">
        <v>1897</v>
      </c>
    </row>
    <row r="835" spans="1:6" x14ac:dyDescent="0.25">
      <c r="A835" s="40">
        <v>44060</v>
      </c>
      <c r="B835" s="67"/>
      <c r="C835" s="67" t="s">
        <v>1898</v>
      </c>
      <c r="D835" s="67"/>
      <c r="E835" s="67" t="s">
        <v>1899</v>
      </c>
      <c r="F835" s="67" t="s">
        <v>1900</v>
      </c>
    </row>
    <row r="836" spans="1:6" x14ac:dyDescent="0.25">
      <c r="A836" s="40">
        <v>43523</v>
      </c>
      <c r="B836" s="56"/>
      <c r="C836" s="56" t="s">
        <v>1901</v>
      </c>
      <c r="D836" s="56"/>
      <c r="E836" s="56" t="s">
        <v>1902</v>
      </c>
      <c r="F836" s="56" t="s">
        <v>1903</v>
      </c>
    </row>
    <row r="837" spans="1:6" x14ac:dyDescent="0.25">
      <c r="A837" s="40">
        <v>44061</v>
      </c>
      <c r="B837" s="56"/>
      <c r="C837" s="56" t="s">
        <v>1904</v>
      </c>
      <c r="D837" s="56"/>
      <c r="E837" s="56" t="s">
        <v>1905</v>
      </c>
      <c r="F837" s="56" t="s">
        <v>1906</v>
      </c>
    </row>
    <row r="838" spans="1:6" x14ac:dyDescent="0.25">
      <c r="A838" s="40">
        <v>43629</v>
      </c>
      <c r="B838" s="68"/>
      <c r="C838" s="68" t="s">
        <v>1907</v>
      </c>
      <c r="D838" s="68"/>
      <c r="E838" s="68" t="s">
        <v>1908</v>
      </c>
      <c r="F838" s="68" t="s">
        <v>1909</v>
      </c>
    </row>
    <row r="839" spans="1:6" x14ac:dyDescent="0.25">
      <c r="A839" s="40">
        <v>43644</v>
      </c>
      <c r="B839" s="67"/>
      <c r="C839" s="67" t="s">
        <v>1910</v>
      </c>
      <c r="D839" s="67" t="s">
        <v>1911</v>
      </c>
      <c r="E839" s="67" t="s">
        <v>1912</v>
      </c>
      <c r="F839" s="67" t="s">
        <v>1913</v>
      </c>
    </row>
    <row r="840" spans="1:6" x14ac:dyDescent="0.25">
      <c r="A840" s="40">
        <v>43996</v>
      </c>
      <c r="B840" s="56"/>
      <c r="C840" s="56" t="s">
        <v>1914</v>
      </c>
      <c r="D840" s="56"/>
      <c r="E840" s="56" t="s">
        <v>1915</v>
      </c>
      <c r="F840" s="56" t="s">
        <v>1916</v>
      </c>
    </row>
    <row r="841" spans="1:6" x14ac:dyDescent="0.25">
      <c r="A841" s="40">
        <v>44139</v>
      </c>
      <c r="B841" s="56"/>
      <c r="C841" s="56" t="s">
        <v>1917</v>
      </c>
      <c r="D841" s="56"/>
      <c r="E841" s="56" t="s">
        <v>1917</v>
      </c>
      <c r="F841" s="56" t="s">
        <v>1917</v>
      </c>
    </row>
    <row r="842" spans="1:6" x14ac:dyDescent="0.25">
      <c r="A842" s="41">
        <v>44199</v>
      </c>
      <c r="B842" s="28"/>
      <c r="C842" s="28" t="s">
        <v>4578</v>
      </c>
      <c r="D842" s="28"/>
      <c r="E842" s="28" t="s">
        <v>4578</v>
      </c>
      <c r="F842" s="28" t="s">
        <v>4772</v>
      </c>
    </row>
    <row r="843" spans="1:6" x14ac:dyDescent="0.25">
      <c r="A843" s="40">
        <v>44075</v>
      </c>
      <c r="B843" s="68"/>
      <c r="C843" s="68" t="s">
        <v>1918</v>
      </c>
      <c r="D843" s="68" t="s">
        <v>1919</v>
      </c>
      <c r="E843" s="68" t="s">
        <v>1918</v>
      </c>
      <c r="F843" s="68" t="s">
        <v>1918</v>
      </c>
    </row>
    <row r="844" spans="1:6" x14ac:dyDescent="0.25">
      <c r="A844" s="40">
        <v>43620</v>
      </c>
      <c r="B844" s="67"/>
      <c r="C844" s="67" t="s">
        <v>1920</v>
      </c>
      <c r="D844" s="67"/>
      <c r="E844" s="67" t="s">
        <v>1921</v>
      </c>
      <c r="F844" s="67" t="s">
        <v>1922</v>
      </c>
    </row>
    <row r="845" spans="1:6" x14ac:dyDescent="0.25">
      <c r="A845" s="40">
        <v>43344</v>
      </c>
      <c r="B845" s="38"/>
      <c r="C845" s="38" t="s">
        <v>1923</v>
      </c>
      <c r="D845" s="38"/>
      <c r="E845" s="38" t="s">
        <v>1924</v>
      </c>
      <c r="F845" s="38" t="s">
        <v>1925</v>
      </c>
    </row>
    <row r="846" spans="1:6" x14ac:dyDescent="0.25">
      <c r="A846" s="41">
        <v>44301</v>
      </c>
      <c r="B846" s="28">
        <v>5</v>
      </c>
      <c r="C846" s="28" t="s">
        <v>4579</v>
      </c>
      <c r="D846" s="28"/>
      <c r="E846" s="28" t="s">
        <v>4773</v>
      </c>
      <c r="F846" s="28" t="s">
        <v>4774</v>
      </c>
    </row>
    <row r="847" spans="1:6" x14ac:dyDescent="0.25">
      <c r="A847" s="40">
        <v>44012</v>
      </c>
      <c r="B847" s="56"/>
      <c r="C847" s="56" t="s">
        <v>1926</v>
      </c>
      <c r="D847" s="56"/>
      <c r="E847" s="56" t="s">
        <v>1927</v>
      </c>
      <c r="F847" s="56" t="s">
        <v>1928</v>
      </c>
    </row>
    <row r="848" spans="1:6" x14ac:dyDescent="0.25">
      <c r="A848" s="40">
        <v>43860</v>
      </c>
      <c r="B848" s="56"/>
      <c r="C848" s="56" t="s">
        <v>1929</v>
      </c>
      <c r="D848" s="56"/>
      <c r="E848" s="56" t="s">
        <v>1930</v>
      </c>
      <c r="F848" s="56" t="s">
        <v>1931</v>
      </c>
    </row>
    <row r="849" spans="1:6" x14ac:dyDescent="0.25">
      <c r="A849" s="40">
        <v>43719</v>
      </c>
      <c r="B849" s="68"/>
      <c r="C849" s="68" t="s">
        <v>1932</v>
      </c>
      <c r="D849" s="68"/>
      <c r="E849" s="68" t="s">
        <v>1933</v>
      </c>
      <c r="F849" s="68" t="s">
        <v>1934</v>
      </c>
    </row>
    <row r="850" spans="1:6" x14ac:dyDescent="0.25">
      <c r="A850" s="41">
        <v>44301</v>
      </c>
      <c r="B850" s="28">
        <v>1</v>
      </c>
      <c r="C850" s="28" t="s">
        <v>5607</v>
      </c>
      <c r="D850" s="28"/>
      <c r="E850" s="28" t="s">
        <v>5608</v>
      </c>
      <c r="F850" s="28" t="s">
        <v>4325</v>
      </c>
    </row>
    <row r="851" spans="1:6" x14ac:dyDescent="0.25">
      <c r="A851" s="41">
        <v>44301</v>
      </c>
      <c r="B851" s="28">
        <v>1</v>
      </c>
      <c r="C851" s="28" t="s">
        <v>5609</v>
      </c>
      <c r="D851" s="28"/>
      <c r="E851" s="28" t="s">
        <v>5610</v>
      </c>
      <c r="F851" s="28" t="s">
        <v>5611</v>
      </c>
    </row>
    <row r="852" spans="1:6" x14ac:dyDescent="0.25">
      <c r="A852" s="40">
        <v>44173</v>
      </c>
      <c r="B852" s="49"/>
      <c r="C852" s="49" t="s">
        <v>1935</v>
      </c>
      <c r="D852" s="49"/>
      <c r="E852" s="49" t="s">
        <v>1936</v>
      </c>
      <c r="F852" s="49" t="s">
        <v>1937</v>
      </c>
    </row>
    <row r="853" spans="1:6" s="56" customFormat="1" x14ac:dyDescent="0.25">
      <c r="A853" s="40">
        <v>44173</v>
      </c>
      <c r="C853" s="56" t="s">
        <v>1938</v>
      </c>
      <c r="E853" s="56" t="s">
        <v>1939</v>
      </c>
      <c r="F853" s="56" t="s">
        <v>1940</v>
      </c>
    </row>
    <row r="854" spans="1:6" x14ac:dyDescent="0.25">
      <c r="A854" s="40">
        <v>44173</v>
      </c>
      <c r="B854" s="56"/>
      <c r="C854" s="56" t="s">
        <v>1941</v>
      </c>
      <c r="D854" s="56"/>
      <c r="E854" s="56" t="s">
        <v>1942</v>
      </c>
      <c r="F854" s="56" t="s">
        <v>1943</v>
      </c>
    </row>
    <row r="855" spans="1:6" x14ac:dyDescent="0.25">
      <c r="A855" s="40">
        <v>44012</v>
      </c>
      <c r="B855" s="56"/>
      <c r="C855" s="56" t="s">
        <v>1944</v>
      </c>
      <c r="D855" s="56"/>
      <c r="E855" s="56" t="s">
        <v>1945</v>
      </c>
      <c r="F855" s="56" t="s">
        <v>1946</v>
      </c>
    </row>
    <row r="856" spans="1:6" x14ac:dyDescent="0.25">
      <c r="A856" s="40">
        <v>44138</v>
      </c>
      <c r="B856" s="68"/>
      <c r="C856" s="68" t="s">
        <v>1947</v>
      </c>
      <c r="D856" s="68"/>
      <c r="E856" s="68" t="s">
        <v>1948</v>
      </c>
      <c r="F856" s="68" t="s">
        <v>1949</v>
      </c>
    </row>
    <row r="857" spans="1:6" x14ac:dyDescent="0.25">
      <c r="A857" s="41">
        <v>44553</v>
      </c>
      <c r="B857" s="28"/>
      <c r="C857" s="28" t="s">
        <v>5731</v>
      </c>
      <c r="D857" s="28"/>
      <c r="E857" s="28" t="s">
        <v>5732</v>
      </c>
      <c r="F857" s="28" t="s">
        <v>5733</v>
      </c>
    </row>
    <row r="858" spans="1:6" x14ac:dyDescent="0.25">
      <c r="A858" s="40">
        <v>44173</v>
      </c>
      <c r="B858" s="68"/>
      <c r="C858" s="68" t="s">
        <v>1950</v>
      </c>
      <c r="D858" s="68"/>
      <c r="E858" s="68" t="s">
        <v>1951</v>
      </c>
      <c r="F858" s="68" t="s">
        <v>1952</v>
      </c>
    </row>
    <row r="859" spans="1:6" x14ac:dyDescent="0.25">
      <c r="A859" s="40">
        <v>44005</v>
      </c>
      <c r="B859" s="67"/>
      <c r="C859" s="67" t="s">
        <v>1953</v>
      </c>
      <c r="D859" s="67"/>
      <c r="E859" s="67" t="s">
        <v>1953</v>
      </c>
      <c r="F859" s="67" t="s">
        <v>1954</v>
      </c>
    </row>
    <row r="860" spans="1:6" x14ac:dyDescent="0.25">
      <c r="A860" s="40">
        <v>43636</v>
      </c>
      <c r="B860" s="44"/>
      <c r="C860" s="44" t="s">
        <v>1955</v>
      </c>
      <c r="D860" s="44"/>
      <c r="E860" s="44" t="s">
        <v>1956</v>
      </c>
      <c r="F860" s="44" t="s">
        <v>1957</v>
      </c>
    </row>
    <row r="861" spans="1:6" x14ac:dyDescent="0.25">
      <c r="A861" s="40">
        <v>44172</v>
      </c>
      <c r="B861" s="44"/>
      <c r="C861" s="44" t="s">
        <v>1958</v>
      </c>
      <c r="D861" s="44"/>
      <c r="E861" s="44" t="s">
        <v>1958</v>
      </c>
      <c r="F861" s="44" t="s">
        <v>1958</v>
      </c>
    </row>
    <row r="862" spans="1:6" x14ac:dyDescent="0.25">
      <c r="A862" s="40">
        <v>44172</v>
      </c>
      <c r="B862" s="48"/>
      <c r="C862" s="48" t="s">
        <v>1959</v>
      </c>
      <c r="D862" s="48"/>
      <c r="E862" s="48" t="s">
        <v>1960</v>
      </c>
      <c r="F862" s="48" t="s">
        <v>1961</v>
      </c>
    </row>
    <row r="863" spans="1:6" x14ac:dyDescent="0.25">
      <c r="A863" s="40">
        <v>44012</v>
      </c>
      <c r="B863" s="49"/>
      <c r="C863" s="49" t="s">
        <v>1962</v>
      </c>
      <c r="D863" s="49"/>
      <c r="E863" s="49" t="s">
        <v>1963</v>
      </c>
      <c r="F863" s="49" t="s">
        <v>1964</v>
      </c>
    </row>
    <row r="864" spans="1:6" x14ac:dyDescent="0.25">
      <c r="A864" s="41">
        <v>44236</v>
      </c>
      <c r="B864" s="28"/>
      <c r="C864" s="28" t="s">
        <v>5473</v>
      </c>
      <c r="D864" s="28"/>
      <c r="E864" s="28" t="s">
        <v>1963</v>
      </c>
      <c r="F864" s="28" t="s">
        <v>1964</v>
      </c>
    </row>
    <row r="865" spans="1:6" x14ac:dyDescent="0.25">
      <c r="A865" s="40">
        <v>43637</v>
      </c>
      <c r="B865" s="56"/>
      <c r="C865" s="56" t="s">
        <v>1965</v>
      </c>
      <c r="D865" s="56"/>
      <c r="E865" s="56" t="s">
        <v>1966</v>
      </c>
      <c r="F865" s="56" t="s">
        <v>1967</v>
      </c>
    </row>
    <row r="866" spans="1:6" x14ac:dyDescent="0.25">
      <c r="A866" s="41">
        <v>44301</v>
      </c>
      <c r="B866" s="28">
        <v>1</v>
      </c>
      <c r="C866" s="28" t="s">
        <v>5612</v>
      </c>
      <c r="D866" s="28" t="s">
        <v>5612</v>
      </c>
      <c r="E866" s="28" t="s">
        <v>5612</v>
      </c>
      <c r="F866" s="28" t="s">
        <v>5613</v>
      </c>
    </row>
    <row r="867" spans="1:6" x14ac:dyDescent="0.25">
      <c r="A867" s="40">
        <v>43864</v>
      </c>
      <c r="B867" s="67"/>
      <c r="C867" s="67" t="s">
        <v>1968</v>
      </c>
      <c r="D867" s="67"/>
      <c r="E867" s="67" t="s">
        <v>1969</v>
      </c>
      <c r="F867" s="67" t="s">
        <v>1970</v>
      </c>
    </row>
    <row r="868" spans="1:6" x14ac:dyDescent="0.25">
      <c r="A868" s="40">
        <v>43852</v>
      </c>
      <c r="B868" s="56"/>
      <c r="C868" s="56" t="s">
        <v>1971</v>
      </c>
      <c r="D868" s="56"/>
      <c r="E868" s="56" t="s">
        <v>1972</v>
      </c>
      <c r="F868" s="56" t="s">
        <v>1973</v>
      </c>
    </row>
    <row r="869" spans="1:6" x14ac:dyDescent="0.25">
      <c r="A869" s="40">
        <v>44005</v>
      </c>
      <c r="B869" s="68"/>
      <c r="C869" s="68" t="s">
        <v>1974</v>
      </c>
      <c r="D869" s="68"/>
      <c r="E869" s="68" t="s">
        <v>1975</v>
      </c>
      <c r="F869" s="68" t="s">
        <v>1976</v>
      </c>
    </row>
    <row r="870" spans="1:6" x14ac:dyDescent="0.25">
      <c r="A870" s="40">
        <v>43564</v>
      </c>
      <c r="B870" s="67"/>
      <c r="C870" s="67" t="s">
        <v>1977</v>
      </c>
      <c r="D870" s="67"/>
      <c r="E870" s="67" t="s">
        <v>1978</v>
      </c>
      <c r="F870" s="67" t="s">
        <v>1979</v>
      </c>
    </row>
    <row r="871" spans="1:6" x14ac:dyDescent="0.25">
      <c r="A871" s="40">
        <v>43564</v>
      </c>
      <c r="B871" s="49"/>
      <c r="C871" s="49" t="s">
        <v>1980</v>
      </c>
      <c r="D871" s="49"/>
      <c r="E871" s="49" t="s">
        <v>1981</v>
      </c>
      <c r="F871" s="49" t="s">
        <v>1982</v>
      </c>
    </row>
    <row r="872" spans="1:6" x14ac:dyDescent="0.25">
      <c r="A872" s="40">
        <v>44083</v>
      </c>
      <c r="B872" s="49"/>
      <c r="C872" s="49" t="s">
        <v>1983</v>
      </c>
      <c r="D872" s="49"/>
      <c r="E872" s="49" t="s">
        <v>1984</v>
      </c>
      <c r="F872" s="49" t="s">
        <v>1985</v>
      </c>
    </row>
    <row r="873" spans="1:6" x14ac:dyDescent="0.25">
      <c r="A873" s="40">
        <v>43563</v>
      </c>
      <c r="B873" s="49"/>
      <c r="C873" s="49" t="s">
        <v>1986</v>
      </c>
      <c r="D873" s="49"/>
      <c r="E873" s="49" t="s">
        <v>1987</v>
      </c>
      <c r="F873" s="49" t="s">
        <v>1988</v>
      </c>
    </row>
    <row r="874" spans="1:6" x14ac:dyDescent="0.25">
      <c r="A874" s="41">
        <v>44199</v>
      </c>
      <c r="B874" s="28"/>
      <c r="C874" s="28" t="s">
        <v>4580</v>
      </c>
      <c r="D874" s="28"/>
      <c r="E874" s="28" t="s">
        <v>4775</v>
      </c>
      <c r="F874" s="28" t="s">
        <v>1964</v>
      </c>
    </row>
    <row r="875" spans="1:6" x14ac:dyDescent="0.25">
      <c r="A875" s="40">
        <v>44173</v>
      </c>
      <c r="B875" s="56"/>
      <c r="C875" s="56" t="s">
        <v>1989</v>
      </c>
      <c r="D875" s="56"/>
      <c r="E875" s="56" t="s">
        <v>1990</v>
      </c>
      <c r="F875" s="56" t="s">
        <v>1991</v>
      </c>
    </row>
    <row r="876" spans="1:6" x14ac:dyDescent="0.25">
      <c r="A876" s="40">
        <v>43724</v>
      </c>
      <c r="B876" s="68"/>
      <c r="C876" s="68" t="s">
        <v>1992</v>
      </c>
      <c r="D876" s="68" t="s">
        <v>1993</v>
      </c>
      <c r="E876" s="68" t="s">
        <v>1992</v>
      </c>
      <c r="F876" s="68" t="s">
        <v>1992</v>
      </c>
    </row>
    <row r="877" spans="1:6" x14ac:dyDescent="0.25">
      <c r="A877" s="41">
        <v>44199</v>
      </c>
      <c r="B877" s="28"/>
      <c r="C877" s="28" t="s">
        <v>4581</v>
      </c>
      <c r="D877" s="28"/>
      <c r="E877" s="28" t="s">
        <v>4776</v>
      </c>
      <c r="F877" s="28" t="s">
        <v>1999</v>
      </c>
    </row>
    <row r="878" spans="1:6" x14ac:dyDescent="0.25">
      <c r="A878" s="40">
        <v>43392</v>
      </c>
      <c r="B878" s="68"/>
      <c r="C878" s="68" t="s">
        <v>1994</v>
      </c>
      <c r="D878" s="68"/>
      <c r="E878" s="68" t="s">
        <v>1995</v>
      </c>
      <c r="F878" s="68" t="s">
        <v>1996</v>
      </c>
    </row>
    <row r="879" spans="1:6" x14ac:dyDescent="0.25">
      <c r="A879" s="40">
        <v>43384</v>
      </c>
      <c r="B879" s="68"/>
      <c r="C879" s="68" t="s">
        <v>1997</v>
      </c>
      <c r="D879" s="68"/>
      <c r="E879" s="68" t="s">
        <v>1998</v>
      </c>
      <c r="F879" s="68" t="s">
        <v>1999</v>
      </c>
    </row>
    <row r="880" spans="1:6" x14ac:dyDescent="0.25">
      <c r="A880" s="40">
        <v>43732</v>
      </c>
      <c r="B880" s="68"/>
      <c r="C880" s="68" t="s">
        <v>2000</v>
      </c>
      <c r="D880" s="68"/>
      <c r="E880" s="68" t="s">
        <v>2001</v>
      </c>
      <c r="F880" s="68" t="s">
        <v>2002</v>
      </c>
    </row>
    <row r="881" spans="1:6" x14ac:dyDescent="0.25">
      <c r="A881" s="40">
        <v>43390</v>
      </c>
      <c r="B881" s="68"/>
      <c r="C881" s="68" t="s">
        <v>2003</v>
      </c>
      <c r="D881" s="68"/>
      <c r="E881" s="68" t="s">
        <v>2004</v>
      </c>
      <c r="F881" s="68" t="s">
        <v>2005</v>
      </c>
    </row>
    <row r="882" spans="1:6" x14ac:dyDescent="0.25">
      <c r="A882" s="40">
        <v>43725</v>
      </c>
      <c r="B882" s="68"/>
      <c r="C882" s="68" t="s">
        <v>2006</v>
      </c>
      <c r="D882" s="68"/>
      <c r="E882" s="68" t="s">
        <v>2007</v>
      </c>
      <c r="F882" s="68" t="s">
        <v>2008</v>
      </c>
    </row>
    <row r="883" spans="1:6" x14ac:dyDescent="0.25">
      <c r="B883" s="68"/>
      <c r="C883" s="68" t="s">
        <v>2009</v>
      </c>
      <c r="D883" s="68"/>
      <c r="E883" s="68" t="s">
        <v>2010</v>
      </c>
      <c r="F883" s="68" t="s">
        <v>2011</v>
      </c>
    </row>
    <row r="884" spans="1:6" x14ac:dyDescent="0.25">
      <c r="A884" s="41">
        <v>44200</v>
      </c>
      <c r="B884" s="28"/>
      <c r="C884" s="28" t="s">
        <v>5011</v>
      </c>
      <c r="D884" s="28"/>
      <c r="E884" s="28" t="s">
        <v>5180</v>
      </c>
      <c r="F884" s="28" t="s">
        <v>5346</v>
      </c>
    </row>
    <row r="885" spans="1:6" x14ac:dyDescent="0.25">
      <c r="A885" s="41">
        <v>44200</v>
      </c>
      <c r="B885" s="28"/>
      <c r="C885" s="28" t="s">
        <v>5012</v>
      </c>
      <c r="D885" s="28"/>
      <c r="E885" s="28" t="s">
        <v>5181</v>
      </c>
      <c r="F885" s="28" t="s">
        <v>5347</v>
      </c>
    </row>
    <row r="886" spans="1:6" x14ac:dyDescent="0.25">
      <c r="A886" s="41">
        <v>44200</v>
      </c>
      <c r="B886" s="28"/>
      <c r="C886" s="28" t="s">
        <v>5013</v>
      </c>
      <c r="D886" s="28"/>
      <c r="E886" s="28" t="s">
        <v>5182</v>
      </c>
      <c r="F886" s="28" t="s">
        <v>5348</v>
      </c>
    </row>
    <row r="887" spans="1:6" x14ac:dyDescent="0.25">
      <c r="A887" s="41">
        <v>44200</v>
      </c>
      <c r="B887" s="28"/>
      <c r="C887" s="28" t="s">
        <v>5014</v>
      </c>
      <c r="D887" s="28"/>
      <c r="E887" s="28" t="s">
        <v>5183</v>
      </c>
      <c r="F887" s="28" t="s">
        <v>5349</v>
      </c>
    </row>
    <row r="888" spans="1:6" x14ac:dyDescent="0.25">
      <c r="A888" s="41">
        <v>44200</v>
      </c>
      <c r="B888" s="28"/>
      <c r="C888" s="28" t="s">
        <v>5015</v>
      </c>
      <c r="D888" s="28"/>
      <c r="E888" s="28" t="s">
        <v>5184</v>
      </c>
      <c r="F888" s="28" t="s">
        <v>5350</v>
      </c>
    </row>
    <row r="889" spans="1:6" x14ac:dyDescent="0.25">
      <c r="A889" s="41">
        <v>44200</v>
      </c>
      <c r="B889" s="28"/>
      <c r="C889" s="28" t="s">
        <v>5016</v>
      </c>
      <c r="D889" s="28"/>
      <c r="E889" s="28" t="s">
        <v>5185</v>
      </c>
      <c r="F889" s="28" t="s">
        <v>5351</v>
      </c>
    </row>
    <row r="890" spans="1:6" x14ac:dyDescent="0.25">
      <c r="A890" s="41">
        <v>44200</v>
      </c>
      <c r="B890" s="28"/>
      <c r="C890" s="28" t="s">
        <v>5017</v>
      </c>
      <c r="D890" s="28"/>
      <c r="E890" s="28" t="s">
        <v>5186</v>
      </c>
      <c r="F890" s="28" t="s">
        <v>5352</v>
      </c>
    </row>
    <row r="891" spans="1:6" x14ac:dyDescent="0.25">
      <c r="A891" s="41">
        <v>44200</v>
      </c>
      <c r="B891" s="28"/>
      <c r="C891" s="28" t="s">
        <v>5018</v>
      </c>
      <c r="D891" s="28"/>
      <c r="E891" s="28" t="s">
        <v>5187</v>
      </c>
      <c r="F891" s="28" t="s">
        <v>5353</v>
      </c>
    </row>
    <row r="892" spans="1:6" x14ac:dyDescent="0.25">
      <c r="A892" s="41">
        <v>44200</v>
      </c>
      <c r="B892" s="28"/>
      <c r="C892" s="28" t="s">
        <v>5019</v>
      </c>
      <c r="D892" s="28"/>
      <c r="E892" s="28" t="s">
        <v>5188</v>
      </c>
      <c r="F892" s="28" t="s">
        <v>5354</v>
      </c>
    </row>
    <row r="893" spans="1:6" x14ac:dyDescent="0.25">
      <c r="A893" s="41">
        <v>44200</v>
      </c>
      <c r="B893" s="28"/>
      <c r="C893" s="28" t="s">
        <v>5020</v>
      </c>
      <c r="D893" s="28"/>
      <c r="E893" s="28" t="s">
        <v>5189</v>
      </c>
      <c r="F893" s="28" t="s">
        <v>5355</v>
      </c>
    </row>
    <row r="894" spans="1:6" x14ac:dyDescent="0.25">
      <c r="A894" s="41">
        <v>44200</v>
      </c>
      <c r="B894" s="28"/>
      <c r="C894" s="28" t="s">
        <v>5021</v>
      </c>
      <c r="D894" s="28"/>
      <c r="E894" s="28" t="s">
        <v>5190</v>
      </c>
      <c r="F894" s="28" t="s">
        <v>5356</v>
      </c>
    </row>
    <row r="895" spans="1:6" x14ac:dyDescent="0.25">
      <c r="A895" s="41">
        <v>44199</v>
      </c>
      <c r="B895" s="28"/>
      <c r="C895" s="28" t="s">
        <v>4582</v>
      </c>
      <c r="D895" s="28"/>
      <c r="E895" s="28" t="s">
        <v>4777</v>
      </c>
      <c r="F895" s="28" t="s">
        <v>4778</v>
      </c>
    </row>
    <row r="896" spans="1:6" x14ac:dyDescent="0.25">
      <c r="A896" s="40">
        <v>43725</v>
      </c>
      <c r="B896" s="68"/>
      <c r="C896" s="68" t="s">
        <v>2012</v>
      </c>
      <c r="D896" s="68"/>
      <c r="E896" s="68" t="s">
        <v>1822</v>
      </c>
      <c r="F896" s="68" t="s">
        <v>1823</v>
      </c>
    </row>
    <row r="897" spans="1:6" x14ac:dyDescent="0.25">
      <c r="A897" s="40">
        <v>43996</v>
      </c>
      <c r="B897" s="68"/>
      <c r="C897" s="68" t="s">
        <v>2013</v>
      </c>
      <c r="D897" s="68"/>
      <c r="E897" s="68" t="s">
        <v>2014</v>
      </c>
      <c r="F897" s="68" t="s">
        <v>2015</v>
      </c>
    </row>
    <row r="898" spans="1:6" x14ac:dyDescent="0.25">
      <c r="A898" s="40">
        <v>44070</v>
      </c>
      <c r="B898" s="68"/>
      <c r="C898" s="68" t="s">
        <v>2016</v>
      </c>
      <c r="D898" s="68"/>
      <c r="E898" s="68" t="s">
        <v>2017</v>
      </c>
      <c r="F898" s="68" t="s">
        <v>2018</v>
      </c>
    </row>
    <row r="899" spans="1:6" x14ac:dyDescent="0.25">
      <c r="A899" s="40">
        <v>43503</v>
      </c>
      <c r="B899" s="68"/>
      <c r="C899" s="68" t="s">
        <v>2019</v>
      </c>
      <c r="D899" s="68"/>
      <c r="E899" s="68" t="s">
        <v>2020</v>
      </c>
      <c r="F899" s="68" t="s">
        <v>2021</v>
      </c>
    </row>
    <row r="900" spans="1:6" x14ac:dyDescent="0.25">
      <c r="A900" s="41">
        <v>44200</v>
      </c>
      <c r="B900" s="28"/>
      <c r="C900" s="28" t="s">
        <v>5022</v>
      </c>
      <c r="D900" s="28"/>
      <c r="E900" s="28" t="s">
        <v>5191</v>
      </c>
      <c r="F900" s="28" t="s">
        <v>5357</v>
      </c>
    </row>
    <row r="901" spans="1:6" x14ac:dyDescent="0.25">
      <c r="A901" s="41">
        <v>44200</v>
      </c>
      <c r="B901" s="28"/>
      <c r="C901" s="28" t="s">
        <v>5023</v>
      </c>
      <c r="D901" s="28"/>
      <c r="E901" s="28" t="s">
        <v>5192</v>
      </c>
      <c r="F901" s="28" t="s">
        <v>5358</v>
      </c>
    </row>
    <row r="902" spans="1:6" x14ac:dyDescent="0.25">
      <c r="A902" s="41">
        <v>44200</v>
      </c>
      <c r="B902" s="28"/>
      <c r="C902" s="28" t="s">
        <v>5024</v>
      </c>
      <c r="D902" s="28"/>
      <c r="E902" s="28" t="s">
        <v>5193</v>
      </c>
      <c r="F902" s="28" t="s">
        <v>5359</v>
      </c>
    </row>
    <row r="903" spans="1:6" x14ac:dyDescent="0.25">
      <c r="A903" s="41">
        <v>44200</v>
      </c>
      <c r="B903" s="28"/>
      <c r="C903" s="28" t="s">
        <v>5025</v>
      </c>
      <c r="D903" s="28"/>
      <c r="E903" s="28" t="s">
        <v>5194</v>
      </c>
      <c r="F903" s="28" t="s">
        <v>5360</v>
      </c>
    </row>
    <row r="904" spans="1:6" x14ac:dyDescent="0.25">
      <c r="A904" s="41">
        <v>44200</v>
      </c>
      <c r="B904" s="28"/>
      <c r="C904" s="28" t="s">
        <v>5026</v>
      </c>
      <c r="D904" s="28"/>
      <c r="E904" s="28" t="s">
        <v>5195</v>
      </c>
      <c r="F904" s="28" t="s">
        <v>5361</v>
      </c>
    </row>
    <row r="905" spans="1:6" x14ac:dyDescent="0.25">
      <c r="A905" s="41">
        <v>44200</v>
      </c>
      <c r="B905" s="28"/>
      <c r="C905" s="28" t="s">
        <v>5027</v>
      </c>
      <c r="D905" s="28"/>
      <c r="E905" s="28" t="s">
        <v>5196</v>
      </c>
      <c r="F905" s="28" t="s">
        <v>5362</v>
      </c>
    </row>
    <row r="906" spans="1:6" x14ac:dyDescent="0.25">
      <c r="A906" s="41">
        <v>44200</v>
      </c>
      <c r="B906" s="28"/>
      <c r="C906" s="28" t="s">
        <v>5028</v>
      </c>
      <c r="D906" s="28"/>
      <c r="E906" s="28" t="s">
        <v>5197</v>
      </c>
      <c r="F906" s="28" t="s">
        <v>5363</v>
      </c>
    </row>
    <row r="907" spans="1:6" x14ac:dyDescent="0.25">
      <c r="A907" s="41">
        <v>44200</v>
      </c>
      <c r="B907" s="28"/>
      <c r="C907" s="28" t="s">
        <v>5029</v>
      </c>
      <c r="D907" s="28"/>
      <c r="E907" s="28" t="s">
        <v>5198</v>
      </c>
      <c r="F907" s="28" t="s">
        <v>5364</v>
      </c>
    </row>
    <row r="908" spans="1:6" x14ac:dyDescent="0.25">
      <c r="A908" s="41">
        <v>44200</v>
      </c>
      <c r="B908" s="28"/>
      <c r="C908" s="28" t="s">
        <v>5030</v>
      </c>
      <c r="D908" s="28"/>
      <c r="E908" s="28" t="s">
        <v>5199</v>
      </c>
      <c r="F908" s="28" t="s">
        <v>5365</v>
      </c>
    </row>
    <row r="909" spans="1:6" x14ac:dyDescent="0.25">
      <c r="A909" s="41">
        <v>44200</v>
      </c>
      <c r="B909" s="28"/>
      <c r="C909" s="28" t="s">
        <v>5031</v>
      </c>
      <c r="D909" s="28"/>
      <c r="E909" s="28" t="s">
        <v>5200</v>
      </c>
      <c r="F909" s="28" t="s">
        <v>5366</v>
      </c>
    </row>
    <row r="910" spans="1:6" x14ac:dyDescent="0.25">
      <c r="A910" s="41">
        <v>44200</v>
      </c>
      <c r="B910" s="28"/>
      <c r="C910" s="28" t="s">
        <v>5032</v>
      </c>
      <c r="D910" s="28"/>
      <c r="E910" s="28" t="s">
        <v>5201</v>
      </c>
      <c r="F910" s="28" t="s">
        <v>5367</v>
      </c>
    </row>
    <row r="911" spans="1:6" x14ac:dyDescent="0.25">
      <c r="A911" s="41">
        <v>44200</v>
      </c>
      <c r="B911" s="28"/>
      <c r="C911" s="28" t="s">
        <v>5033</v>
      </c>
      <c r="D911" s="28"/>
      <c r="E911" s="28" t="s">
        <v>5202</v>
      </c>
      <c r="F911" s="28" t="s">
        <v>5368</v>
      </c>
    </row>
    <row r="912" spans="1:6" x14ac:dyDescent="0.25">
      <c r="A912" s="41">
        <v>44200</v>
      </c>
      <c r="B912" s="28"/>
      <c r="C912" s="28" t="s">
        <v>5034</v>
      </c>
      <c r="D912" s="28"/>
      <c r="E912" s="28" t="s">
        <v>5203</v>
      </c>
      <c r="F912" s="28" t="s">
        <v>5369</v>
      </c>
    </row>
    <row r="913" spans="1:6" x14ac:dyDescent="0.25">
      <c r="A913" s="41">
        <v>44200</v>
      </c>
      <c r="B913" s="28"/>
      <c r="C913" s="28" t="s">
        <v>5035</v>
      </c>
      <c r="D913" s="28"/>
      <c r="E913" s="28" t="s">
        <v>5204</v>
      </c>
      <c r="F913" s="28" t="s">
        <v>5370</v>
      </c>
    </row>
    <row r="914" spans="1:6" x14ac:dyDescent="0.25">
      <c r="A914" s="41">
        <v>44200</v>
      </c>
      <c r="B914" s="28"/>
      <c r="C914" s="28" t="s">
        <v>5036</v>
      </c>
      <c r="D914" s="28"/>
      <c r="E914" s="28" t="s">
        <v>5205</v>
      </c>
      <c r="F914" s="28" t="s">
        <v>5371</v>
      </c>
    </row>
    <row r="915" spans="1:6" x14ac:dyDescent="0.25">
      <c r="A915" s="41">
        <v>44200</v>
      </c>
      <c r="B915" s="28"/>
      <c r="C915" s="28" t="s">
        <v>5037</v>
      </c>
      <c r="D915" s="28"/>
      <c r="E915" s="28" t="s">
        <v>5206</v>
      </c>
      <c r="F915" s="28" t="s">
        <v>5372</v>
      </c>
    </row>
    <row r="916" spans="1:6" x14ac:dyDescent="0.25">
      <c r="A916" s="41">
        <v>44200</v>
      </c>
      <c r="B916" s="28"/>
      <c r="C916" s="28" t="s">
        <v>5038</v>
      </c>
      <c r="D916" s="28"/>
      <c r="E916" s="28" t="s">
        <v>5207</v>
      </c>
      <c r="F916" s="28" t="s">
        <v>5373</v>
      </c>
    </row>
    <row r="917" spans="1:6" x14ac:dyDescent="0.25">
      <c r="A917" s="41">
        <v>44200</v>
      </c>
      <c r="B917" s="28"/>
      <c r="C917" s="28" t="s">
        <v>5039</v>
      </c>
      <c r="D917" s="28"/>
      <c r="E917" s="28" t="s">
        <v>5208</v>
      </c>
      <c r="F917" s="28" t="s">
        <v>5374</v>
      </c>
    </row>
    <row r="918" spans="1:6" x14ac:dyDescent="0.25">
      <c r="A918" s="41">
        <v>44200</v>
      </c>
      <c r="B918" s="28"/>
      <c r="C918" s="28" t="s">
        <v>5040</v>
      </c>
      <c r="D918" s="28"/>
      <c r="E918" s="28" t="s">
        <v>5209</v>
      </c>
      <c r="F918" s="28" t="s">
        <v>5375</v>
      </c>
    </row>
    <row r="919" spans="1:6" x14ac:dyDescent="0.25">
      <c r="A919" s="41">
        <v>44200</v>
      </c>
      <c r="B919" s="28"/>
      <c r="C919" s="28" t="s">
        <v>5041</v>
      </c>
      <c r="D919" s="28"/>
      <c r="E919" s="28" t="s">
        <v>5210</v>
      </c>
      <c r="F919" s="28" t="s">
        <v>5376</v>
      </c>
    </row>
    <row r="920" spans="1:6" x14ac:dyDescent="0.25">
      <c r="A920" s="41">
        <v>44200</v>
      </c>
      <c r="B920" s="28"/>
      <c r="C920" s="28" t="s">
        <v>5042</v>
      </c>
      <c r="D920" s="28"/>
      <c r="E920" s="28" t="s">
        <v>5211</v>
      </c>
      <c r="F920" s="28" t="s">
        <v>5377</v>
      </c>
    </row>
    <row r="921" spans="1:6" x14ac:dyDescent="0.25">
      <c r="A921" s="41">
        <v>44200</v>
      </c>
      <c r="B921" s="28"/>
      <c r="C921" s="28" t="s">
        <v>5043</v>
      </c>
      <c r="D921" s="28"/>
      <c r="E921" s="28" t="s">
        <v>5212</v>
      </c>
      <c r="F921" s="28" t="s">
        <v>5378</v>
      </c>
    </row>
    <row r="922" spans="1:6" x14ac:dyDescent="0.25">
      <c r="A922" s="41">
        <v>44200</v>
      </c>
      <c r="B922" s="28"/>
      <c r="C922" s="28" t="s">
        <v>5044</v>
      </c>
      <c r="D922" s="28"/>
      <c r="E922" s="28" t="s">
        <v>5213</v>
      </c>
      <c r="F922" s="28" t="s">
        <v>5379</v>
      </c>
    </row>
    <row r="923" spans="1:6" x14ac:dyDescent="0.25">
      <c r="A923" s="41">
        <v>44200</v>
      </c>
      <c r="B923" s="28"/>
      <c r="C923" s="28" t="s">
        <v>5045</v>
      </c>
      <c r="D923" s="28"/>
      <c r="E923" s="28" t="s">
        <v>5214</v>
      </c>
      <c r="F923" s="28" t="s">
        <v>5380</v>
      </c>
    </row>
    <row r="924" spans="1:6" x14ac:dyDescent="0.25">
      <c r="A924" s="41">
        <v>44200</v>
      </c>
      <c r="B924" s="28"/>
      <c r="C924" s="28" t="s">
        <v>5046</v>
      </c>
      <c r="D924" s="28"/>
      <c r="E924" s="28" t="s">
        <v>5215</v>
      </c>
      <c r="F924" s="28" t="s">
        <v>5381</v>
      </c>
    </row>
    <row r="925" spans="1:6" x14ac:dyDescent="0.25">
      <c r="A925" s="41">
        <v>44200</v>
      </c>
      <c r="B925" s="28"/>
      <c r="C925" s="28" t="s">
        <v>5047</v>
      </c>
      <c r="D925" s="28"/>
      <c r="E925" s="28" t="s">
        <v>5216</v>
      </c>
      <c r="F925" s="28" t="s">
        <v>5382</v>
      </c>
    </row>
    <row r="926" spans="1:6" x14ac:dyDescent="0.25">
      <c r="A926" s="41">
        <v>44200</v>
      </c>
      <c r="B926" s="28"/>
      <c r="C926" s="28" t="s">
        <v>5048</v>
      </c>
      <c r="D926" s="28"/>
      <c r="E926" s="28" t="s">
        <v>5217</v>
      </c>
      <c r="F926" s="28" t="s">
        <v>5383</v>
      </c>
    </row>
    <row r="927" spans="1:6" x14ac:dyDescent="0.25">
      <c r="A927" s="40">
        <v>44040</v>
      </c>
      <c r="B927" s="67"/>
      <c r="C927" s="67" t="s">
        <v>2022</v>
      </c>
      <c r="D927" s="67"/>
      <c r="E927" s="67" t="s">
        <v>2023</v>
      </c>
      <c r="F927" s="67" t="s">
        <v>2024</v>
      </c>
    </row>
    <row r="928" spans="1:6" x14ac:dyDescent="0.25">
      <c r="A928" s="40">
        <v>43894</v>
      </c>
      <c r="B928" s="34"/>
      <c r="C928" s="34" t="s">
        <v>2025</v>
      </c>
      <c r="D928" s="34"/>
      <c r="E928" s="34" t="s">
        <v>2025</v>
      </c>
      <c r="F928" s="34" t="s">
        <v>2026</v>
      </c>
    </row>
    <row r="929" spans="1:6" x14ac:dyDescent="0.25">
      <c r="A929" s="41">
        <v>44200</v>
      </c>
      <c r="B929" s="28"/>
      <c r="C929" s="28" t="s">
        <v>5049</v>
      </c>
      <c r="D929" s="28"/>
      <c r="E929" s="28" t="s">
        <v>5218</v>
      </c>
      <c r="F929" s="28" t="s">
        <v>3774</v>
      </c>
    </row>
    <row r="930" spans="1:6" x14ac:dyDescent="0.25">
      <c r="A930" s="40">
        <v>43384</v>
      </c>
      <c r="B930" s="44"/>
      <c r="C930" s="44" t="s">
        <v>2027</v>
      </c>
      <c r="D930" s="44" t="s">
        <v>2028</v>
      </c>
      <c r="E930" s="44" t="s">
        <v>2029</v>
      </c>
      <c r="F930" s="44" t="s">
        <v>2030</v>
      </c>
    </row>
    <row r="931" spans="1:6" x14ac:dyDescent="0.25">
      <c r="A931" s="40">
        <v>44041</v>
      </c>
      <c r="B931" s="37"/>
      <c r="C931" s="37" t="s">
        <v>2031</v>
      </c>
      <c r="D931" s="37"/>
      <c r="E931" s="37" t="s">
        <v>2032</v>
      </c>
      <c r="F931" s="37" t="s">
        <v>2033</v>
      </c>
    </row>
    <row r="932" spans="1:6" x14ac:dyDescent="0.25">
      <c r="A932" s="40">
        <v>44152</v>
      </c>
      <c r="B932" s="48"/>
      <c r="C932" s="48" t="s">
        <v>2034</v>
      </c>
      <c r="D932" s="48"/>
      <c r="E932" s="48" t="s">
        <v>2035</v>
      </c>
      <c r="F932" s="48" t="s">
        <v>2036</v>
      </c>
    </row>
    <row r="933" spans="1:6" x14ac:dyDescent="0.25">
      <c r="A933" s="40">
        <v>43518</v>
      </c>
      <c r="B933" s="56"/>
      <c r="C933" s="56" t="s">
        <v>2037</v>
      </c>
      <c r="D933" s="56"/>
      <c r="E933" s="56" t="s">
        <v>2038</v>
      </c>
      <c r="F933" s="56" t="s">
        <v>2039</v>
      </c>
    </row>
    <row r="934" spans="1:6" x14ac:dyDescent="0.25">
      <c r="A934" s="41">
        <v>44200</v>
      </c>
      <c r="B934" s="28"/>
      <c r="C934" s="28" t="s">
        <v>5050</v>
      </c>
      <c r="D934" s="28"/>
      <c r="E934" s="28" t="s">
        <v>5219</v>
      </c>
      <c r="F934" s="28" t="s">
        <v>5384</v>
      </c>
    </row>
    <row r="935" spans="1:6" x14ac:dyDescent="0.25">
      <c r="A935" s="40">
        <v>43490</v>
      </c>
      <c r="B935" s="68"/>
      <c r="C935" s="68" t="s">
        <v>2040</v>
      </c>
      <c r="D935" s="68"/>
      <c r="E935" s="68" t="s">
        <v>2041</v>
      </c>
      <c r="F935" s="68" t="s">
        <v>2042</v>
      </c>
    </row>
    <row r="936" spans="1:6" x14ac:dyDescent="0.25">
      <c r="B936" s="68"/>
      <c r="C936" s="68" t="s">
        <v>2043</v>
      </c>
      <c r="D936" s="68"/>
      <c r="E936" s="68" t="s">
        <v>2044</v>
      </c>
      <c r="F936" s="68" t="s">
        <v>2045</v>
      </c>
    </row>
    <row r="937" spans="1:6" x14ac:dyDescent="0.25">
      <c r="A937" s="40">
        <v>44012</v>
      </c>
      <c r="B937" s="67"/>
      <c r="C937" s="67" t="s">
        <v>2046</v>
      </c>
      <c r="D937" s="67" t="s">
        <v>2047</v>
      </c>
      <c r="E937" s="67" t="s">
        <v>2048</v>
      </c>
      <c r="F937" s="67" t="s">
        <v>2049</v>
      </c>
    </row>
    <row r="938" spans="1:6" x14ac:dyDescent="0.25">
      <c r="A938" s="40">
        <v>44091</v>
      </c>
      <c r="B938" s="38"/>
      <c r="C938" s="38" t="s">
        <v>2050</v>
      </c>
      <c r="D938" s="38"/>
      <c r="E938" s="38" t="s">
        <v>2050</v>
      </c>
      <c r="F938" s="38" t="s">
        <v>2050</v>
      </c>
    </row>
    <row r="939" spans="1:6" x14ac:dyDescent="0.25">
      <c r="A939" s="40">
        <v>43725</v>
      </c>
      <c r="B939" s="34"/>
      <c r="C939" s="34" t="s">
        <v>2051</v>
      </c>
      <c r="D939" s="34"/>
      <c r="E939" s="34" t="s">
        <v>2051</v>
      </c>
      <c r="F939" s="34" t="s">
        <v>2052</v>
      </c>
    </row>
    <row r="940" spans="1:6" x14ac:dyDescent="0.25">
      <c r="A940" s="40">
        <v>44138</v>
      </c>
      <c r="B940" s="37"/>
      <c r="C940" s="37" t="s">
        <v>2053</v>
      </c>
      <c r="D940" s="37"/>
      <c r="E940" s="37" t="s">
        <v>2054</v>
      </c>
      <c r="F940" s="37" t="s">
        <v>2055</v>
      </c>
    </row>
    <row r="941" spans="1:6" x14ac:dyDescent="0.25">
      <c r="A941" s="40">
        <v>43868</v>
      </c>
      <c r="B941" s="44"/>
      <c r="C941" s="44" t="s">
        <v>2056</v>
      </c>
      <c r="D941" s="44"/>
      <c r="E941" s="44" t="s">
        <v>2057</v>
      </c>
      <c r="F941" s="44" t="s">
        <v>2058</v>
      </c>
    </row>
    <row r="942" spans="1:6" x14ac:dyDescent="0.25">
      <c r="A942" s="40">
        <v>43725</v>
      </c>
      <c r="B942" s="38"/>
      <c r="C942" s="38" t="s">
        <v>2059</v>
      </c>
      <c r="D942" s="38"/>
      <c r="E942" s="38" t="s">
        <v>2060</v>
      </c>
      <c r="F942" s="38" t="s">
        <v>2061</v>
      </c>
    </row>
    <row r="943" spans="1:6" x14ac:dyDescent="0.25">
      <c r="A943" s="41">
        <v>44246</v>
      </c>
      <c r="B943" s="28"/>
      <c r="C943" s="28" t="s">
        <v>5474</v>
      </c>
      <c r="D943" s="28" t="s">
        <v>4779</v>
      </c>
      <c r="E943" s="28" t="s">
        <v>4779</v>
      </c>
      <c r="F943" s="28" t="s">
        <v>4780</v>
      </c>
    </row>
    <row r="944" spans="1:6" x14ac:dyDescent="0.25">
      <c r="A944" s="41">
        <v>44199</v>
      </c>
      <c r="B944" s="28"/>
      <c r="C944" s="28" t="s">
        <v>4583</v>
      </c>
      <c r="D944" s="28"/>
      <c r="E944" s="28" t="s">
        <v>4779</v>
      </c>
      <c r="F944" s="28" t="s">
        <v>4780</v>
      </c>
    </row>
    <row r="945" spans="1:6" x14ac:dyDescent="0.25">
      <c r="A945" s="40">
        <v>44082</v>
      </c>
      <c r="B945" s="56"/>
      <c r="C945" s="56" t="s">
        <v>2062</v>
      </c>
      <c r="D945" s="56"/>
      <c r="E945" s="56" t="s">
        <v>2062</v>
      </c>
      <c r="F945" s="56" t="s">
        <v>2063</v>
      </c>
    </row>
    <row r="946" spans="1:6" x14ac:dyDescent="0.25">
      <c r="A946" s="40">
        <v>44007</v>
      </c>
      <c r="B946" s="68"/>
      <c r="C946" s="68" t="s">
        <v>2064</v>
      </c>
      <c r="D946" s="68"/>
      <c r="E946" s="68" t="s">
        <v>2064</v>
      </c>
      <c r="F946" s="68" t="s">
        <v>2065</v>
      </c>
    </row>
    <row r="947" spans="1:6" x14ac:dyDescent="0.25">
      <c r="A947" s="40">
        <v>44018</v>
      </c>
      <c r="B947" s="68"/>
      <c r="C947" s="68" t="s">
        <v>2066</v>
      </c>
      <c r="D947" s="68"/>
      <c r="E947" s="68" t="s">
        <v>2067</v>
      </c>
      <c r="F947" s="68" t="s">
        <v>2068</v>
      </c>
    </row>
    <row r="948" spans="1:6" x14ac:dyDescent="0.25">
      <c r="A948" s="40">
        <v>44063</v>
      </c>
      <c r="B948" s="67"/>
      <c r="C948" s="67" t="s">
        <v>2069</v>
      </c>
      <c r="D948" s="67"/>
      <c r="E948" s="67" t="s">
        <v>2070</v>
      </c>
      <c r="F948" s="67" t="s">
        <v>2071</v>
      </c>
    </row>
    <row r="949" spans="1:6" x14ac:dyDescent="0.25">
      <c r="A949" s="40">
        <v>44054</v>
      </c>
      <c r="B949" s="44"/>
      <c r="C949" s="44" t="s">
        <v>2072</v>
      </c>
      <c r="D949" s="44"/>
      <c r="E949" s="44" t="s">
        <v>2073</v>
      </c>
      <c r="F949" s="44" t="s">
        <v>2074</v>
      </c>
    </row>
    <row r="950" spans="1:6" x14ac:dyDescent="0.25">
      <c r="A950" s="40">
        <v>44075</v>
      </c>
      <c r="B950" s="37"/>
      <c r="C950" s="37" t="s">
        <v>2075</v>
      </c>
      <c r="D950" s="37"/>
      <c r="E950" s="37" t="s">
        <v>2075</v>
      </c>
      <c r="F950" s="37" t="s">
        <v>2076</v>
      </c>
    </row>
    <row r="951" spans="1:6" x14ac:dyDescent="0.25">
      <c r="A951" s="40">
        <v>44075</v>
      </c>
      <c r="B951" s="37"/>
      <c r="C951" s="37" t="s">
        <v>2077</v>
      </c>
      <c r="D951" s="37"/>
      <c r="E951" s="37" t="s">
        <v>2078</v>
      </c>
      <c r="F951" s="37" t="s">
        <v>2079</v>
      </c>
    </row>
    <row r="952" spans="1:6" x14ac:dyDescent="0.25">
      <c r="A952" s="40">
        <v>44075</v>
      </c>
      <c r="B952" s="38"/>
      <c r="C952" s="38" t="s">
        <v>2080</v>
      </c>
      <c r="D952" s="38"/>
      <c r="E952" s="38" t="s">
        <v>2081</v>
      </c>
      <c r="F952" s="38" t="s">
        <v>2082</v>
      </c>
    </row>
    <row r="953" spans="1:6" x14ac:dyDescent="0.25">
      <c r="A953" s="40">
        <v>43840</v>
      </c>
      <c r="B953" s="37"/>
      <c r="C953" s="37" t="s">
        <v>2083</v>
      </c>
      <c r="D953" s="37"/>
      <c r="E953" s="37" t="s">
        <v>2084</v>
      </c>
      <c r="F953" s="37" t="s">
        <v>2085</v>
      </c>
    </row>
    <row r="954" spans="1:6" x14ac:dyDescent="0.25">
      <c r="A954" s="41">
        <v>44199</v>
      </c>
      <c r="B954" s="28"/>
      <c r="C954" s="28" t="s">
        <v>4584</v>
      </c>
      <c r="D954" s="28"/>
      <c r="E954" s="28" t="s">
        <v>4781</v>
      </c>
      <c r="F954" s="28" t="s">
        <v>4782</v>
      </c>
    </row>
    <row r="955" spans="1:6" x14ac:dyDescent="0.25">
      <c r="A955" s="41">
        <v>44199</v>
      </c>
      <c r="B955" s="28"/>
      <c r="C955" s="28" t="s">
        <v>4585</v>
      </c>
      <c r="D955" s="28"/>
      <c r="E955" s="28" t="s">
        <v>2075</v>
      </c>
      <c r="F955" s="28" t="s">
        <v>2076</v>
      </c>
    </row>
    <row r="956" spans="1:6" x14ac:dyDescent="0.25">
      <c r="A956" s="40">
        <v>43755</v>
      </c>
      <c r="B956" s="56"/>
      <c r="C956" s="56" t="s">
        <v>2086</v>
      </c>
      <c r="D956" s="56"/>
      <c r="E956" s="56" t="s">
        <v>2087</v>
      </c>
      <c r="F956" s="56" t="s">
        <v>2088</v>
      </c>
    </row>
    <row r="957" spans="1:6" x14ac:dyDescent="0.25">
      <c r="A957" s="40">
        <v>44120</v>
      </c>
      <c r="B957" s="56"/>
      <c r="C957" s="56" t="s">
        <v>2089</v>
      </c>
      <c r="D957" s="56"/>
      <c r="E957" s="56" t="s">
        <v>2090</v>
      </c>
      <c r="F957" s="56" t="s">
        <v>2091</v>
      </c>
    </row>
    <row r="958" spans="1:6" x14ac:dyDescent="0.25">
      <c r="A958" s="40">
        <v>44075</v>
      </c>
      <c r="B958" s="68"/>
      <c r="C958" s="68" t="s">
        <v>2092</v>
      </c>
      <c r="D958" s="68"/>
      <c r="E958" s="68" t="s">
        <v>2093</v>
      </c>
      <c r="F958" s="68" t="s">
        <v>2094</v>
      </c>
    </row>
    <row r="959" spans="1:6" x14ac:dyDescent="0.25">
      <c r="B959" s="67"/>
      <c r="C959" s="67" t="s">
        <v>2095</v>
      </c>
      <c r="D959" s="67" t="s">
        <v>2096</v>
      </c>
      <c r="E959" s="67" t="s">
        <v>2095</v>
      </c>
      <c r="F959" s="67" t="s">
        <v>2097</v>
      </c>
    </row>
    <row r="960" spans="1:6" x14ac:dyDescent="0.25">
      <c r="A960" s="40">
        <v>44019</v>
      </c>
      <c r="B960" s="49"/>
      <c r="C960" s="49" t="s">
        <v>2098</v>
      </c>
      <c r="D960" s="49"/>
      <c r="E960" s="49" t="s">
        <v>2099</v>
      </c>
      <c r="F960" s="49" t="s">
        <v>2100</v>
      </c>
    </row>
    <row r="961" spans="1:6" x14ac:dyDescent="0.25">
      <c r="A961" s="40">
        <v>44083</v>
      </c>
      <c r="B961" s="49"/>
      <c r="C961" s="49" t="s">
        <v>2101</v>
      </c>
      <c r="D961" s="49"/>
      <c r="E961" s="49" t="s">
        <v>2102</v>
      </c>
      <c r="F961" s="49" t="s">
        <v>2103</v>
      </c>
    </row>
    <row r="962" spans="1:6" x14ac:dyDescent="0.25">
      <c r="A962" s="40">
        <v>43724</v>
      </c>
      <c r="B962" s="48"/>
      <c r="C962" s="48" t="s">
        <v>2104</v>
      </c>
      <c r="D962" s="48"/>
      <c r="E962" s="48" t="s">
        <v>2104</v>
      </c>
      <c r="F962" s="48" t="s">
        <v>2105</v>
      </c>
    </row>
    <row r="963" spans="1:6" x14ac:dyDescent="0.25">
      <c r="A963" s="40">
        <v>43467</v>
      </c>
      <c r="B963" s="49"/>
      <c r="C963" s="49" t="s">
        <v>2106</v>
      </c>
      <c r="D963" s="49"/>
      <c r="E963" s="49" t="s">
        <v>2107</v>
      </c>
      <c r="F963" s="49" t="s">
        <v>2108</v>
      </c>
    </row>
    <row r="964" spans="1:6" x14ac:dyDescent="0.25">
      <c r="A964" s="40">
        <v>44007</v>
      </c>
      <c r="B964" s="48"/>
      <c r="C964" s="48" t="s">
        <v>2109</v>
      </c>
      <c r="D964" s="48"/>
      <c r="E964" s="48" t="s">
        <v>2109</v>
      </c>
      <c r="F964" s="48" t="s">
        <v>2110</v>
      </c>
    </row>
    <row r="965" spans="1:6" x14ac:dyDescent="0.25">
      <c r="A965" s="40">
        <v>44082</v>
      </c>
      <c r="B965" s="49"/>
      <c r="C965" s="49" t="s">
        <v>2111</v>
      </c>
      <c r="D965" s="49"/>
      <c r="E965" s="49" t="s">
        <v>2111</v>
      </c>
      <c r="F965" s="49" t="s">
        <v>2111</v>
      </c>
    </row>
    <row r="966" spans="1:6" x14ac:dyDescent="0.25">
      <c r="A966" s="41">
        <v>44480</v>
      </c>
      <c r="B966" s="28"/>
      <c r="C966" s="28" t="s">
        <v>5685</v>
      </c>
      <c r="D966" s="28" t="s">
        <v>5687</v>
      </c>
      <c r="E966" s="28" t="s">
        <v>5688</v>
      </c>
      <c r="F966" s="28" t="s">
        <v>5686</v>
      </c>
    </row>
    <row r="967" spans="1:6" x14ac:dyDescent="0.25">
      <c r="A967" s="40">
        <v>44075</v>
      </c>
      <c r="B967" s="56"/>
      <c r="C967" s="56" t="s">
        <v>2112</v>
      </c>
      <c r="D967" s="56"/>
      <c r="E967" s="56" t="s">
        <v>2113</v>
      </c>
      <c r="F967" s="56" t="s">
        <v>2114</v>
      </c>
    </row>
    <row r="968" spans="1:6" x14ac:dyDescent="0.25">
      <c r="A968" s="40">
        <v>44075</v>
      </c>
      <c r="B968" s="56"/>
      <c r="C968" s="56" t="s">
        <v>2115</v>
      </c>
      <c r="D968" s="56"/>
      <c r="E968" s="56" t="s">
        <v>2116</v>
      </c>
      <c r="F968" s="56" t="s">
        <v>2117</v>
      </c>
    </row>
    <row r="969" spans="1:6" x14ac:dyDescent="0.25">
      <c r="A969" s="40">
        <v>44062</v>
      </c>
      <c r="B969" s="68"/>
      <c r="C969" s="68" t="s">
        <v>2118</v>
      </c>
      <c r="D969" s="68"/>
      <c r="E969" s="68" t="s">
        <v>2119</v>
      </c>
      <c r="F969" s="68" t="s">
        <v>2120</v>
      </c>
    </row>
    <row r="970" spans="1:6" x14ac:dyDescent="0.25">
      <c r="A970" s="40">
        <v>44062</v>
      </c>
      <c r="B970" s="68"/>
      <c r="C970" s="68" t="s">
        <v>2121</v>
      </c>
      <c r="D970" s="68"/>
      <c r="E970" s="68" t="s">
        <v>2122</v>
      </c>
      <c r="F970" s="68" t="s">
        <v>2123</v>
      </c>
    </row>
    <row r="971" spans="1:6" x14ac:dyDescent="0.25">
      <c r="A971" s="40">
        <v>44069</v>
      </c>
      <c r="B971" s="68"/>
      <c r="C971" s="68" t="s">
        <v>2124</v>
      </c>
      <c r="D971" s="68"/>
      <c r="E971" s="68" t="s">
        <v>2125</v>
      </c>
      <c r="F971" s="68" t="s">
        <v>2126</v>
      </c>
    </row>
    <row r="972" spans="1:6" x14ac:dyDescent="0.25">
      <c r="A972" s="40">
        <v>44089</v>
      </c>
      <c r="B972" s="67"/>
      <c r="C972" s="67" t="s">
        <v>2127</v>
      </c>
      <c r="D972" s="67"/>
      <c r="E972" s="67" t="s">
        <v>2128</v>
      </c>
      <c r="F972" s="67" t="s">
        <v>2129</v>
      </c>
    </row>
    <row r="973" spans="1:6" x14ac:dyDescent="0.25">
      <c r="A973" s="40">
        <v>43864</v>
      </c>
      <c r="B973" s="56"/>
      <c r="C973" s="56" t="s">
        <v>2130</v>
      </c>
      <c r="D973" s="56"/>
      <c r="E973" s="56" t="s">
        <v>2131</v>
      </c>
      <c r="F973" s="56" t="s">
        <v>2132</v>
      </c>
    </row>
    <row r="974" spans="1:6" x14ac:dyDescent="0.25">
      <c r="A974" s="40">
        <v>44159</v>
      </c>
      <c r="B974" s="68"/>
      <c r="C974" s="68" t="s">
        <v>2133</v>
      </c>
      <c r="D974" s="68"/>
      <c r="E974" s="68" t="s">
        <v>2134</v>
      </c>
      <c r="F974" s="68" t="s">
        <v>2135</v>
      </c>
    </row>
    <row r="975" spans="1:6" x14ac:dyDescent="0.25">
      <c r="A975" s="40">
        <v>43637</v>
      </c>
      <c r="B975" s="68"/>
      <c r="C975" s="68" t="s">
        <v>2136</v>
      </c>
      <c r="D975" s="68" t="s">
        <v>2137</v>
      </c>
      <c r="E975" s="68" t="s">
        <v>2138</v>
      </c>
      <c r="F975" s="68" t="s">
        <v>2139</v>
      </c>
    </row>
    <row r="976" spans="1:6" x14ac:dyDescent="0.25">
      <c r="A976" s="40">
        <v>43864</v>
      </c>
      <c r="B976" s="67"/>
      <c r="C976" s="67" t="s">
        <v>2140</v>
      </c>
      <c r="D976" s="67"/>
      <c r="E976" s="67" t="s">
        <v>2140</v>
      </c>
      <c r="F976" s="67" t="s">
        <v>2141</v>
      </c>
    </row>
    <row r="977" spans="1:6" x14ac:dyDescent="0.25">
      <c r="A977" s="41">
        <v>44199</v>
      </c>
      <c r="B977" s="28"/>
      <c r="C977" s="28" t="s">
        <v>4586</v>
      </c>
      <c r="D977" s="28"/>
      <c r="E977" s="28" t="s">
        <v>4783</v>
      </c>
      <c r="F977" s="28" t="s">
        <v>4784</v>
      </c>
    </row>
    <row r="978" spans="1:6" x14ac:dyDescent="0.25">
      <c r="A978" s="41">
        <v>44301</v>
      </c>
      <c r="B978" s="28">
        <v>0</v>
      </c>
      <c r="C978" s="28" t="s">
        <v>5614</v>
      </c>
      <c r="D978" s="28"/>
      <c r="E978" s="28" t="s">
        <v>5615</v>
      </c>
      <c r="F978" s="28" t="s">
        <v>5616</v>
      </c>
    </row>
    <row r="979" spans="1:6" x14ac:dyDescent="0.25">
      <c r="A979" s="41">
        <v>44270</v>
      </c>
      <c r="B979" s="28"/>
      <c r="C979" s="28" t="s">
        <v>5525</v>
      </c>
      <c r="D979" s="28"/>
      <c r="E979" s="28" t="s">
        <v>5526</v>
      </c>
      <c r="F979" s="28" t="s">
        <v>5527</v>
      </c>
    </row>
    <row r="980" spans="1:6" x14ac:dyDescent="0.25">
      <c r="A980" s="40">
        <v>44063</v>
      </c>
      <c r="B980" s="67"/>
      <c r="C980" s="67" t="s">
        <v>2142</v>
      </c>
      <c r="D980" s="67"/>
      <c r="E980" s="67" t="s">
        <v>2143</v>
      </c>
      <c r="F980" s="67" t="s">
        <v>2144</v>
      </c>
    </row>
    <row r="981" spans="1:6" x14ac:dyDescent="0.25">
      <c r="A981" s="40">
        <v>44172</v>
      </c>
      <c r="B981" s="48"/>
      <c r="C981" s="48" t="s">
        <v>2145</v>
      </c>
      <c r="D981" s="48"/>
      <c r="E981" s="48" t="s">
        <v>2145</v>
      </c>
      <c r="F981" s="48" t="s">
        <v>2146</v>
      </c>
    </row>
    <row r="982" spans="1:6" x14ac:dyDescent="0.25">
      <c r="A982" s="42">
        <v>44230</v>
      </c>
      <c r="B982" s="35"/>
      <c r="C982" s="35" t="s">
        <v>5444</v>
      </c>
      <c r="D982" s="35"/>
      <c r="E982" s="35" t="s">
        <v>5445</v>
      </c>
      <c r="F982" s="35" t="s">
        <v>5446</v>
      </c>
    </row>
    <row r="983" spans="1:6" x14ac:dyDescent="0.25">
      <c r="A983" s="41">
        <v>44199</v>
      </c>
      <c r="B983" s="28"/>
      <c r="C983" s="28" t="s">
        <v>4587</v>
      </c>
      <c r="D983" s="28"/>
      <c r="E983" s="28" t="s">
        <v>4587</v>
      </c>
      <c r="F983" s="28" t="s">
        <v>4785</v>
      </c>
    </row>
    <row r="984" spans="1:6" x14ac:dyDescent="0.25">
      <c r="A984" s="40">
        <v>43725</v>
      </c>
      <c r="B984" s="56"/>
      <c r="C984" s="56" t="s">
        <v>2147</v>
      </c>
      <c r="D984" s="56" t="s">
        <v>2148</v>
      </c>
      <c r="E984" s="56" t="s">
        <v>2149</v>
      </c>
      <c r="F984" s="56" t="s">
        <v>2150</v>
      </c>
    </row>
    <row r="985" spans="1:6" x14ac:dyDescent="0.25">
      <c r="A985" s="41">
        <v>44199</v>
      </c>
      <c r="B985" s="28"/>
      <c r="C985" s="28" t="s">
        <v>4588</v>
      </c>
      <c r="D985" s="28"/>
      <c r="E985" s="28" t="s">
        <v>4588</v>
      </c>
      <c r="F985" s="28" t="s">
        <v>4588</v>
      </c>
    </row>
    <row r="986" spans="1:6" x14ac:dyDescent="0.25">
      <c r="A986" s="40">
        <v>43644</v>
      </c>
      <c r="B986" s="68"/>
      <c r="C986" s="68" t="s">
        <v>2151</v>
      </c>
      <c r="D986" s="68"/>
      <c r="E986" s="68" t="s">
        <v>2152</v>
      </c>
      <c r="F986" s="68" t="s">
        <v>2153</v>
      </c>
    </row>
    <row r="987" spans="1:6" x14ac:dyDescent="0.25">
      <c r="A987" s="41">
        <v>44301</v>
      </c>
      <c r="B987" s="28">
        <v>1</v>
      </c>
      <c r="C987" s="28" t="s">
        <v>5617</v>
      </c>
      <c r="D987" s="28"/>
      <c r="E987" s="28" t="s">
        <v>5618</v>
      </c>
      <c r="F987" s="28" t="s">
        <v>5619</v>
      </c>
    </row>
    <row r="988" spans="1:6" x14ac:dyDescent="0.25">
      <c r="A988" s="40">
        <v>43725</v>
      </c>
      <c r="B988" s="56"/>
      <c r="C988" s="56" t="s">
        <v>2154</v>
      </c>
      <c r="D988" s="56" t="s">
        <v>2155</v>
      </c>
      <c r="E988" s="56" t="s">
        <v>2156</v>
      </c>
      <c r="F988" s="56" t="s">
        <v>2157</v>
      </c>
    </row>
    <row r="989" spans="1:6" x14ac:dyDescent="0.25">
      <c r="A989" s="40">
        <v>44120</v>
      </c>
      <c r="B989" s="68"/>
      <c r="C989" s="68" t="s">
        <v>2158</v>
      </c>
      <c r="D989" s="68"/>
      <c r="E989" s="68" t="s">
        <v>2159</v>
      </c>
      <c r="F989" s="68" t="s">
        <v>2160</v>
      </c>
    </row>
    <row r="990" spans="1:6" x14ac:dyDescent="0.25">
      <c r="A990" s="40">
        <v>44120</v>
      </c>
      <c r="B990" s="68"/>
      <c r="C990" s="68" t="s">
        <v>2161</v>
      </c>
      <c r="D990" s="68"/>
      <c r="E990" s="68" t="s">
        <v>2162</v>
      </c>
      <c r="F990" s="68" t="s">
        <v>2163</v>
      </c>
    </row>
    <row r="991" spans="1:6" x14ac:dyDescent="0.25">
      <c r="A991" s="40">
        <v>44120</v>
      </c>
      <c r="B991" s="67"/>
      <c r="C991" s="67" t="s">
        <v>2164</v>
      </c>
      <c r="D991" s="67"/>
      <c r="E991" s="67" t="s">
        <v>2165</v>
      </c>
      <c r="F991" s="67" t="s">
        <v>2166</v>
      </c>
    </row>
    <row r="992" spans="1:6" x14ac:dyDescent="0.25">
      <c r="A992" s="40">
        <v>44029</v>
      </c>
      <c r="B992" s="56"/>
      <c r="C992" s="56" t="s">
        <v>2167</v>
      </c>
      <c r="D992" s="56"/>
      <c r="E992" s="56" t="s">
        <v>2167</v>
      </c>
      <c r="F992" s="56" t="s">
        <v>2168</v>
      </c>
    </row>
    <row r="993" spans="1:6" x14ac:dyDescent="0.25">
      <c r="A993" s="40">
        <v>43493</v>
      </c>
      <c r="B993" s="56"/>
      <c r="C993" s="56" t="s">
        <v>2169</v>
      </c>
      <c r="D993" s="56"/>
      <c r="E993" s="56" t="s">
        <v>2170</v>
      </c>
      <c r="F993" s="56" t="s">
        <v>2171</v>
      </c>
    </row>
    <row r="994" spans="1:6" x14ac:dyDescent="0.25">
      <c r="A994" s="41">
        <v>44199</v>
      </c>
      <c r="B994" s="28"/>
      <c r="C994" s="28" t="s">
        <v>4589</v>
      </c>
      <c r="D994" s="28"/>
      <c r="E994" s="28" t="s">
        <v>4786</v>
      </c>
      <c r="F994" s="28" t="s">
        <v>4787</v>
      </c>
    </row>
    <row r="995" spans="1:6" x14ac:dyDescent="0.25">
      <c r="A995" s="40">
        <v>43493</v>
      </c>
      <c r="B995" s="67"/>
      <c r="C995" s="67" t="s">
        <v>2172</v>
      </c>
      <c r="D995" s="67"/>
      <c r="E995" s="67" t="s">
        <v>2173</v>
      </c>
      <c r="F995" s="67" t="s">
        <v>2174</v>
      </c>
    </row>
    <row r="996" spans="1:6" x14ac:dyDescent="0.25">
      <c r="A996" s="40">
        <v>44053</v>
      </c>
      <c r="B996" s="49"/>
      <c r="C996" s="49" t="s">
        <v>2175</v>
      </c>
      <c r="D996" s="49"/>
      <c r="E996" s="49" t="s">
        <v>2176</v>
      </c>
      <c r="F996" s="49" t="s">
        <v>2177</v>
      </c>
    </row>
    <row r="997" spans="1:6" x14ac:dyDescent="0.25">
      <c r="A997" s="41">
        <v>44199</v>
      </c>
      <c r="B997" s="28"/>
      <c r="C997" s="28" t="s">
        <v>4590</v>
      </c>
      <c r="D997" s="28"/>
      <c r="E997" s="28" t="s">
        <v>4788</v>
      </c>
      <c r="F997" s="28" t="s">
        <v>4789</v>
      </c>
    </row>
    <row r="998" spans="1:6" x14ac:dyDescent="0.25">
      <c r="A998" s="41">
        <v>44199</v>
      </c>
      <c r="B998" s="28"/>
      <c r="C998" s="28" t="s">
        <v>4591</v>
      </c>
      <c r="D998" s="28"/>
      <c r="E998" s="28" t="s">
        <v>4790</v>
      </c>
      <c r="F998" s="28" t="s">
        <v>4791</v>
      </c>
    </row>
    <row r="999" spans="1:6" x14ac:dyDescent="0.25">
      <c r="A999" s="40">
        <v>43493</v>
      </c>
      <c r="B999" s="56"/>
      <c r="C999" s="56" t="s">
        <v>2178</v>
      </c>
      <c r="D999" s="56"/>
      <c r="E999" s="56" t="s">
        <v>2179</v>
      </c>
      <c r="F999" s="56" t="s">
        <v>2180</v>
      </c>
    </row>
    <row r="1000" spans="1:6" x14ac:dyDescent="0.25">
      <c r="A1000" s="40">
        <v>43493</v>
      </c>
      <c r="B1000" s="68"/>
      <c r="C1000" s="68" t="s">
        <v>2181</v>
      </c>
      <c r="D1000" s="68"/>
      <c r="E1000" s="68" t="s">
        <v>2182</v>
      </c>
      <c r="F1000" s="68" t="s">
        <v>2183</v>
      </c>
    </row>
    <row r="1001" spans="1:6" x14ac:dyDescent="0.25">
      <c r="A1001" s="40">
        <v>43124</v>
      </c>
      <c r="B1001" s="67"/>
      <c r="C1001" s="67" t="s">
        <v>2184</v>
      </c>
      <c r="D1001" s="67" t="s">
        <v>2185</v>
      </c>
      <c r="E1001" s="67" t="s">
        <v>2186</v>
      </c>
      <c r="F1001" s="67" t="s">
        <v>2187</v>
      </c>
    </row>
    <row r="1002" spans="1:6" x14ac:dyDescent="0.25">
      <c r="A1002" s="41">
        <v>44199</v>
      </c>
      <c r="B1002" s="28"/>
      <c r="C1002" s="28" t="s">
        <v>4592</v>
      </c>
      <c r="D1002" s="28"/>
      <c r="E1002" s="28" t="s">
        <v>4792</v>
      </c>
      <c r="F1002" s="28" t="s">
        <v>4793</v>
      </c>
    </row>
    <row r="1003" spans="1:6" x14ac:dyDescent="0.25">
      <c r="A1003" s="40">
        <v>44123</v>
      </c>
      <c r="B1003" s="68"/>
      <c r="C1003" s="68" t="s">
        <v>2188</v>
      </c>
      <c r="D1003" s="68"/>
      <c r="E1003" s="68" t="s">
        <v>2189</v>
      </c>
      <c r="F1003" s="68" t="s">
        <v>2190</v>
      </c>
    </row>
    <row r="1004" spans="1:6" x14ac:dyDescent="0.25">
      <c r="A1004" s="40">
        <v>44013</v>
      </c>
      <c r="B1004" s="68"/>
      <c r="C1004" s="68" t="s">
        <v>2191</v>
      </c>
      <c r="D1004" s="68"/>
      <c r="E1004" s="68" t="s">
        <v>2192</v>
      </c>
      <c r="F1004" s="68" t="s">
        <v>2193</v>
      </c>
    </row>
    <row r="1005" spans="1:6" x14ac:dyDescent="0.25">
      <c r="A1005" s="40">
        <v>44013</v>
      </c>
      <c r="B1005" s="68"/>
      <c r="C1005" s="68" t="s">
        <v>2194</v>
      </c>
      <c r="D1005" s="68"/>
      <c r="E1005" s="68" t="s">
        <v>2195</v>
      </c>
      <c r="F1005" s="68" t="s">
        <v>2196</v>
      </c>
    </row>
    <row r="1006" spans="1:6" x14ac:dyDescent="0.25">
      <c r="A1006" s="40">
        <v>43991</v>
      </c>
      <c r="B1006" s="68"/>
      <c r="C1006" s="68" t="s">
        <v>2197</v>
      </c>
      <c r="D1006" s="68"/>
      <c r="E1006" s="68" t="s">
        <v>2198</v>
      </c>
      <c r="F1006" s="68" t="s">
        <v>2199</v>
      </c>
    </row>
    <row r="1007" spans="1:6" x14ac:dyDescent="0.25">
      <c r="A1007" s="40">
        <v>43989</v>
      </c>
      <c r="B1007" s="68"/>
      <c r="C1007" s="68" t="s">
        <v>2200</v>
      </c>
      <c r="D1007" s="68"/>
      <c r="E1007" s="68" t="s">
        <v>2201</v>
      </c>
      <c r="F1007" s="68" t="s">
        <v>2202</v>
      </c>
    </row>
    <row r="1008" spans="1:6" x14ac:dyDescent="0.25">
      <c r="A1008" s="41">
        <v>44199</v>
      </c>
      <c r="B1008" s="28"/>
      <c r="C1008" s="28" t="s">
        <v>4593</v>
      </c>
      <c r="D1008" s="28"/>
      <c r="E1008" s="28" t="s">
        <v>2204</v>
      </c>
      <c r="F1008" s="28" t="s">
        <v>2205</v>
      </c>
    </row>
    <row r="1009" spans="1:6" x14ac:dyDescent="0.25">
      <c r="A1009" s="40">
        <v>44082</v>
      </c>
      <c r="B1009" s="68"/>
      <c r="C1009" s="68" t="s">
        <v>2203</v>
      </c>
      <c r="D1009" s="68"/>
      <c r="E1009" s="68" t="s">
        <v>2204</v>
      </c>
      <c r="F1009" s="68" t="s">
        <v>2205</v>
      </c>
    </row>
    <row r="1010" spans="1:6" x14ac:dyDescent="0.25">
      <c r="A1010" s="40">
        <v>44013</v>
      </c>
      <c r="B1010" s="68"/>
      <c r="C1010" s="68" t="s">
        <v>2206</v>
      </c>
      <c r="D1010" s="68"/>
      <c r="E1010" s="68" t="s">
        <v>2207</v>
      </c>
      <c r="F1010" s="68" t="s">
        <v>2208</v>
      </c>
    </row>
    <row r="1011" spans="1:6" x14ac:dyDescent="0.25">
      <c r="A1011" s="41">
        <v>44200</v>
      </c>
      <c r="B1011" s="28"/>
      <c r="C1011" s="28" t="s">
        <v>5051</v>
      </c>
      <c r="D1011" s="28"/>
      <c r="E1011" s="28" t="s">
        <v>5051</v>
      </c>
      <c r="F1011" s="28" t="s">
        <v>5385</v>
      </c>
    </row>
    <row r="1012" spans="1:6" x14ac:dyDescent="0.25">
      <c r="A1012" s="41">
        <v>44199</v>
      </c>
      <c r="B1012" s="28"/>
      <c r="C1012" s="28" t="s">
        <v>4594</v>
      </c>
      <c r="D1012" s="28"/>
      <c r="E1012" s="28" t="s">
        <v>4794</v>
      </c>
      <c r="F1012" s="28" t="s">
        <v>4795</v>
      </c>
    </row>
    <row r="1013" spans="1:6" x14ac:dyDescent="0.25">
      <c r="A1013" s="41">
        <v>44199</v>
      </c>
      <c r="B1013" s="28"/>
      <c r="C1013" s="28" t="s">
        <v>4595</v>
      </c>
      <c r="D1013" s="28"/>
      <c r="E1013" s="28" t="s">
        <v>4595</v>
      </c>
      <c r="F1013" s="28" t="s">
        <v>4796</v>
      </c>
    </row>
    <row r="1014" spans="1:6" x14ac:dyDescent="0.25">
      <c r="A1014" s="41">
        <v>44199</v>
      </c>
      <c r="B1014" s="28"/>
      <c r="C1014" s="28" t="s">
        <v>4596</v>
      </c>
      <c r="D1014" s="28"/>
      <c r="E1014" s="28" t="s">
        <v>4596</v>
      </c>
      <c r="F1014" s="28" t="s">
        <v>4797</v>
      </c>
    </row>
    <row r="1015" spans="1:6" x14ac:dyDescent="0.25">
      <c r="A1015" s="41">
        <v>44199</v>
      </c>
      <c r="B1015" s="28"/>
      <c r="C1015" s="28" t="s">
        <v>4597</v>
      </c>
      <c r="D1015" s="28"/>
      <c r="E1015" s="28" t="s">
        <v>4597</v>
      </c>
      <c r="F1015" s="28" t="s">
        <v>4798</v>
      </c>
    </row>
    <row r="1016" spans="1:6" x14ac:dyDescent="0.25">
      <c r="A1016" s="41">
        <v>44199</v>
      </c>
      <c r="B1016" s="28"/>
      <c r="C1016" s="28" t="s">
        <v>4598</v>
      </c>
      <c r="D1016" s="28"/>
      <c r="E1016" s="28" t="s">
        <v>4598</v>
      </c>
      <c r="F1016" s="28" t="s">
        <v>4799</v>
      </c>
    </row>
    <row r="1017" spans="1:6" x14ac:dyDescent="0.25">
      <c r="A1017" s="41">
        <v>44200</v>
      </c>
      <c r="B1017" s="28"/>
      <c r="C1017" s="28" t="s">
        <v>5052</v>
      </c>
      <c r="D1017" s="28"/>
      <c r="E1017" s="28" t="s">
        <v>5220</v>
      </c>
      <c r="F1017" s="28" t="s">
        <v>5386</v>
      </c>
    </row>
    <row r="1018" spans="1:6" x14ac:dyDescent="0.25">
      <c r="A1018" s="41">
        <v>44200</v>
      </c>
      <c r="B1018" s="28"/>
      <c r="C1018" s="28" t="s">
        <v>5053</v>
      </c>
      <c r="D1018" s="28"/>
      <c r="E1018" s="28" t="s">
        <v>5221</v>
      </c>
      <c r="F1018" s="28" t="s">
        <v>5387</v>
      </c>
    </row>
    <row r="1019" spans="1:6" x14ac:dyDescent="0.25">
      <c r="A1019" s="41">
        <v>44200</v>
      </c>
      <c r="B1019" s="28"/>
      <c r="C1019" s="28" t="s">
        <v>5054</v>
      </c>
      <c r="D1019" s="28"/>
      <c r="E1019" s="28" t="s">
        <v>5222</v>
      </c>
      <c r="F1019" s="28" t="s">
        <v>5388</v>
      </c>
    </row>
    <row r="1020" spans="1:6" x14ac:dyDescent="0.25">
      <c r="A1020" s="41">
        <v>44200</v>
      </c>
      <c r="B1020" s="28"/>
      <c r="C1020" s="28" t="s">
        <v>5055</v>
      </c>
      <c r="D1020" s="28"/>
      <c r="E1020" s="28" t="s">
        <v>5223</v>
      </c>
      <c r="F1020" s="28" t="s">
        <v>5389</v>
      </c>
    </row>
    <row r="1021" spans="1:6" x14ac:dyDescent="0.25">
      <c r="A1021" s="41">
        <v>44200</v>
      </c>
      <c r="B1021" s="28"/>
      <c r="C1021" s="28" t="s">
        <v>5056</v>
      </c>
      <c r="D1021" s="28"/>
      <c r="E1021" s="28" t="s">
        <v>5224</v>
      </c>
      <c r="F1021" s="28" t="s">
        <v>5390</v>
      </c>
    </row>
    <row r="1022" spans="1:6" x14ac:dyDescent="0.25">
      <c r="A1022" s="41">
        <v>44200</v>
      </c>
      <c r="B1022" s="28"/>
      <c r="C1022" s="28" t="s">
        <v>5057</v>
      </c>
      <c r="D1022" s="28"/>
      <c r="E1022" s="28" t="s">
        <v>5225</v>
      </c>
      <c r="F1022" s="28" t="s">
        <v>5391</v>
      </c>
    </row>
    <row r="1023" spans="1:6" x14ac:dyDescent="0.25">
      <c r="A1023" s="41">
        <v>44200</v>
      </c>
      <c r="B1023" s="28"/>
      <c r="C1023" s="28" t="s">
        <v>5058</v>
      </c>
      <c r="D1023" s="28"/>
      <c r="E1023" s="28" t="s">
        <v>5226</v>
      </c>
      <c r="F1023" s="28" t="s">
        <v>5392</v>
      </c>
    </row>
    <row r="1024" spans="1:6" x14ac:dyDescent="0.25">
      <c r="A1024" s="41">
        <v>44236</v>
      </c>
      <c r="B1024" s="28"/>
      <c r="C1024" s="28" t="s">
        <v>5475</v>
      </c>
      <c r="D1024" s="28"/>
      <c r="E1024" s="28" t="s">
        <v>5476</v>
      </c>
      <c r="F1024" s="28" t="s">
        <v>5477</v>
      </c>
    </row>
    <row r="1025" spans="1:6" x14ac:dyDescent="0.25">
      <c r="A1025" s="40">
        <v>43392</v>
      </c>
      <c r="B1025" s="67"/>
      <c r="C1025" s="67" t="s">
        <v>2209</v>
      </c>
      <c r="D1025" s="67"/>
      <c r="E1025" s="67" t="s">
        <v>2210</v>
      </c>
      <c r="F1025" s="67" t="s">
        <v>2211</v>
      </c>
    </row>
    <row r="1026" spans="1:6" x14ac:dyDescent="0.25">
      <c r="A1026" s="40">
        <v>44014</v>
      </c>
      <c r="B1026" s="56"/>
      <c r="C1026" s="56" t="s">
        <v>2212</v>
      </c>
      <c r="D1026" s="56"/>
      <c r="E1026" s="56" t="s">
        <v>2213</v>
      </c>
      <c r="F1026" s="56" t="s">
        <v>2214</v>
      </c>
    </row>
    <row r="1027" spans="1:6" x14ac:dyDescent="0.25">
      <c r="A1027" s="40">
        <v>43524</v>
      </c>
      <c r="B1027" s="68"/>
      <c r="C1027" s="68" t="s">
        <v>2215</v>
      </c>
      <c r="D1027" s="68" t="s">
        <v>2216</v>
      </c>
      <c r="E1027" s="68" t="s">
        <v>2217</v>
      </c>
      <c r="F1027" s="68" t="s">
        <v>2218</v>
      </c>
    </row>
    <row r="1028" spans="1:6" x14ac:dyDescent="0.25">
      <c r="A1028" s="40">
        <v>43741</v>
      </c>
      <c r="B1028" s="68"/>
      <c r="C1028" s="68" t="s">
        <v>2219</v>
      </c>
      <c r="D1028" s="68"/>
      <c r="E1028" s="68" t="s">
        <v>2220</v>
      </c>
      <c r="F1028" s="68" t="s">
        <v>2221</v>
      </c>
    </row>
    <row r="1029" spans="1:6" x14ac:dyDescent="0.25">
      <c r="A1029" s="40">
        <v>43634</v>
      </c>
      <c r="B1029" s="68"/>
      <c r="C1029" s="68" t="s">
        <v>2222</v>
      </c>
      <c r="D1029" s="68"/>
      <c r="E1029" s="68" t="s">
        <v>2223</v>
      </c>
      <c r="F1029" s="68" t="s">
        <v>2224</v>
      </c>
    </row>
    <row r="1030" spans="1:6" x14ac:dyDescent="0.25">
      <c r="A1030" s="40">
        <v>44040</v>
      </c>
      <c r="B1030" s="68"/>
      <c r="C1030" s="68" t="s">
        <v>2225</v>
      </c>
      <c r="D1030" s="68"/>
      <c r="E1030" s="68" t="s">
        <v>2226</v>
      </c>
      <c r="F1030" s="68" t="s">
        <v>2227</v>
      </c>
    </row>
    <row r="1031" spans="1:6" x14ac:dyDescent="0.25">
      <c r="A1031" s="40">
        <v>43725</v>
      </c>
      <c r="B1031" s="67"/>
      <c r="C1031" s="67" t="s">
        <v>2228</v>
      </c>
      <c r="D1031" s="67"/>
      <c r="E1031" s="67" t="s">
        <v>2229</v>
      </c>
      <c r="F1031" s="67" t="s">
        <v>2230</v>
      </c>
    </row>
    <row r="1032" spans="1:6" x14ac:dyDescent="0.25">
      <c r="A1032" s="41">
        <v>44553</v>
      </c>
      <c r="B1032" s="28"/>
      <c r="C1032" s="28" t="s">
        <v>5734</v>
      </c>
      <c r="D1032" s="28" t="s">
        <v>5735</v>
      </c>
      <c r="E1032" s="28" t="s">
        <v>5736</v>
      </c>
      <c r="F1032" s="28" t="s">
        <v>5737</v>
      </c>
    </row>
    <row r="1033" spans="1:6" x14ac:dyDescent="0.25">
      <c r="A1033" s="40">
        <v>44013</v>
      </c>
      <c r="B1033" s="68"/>
      <c r="C1033" s="68" t="s">
        <v>2231</v>
      </c>
      <c r="D1033" s="68"/>
      <c r="E1033" s="68" t="s">
        <v>2232</v>
      </c>
      <c r="F1033" s="68" t="s">
        <v>2233</v>
      </c>
    </row>
    <row r="1034" spans="1:6" x14ac:dyDescent="0.25">
      <c r="A1034" s="40">
        <v>44041</v>
      </c>
      <c r="B1034" s="67"/>
      <c r="C1034" s="67" t="s">
        <v>2234</v>
      </c>
      <c r="D1034" s="67"/>
      <c r="E1034" s="67" t="s">
        <v>2235</v>
      </c>
      <c r="F1034" s="67" t="s">
        <v>2236</v>
      </c>
    </row>
    <row r="1035" spans="1:6" x14ac:dyDescent="0.25">
      <c r="A1035" s="41">
        <v>44199</v>
      </c>
      <c r="B1035" s="28"/>
      <c r="C1035" s="28" t="s">
        <v>4599</v>
      </c>
      <c r="D1035" s="28"/>
      <c r="E1035" s="28" t="s">
        <v>4800</v>
      </c>
      <c r="F1035" s="28" t="s">
        <v>4801</v>
      </c>
    </row>
    <row r="1036" spans="1:6" x14ac:dyDescent="0.25">
      <c r="A1036" s="41">
        <v>44199</v>
      </c>
      <c r="B1036" s="28"/>
      <c r="C1036" s="28" t="s">
        <v>4600</v>
      </c>
      <c r="D1036" s="28"/>
      <c r="E1036" s="28" t="s">
        <v>4802</v>
      </c>
      <c r="F1036" s="28" t="s">
        <v>4803</v>
      </c>
    </row>
    <row r="1037" spans="1:6" x14ac:dyDescent="0.25">
      <c r="A1037" s="41">
        <v>44199</v>
      </c>
      <c r="B1037" s="28"/>
      <c r="C1037" s="28" t="s">
        <v>4601</v>
      </c>
      <c r="D1037" s="28"/>
      <c r="E1037" s="28" t="s">
        <v>4804</v>
      </c>
      <c r="F1037" s="28" t="s">
        <v>4805</v>
      </c>
    </row>
    <row r="1038" spans="1:6" x14ac:dyDescent="0.25">
      <c r="A1038" s="41">
        <v>44199</v>
      </c>
      <c r="B1038" s="28"/>
      <c r="C1038" s="28" t="s">
        <v>4602</v>
      </c>
      <c r="D1038" s="28"/>
      <c r="E1038" s="28" t="s">
        <v>4806</v>
      </c>
      <c r="F1038" s="28" t="s">
        <v>4807</v>
      </c>
    </row>
    <row r="1039" spans="1:6" x14ac:dyDescent="0.25">
      <c r="A1039" s="40">
        <v>43454</v>
      </c>
      <c r="B1039" s="48"/>
      <c r="C1039" s="48" t="s">
        <v>2237</v>
      </c>
      <c r="D1039" s="48"/>
      <c r="E1039" s="48" t="s">
        <v>2238</v>
      </c>
      <c r="F1039" s="48" t="s">
        <v>2239</v>
      </c>
    </row>
    <row r="1040" spans="1:6" x14ac:dyDescent="0.25">
      <c r="A1040" s="40">
        <v>44054</v>
      </c>
      <c r="B1040" s="49"/>
      <c r="C1040" s="49" t="s">
        <v>2240</v>
      </c>
      <c r="D1040" s="49"/>
      <c r="E1040" s="49" t="s">
        <v>2241</v>
      </c>
      <c r="F1040" s="49" t="s">
        <v>2242</v>
      </c>
    </row>
    <row r="1041" spans="1:6" x14ac:dyDescent="0.25">
      <c r="A1041" s="41">
        <v>44199</v>
      </c>
      <c r="B1041" s="28"/>
      <c r="C1041" s="28" t="s">
        <v>4603</v>
      </c>
      <c r="D1041" s="28"/>
      <c r="E1041" s="28" t="s">
        <v>4808</v>
      </c>
      <c r="F1041" s="28" t="s">
        <v>4809</v>
      </c>
    </row>
    <row r="1042" spans="1:6" x14ac:dyDescent="0.25">
      <c r="A1042" s="40">
        <v>43754</v>
      </c>
      <c r="B1042" s="56"/>
      <c r="C1042" s="56" t="s">
        <v>2243</v>
      </c>
      <c r="D1042" s="56"/>
      <c r="E1042" s="56" t="s">
        <v>2244</v>
      </c>
      <c r="F1042" s="56" t="s">
        <v>2245</v>
      </c>
    </row>
    <row r="1043" spans="1:6" x14ac:dyDescent="0.25">
      <c r="A1043" s="40">
        <v>44043</v>
      </c>
      <c r="B1043" s="56"/>
      <c r="C1043" s="56" t="s">
        <v>2246</v>
      </c>
      <c r="D1043" s="56"/>
      <c r="E1043" s="56" t="s">
        <v>2247</v>
      </c>
      <c r="F1043" s="56" t="s">
        <v>2248</v>
      </c>
    </row>
    <row r="1044" spans="1:6" x14ac:dyDescent="0.25">
      <c r="A1044" s="40">
        <v>44083</v>
      </c>
      <c r="B1044" s="68"/>
      <c r="C1044" s="68" t="s">
        <v>2249</v>
      </c>
      <c r="D1044" s="68"/>
      <c r="E1044" s="68" t="s">
        <v>2249</v>
      </c>
      <c r="F1044" s="68" t="s">
        <v>2250</v>
      </c>
    </row>
    <row r="1045" spans="1:6" x14ac:dyDescent="0.25">
      <c r="A1045" s="41">
        <v>44200</v>
      </c>
      <c r="B1045" s="28"/>
      <c r="C1045" s="28" t="s">
        <v>5059</v>
      </c>
      <c r="D1045" s="28"/>
      <c r="E1045" s="28" t="s">
        <v>5227</v>
      </c>
      <c r="F1045" s="28" t="s">
        <v>5393</v>
      </c>
    </row>
    <row r="1046" spans="1:6" x14ac:dyDescent="0.25">
      <c r="A1046" s="40">
        <v>43700</v>
      </c>
      <c r="B1046" s="68"/>
      <c r="C1046" s="68" t="s">
        <v>2251</v>
      </c>
      <c r="D1046" s="68"/>
      <c r="E1046" s="68" t="s">
        <v>2252</v>
      </c>
      <c r="F1046" s="68" t="s">
        <v>2251</v>
      </c>
    </row>
    <row r="1047" spans="1:6" x14ac:dyDescent="0.25">
      <c r="A1047" s="40">
        <v>44082</v>
      </c>
      <c r="B1047" s="67"/>
      <c r="C1047" s="67" t="s">
        <v>2253</v>
      </c>
      <c r="D1047" s="67"/>
      <c r="E1047" s="67" t="s">
        <v>2253</v>
      </c>
      <c r="F1047" s="67" t="s">
        <v>2254</v>
      </c>
    </row>
    <row r="1048" spans="1:6" x14ac:dyDescent="0.25">
      <c r="A1048" s="40">
        <v>43840</v>
      </c>
      <c r="B1048" s="68"/>
      <c r="C1048" s="68" t="s">
        <v>2255</v>
      </c>
      <c r="D1048" s="68"/>
      <c r="E1048" s="68" t="s">
        <v>2256</v>
      </c>
      <c r="F1048" s="68" t="s">
        <v>2257</v>
      </c>
    </row>
    <row r="1049" spans="1:6" x14ac:dyDescent="0.25">
      <c r="A1049" s="40">
        <v>44172</v>
      </c>
      <c r="B1049" s="67"/>
      <c r="C1049" s="67" t="s">
        <v>2258</v>
      </c>
      <c r="D1049" s="67"/>
      <c r="E1049" s="67" t="s">
        <v>2259</v>
      </c>
      <c r="F1049" s="67" t="s">
        <v>2260</v>
      </c>
    </row>
    <row r="1050" spans="1:6" x14ac:dyDescent="0.25">
      <c r="A1050" s="40">
        <v>43530</v>
      </c>
      <c r="B1050" s="44"/>
      <c r="C1050" s="44" t="s">
        <v>2261</v>
      </c>
      <c r="D1050" s="44"/>
      <c r="E1050" s="44" t="s">
        <v>2262</v>
      </c>
      <c r="F1050" s="44" t="s">
        <v>2263</v>
      </c>
    </row>
    <row r="1051" spans="1:6" x14ac:dyDescent="0.25">
      <c r="A1051" s="40">
        <v>43894</v>
      </c>
      <c r="C1051" t="s">
        <v>2264</v>
      </c>
      <c r="E1051" t="s">
        <v>2265</v>
      </c>
      <c r="F1051" t="s">
        <v>2266</v>
      </c>
    </row>
    <row r="1052" spans="1:6" x14ac:dyDescent="0.25">
      <c r="A1052" s="41">
        <v>44236</v>
      </c>
      <c r="B1052" s="28"/>
      <c r="C1052" s="28" t="s">
        <v>5478</v>
      </c>
      <c r="D1052" s="28"/>
      <c r="E1052" s="28" t="s">
        <v>5479</v>
      </c>
      <c r="F1052" s="28" t="s">
        <v>5480</v>
      </c>
    </row>
    <row r="1053" spans="1:6" x14ac:dyDescent="0.25">
      <c r="A1053" s="40">
        <v>43384</v>
      </c>
      <c r="B1053" s="56"/>
      <c r="C1053" s="56" t="s">
        <v>2267</v>
      </c>
      <c r="D1053" s="56"/>
      <c r="E1053" s="56" t="s">
        <v>2268</v>
      </c>
      <c r="F1053" s="56" t="s">
        <v>2269</v>
      </c>
    </row>
    <row r="1054" spans="1:6" x14ac:dyDescent="0.25">
      <c r="A1054" s="41">
        <v>44200</v>
      </c>
      <c r="B1054" s="28"/>
      <c r="C1054" s="28" t="s">
        <v>5060</v>
      </c>
      <c r="D1054" s="28"/>
      <c r="E1054" s="28" t="s">
        <v>5060</v>
      </c>
      <c r="F1054" s="28" t="s">
        <v>5394</v>
      </c>
    </row>
    <row r="1055" spans="1:6" x14ac:dyDescent="0.25">
      <c r="A1055" s="40">
        <v>44013</v>
      </c>
      <c r="B1055" s="68"/>
      <c r="C1055" s="68" t="s">
        <v>2270</v>
      </c>
      <c r="D1055" s="68"/>
      <c r="E1055" s="68" t="s">
        <v>2271</v>
      </c>
      <c r="F1055" s="68" t="s">
        <v>2272</v>
      </c>
    </row>
    <row r="1056" spans="1:6" x14ac:dyDescent="0.25">
      <c r="A1056" s="41">
        <v>44199</v>
      </c>
      <c r="B1056" s="28"/>
      <c r="C1056" s="28" t="s">
        <v>4604</v>
      </c>
      <c r="D1056" s="28"/>
      <c r="E1056" s="28" t="s">
        <v>472</v>
      </c>
      <c r="F1056" s="28" t="s">
        <v>473</v>
      </c>
    </row>
    <row r="1057" spans="1:6" x14ac:dyDescent="0.25">
      <c r="A1057" s="40">
        <v>44120</v>
      </c>
      <c r="B1057" s="67"/>
      <c r="C1057" s="67" t="s">
        <v>2273</v>
      </c>
      <c r="D1057" s="67"/>
      <c r="E1057" s="67" t="s">
        <v>2274</v>
      </c>
      <c r="F1057" s="67" t="s">
        <v>2275</v>
      </c>
    </row>
    <row r="1058" spans="1:6" x14ac:dyDescent="0.25">
      <c r="A1058" s="40">
        <v>44120</v>
      </c>
      <c r="B1058" s="56"/>
      <c r="C1058" s="56" t="s">
        <v>2276</v>
      </c>
      <c r="D1058" s="56"/>
      <c r="E1058" s="56" t="s">
        <v>2277</v>
      </c>
      <c r="F1058" s="56" t="s">
        <v>2278</v>
      </c>
    </row>
    <row r="1059" spans="1:6" x14ac:dyDescent="0.25">
      <c r="A1059" s="40">
        <v>44120</v>
      </c>
      <c r="B1059" s="68"/>
      <c r="C1059" s="68" t="s">
        <v>2279</v>
      </c>
      <c r="D1059" s="68"/>
      <c r="E1059" s="68" t="s">
        <v>2280</v>
      </c>
      <c r="F1059" s="68" t="s">
        <v>2281</v>
      </c>
    </row>
    <row r="1060" spans="1:6" x14ac:dyDescent="0.25">
      <c r="A1060" s="40">
        <v>43725</v>
      </c>
      <c r="B1060" s="68"/>
      <c r="C1060" s="68" t="s">
        <v>1162</v>
      </c>
      <c r="D1060" s="68"/>
      <c r="E1060" s="68" t="s">
        <v>2282</v>
      </c>
      <c r="F1060" s="68" t="s">
        <v>2283</v>
      </c>
    </row>
    <row r="1061" spans="1:6" x14ac:dyDescent="0.25">
      <c r="A1061" s="40">
        <v>43725</v>
      </c>
      <c r="B1061" s="68"/>
      <c r="C1061" s="68" t="s">
        <v>2284</v>
      </c>
      <c r="D1061" s="68"/>
      <c r="E1061" s="68" t="s">
        <v>2285</v>
      </c>
      <c r="F1061" s="68" t="s">
        <v>2286</v>
      </c>
    </row>
    <row r="1062" spans="1:6" x14ac:dyDescent="0.25">
      <c r="A1062" s="40">
        <v>43725</v>
      </c>
      <c r="B1062" s="68"/>
      <c r="C1062" s="68" t="s">
        <v>2287</v>
      </c>
      <c r="D1062" s="68"/>
      <c r="E1062" s="68" t="s">
        <v>2288</v>
      </c>
      <c r="F1062" s="68" t="s">
        <v>2289</v>
      </c>
    </row>
    <row r="1063" spans="1:6" x14ac:dyDescent="0.25">
      <c r="A1063" s="41">
        <v>44301</v>
      </c>
      <c r="B1063" s="28">
        <v>1</v>
      </c>
      <c r="C1063" s="28" t="s">
        <v>5620</v>
      </c>
      <c r="D1063" s="28"/>
      <c r="E1063" s="28" t="s">
        <v>5621</v>
      </c>
      <c r="F1063" s="28" t="s">
        <v>5622</v>
      </c>
    </row>
    <row r="1064" spans="1:6" x14ac:dyDescent="0.25">
      <c r="A1064" s="41">
        <v>44199</v>
      </c>
      <c r="B1064" s="28"/>
      <c r="C1064" s="28" t="s">
        <v>4605</v>
      </c>
      <c r="D1064" s="28"/>
      <c r="E1064" s="28" t="s">
        <v>4810</v>
      </c>
      <c r="F1064" s="28" t="s">
        <v>4811</v>
      </c>
    </row>
    <row r="1065" spans="1:6" x14ac:dyDescent="0.25">
      <c r="A1065" s="40">
        <v>43740</v>
      </c>
      <c r="B1065" s="48"/>
      <c r="C1065" s="48" t="s">
        <v>2290</v>
      </c>
      <c r="D1065" s="48"/>
      <c r="E1065" s="48" t="s">
        <v>2291</v>
      </c>
      <c r="F1065" s="48" t="s">
        <v>2292</v>
      </c>
    </row>
    <row r="1066" spans="1:6" x14ac:dyDescent="0.25">
      <c r="A1066" s="40">
        <v>43740</v>
      </c>
      <c r="B1066" s="37"/>
      <c r="C1066" s="37" t="s">
        <v>2293</v>
      </c>
      <c r="D1066" s="37"/>
      <c r="E1066" s="37" t="s">
        <v>2294</v>
      </c>
      <c r="F1066" s="37" t="s">
        <v>2295</v>
      </c>
    </row>
    <row r="1067" spans="1:6" x14ac:dyDescent="0.25">
      <c r="A1067" s="41">
        <v>44199</v>
      </c>
      <c r="B1067" s="28"/>
      <c r="C1067" s="28" t="s">
        <v>1945</v>
      </c>
      <c r="D1067" s="28"/>
      <c r="E1067" s="28" t="s">
        <v>1945</v>
      </c>
      <c r="F1067" s="28" t="s">
        <v>1946</v>
      </c>
    </row>
    <row r="1068" spans="1:6" x14ac:dyDescent="0.25">
      <c r="A1068" s="41">
        <v>44491</v>
      </c>
      <c r="B1068" s="28"/>
      <c r="C1068" s="28" t="s">
        <v>5738</v>
      </c>
      <c r="D1068" s="28"/>
      <c r="E1068" s="28" t="s">
        <v>5739</v>
      </c>
      <c r="F1068" s="28" t="s">
        <v>5740</v>
      </c>
    </row>
    <row r="1069" spans="1:6" x14ac:dyDescent="0.25">
      <c r="A1069" s="41">
        <v>44199</v>
      </c>
      <c r="B1069" s="28"/>
      <c r="C1069" s="28" t="s">
        <v>4606</v>
      </c>
      <c r="D1069" s="28"/>
      <c r="E1069" s="28" t="s">
        <v>4812</v>
      </c>
      <c r="F1069" s="28" t="s">
        <v>4813</v>
      </c>
    </row>
    <row r="1070" spans="1:6" x14ac:dyDescent="0.25">
      <c r="A1070" s="41">
        <v>44199</v>
      </c>
      <c r="B1070" s="28"/>
      <c r="C1070" s="28" t="s">
        <v>4607</v>
      </c>
      <c r="D1070" s="28"/>
      <c r="E1070" s="28" t="s">
        <v>4814</v>
      </c>
      <c r="F1070" s="28" t="s">
        <v>4815</v>
      </c>
    </row>
    <row r="1071" spans="1:6" x14ac:dyDescent="0.25">
      <c r="A1071" s="40">
        <v>44120</v>
      </c>
      <c r="B1071" s="68"/>
      <c r="C1071" s="68" t="s">
        <v>2296</v>
      </c>
      <c r="D1071" s="68"/>
      <c r="E1071" s="68" t="s">
        <v>2297</v>
      </c>
      <c r="F1071" s="68" t="s">
        <v>2298</v>
      </c>
    </row>
    <row r="1072" spans="1:6" x14ac:dyDescent="0.25">
      <c r="A1072" s="40">
        <v>44120</v>
      </c>
      <c r="B1072" s="56"/>
      <c r="C1072" s="56" t="s">
        <v>2299</v>
      </c>
      <c r="D1072" s="56"/>
      <c r="E1072" s="56" t="s">
        <v>2300</v>
      </c>
      <c r="F1072" s="56" t="s">
        <v>2301</v>
      </c>
    </row>
    <row r="1073" spans="1:6" x14ac:dyDescent="0.25">
      <c r="A1073" s="40">
        <v>44120</v>
      </c>
      <c r="B1073" s="56"/>
      <c r="C1073" s="56" t="s">
        <v>2302</v>
      </c>
      <c r="D1073" s="56"/>
      <c r="E1073" s="56" t="s">
        <v>2303</v>
      </c>
      <c r="F1073" s="56" t="s">
        <v>2304</v>
      </c>
    </row>
    <row r="1074" spans="1:6" x14ac:dyDescent="0.25">
      <c r="A1074" s="40">
        <v>44145</v>
      </c>
      <c r="B1074" s="68"/>
      <c r="C1074" s="68" t="s">
        <v>2305</v>
      </c>
      <c r="D1074" s="68"/>
      <c r="E1074" s="68" t="s">
        <v>2306</v>
      </c>
      <c r="F1074" s="68" t="s">
        <v>2307</v>
      </c>
    </row>
    <row r="1075" spans="1:6" x14ac:dyDescent="0.25">
      <c r="A1075" s="40">
        <v>44145</v>
      </c>
      <c r="B1075" s="68"/>
      <c r="C1075" s="68" t="s">
        <v>2308</v>
      </c>
      <c r="D1075" s="68"/>
      <c r="E1075" s="68" t="s">
        <v>2309</v>
      </c>
      <c r="F1075" s="68" t="s">
        <v>2310</v>
      </c>
    </row>
    <row r="1076" spans="1:6" x14ac:dyDescent="0.25">
      <c r="A1076" s="40">
        <v>43461</v>
      </c>
      <c r="B1076" s="68"/>
      <c r="C1076" s="68" t="s">
        <v>2311</v>
      </c>
      <c r="D1076" s="68"/>
      <c r="E1076" s="68" t="s">
        <v>2312</v>
      </c>
      <c r="F1076" s="68" t="s">
        <v>2313</v>
      </c>
    </row>
    <row r="1077" spans="1:6" x14ac:dyDescent="0.25">
      <c r="A1077" s="41">
        <v>44833</v>
      </c>
      <c r="B1077" s="28"/>
      <c r="C1077" s="28" t="s">
        <v>5834</v>
      </c>
      <c r="D1077" s="28"/>
      <c r="E1077" s="28" t="s">
        <v>5835</v>
      </c>
      <c r="F1077" s="28" t="s">
        <v>5836</v>
      </c>
    </row>
    <row r="1078" spans="1:6" x14ac:dyDescent="0.25">
      <c r="A1078" s="40">
        <v>44012</v>
      </c>
      <c r="B1078" s="56"/>
      <c r="C1078" s="56" t="s">
        <v>2314</v>
      </c>
      <c r="D1078" s="56"/>
      <c r="E1078" s="56" t="s">
        <v>2315</v>
      </c>
      <c r="F1078" s="56" t="s">
        <v>2316</v>
      </c>
    </row>
    <row r="1079" spans="1:6" x14ac:dyDescent="0.25">
      <c r="A1079" s="41">
        <v>44199</v>
      </c>
      <c r="B1079" s="28"/>
      <c r="C1079" s="28" t="s">
        <v>4608</v>
      </c>
      <c r="D1079" s="28"/>
      <c r="E1079" s="28" t="s">
        <v>4816</v>
      </c>
      <c r="F1079" s="28" t="s">
        <v>4817</v>
      </c>
    </row>
    <row r="1080" spans="1:6" x14ac:dyDescent="0.25">
      <c r="A1080" s="40">
        <v>44013</v>
      </c>
      <c r="B1080" s="56"/>
      <c r="C1080" s="56" t="s">
        <v>2317</v>
      </c>
      <c r="D1080" s="56"/>
      <c r="E1080" s="56" t="s">
        <v>2318</v>
      </c>
      <c r="F1080" s="56" t="s">
        <v>2319</v>
      </c>
    </row>
    <row r="1081" spans="1:6" x14ac:dyDescent="0.25">
      <c r="A1081" s="40">
        <v>44169</v>
      </c>
      <c r="B1081" s="68"/>
      <c r="C1081" s="68" t="s">
        <v>2320</v>
      </c>
      <c r="D1081" s="68"/>
      <c r="E1081" s="68" t="s">
        <v>2321</v>
      </c>
      <c r="F1081" s="68" t="s">
        <v>2322</v>
      </c>
    </row>
    <row r="1082" spans="1:6" x14ac:dyDescent="0.25">
      <c r="A1082" s="41">
        <v>44200</v>
      </c>
      <c r="B1082" s="28"/>
      <c r="C1082" s="28" t="s">
        <v>5061</v>
      </c>
      <c r="D1082" s="28"/>
      <c r="E1082" s="28" t="s">
        <v>5228</v>
      </c>
      <c r="F1082" s="28" t="s">
        <v>5395</v>
      </c>
    </row>
    <row r="1083" spans="1:6" x14ac:dyDescent="0.25">
      <c r="A1083" s="41">
        <v>44199</v>
      </c>
      <c r="B1083" s="28"/>
      <c r="C1083" s="28" t="s">
        <v>4609</v>
      </c>
      <c r="D1083" s="28"/>
      <c r="E1083" s="28" t="s">
        <v>4818</v>
      </c>
      <c r="F1083" s="28" t="s">
        <v>4819</v>
      </c>
    </row>
    <row r="1084" spans="1:6" x14ac:dyDescent="0.25">
      <c r="A1084" s="41">
        <v>44199</v>
      </c>
      <c r="B1084" s="28"/>
      <c r="C1084" s="28" t="s">
        <v>4610</v>
      </c>
      <c r="D1084" s="28"/>
      <c r="E1084" s="28" t="s">
        <v>4610</v>
      </c>
      <c r="F1084" s="28" t="s">
        <v>4820</v>
      </c>
    </row>
    <row r="1085" spans="1:6" x14ac:dyDescent="0.25">
      <c r="A1085" s="40">
        <v>43608</v>
      </c>
      <c r="B1085" s="49"/>
      <c r="C1085" s="49" t="s">
        <v>2323</v>
      </c>
      <c r="D1085" s="49" t="s">
        <v>2324</v>
      </c>
      <c r="E1085" s="49" t="s">
        <v>2323</v>
      </c>
      <c r="F1085" s="49" t="s">
        <v>2323</v>
      </c>
    </row>
    <row r="1086" spans="1:6" x14ac:dyDescent="0.25">
      <c r="A1086" s="40">
        <v>43996</v>
      </c>
      <c r="B1086" s="49"/>
      <c r="C1086" s="49" t="s">
        <v>2325</v>
      </c>
      <c r="D1086" s="49"/>
      <c r="E1086" s="49" t="s">
        <v>2326</v>
      </c>
      <c r="F1086" s="49" t="s">
        <v>2327</v>
      </c>
    </row>
    <row r="1087" spans="1:6" x14ac:dyDescent="0.25">
      <c r="A1087" s="40">
        <v>43762</v>
      </c>
      <c r="B1087" s="48"/>
      <c r="C1087" s="48" t="s">
        <v>2328</v>
      </c>
      <c r="D1087" s="48"/>
      <c r="E1087" s="48" t="s">
        <v>2329</v>
      </c>
      <c r="F1087" s="48" t="s">
        <v>2330</v>
      </c>
    </row>
    <row r="1088" spans="1:6" x14ac:dyDescent="0.25">
      <c r="A1088" s="40">
        <v>43384</v>
      </c>
      <c r="B1088" s="44"/>
      <c r="C1088" s="44" t="s">
        <v>2331</v>
      </c>
      <c r="D1088" s="44"/>
      <c r="E1088" s="44" t="s">
        <v>2332</v>
      </c>
      <c r="F1088" s="44" t="s">
        <v>2333</v>
      </c>
    </row>
    <row r="1089" spans="1:6" x14ac:dyDescent="0.25">
      <c r="A1089" s="41">
        <v>44199</v>
      </c>
      <c r="B1089" s="28"/>
      <c r="C1089" s="28" t="s">
        <v>4611</v>
      </c>
      <c r="D1089" s="28"/>
      <c r="E1089" s="28" t="s">
        <v>4821</v>
      </c>
      <c r="F1089" s="28" t="s">
        <v>2438</v>
      </c>
    </row>
    <row r="1090" spans="1:6" x14ac:dyDescent="0.25">
      <c r="A1090" s="40">
        <v>44120</v>
      </c>
      <c r="B1090" s="56"/>
      <c r="C1090" s="56" t="s">
        <v>2334</v>
      </c>
      <c r="D1090" s="56"/>
      <c r="E1090" s="56" t="s">
        <v>2335</v>
      </c>
      <c r="F1090" s="56" t="s">
        <v>2336</v>
      </c>
    </row>
    <row r="1091" spans="1:6" x14ac:dyDescent="0.25">
      <c r="A1091" s="40">
        <v>44120</v>
      </c>
      <c r="B1091" s="56"/>
      <c r="C1091" s="56" t="s">
        <v>2337</v>
      </c>
      <c r="D1091" s="56"/>
      <c r="E1091" s="56" t="s">
        <v>2338</v>
      </c>
      <c r="F1091" s="56" t="s">
        <v>2339</v>
      </c>
    </row>
    <row r="1092" spans="1:6" x14ac:dyDescent="0.25">
      <c r="A1092" s="40">
        <v>44120</v>
      </c>
      <c r="B1092" s="56"/>
      <c r="C1092" s="56" t="s">
        <v>2340</v>
      </c>
      <c r="D1092" s="56"/>
      <c r="E1092" s="56" t="s">
        <v>2341</v>
      </c>
      <c r="F1092" s="56" t="s">
        <v>2342</v>
      </c>
    </row>
    <row r="1093" spans="1:6" x14ac:dyDescent="0.25">
      <c r="A1093" s="40">
        <v>43469</v>
      </c>
      <c r="B1093" s="68"/>
      <c r="C1093" s="68" t="s">
        <v>2343</v>
      </c>
      <c r="D1093" s="68"/>
      <c r="E1093" s="68" t="s">
        <v>2344</v>
      </c>
      <c r="F1093" s="68" t="s">
        <v>2345</v>
      </c>
    </row>
    <row r="1094" spans="1:6" x14ac:dyDescent="0.25">
      <c r="A1094" s="40">
        <v>43564</v>
      </c>
      <c r="B1094" s="68"/>
      <c r="C1094" s="68" t="s">
        <v>2346</v>
      </c>
      <c r="D1094" s="68"/>
      <c r="E1094" s="68" t="s">
        <v>2347</v>
      </c>
      <c r="F1094" s="68" t="s">
        <v>2348</v>
      </c>
    </row>
    <row r="1095" spans="1:6" x14ac:dyDescent="0.25">
      <c r="A1095" s="40">
        <v>43564</v>
      </c>
      <c r="B1095" s="68"/>
      <c r="C1095" s="68" t="s">
        <v>2349</v>
      </c>
      <c r="D1095" s="68"/>
      <c r="E1095" s="68" t="s">
        <v>2350</v>
      </c>
      <c r="F1095" s="68" t="s">
        <v>2351</v>
      </c>
    </row>
    <row r="1096" spans="1:6" x14ac:dyDescent="0.25">
      <c r="A1096" s="40">
        <v>43984</v>
      </c>
      <c r="B1096" s="68"/>
      <c r="C1096" s="68" t="s">
        <v>2352</v>
      </c>
      <c r="D1096" s="68"/>
      <c r="E1096" s="68" t="s">
        <v>2353</v>
      </c>
      <c r="F1096" s="68" t="s">
        <v>2354</v>
      </c>
    </row>
    <row r="1097" spans="1:6" x14ac:dyDescent="0.25">
      <c r="A1097" s="40">
        <v>43469</v>
      </c>
      <c r="B1097" s="56"/>
      <c r="C1097" s="56" t="s">
        <v>2355</v>
      </c>
      <c r="D1097" s="56"/>
      <c r="E1097" s="56" t="s">
        <v>2356</v>
      </c>
      <c r="F1097" s="56" t="s">
        <v>2357</v>
      </c>
    </row>
    <row r="1098" spans="1:6" x14ac:dyDescent="0.25">
      <c r="A1098" s="40">
        <v>43815</v>
      </c>
      <c r="B1098" s="56"/>
      <c r="C1098" s="56" t="s">
        <v>2358</v>
      </c>
      <c r="D1098" s="56"/>
      <c r="E1098" s="56" t="s">
        <v>2359</v>
      </c>
      <c r="F1098" s="56" t="s">
        <v>2360</v>
      </c>
    </row>
    <row r="1099" spans="1:6" x14ac:dyDescent="0.25">
      <c r="A1099" s="40">
        <v>43469</v>
      </c>
      <c r="B1099" s="56"/>
      <c r="C1099" s="56" t="s">
        <v>2361</v>
      </c>
      <c r="D1099" s="56"/>
      <c r="E1099" s="56" t="s">
        <v>2362</v>
      </c>
      <c r="F1099" s="56" t="s">
        <v>2363</v>
      </c>
    </row>
    <row r="1100" spans="1:6" x14ac:dyDescent="0.25">
      <c r="A1100" s="40">
        <v>44006</v>
      </c>
      <c r="B1100" s="68"/>
      <c r="C1100" s="68" t="s">
        <v>2364</v>
      </c>
      <c r="D1100" s="68"/>
      <c r="E1100" s="68" t="s">
        <v>2365</v>
      </c>
      <c r="F1100" s="68" t="s">
        <v>2366</v>
      </c>
    </row>
    <row r="1101" spans="1:6" x14ac:dyDescent="0.25">
      <c r="A1101" s="41">
        <v>44199</v>
      </c>
      <c r="B1101" s="28"/>
      <c r="C1101" s="28" t="s">
        <v>4612</v>
      </c>
      <c r="D1101" s="28"/>
      <c r="E1101" s="28" t="s">
        <v>4822</v>
      </c>
      <c r="F1101" s="28" t="s">
        <v>4823</v>
      </c>
    </row>
    <row r="1102" spans="1:6" x14ac:dyDescent="0.25">
      <c r="A1102" s="41">
        <v>44199</v>
      </c>
      <c r="B1102" s="28"/>
      <c r="C1102" s="28" t="s">
        <v>4613</v>
      </c>
      <c r="D1102" s="28"/>
      <c r="E1102" s="28" t="s">
        <v>203</v>
      </c>
      <c r="F1102" s="28" t="s">
        <v>204</v>
      </c>
    </row>
    <row r="1103" spans="1:6" x14ac:dyDescent="0.25">
      <c r="A1103" s="41">
        <v>44199</v>
      </c>
      <c r="B1103" s="28"/>
      <c r="C1103" s="28" t="s">
        <v>4614</v>
      </c>
      <c r="D1103" s="28"/>
      <c r="E1103" s="28" t="s">
        <v>4824</v>
      </c>
      <c r="F1103" s="28" t="s">
        <v>4825</v>
      </c>
    </row>
    <row r="1104" spans="1:6" x14ac:dyDescent="0.25">
      <c r="A1104" s="41">
        <v>44301</v>
      </c>
      <c r="B1104" s="28">
        <v>2</v>
      </c>
      <c r="C1104" s="28" t="s">
        <v>5623</v>
      </c>
      <c r="D1104" s="28"/>
      <c r="E1104" s="28" t="s">
        <v>5623</v>
      </c>
      <c r="F1104" s="28" t="s">
        <v>5624</v>
      </c>
    </row>
    <row r="1105" spans="1:6" x14ac:dyDescent="0.25">
      <c r="B1105" s="34"/>
      <c r="C1105" s="34" t="s">
        <v>2367</v>
      </c>
      <c r="D1105" s="34"/>
      <c r="E1105" s="34" t="s">
        <v>2367</v>
      </c>
      <c r="F1105" s="34" t="s">
        <v>2368</v>
      </c>
    </row>
    <row r="1106" spans="1:6" x14ac:dyDescent="0.25">
      <c r="A1106" s="40">
        <v>43469</v>
      </c>
      <c r="B1106" s="34"/>
      <c r="C1106" s="34" t="s">
        <v>2369</v>
      </c>
      <c r="D1106" s="34"/>
      <c r="E1106" s="34" t="s">
        <v>2370</v>
      </c>
      <c r="F1106" s="34" t="s">
        <v>2371</v>
      </c>
    </row>
    <row r="1107" spans="1:6" x14ac:dyDescent="0.25">
      <c r="A1107" s="40">
        <v>44007</v>
      </c>
      <c r="B1107" s="37"/>
      <c r="C1107" s="37" t="s">
        <v>2372</v>
      </c>
      <c r="D1107" s="37"/>
      <c r="E1107" s="37" t="s">
        <v>2373</v>
      </c>
      <c r="F1107" s="37" t="s">
        <v>2374</v>
      </c>
    </row>
    <row r="1108" spans="1:6" x14ac:dyDescent="0.25">
      <c r="A1108" s="41">
        <v>44301</v>
      </c>
      <c r="B1108" s="28">
        <v>2</v>
      </c>
      <c r="C1108" s="28" t="s">
        <v>5625</v>
      </c>
      <c r="D1108" s="28"/>
      <c r="E1108" s="28" t="s">
        <v>5626</v>
      </c>
      <c r="F1108" s="28" t="s">
        <v>5627</v>
      </c>
    </row>
    <row r="1109" spans="1:6" x14ac:dyDescent="0.25">
      <c r="A1109" s="40">
        <v>44011</v>
      </c>
      <c r="B1109" s="56"/>
      <c r="C1109" s="56" t="s">
        <v>2375</v>
      </c>
      <c r="D1109" s="56"/>
      <c r="E1109" s="56" t="s">
        <v>2376</v>
      </c>
      <c r="F1109" s="56" t="s">
        <v>2377</v>
      </c>
    </row>
    <row r="1110" spans="1:6" x14ac:dyDescent="0.25">
      <c r="A1110" s="41">
        <v>44270</v>
      </c>
      <c r="B1110" s="28"/>
      <c r="C1110" s="28" t="s">
        <v>5528</v>
      </c>
      <c r="D1110" s="28" t="s">
        <v>5529</v>
      </c>
      <c r="E1110" s="28" t="s">
        <v>5530</v>
      </c>
      <c r="F1110" s="28" t="s">
        <v>5531</v>
      </c>
    </row>
    <row r="1111" spans="1:6" x14ac:dyDescent="0.25">
      <c r="A1111" s="41">
        <v>44301</v>
      </c>
      <c r="B1111" s="28">
        <v>0</v>
      </c>
      <c r="C1111" s="28" t="s">
        <v>5628</v>
      </c>
      <c r="D1111" s="28"/>
      <c r="E1111" s="28" t="s">
        <v>5491</v>
      </c>
      <c r="F1111" s="28" t="s">
        <v>5492</v>
      </c>
    </row>
    <row r="1112" spans="1:6" x14ac:dyDescent="0.25">
      <c r="A1112" s="40">
        <v>43785</v>
      </c>
      <c r="C1112" t="s">
        <v>2378</v>
      </c>
      <c r="E1112" t="s">
        <v>2378</v>
      </c>
      <c r="F1112" t="s">
        <v>2378</v>
      </c>
    </row>
    <row r="1113" spans="1:6" x14ac:dyDescent="0.25">
      <c r="A1113" s="40">
        <v>44123</v>
      </c>
      <c r="B1113" s="56"/>
      <c r="C1113" s="56" t="s">
        <v>2379</v>
      </c>
      <c r="D1113" s="56"/>
      <c r="E1113" s="56" t="s">
        <v>2380</v>
      </c>
      <c r="F1113" s="56" t="s">
        <v>2381</v>
      </c>
    </row>
    <row r="1114" spans="1:6" x14ac:dyDescent="0.25">
      <c r="A1114" s="40">
        <v>44230</v>
      </c>
      <c r="B1114" s="56"/>
      <c r="C1114" s="56" t="s">
        <v>5447</v>
      </c>
      <c r="D1114" s="56"/>
      <c r="E1114" s="56" t="s">
        <v>5448</v>
      </c>
      <c r="F1114" s="56" t="s">
        <v>5449</v>
      </c>
    </row>
    <row r="1115" spans="1:6" x14ac:dyDescent="0.25">
      <c r="A1115" s="40">
        <v>43356</v>
      </c>
      <c r="B1115" s="56"/>
      <c r="C1115" s="56" t="s">
        <v>2382</v>
      </c>
      <c r="D1115" s="56"/>
      <c r="E1115" s="56" t="s">
        <v>2383</v>
      </c>
      <c r="F1115" s="56" t="s">
        <v>2384</v>
      </c>
    </row>
    <row r="1116" spans="1:6" x14ac:dyDescent="0.25">
      <c r="A1116" s="40">
        <v>43355</v>
      </c>
      <c r="B1116" s="68"/>
      <c r="C1116" s="68" t="s">
        <v>2385</v>
      </c>
      <c r="D1116" s="68"/>
      <c r="E1116" s="68" t="s">
        <v>2386</v>
      </c>
      <c r="F1116" s="68" t="s">
        <v>2387</v>
      </c>
    </row>
    <row r="1117" spans="1:6" x14ac:dyDescent="0.25">
      <c r="A1117" s="40">
        <v>43864</v>
      </c>
      <c r="B1117" s="68"/>
      <c r="C1117" s="68" t="s">
        <v>2388</v>
      </c>
      <c r="D1117" s="68"/>
      <c r="E1117" s="68" t="s">
        <v>2389</v>
      </c>
      <c r="F1117" s="68" t="s">
        <v>2390</v>
      </c>
    </row>
    <row r="1118" spans="1:6" x14ac:dyDescent="0.25">
      <c r="A1118" s="40">
        <v>44084</v>
      </c>
      <c r="B1118" s="48"/>
      <c r="C1118" s="48" t="s">
        <v>2391</v>
      </c>
      <c r="D1118" s="48"/>
      <c r="E1118" s="48" t="s">
        <v>2392</v>
      </c>
      <c r="F1118" s="48" t="s">
        <v>2393</v>
      </c>
    </row>
    <row r="1119" spans="1:6" x14ac:dyDescent="0.25">
      <c r="A1119" s="41">
        <v>44301</v>
      </c>
      <c r="B1119" s="28">
        <v>2</v>
      </c>
      <c r="C1119" s="28" t="s">
        <v>5629</v>
      </c>
      <c r="D1119" s="28"/>
      <c r="E1119" s="28" t="s">
        <v>5630</v>
      </c>
      <c r="F1119" s="28" t="s">
        <v>5631</v>
      </c>
    </row>
    <row r="1120" spans="1:6" x14ac:dyDescent="0.25">
      <c r="A1120" s="40">
        <v>44011</v>
      </c>
      <c r="B1120" s="44"/>
      <c r="C1120" s="44" t="s">
        <v>2394</v>
      </c>
      <c r="D1120" s="44"/>
      <c r="E1120" s="44" t="s">
        <v>2395</v>
      </c>
      <c r="F1120" s="44" t="s">
        <v>2396</v>
      </c>
    </row>
    <row r="1121" spans="1:6" x14ac:dyDescent="0.25">
      <c r="A1121" s="40">
        <v>43398</v>
      </c>
      <c r="B1121" s="44"/>
      <c r="C1121" s="44" t="s">
        <v>2397</v>
      </c>
      <c r="D1121" s="44"/>
      <c r="E1121" s="44" t="s">
        <v>2398</v>
      </c>
      <c r="F1121" s="44" t="s">
        <v>2399</v>
      </c>
    </row>
    <row r="1122" spans="1:6" x14ac:dyDescent="0.25">
      <c r="A1122" s="40">
        <v>43592</v>
      </c>
      <c r="B1122" s="44"/>
      <c r="C1122" s="44" t="s">
        <v>2400</v>
      </c>
      <c r="D1122" s="44"/>
      <c r="E1122" s="44" t="s">
        <v>2401</v>
      </c>
      <c r="F1122" s="44" t="s">
        <v>2402</v>
      </c>
    </row>
    <row r="1123" spans="1:6" x14ac:dyDescent="0.25">
      <c r="A1123" s="40">
        <v>43462</v>
      </c>
      <c r="B1123" s="48"/>
      <c r="C1123" s="48" t="s">
        <v>2403</v>
      </c>
      <c r="D1123" s="48"/>
      <c r="E1123" s="48" t="s">
        <v>2404</v>
      </c>
      <c r="F1123" s="48" t="s">
        <v>2405</v>
      </c>
    </row>
    <row r="1124" spans="1:6" x14ac:dyDescent="0.25">
      <c r="A1124" s="41">
        <v>44243</v>
      </c>
      <c r="B1124" s="28"/>
      <c r="C1124" s="28" t="s">
        <v>5481</v>
      </c>
      <c r="D1124" s="28"/>
      <c r="E1124" s="28" t="s">
        <v>5482</v>
      </c>
      <c r="F1124" s="28" t="s">
        <v>5483</v>
      </c>
    </row>
    <row r="1125" spans="1:6" x14ac:dyDescent="0.25">
      <c r="A1125" s="41">
        <v>44301</v>
      </c>
      <c r="B1125" s="28">
        <v>1</v>
      </c>
      <c r="C1125" s="28" t="s">
        <v>5632</v>
      </c>
      <c r="D1125" s="28"/>
      <c r="E1125" s="28" t="s">
        <v>5633</v>
      </c>
      <c r="F1125" s="28" t="s">
        <v>5634</v>
      </c>
    </row>
    <row r="1126" spans="1:6" x14ac:dyDescent="0.25">
      <c r="A1126" s="40">
        <v>44012</v>
      </c>
      <c r="B1126" s="56"/>
      <c r="C1126" s="56" t="s">
        <v>2406</v>
      </c>
      <c r="D1126" s="56"/>
      <c r="E1126" s="56" t="s">
        <v>2407</v>
      </c>
      <c r="F1126" s="56" t="s">
        <v>2408</v>
      </c>
    </row>
    <row r="1127" spans="1:6" x14ac:dyDescent="0.25">
      <c r="A1127" s="40">
        <v>43634</v>
      </c>
      <c r="B1127" s="68"/>
      <c r="C1127" s="68" t="s">
        <v>2409</v>
      </c>
      <c r="D1127" s="68"/>
      <c r="E1127" s="68" t="s">
        <v>2410</v>
      </c>
      <c r="F1127" s="68" t="s">
        <v>2411</v>
      </c>
    </row>
    <row r="1128" spans="1:6" x14ac:dyDescent="0.25">
      <c r="A1128" s="40">
        <v>44075</v>
      </c>
      <c r="B1128" s="49"/>
      <c r="C1128" s="49" t="s">
        <v>2412</v>
      </c>
      <c r="D1128" s="49"/>
      <c r="E1128" s="49" t="s">
        <v>2413</v>
      </c>
      <c r="F1128" s="49" t="s">
        <v>2414</v>
      </c>
    </row>
    <row r="1129" spans="1:6" x14ac:dyDescent="0.25">
      <c r="A1129" s="40">
        <v>43587</v>
      </c>
      <c r="B1129" s="49"/>
      <c r="C1129" s="49" t="s">
        <v>2415</v>
      </c>
      <c r="D1129" s="49"/>
      <c r="E1129" s="49" t="s">
        <v>2415</v>
      </c>
      <c r="F1129" s="49" t="s">
        <v>2416</v>
      </c>
    </row>
    <row r="1130" spans="1:6" x14ac:dyDescent="0.25">
      <c r="A1130" s="40">
        <v>43868</v>
      </c>
      <c r="B1130" s="56"/>
      <c r="C1130" s="56" t="s">
        <v>2417</v>
      </c>
      <c r="D1130" s="56"/>
      <c r="E1130" s="56" t="s">
        <v>2418</v>
      </c>
      <c r="F1130" s="56" t="s">
        <v>2419</v>
      </c>
    </row>
    <row r="1131" spans="1:6" x14ac:dyDescent="0.25">
      <c r="A1131" s="40">
        <v>43587</v>
      </c>
      <c r="B1131" s="56"/>
      <c r="C1131" s="56" t="s">
        <v>2420</v>
      </c>
      <c r="D1131" s="56"/>
      <c r="E1131" s="56" t="s">
        <v>2421</v>
      </c>
      <c r="F1131" s="56" t="s">
        <v>2422</v>
      </c>
    </row>
    <row r="1132" spans="1:6" x14ac:dyDescent="0.25">
      <c r="A1132" s="40">
        <v>44013</v>
      </c>
      <c r="B1132" s="56"/>
      <c r="C1132" s="56" t="s">
        <v>2423</v>
      </c>
      <c r="D1132" s="56"/>
      <c r="E1132" s="56" t="s">
        <v>2424</v>
      </c>
      <c r="F1132" s="56" t="s">
        <v>2425</v>
      </c>
    </row>
    <row r="1133" spans="1:6" x14ac:dyDescent="0.25">
      <c r="A1133" s="40">
        <v>43985</v>
      </c>
      <c r="B1133" s="68"/>
      <c r="C1133" s="68" t="s">
        <v>2426</v>
      </c>
      <c r="D1133" s="68"/>
      <c r="E1133" s="68" t="s">
        <v>2427</v>
      </c>
      <c r="F1133" s="68" t="s">
        <v>2428</v>
      </c>
    </row>
    <row r="1134" spans="1:6" x14ac:dyDescent="0.25">
      <c r="A1134" s="40">
        <v>44082</v>
      </c>
      <c r="B1134" s="68"/>
      <c r="C1134" s="68" t="s">
        <v>2429</v>
      </c>
      <c r="D1134" s="68"/>
      <c r="E1134" s="68" t="s">
        <v>2430</v>
      </c>
      <c r="F1134" s="68" t="s">
        <v>2431</v>
      </c>
    </row>
    <row r="1135" spans="1:6" x14ac:dyDescent="0.25">
      <c r="A1135" s="41">
        <v>44199</v>
      </c>
      <c r="B1135" s="28"/>
      <c r="C1135" s="28" t="s">
        <v>4615</v>
      </c>
      <c r="D1135" s="28"/>
      <c r="E1135" s="28" t="s">
        <v>4826</v>
      </c>
      <c r="F1135" s="28" t="s">
        <v>2416</v>
      </c>
    </row>
    <row r="1136" spans="1:6" x14ac:dyDescent="0.25">
      <c r="A1136" s="40">
        <v>44145</v>
      </c>
      <c r="B1136" s="49"/>
      <c r="C1136" s="49" t="s">
        <v>2432</v>
      </c>
      <c r="D1136" s="49"/>
      <c r="E1136" s="49" t="s">
        <v>2433</v>
      </c>
      <c r="F1136" s="49" t="s">
        <v>2434</v>
      </c>
    </row>
    <row r="1137" spans="1:6" x14ac:dyDescent="0.25">
      <c r="A1137" s="40">
        <v>43815</v>
      </c>
      <c r="B1137" s="48"/>
      <c r="C1137" s="48" t="s">
        <v>2435</v>
      </c>
      <c r="D1137" s="48"/>
      <c r="E1137" s="48" t="s">
        <v>2435</v>
      </c>
      <c r="F1137" s="48" t="s">
        <v>2435</v>
      </c>
    </row>
    <row r="1138" spans="1:6" x14ac:dyDescent="0.25">
      <c r="A1138" s="40">
        <v>43489</v>
      </c>
      <c r="B1138" s="56"/>
      <c r="C1138" s="56" t="s">
        <v>2436</v>
      </c>
      <c r="D1138" s="56"/>
      <c r="E1138" s="56" t="s">
        <v>2437</v>
      </c>
      <c r="F1138" s="56" t="s">
        <v>2438</v>
      </c>
    </row>
    <row r="1139" spans="1:6" x14ac:dyDescent="0.25">
      <c r="A1139" s="40">
        <v>44018</v>
      </c>
      <c r="B1139" s="56"/>
      <c r="C1139" s="56" t="s">
        <v>2439</v>
      </c>
      <c r="D1139" s="56"/>
      <c r="E1139" s="56" t="s">
        <v>2440</v>
      </c>
      <c r="F1139" s="56" t="s">
        <v>2441</v>
      </c>
    </row>
    <row r="1140" spans="1:6" x14ac:dyDescent="0.25">
      <c r="B1140" s="56"/>
      <c r="C1140" s="56" t="s">
        <v>2442</v>
      </c>
      <c r="D1140" s="56"/>
      <c r="E1140" s="56" t="s">
        <v>2443</v>
      </c>
      <c r="F1140" s="56" t="s">
        <v>2444</v>
      </c>
    </row>
    <row r="1141" spans="1:6" x14ac:dyDescent="0.25">
      <c r="A1141" s="41">
        <v>44200</v>
      </c>
      <c r="B1141" s="28"/>
      <c r="C1141" s="28" t="s">
        <v>5062</v>
      </c>
      <c r="D1141" s="28"/>
      <c r="E1141" s="28" t="s">
        <v>5229</v>
      </c>
      <c r="F1141" s="28" t="s">
        <v>5396</v>
      </c>
    </row>
    <row r="1142" spans="1:6" x14ac:dyDescent="0.25">
      <c r="A1142" s="41">
        <v>44199</v>
      </c>
      <c r="B1142" s="28"/>
      <c r="C1142" s="28" t="s">
        <v>4616</v>
      </c>
      <c r="D1142" s="28"/>
      <c r="E1142" s="28" t="s">
        <v>4827</v>
      </c>
      <c r="F1142" s="28" t="s">
        <v>4828</v>
      </c>
    </row>
    <row r="1143" spans="1:6" x14ac:dyDescent="0.25">
      <c r="A1143" s="40">
        <v>43493</v>
      </c>
      <c r="B1143" s="68"/>
      <c r="C1143" s="68" t="s">
        <v>2445</v>
      </c>
      <c r="D1143" s="68"/>
      <c r="E1143" s="68" t="s">
        <v>2446</v>
      </c>
      <c r="F1143" s="68" t="s">
        <v>2447</v>
      </c>
    </row>
    <row r="1144" spans="1:6" x14ac:dyDescent="0.25">
      <c r="A1144" s="40">
        <v>43493</v>
      </c>
      <c r="B1144" s="68"/>
      <c r="C1144" s="68" t="s">
        <v>2448</v>
      </c>
      <c r="D1144" s="68"/>
      <c r="E1144" s="68" t="s">
        <v>2449</v>
      </c>
      <c r="F1144" s="68" t="s">
        <v>2450</v>
      </c>
    </row>
    <row r="1145" spans="1:6" x14ac:dyDescent="0.25">
      <c r="A1145" s="40">
        <v>44098</v>
      </c>
      <c r="B1145" s="68"/>
      <c r="C1145" s="68" t="s">
        <v>2451</v>
      </c>
      <c r="D1145" s="68"/>
      <c r="E1145" s="68" t="s">
        <v>2452</v>
      </c>
      <c r="F1145" s="68" t="s">
        <v>2453</v>
      </c>
    </row>
    <row r="1146" spans="1:6" x14ac:dyDescent="0.25">
      <c r="A1146" s="40">
        <v>43724</v>
      </c>
      <c r="B1146" s="68"/>
      <c r="C1146" s="68" t="s">
        <v>2454</v>
      </c>
      <c r="D1146" s="68"/>
      <c r="E1146" s="68" t="s">
        <v>2454</v>
      </c>
      <c r="F1146" s="68" t="s">
        <v>2455</v>
      </c>
    </row>
    <row r="1147" spans="1:6" x14ac:dyDescent="0.25">
      <c r="A1147" s="40">
        <v>43609</v>
      </c>
      <c r="B1147" s="68"/>
      <c r="C1147" s="68" t="s">
        <v>2456</v>
      </c>
      <c r="D1147" s="68"/>
      <c r="E1147" s="68" t="s">
        <v>2457</v>
      </c>
      <c r="F1147" s="68" t="s">
        <v>2458</v>
      </c>
    </row>
    <row r="1148" spans="1:6" x14ac:dyDescent="0.25">
      <c r="A1148" s="40">
        <v>43937</v>
      </c>
      <c r="B1148" s="68"/>
      <c r="C1148" s="68" t="s">
        <v>2459</v>
      </c>
      <c r="D1148" s="68"/>
      <c r="E1148" s="68" t="s">
        <v>2460</v>
      </c>
      <c r="F1148" s="68" t="s">
        <v>2461</v>
      </c>
    </row>
    <row r="1149" spans="1:6" x14ac:dyDescent="0.25">
      <c r="A1149" s="41">
        <v>44200</v>
      </c>
      <c r="B1149" s="28"/>
      <c r="C1149" s="28" t="s">
        <v>5063</v>
      </c>
      <c r="D1149" s="28"/>
      <c r="E1149" s="28" t="s">
        <v>5230</v>
      </c>
      <c r="F1149" s="28" t="s">
        <v>5397</v>
      </c>
    </row>
    <row r="1150" spans="1:6" x14ac:dyDescent="0.25">
      <c r="A1150" s="40">
        <v>44005</v>
      </c>
      <c r="B1150" s="56"/>
      <c r="C1150" s="56" t="s">
        <v>2462</v>
      </c>
      <c r="D1150" s="56"/>
      <c r="E1150" s="56" t="s">
        <v>2463</v>
      </c>
      <c r="F1150" s="56" t="s">
        <v>2464</v>
      </c>
    </row>
    <row r="1151" spans="1:6" x14ac:dyDescent="0.25">
      <c r="A1151" s="41">
        <v>44200</v>
      </c>
      <c r="B1151" s="28"/>
      <c r="C1151" s="28" t="s">
        <v>5064</v>
      </c>
      <c r="D1151" s="28"/>
      <c r="E1151" s="28" t="s">
        <v>5231</v>
      </c>
      <c r="F1151" s="28" t="s">
        <v>5398</v>
      </c>
    </row>
    <row r="1152" spans="1:6" x14ac:dyDescent="0.25">
      <c r="A1152" s="41">
        <v>44200</v>
      </c>
      <c r="B1152" s="28"/>
      <c r="C1152" s="28" t="s">
        <v>5065</v>
      </c>
      <c r="D1152" s="28"/>
      <c r="E1152" s="28" t="s">
        <v>5232</v>
      </c>
      <c r="F1152" s="28" t="s">
        <v>5399</v>
      </c>
    </row>
    <row r="1153" spans="1:6" x14ac:dyDescent="0.25">
      <c r="A1153" s="41">
        <v>44200</v>
      </c>
      <c r="B1153" s="28"/>
      <c r="C1153" s="28" t="s">
        <v>5066</v>
      </c>
      <c r="D1153" s="28"/>
      <c r="E1153" s="28" t="s">
        <v>5233</v>
      </c>
      <c r="F1153" s="28" t="s">
        <v>5400</v>
      </c>
    </row>
    <row r="1154" spans="1:6" x14ac:dyDescent="0.25">
      <c r="A1154" s="41">
        <v>44200</v>
      </c>
      <c r="B1154" s="28"/>
      <c r="C1154" s="28" t="s">
        <v>5067</v>
      </c>
      <c r="D1154" s="28"/>
      <c r="E1154" s="28" t="s">
        <v>5234</v>
      </c>
      <c r="F1154" s="28" t="s">
        <v>5401</v>
      </c>
    </row>
    <row r="1155" spans="1:6" x14ac:dyDescent="0.25">
      <c r="A1155" s="41">
        <v>44200</v>
      </c>
      <c r="B1155" s="28"/>
      <c r="C1155" s="28" t="s">
        <v>5068</v>
      </c>
      <c r="D1155" s="28"/>
      <c r="E1155" s="28" t="s">
        <v>5235</v>
      </c>
      <c r="F1155" s="28" t="s">
        <v>5402</v>
      </c>
    </row>
    <row r="1156" spans="1:6" x14ac:dyDescent="0.25">
      <c r="A1156" s="41">
        <v>44200</v>
      </c>
      <c r="B1156" s="28"/>
      <c r="C1156" s="28" t="s">
        <v>5069</v>
      </c>
      <c r="D1156" s="28"/>
      <c r="E1156" s="28" t="s">
        <v>5236</v>
      </c>
      <c r="F1156" s="28" t="s">
        <v>5403</v>
      </c>
    </row>
    <row r="1157" spans="1:6" x14ac:dyDescent="0.25">
      <c r="A1157" s="41">
        <v>44200</v>
      </c>
      <c r="B1157" s="28"/>
      <c r="C1157" s="28" t="s">
        <v>5070</v>
      </c>
      <c r="D1157" s="28"/>
      <c r="E1157" s="28" t="s">
        <v>5237</v>
      </c>
      <c r="F1157" s="28" t="s">
        <v>5404</v>
      </c>
    </row>
    <row r="1158" spans="1:6" x14ac:dyDescent="0.25">
      <c r="A1158" s="40">
        <v>43469</v>
      </c>
      <c r="B1158" s="49"/>
      <c r="C1158" s="49" t="s">
        <v>2465</v>
      </c>
      <c r="D1158" s="49"/>
      <c r="E1158" s="49" t="s">
        <v>2466</v>
      </c>
      <c r="F1158" s="49" t="s">
        <v>2467</v>
      </c>
    </row>
    <row r="1159" spans="1:6" x14ac:dyDescent="0.25">
      <c r="A1159" s="41">
        <v>44200</v>
      </c>
      <c r="B1159" s="28"/>
      <c r="C1159" s="28" t="s">
        <v>5071</v>
      </c>
      <c r="D1159" s="28"/>
      <c r="E1159" s="28" t="s">
        <v>5238</v>
      </c>
      <c r="F1159" s="28" t="s">
        <v>5405</v>
      </c>
    </row>
    <row r="1160" spans="1:6" x14ac:dyDescent="0.25">
      <c r="A1160" s="41">
        <v>44200</v>
      </c>
      <c r="B1160" s="28"/>
      <c r="C1160" s="28" t="s">
        <v>5072</v>
      </c>
      <c r="D1160" s="28"/>
      <c r="E1160" s="28" t="s">
        <v>5239</v>
      </c>
      <c r="F1160" s="28" t="s">
        <v>5406</v>
      </c>
    </row>
    <row r="1161" spans="1:6" x14ac:dyDescent="0.25">
      <c r="A1161" s="41">
        <v>44200</v>
      </c>
      <c r="B1161" s="28"/>
      <c r="C1161" s="28" t="s">
        <v>5073</v>
      </c>
      <c r="D1161" s="28"/>
      <c r="E1161" s="28" t="s">
        <v>5240</v>
      </c>
      <c r="F1161" s="28" t="s">
        <v>5407</v>
      </c>
    </row>
    <row r="1162" spans="1:6" x14ac:dyDescent="0.25">
      <c r="A1162" s="40">
        <v>44013</v>
      </c>
      <c r="B1162" s="48"/>
      <c r="C1162" s="48" t="s">
        <v>2468</v>
      </c>
      <c r="D1162" s="48"/>
      <c r="E1162" s="48" t="s">
        <v>2469</v>
      </c>
      <c r="F1162" s="48" t="s">
        <v>2470</v>
      </c>
    </row>
    <row r="1163" spans="1:6" x14ac:dyDescent="0.25">
      <c r="A1163" s="40">
        <v>44013</v>
      </c>
      <c r="B1163" s="38"/>
      <c r="C1163" s="38" t="s">
        <v>2471</v>
      </c>
      <c r="D1163" s="38"/>
      <c r="E1163" s="38" t="s">
        <v>2472</v>
      </c>
      <c r="F1163" s="38" t="s">
        <v>2473</v>
      </c>
    </row>
    <row r="1164" spans="1:6" x14ac:dyDescent="0.25">
      <c r="A1164" s="40">
        <v>43465</v>
      </c>
      <c r="B1164" s="37"/>
      <c r="C1164" s="37" t="s">
        <v>2474</v>
      </c>
      <c r="D1164" s="37"/>
      <c r="E1164" s="37" t="s">
        <v>2475</v>
      </c>
      <c r="F1164" s="37" t="s">
        <v>2476</v>
      </c>
    </row>
    <row r="1165" spans="1:6" x14ac:dyDescent="0.25">
      <c r="A1165" s="40">
        <v>44133</v>
      </c>
      <c r="C1165" t="s">
        <v>2477</v>
      </c>
      <c r="E1165" t="s">
        <v>2478</v>
      </c>
      <c r="F1165" t="s">
        <v>2479</v>
      </c>
    </row>
    <row r="1166" spans="1:6" x14ac:dyDescent="0.25">
      <c r="A1166" s="40">
        <v>44062</v>
      </c>
      <c r="B1166" s="38"/>
      <c r="C1166" s="38" t="s">
        <v>2480</v>
      </c>
      <c r="D1166" s="38"/>
      <c r="E1166" s="38" t="s">
        <v>2481</v>
      </c>
      <c r="F1166" s="38" t="s">
        <v>2482</v>
      </c>
    </row>
    <row r="1167" spans="1:6" x14ac:dyDescent="0.25">
      <c r="A1167" s="40">
        <v>43647</v>
      </c>
      <c r="B1167" s="44"/>
      <c r="C1167" s="44" t="s">
        <v>2483</v>
      </c>
      <c r="D1167" s="44"/>
      <c r="E1167" s="44" t="s">
        <v>2484</v>
      </c>
      <c r="F1167" s="44" t="s">
        <v>2485</v>
      </c>
    </row>
    <row r="1168" spans="1:6" x14ac:dyDescent="0.25">
      <c r="A1168" s="40">
        <v>43899</v>
      </c>
      <c r="C1168" t="s">
        <v>2486</v>
      </c>
      <c r="E1168" t="s">
        <v>2487</v>
      </c>
      <c r="F1168" t="s">
        <v>2488</v>
      </c>
    </row>
    <row r="1169" spans="1:6" x14ac:dyDescent="0.25">
      <c r="A1169" s="40">
        <v>43899</v>
      </c>
      <c r="C1169" t="s">
        <v>2489</v>
      </c>
      <c r="E1169" t="s">
        <v>2490</v>
      </c>
      <c r="F1169" t="s">
        <v>2491</v>
      </c>
    </row>
    <row r="1170" spans="1:6" x14ac:dyDescent="0.25">
      <c r="A1170" s="40">
        <v>43899</v>
      </c>
      <c r="B1170" s="44"/>
      <c r="C1170" s="44" t="s">
        <v>2492</v>
      </c>
      <c r="D1170" s="44"/>
      <c r="E1170" s="44" t="s">
        <v>2493</v>
      </c>
      <c r="F1170" s="44" t="s">
        <v>2494</v>
      </c>
    </row>
    <row r="1171" spans="1:6" x14ac:dyDescent="0.25">
      <c r="A1171" s="40">
        <v>44813</v>
      </c>
      <c r="B1171" s="44"/>
      <c r="C1171" s="44" t="s">
        <v>5803</v>
      </c>
      <c r="D1171" s="44"/>
      <c r="E1171" s="44" t="s">
        <v>5804</v>
      </c>
      <c r="F1171" s="44" t="s">
        <v>5805</v>
      </c>
    </row>
    <row r="1172" spans="1:6" x14ac:dyDescent="0.25">
      <c r="A1172" s="40">
        <v>44053</v>
      </c>
      <c r="B1172" s="34"/>
      <c r="C1172" s="34" t="s">
        <v>2495</v>
      </c>
      <c r="D1172" s="34"/>
      <c r="E1172" s="34" t="s">
        <v>2496</v>
      </c>
      <c r="F1172" s="34" t="s">
        <v>2497</v>
      </c>
    </row>
    <row r="1173" spans="1:6" x14ac:dyDescent="0.25">
      <c r="A1173" s="40">
        <v>43762</v>
      </c>
      <c r="B1173" s="56"/>
      <c r="C1173" s="56" t="s">
        <v>2498</v>
      </c>
      <c r="D1173" s="56"/>
      <c r="E1173" s="56" t="s">
        <v>2499</v>
      </c>
      <c r="F1173" s="56" t="s">
        <v>2500</v>
      </c>
    </row>
    <row r="1174" spans="1:6" x14ac:dyDescent="0.25">
      <c r="A1174" s="40">
        <v>43899</v>
      </c>
      <c r="B1174" s="56"/>
      <c r="C1174" s="56" t="s">
        <v>2501</v>
      </c>
      <c r="D1174" s="56"/>
      <c r="E1174" s="56" t="s">
        <v>2502</v>
      </c>
      <c r="F1174" s="56" t="s">
        <v>2503</v>
      </c>
    </row>
    <row r="1175" spans="1:6" x14ac:dyDescent="0.25">
      <c r="A1175" s="40">
        <v>43655</v>
      </c>
      <c r="B1175" s="56"/>
      <c r="C1175" s="56" t="s">
        <v>2504</v>
      </c>
      <c r="D1175" s="56"/>
      <c r="E1175" s="56" t="s">
        <v>2505</v>
      </c>
      <c r="F1175" s="56" t="s">
        <v>2506</v>
      </c>
    </row>
    <row r="1176" spans="1:6" x14ac:dyDescent="0.25">
      <c r="A1176" s="40">
        <v>43608</v>
      </c>
      <c r="B1176" s="68"/>
      <c r="C1176" s="68" t="s">
        <v>2507</v>
      </c>
      <c r="D1176" s="68"/>
      <c r="E1176" s="68" t="s">
        <v>2508</v>
      </c>
      <c r="F1176" s="68" t="s">
        <v>2509</v>
      </c>
    </row>
    <row r="1177" spans="1:6" x14ac:dyDescent="0.25">
      <c r="A1177" s="40">
        <v>43746</v>
      </c>
      <c r="B1177" s="68"/>
      <c r="C1177" s="68" t="s">
        <v>2510</v>
      </c>
      <c r="D1177" s="68"/>
      <c r="E1177" s="68" t="s">
        <v>2511</v>
      </c>
      <c r="F1177" s="68" t="s">
        <v>2512</v>
      </c>
    </row>
    <row r="1178" spans="1:6" x14ac:dyDescent="0.25">
      <c r="A1178" s="40">
        <v>43482</v>
      </c>
      <c r="B1178" s="68"/>
      <c r="C1178" s="68" t="s">
        <v>2513</v>
      </c>
      <c r="D1178" s="68"/>
      <c r="E1178" s="68" t="s">
        <v>2514</v>
      </c>
      <c r="F1178" s="68" t="s">
        <v>2515</v>
      </c>
    </row>
    <row r="1179" spans="1:6" x14ac:dyDescent="0.25">
      <c r="A1179" s="40">
        <v>43741</v>
      </c>
      <c r="B1179" s="68"/>
      <c r="C1179" s="68" t="s">
        <v>2516</v>
      </c>
      <c r="D1179" s="68"/>
      <c r="E1179" s="68" t="s">
        <v>2517</v>
      </c>
      <c r="F1179" s="68" t="s">
        <v>2518</v>
      </c>
    </row>
    <row r="1180" spans="1:6" x14ac:dyDescent="0.25">
      <c r="A1180" s="40">
        <v>43608</v>
      </c>
      <c r="B1180" s="49"/>
      <c r="C1180" s="49" t="s">
        <v>2519</v>
      </c>
      <c r="D1180" s="49"/>
      <c r="E1180" s="49" t="s">
        <v>2520</v>
      </c>
      <c r="F1180" s="49" t="s">
        <v>2521</v>
      </c>
    </row>
    <row r="1181" spans="1:6" x14ac:dyDescent="0.25">
      <c r="A1181" s="40">
        <v>43719</v>
      </c>
      <c r="B1181" s="48"/>
      <c r="C1181" s="48" t="s">
        <v>2522</v>
      </c>
      <c r="D1181" s="48"/>
      <c r="E1181" s="48" t="s">
        <v>2523</v>
      </c>
      <c r="F1181" s="48" t="s">
        <v>2524</v>
      </c>
    </row>
    <row r="1182" spans="1:6" x14ac:dyDescent="0.25">
      <c r="A1182" s="40">
        <v>43724</v>
      </c>
      <c r="C1182" t="s">
        <v>2525</v>
      </c>
      <c r="E1182" t="s">
        <v>2525</v>
      </c>
      <c r="F1182" t="s">
        <v>2525</v>
      </c>
    </row>
    <row r="1183" spans="1:6" x14ac:dyDescent="0.25">
      <c r="A1183" s="40">
        <v>43724</v>
      </c>
      <c r="B1183" s="48"/>
      <c r="C1183" s="48" t="s">
        <v>2526</v>
      </c>
      <c r="D1183" s="48"/>
      <c r="E1183" s="48" t="s">
        <v>2526</v>
      </c>
      <c r="F1183" s="48" t="s">
        <v>2526</v>
      </c>
    </row>
    <row r="1184" spans="1:6" x14ac:dyDescent="0.25">
      <c r="A1184" s="41">
        <v>44199</v>
      </c>
      <c r="B1184" s="28"/>
      <c r="C1184" s="28" t="s">
        <v>4617</v>
      </c>
      <c r="D1184" s="28"/>
      <c r="E1184" s="28" t="s">
        <v>4829</v>
      </c>
      <c r="F1184" s="28" t="s">
        <v>4830</v>
      </c>
    </row>
    <row r="1185" spans="1:6" x14ac:dyDescent="0.25">
      <c r="A1185" s="41">
        <v>44199</v>
      </c>
      <c r="B1185" s="28"/>
      <c r="C1185" s="28" t="s">
        <v>4618</v>
      </c>
      <c r="D1185" s="28"/>
      <c r="E1185" s="28" t="s">
        <v>4831</v>
      </c>
      <c r="F1185" s="28" t="s">
        <v>4832</v>
      </c>
    </row>
    <row r="1186" spans="1:6" x14ac:dyDescent="0.25">
      <c r="A1186" s="41">
        <v>44301</v>
      </c>
      <c r="B1186" s="28">
        <v>1</v>
      </c>
      <c r="C1186" s="28" t="s">
        <v>5635</v>
      </c>
      <c r="D1186" s="28"/>
      <c r="E1186" s="28" t="s">
        <v>5636</v>
      </c>
      <c r="F1186" s="28" t="s">
        <v>5637</v>
      </c>
    </row>
    <row r="1187" spans="1:6" x14ac:dyDescent="0.25">
      <c r="A1187" s="41">
        <v>44199</v>
      </c>
      <c r="B1187" s="28"/>
      <c r="C1187" s="28" t="s">
        <v>4619</v>
      </c>
      <c r="D1187" s="28"/>
      <c r="E1187" s="28" t="s">
        <v>4619</v>
      </c>
      <c r="F1187" s="28" t="s">
        <v>4833</v>
      </c>
    </row>
    <row r="1188" spans="1:6" x14ac:dyDescent="0.25">
      <c r="A1188" s="40">
        <v>44019</v>
      </c>
      <c r="B1188" s="34"/>
      <c r="C1188" s="34" t="s">
        <v>2527</v>
      </c>
      <c r="D1188" s="34"/>
      <c r="E1188" s="34" t="s">
        <v>2527</v>
      </c>
      <c r="F1188" s="34" t="s">
        <v>2527</v>
      </c>
    </row>
    <row r="1189" spans="1:6" x14ac:dyDescent="0.25">
      <c r="A1189" s="40">
        <v>43864</v>
      </c>
      <c r="B1189" s="56"/>
      <c r="C1189" s="56" t="s">
        <v>2528</v>
      </c>
      <c r="D1189" s="56"/>
      <c r="E1189" s="56" t="s">
        <v>2529</v>
      </c>
      <c r="F1189" s="56" t="s">
        <v>2530</v>
      </c>
    </row>
    <row r="1190" spans="1:6" x14ac:dyDescent="0.25">
      <c r="A1190" s="40">
        <v>43864</v>
      </c>
      <c r="B1190" s="56"/>
      <c r="C1190" s="56" t="s">
        <v>2531</v>
      </c>
      <c r="D1190" s="56"/>
      <c r="E1190" s="56" t="s">
        <v>2532</v>
      </c>
      <c r="F1190" s="56" t="s">
        <v>2533</v>
      </c>
    </row>
    <row r="1191" spans="1:6" x14ac:dyDescent="0.25">
      <c r="A1191" s="40">
        <v>43384</v>
      </c>
      <c r="B1191" s="56"/>
      <c r="C1191" s="56" t="s">
        <v>2534</v>
      </c>
      <c r="D1191" s="56"/>
      <c r="E1191" s="56" t="s">
        <v>2534</v>
      </c>
      <c r="F1191" s="56" t="s">
        <v>2535</v>
      </c>
    </row>
    <row r="1192" spans="1:6" x14ac:dyDescent="0.25">
      <c r="A1192" s="40">
        <v>43587</v>
      </c>
      <c r="B1192" s="68"/>
      <c r="C1192" s="68" t="s">
        <v>2536</v>
      </c>
      <c r="D1192" s="68"/>
      <c r="E1192" s="68" t="s">
        <v>2537</v>
      </c>
      <c r="F1192" s="68" t="s">
        <v>2538</v>
      </c>
    </row>
    <row r="1193" spans="1:6" x14ac:dyDescent="0.25">
      <c r="A1193" s="40">
        <v>43637</v>
      </c>
      <c r="B1193" s="56"/>
      <c r="C1193" s="56" t="s">
        <v>2539</v>
      </c>
      <c r="D1193" s="56"/>
      <c r="E1193" s="56" t="s">
        <v>2540</v>
      </c>
      <c r="F1193" s="56" t="s">
        <v>2541</v>
      </c>
    </row>
    <row r="1194" spans="1:6" x14ac:dyDescent="0.25">
      <c r="A1194" s="40">
        <v>44088</v>
      </c>
      <c r="B1194" s="56"/>
      <c r="C1194" s="56" t="s">
        <v>2542</v>
      </c>
      <c r="D1194" s="56"/>
      <c r="E1194" s="56" t="s">
        <v>2543</v>
      </c>
      <c r="F1194" s="56" t="s">
        <v>2544</v>
      </c>
    </row>
    <row r="1195" spans="1:6" x14ac:dyDescent="0.25">
      <c r="A1195" s="40">
        <v>43384</v>
      </c>
      <c r="B1195" s="56"/>
      <c r="C1195" s="56" t="s">
        <v>2545</v>
      </c>
      <c r="D1195" s="56"/>
      <c r="E1195" s="56" t="s">
        <v>2546</v>
      </c>
      <c r="F1195" s="56" t="s">
        <v>2547</v>
      </c>
    </row>
    <row r="1196" spans="1:6" x14ac:dyDescent="0.25">
      <c r="A1196" s="40">
        <v>44123</v>
      </c>
      <c r="B1196" s="68"/>
      <c r="C1196" s="68" t="s">
        <v>2548</v>
      </c>
      <c r="D1196" s="68"/>
      <c r="E1196" s="68" t="s">
        <v>2549</v>
      </c>
      <c r="F1196" s="68" t="s">
        <v>2550</v>
      </c>
    </row>
    <row r="1197" spans="1:6" x14ac:dyDescent="0.25">
      <c r="A1197" s="40">
        <v>43899</v>
      </c>
      <c r="B1197" s="56"/>
      <c r="C1197" s="56" t="s">
        <v>2551</v>
      </c>
      <c r="D1197" s="56"/>
      <c r="E1197" s="56" t="s">
        <v>2552</v>
      </c>
      <c r="F1197" s="56" t="s">
        <v>2553</v>
      </c>
    </row>
    <row r="1198" spans="1:6" x14ac:dyDescent="0.25">
      <c r="A1198" s="40">
        <v>43724</v>
      </c>
      <c r="B1198" s="68"/>
      <c r="C1198" s="68" t="s">
        <v>2554</v>
      </c>
      <c r="D1198" s="68"/>
      <c r="E1198" s="68" t="s">
        <v>2552</v>
      </c>
      <c r="F1198" s="68" t="s">
        <v>2553</v>
      </c>
    </row>
    <row r="1199" spans="1:6" x14ac:dyDescent="0.25">
      <c r="A1199" s="40">
        <v>43868</v>
      </c>
      <c r="B1199" s="56"/>
      <c r="C1199" s="56" t="s">
        <v>2555</v>
      </c>
      <c r="D1199" s="56"/>
      <c r="E1199" s="56" t="s">
        <v>2555</v>
      </c>
      <c r="F1199" s="56" t="s">
        <v>2555</v>
      </c>
    </row>
    <row r="1200" spans="1:6" x14ac:dyDescent="0.25">
      <c r="A1200" s="41">
        <v>44199</v>
      </c>
      <c r="B1200" s="28"/>
      <c r="C1200" s="28" t="s">
        <v>4620</v>
      </c>
      <c r="D1200" s="28"/>
      <c r="E1200" s="28" t="s">
        <v>4620</v>
      </c>
      <c r="F1200" s="28" t="s">
        <v>4620</v>
      </c>
    </row>
    <row r="1201" spans="1:6" x14ac:dyDescent="0.25">
      <c r="A1201" s="40">
        <v>44173</v>
      </c>
      <c r="B1201" s="56"/>
      <c r="C1201" s="56" t="s">
        <v>2556</v>
      </c>
      <c r="D1201" s="56"/>
      <c r="E1201" s="56" t="s">
        <v>2557</v>
      </c>
      <c r="F1201" s="56" t="s">
        <v>2558</v>
      </c>
    </row>
    <row r="1202" spans="1:6" x14ac:dyDescent="0.25">
      <c r="A1202" s="41">
        <v>44922</v>
      </c>
      <c r="B1202" s="28"/>
      <c r="C1202" s="28" t="s">
        <v>5866</v>
      </c>
      <c r="D1202" s="28"/>
      <c r="E1202" s="28" t="s">
        <v>5867</v>
      </c>
      <c r="F1202" s="28" t="s">
        <v>5868</v>
      </c>
    </row>
    <row r="1203" spans="1:6" x14ac:dyDescent="0.25">
      <c r="A1203" s="40">
        <v>43612</v>
      </c>
      <c r="B1203" s="68"/>
      <c r="C1203" s="68" t="s">
        <v>2559</v>
      </c>
      <c r="D1203" s="68"/>
      <c r="E1203" s="68" t="s">
        <v>2560</v>
      </c>
      <c r="F1203" s="68" t="s">
        <v>2561</v>
      </c>
    </row>
    <row r="1204" spans="1:6" x14ac:dyDescent="0.25">
      <c r="A1204" s="40">
        <v>43724</v>
      </c>
      <c r="B1204" s="56"/>
      <c r="C1204" s="56" t="s">
        <v>2562</v>
      </c>
      <c r="D1204" s="56" t="s">
        <v>2563</v>
      </c>
      <c r="E1204" s="56" t="s">
        <v>2562</v>
      </c>
      <c r="F1204" s="56" t="s">
        <v>2564</v>
      </c>
    </row>
    <row r="1205" spans="1:6" x14ac:dyDescent="0.25">
      <c r="A1205" s="41">
        <v>44199</v>
      </c>
      <c r="B1205" s="28"/>
      <c r="C1205" s="28" t="s">
        <v>4621</v>
      </c>
      <c r="D1205" s="28"/>
      <c r="E1205" s="28" t="s">
        <v>4834</v>
      </c>
      <c r="F1205" s="28" t="s">
        <v>4835</v>
      </c>
    </row>
    <row r="1206" spans="1:6" x14ac:dyDescent="0.25">
      <c r="A1206" s="40">
        <v>44029</v>
      </c>
      <c r="B1206" s="56"/>
      <c r="C1206" s="56" t="s">
        <v>2565</v>
      </c>
      <c r="D1206" s="56"/>
      <c r="E1206" s="56" t="s">
        <v>2566</v>
      </c>
      <c r="F1206" s="56" t="s">
        <v>2567</v>
      </c>
    </row>
    <row r="1207" spans="1:6" s="56" customFormat="1" x14ac:dyDescent="0.25">
      <c r="A1207" s="41">
        <v>44200</v>
      </c>
      <c r="B1207" s="28"/>
      <c r="C1207" s="28" t="s">
        <v>4446</v>
      </c>
      <c r="D1207" s="28"/>
      <c r="E1207" s="28" t="s">
        <v>5241</v>
      </c>
      <c r="F1207" s="28" t="s">
        <v>5408</v>
      </c>
    </row>
    <row r="1208" spans="1:6" x14ac:dyDescent="0.25">
      <c r="A1208" s="40">
        <v>43997</v>
      </c>
      <c r="B1208" s="68"/>
      <c r="C1208" s="68" t="s">
        <v>2568</v>
      </c>
      <c r="D1208" s="68"/>
      <c r="E1208" s="68" t="s">
        <v>2569</v>
      </c>
      <c r="F1208" s="68" t="s">
        <v>2570</v>
      </c>
    </row>
    <row r="1209" spans="1:6" s="56" customFormat="1" x14ac:dyDescent="0.25">
      <c r="A1209" s="40">
        <v>43465</v>
      </c>
      <c r="C1209" s="56" t="s">
        <v>2571</v>
      </c>
      <c r="E1209" s="56" t="s">
        <v>2572</v>
      </c>
      <c r="F1209" s="56" t="s">
        <v>2573</v>
      </c>
    </row>
    <row r="1210" spans="1:6" s="56" customFormat="1" x14ac:dyDescent="0.25">
      <c r="A1210" s="40">
        <v>44011</v>
      </c>
      <c r="C1210" s="56" t="s">
        <v>2574</v>
      </c>
      <c r="E1210" s="56" t="s">
        <v>2575</v>
      </c>
      <c r="F1210" s="56" t="s">
        <v>2576</v>
      </c>
    </row>
    <row r="1211" spans="1:6" x14ac:dyDescent="0.25">
      <c r="A1211" s="41">
        <v>44199</v>
      </c>
      <c r="B1211" s="28"/>
      <c r="C1211" s="28" t="s">
        <v>4622</v>
      </c>
      <c r="D1211" s="28"/>
      <c r="E1211" s="28" t="s">
        <v>4836</v>
      </c>
      <c r="F1211" s="28" t="s">
        <v>4837</v>
      </c>
    </row>
    <row r="1212" spans="1:6" x14ac:dyDescent="0.25">
      <c r="A1212" s="41">
        <v>44491</v>
      </c>
      <c r="B1212" s="28"/>
      <c r="C1212" s="28" t="s">
        <v>5741</v>
      </c>
      <c r="D1212" s="28"/>
      <c r="E1212" s="28" t="s">
        <v>5742</v>
      </c>
      <c r="F1212" s="28" t="s">
        <v>5743</v>
      </c>
    </row>
    <row r="1213" spans="1:6" s="56" customFormat="1" x14ac:dyDescent="0.25">
      <c r="A1213" s="40">
        <v>44083</v>
      </c>
      <c r="C1213" s="56" t="s">
        <v>2577</v>
      </c>
      <c r="E1213" s="56" t="s">
        <v>2578</v>
      </c>
      <c r="F1213" s="56" t="s">
        <v>2579</v>
      </c>
    </row>
    <row r="1214" spans="1:6" x14ac:dyDescent="0.25">
      <c r="A1214" s="41">
        <v>44199</v>
      </c>
      <c r="B1214" s="28"/>
      <c r="C1214" s="28" t="s">
        <v>4623</v>
      </c>
      <c r="D1214" s="28"/>
      <c r="E1214" s="28" t="s">
        <v>2569</v>
      </c>
      <c r="F1214" s="28" t="s">
        <v>2570</v>
      </c>
    </row>
    <row r="1215" spans="1:6" x14ac:dyDescent="0.25">
      <c r="A1215" s="40">
        <v>43724</v>
      </c>
      <c r="B1215" s="68"/>
      <c r="C1215" s="68" t="s">
        <v>2580</v>
      </c>
      <c r="D1215" s="68"/>
      <c r="E1215" s="68" t="s">
        <v>2581</v>
      </c>
      <c r="F1215" s="68" t="s">
        <v>2582</v>
      </c>
    </row>
    <row r="1216" spans="1:6" s="56" customFormat="1" x14ac:dyDescent="0.25">
      <c r="A1216" s="41">
        <v>44491</v>
      </c>
      <c r="B1216" s="28"/>
      <c r="C1216" s="28" t="s">
        <v>5744</v>
      </c>
      <c r="D1216" s="28"/>
      <c r="E1216" s="28" t="s">
        <v>5745</v>
      </c>
      <c r="F1216" s="28" t="s">
        <v>5746</v>
      </c>
    </row>
    <row r="1217" spans="1:6" x14ac:dyDescent="0.25">
      <c r="A1217" s="41">
        <v>44491</v>
      </c>
      <c r="B1217" s="28"/>
      <c r="C1217" s="28" t="s">
        <v>5747</v>
      </c>
      <c r="D1217" s="28"/>
      <c r="E1217" s="28" t="s">
        <v>5748</v>
      </c>
      <c r="F1217" s="28" t="s">
        <v>5749</v>
      </c>
    </row>
    <row r="1218" spans="1:6" x14ac:dyDescent="0.25">
      <c r="A1218" s="40">
        <v>43530</v>
      </c>
      <c r="B1218" s="68"/>
      <c r="C1218" s="68" t="s">
        <v>2583</v>
      </c>
      <c r="D1218" s="68"/>
      <c r="E1218" s="68" t="s">
        <v>2584</v>
      </c>
      <c r="F1218" s="68" t="s">
        <v>2585</v>
      </c>
    </row>
    <row r="1219" spans="1:6" x14ac:dyDescent="0.25">
      <c r="A1219" s="40">
        <v>43591</v>
      </c>
      <c r="B1219" s="56"/>
      <c r="C1219" s="56" t="s">
        <v>2586</v>
      </c>
      <c r="D1219" s="56"/>
      <c r="E1219" s="56" t="s">
        <v>2587</v>
      </c>
      <c r="F1219" s="56" t="s">
        <v>2588</v>
      </c>
    </row>
    <row r="1220" spans="1:6" x14ac:dyDescent="0.25">
      <c r="A1220" s="40">
        <v>44123</v>
      </c>
      <c r="B1220" s="56"/>
      <c r="C1220" s="56" t="s">
        <v>2589</v>
      </c>
      <c r="D1220" s="56"/>
      <c r="E1220" s="56" t="s">
        <v>2590</v>
      </c>
      <c r="F1220" s="56" t="s">
        <v>2591</v>
      </c>
    </row>
    <row r="1221" spans="1:6" x14ac:dyDescent="0.25">
      <c r="A1221" s="40">
        <v>43344</v>
      </c>
      <c r="B1221" s="56"/>
      <c r="C1221" s="56" t="s">
        <v>2592</v>
      </c>
      <c r="D1221" s="56"/>
      <c r="E1221" s="56" t="s">
        <v>2593</v>
      </c>
      <c r="F1221" s="56" t="s">
        <v>2594</v>
      </c>
    </row>
    <row r="1222" spans="1:6" x14ac:dyDescent="0.25">
      <c r="A1222" s="40">
        <v>44133</v>
      </c>
      <c r="C1222" t="s">
        <v>2595</v>
      </c>
      <c r="E1222" t="s">
        <v>2596</v>
      </c>
      <c r="F1222" t="s">
        <v>2597</v>
      </c>
    </row>
    <row r="1223" spans="1:6" x14ac:dyDescent="0.25">
      <c r="A1223" s="40">
        <v>44039</v>
      </c>
      <c r="B1223" s="48"/>
      <c r="C1223" s="48" t="s">
        <v>2598</v>
      </c>
      <c r="D1223" s="48"/>
      <c r="E1223" s="48" t="s">
        <v>2599</v>
      </c>
      <c r="F1223" s="48" t="s">
        <v>2600</v>
      </c>
    </row>
    <row r="1224" spans="1:6" x14ac:dyDescent="0.25">
      <c r="A1224" s="41">
        <v>44301</v>
      </c>
      <c r="B1224" s="28">
        <v>1</v>
      </c>
      <c r="C1224" s="28" t="s">
        <v>5638</v>
      </c>
      <c r="D1224" s="28"/>
      <c r="E1224" s="28" t="s">
        <v>5639</v>
      </c>
      <c r="F1224" s="28" t="s">
        <v>5640</v>
      </c>
    </row>
    <row r="1225" spans="1:6" x14ac:dyDescent="0.25">
      <c r="A1225" s="40">
        <v>43868</v>
      </c>
      <c r="B1225" s="48"/>
      <c r="C1225" s="48" t="s">
        <v>2601</v>
      </c>
      <c r="D1225" s="48"/>
      <c r="E1225" s="48" t="s">
        <v>2601</v>
      </c>
      <c r="F1225" s="48" t="s">
        <v>2602</v>
      </c>
    </row>
    <row r="1226" spans="1:6" x14ac:dyDescent="0.25">
      <c r="A1226" s="40">
        <v>43637</v>
      </c>
      <c r="C1226" t="s">
        <v>2604</v>
      </c>
      <c r="E1226" t="s">
        <v>2604</v>
      </c>
      <c r="F1226" t="s">
        <v>2605</v>
      </c>
    </row>
    <row r="1227" spans="1:6" x14ac:dyDescent="0.25">
      <c r="A1227" s="41">
        <v>44199</v>
      </c>
      <c r="B1227" s="28"/>
      <c r="C1227" s="28" t="s">
        <v>3785</v>
      </c>
      <c r="D1227" s="28"/>
      <c r="E1227" s="28" t="s">
        <v>3785</v>
      </c>
      <c r="F1227" s="28" t="s">
        <v>3786</v>
      </c>
    </row>
    <row r="1228" spans="1:6" x14ac:dyDescent="0.25">
      <c r="A1228" s="40">
        <v>44011</v>
      </c>
      <c r="B1228" s="68"/>
      <c r="C1228" s="68" t="s">
        <v>2606</v>
      </c>
      <c r="D1228" s="68"/>
      <c r="E1228" s="68" t="s">
        <v>2607</v>
      </c>
      <c r="F1228" s="68" t="s">
        <v>2608</v>
      </c>
    </row>
    <row r="1229" spans="1:6" x14ac:dyDescent="0.25">
      <c r="A1229" s="40">
        <v>43996</v>
      </c>
      <c r="B1229" s="56"/>
      <c r="C1229" s="56" t="s">
        <v>2609</v>
      </c>
      <c r="D1229" s="56"/>
      <c r="E1229" s="56" t="s">
        <v>2610</v>
      </c>
      <c r="F1229" s="56" t="s">
        <v>2611</v>
      </c>
    </row>
    <row r="1230" spans="1:6" x14ac:dyDescent="0.25">
      <c r="A1230" s="40">
        <v>43996</v>
      </c>
      <c r="B1230" s="56"/>
      <c r="C1230" s="56" t="s">
        <v>2612</v>
      </c>
      <c r="D1230" s="56"/>
      <c r="E1230" s="56" t="s">
        <v>2613</v>
      </c>
      <c r="F1230" s="56" t="s">
        <v>2614</v>
      </c>
    </row>
    <row r="1231" spans="1:6" x14ac:dyDescent="0.25">
      <c r="A1231" s="40">
        <v>43996</v>
      </c>
      <c r="B1231" s="68"/>
      <c r="C1231" s="68" t="s">
        <v>2615</v>
      </c>
      <c r="D1231" s="68"/>
      <c r="E1231" s="68" t="s">
        <v>2616</v>
      </c>
      <c r="F1231" s="68" t="s">
        <v>2617</v>
      </c>
    </row>
    <row r="1232" spans="1:6" x14ac:dyDescent="0.25">
      <c r="A1232" s="40">
        <v>43996</v>
      </c>
      <c r="B1232" s="68"/>
      <c r="C1232" s="68" t="s">
        <v>2618</v>
      </c>
      <c r="D1232" s="68"/>
      <c r="E1232" s="68" t="s">
        <v>2619</v>
      </c>
      <c r="F1232" s="68" t="s">
        <v>2620</v>
      </c>
    </row>
    <row r="1233" spans="1:6" x14ac:dyDescent="0.25">
      <c r="A1233" s="40">
        <v>43995</v>
      </c>
      <c r="B1233" s="56"/>
      <c r="C1233" s="56" t="s">
        <v>2621</v>
      </c>
      <c r="D1233" s="56"/>
      <c r="E1233" s="56" t="s">
        <v>2622</v>
      </c>
      <c r="F1233" s="56" t="s">
        <v>2623</v>
      </c>
    </row>
    <row r="1234" spans="1:6" x14ac:dyDescent="0.25">
      <c r="A1234" s="40">
        <v>43587</v>
      </c>
      <c r="B1234" s="56"/>
      <c r="C1234" s="56" t="s">
        <v>2624</v>
      </c>
      <c r="D1234" s="56"/>
      <c r="E1234" s="56" t="s">
        <v>2624</v>
      </c>
      <c r="F1234" s="56" t="s">
        <v>2624</v>
      </c>
    </row>
    <row r="1235" spans="1:6" x14ac:dyDescent="0.25">
      <c r="A1235" s="40">
        <v>43414</v>
      </c>
      <c r="B1235" s="56"/>
      <c r="C1235" s="56" t="s">
        <v>2625</v>
      </c>
      <c r="D1235" s="56"/>
      <c r="E1235" s="56" t="s">
        <v>2626</v>
      </c>
      <c r="F1235" s="56" t="s">
        <v>2627</v>
      </c>
    </row>
    <row r="1236" spans="1:6" x14ac:dyDescent="0.25">
      <c r="A1236" s="40">
        <v>43594</v>
      </c>
      <c r="B1236" s="49"/>
      <c r="C1236" s="49" t="s">
        <v>2628</v>
      </c>
      <c r="D1236" s="49"/>
      <c r="E1236" s="49" t="s">
        <v>2629</v>
      </c>
      <c r="F1236" s="49" t="s">
        <v>2630</v>
      </c>
    </row>
    <row r="1237" spans="1:6" x14ac:dyDescent="0.25">
      <c r="A1237" s="41">
        <v>44236</v>
      </c>
      <c r="B1237" s="28"/>
      <c r="C1237" s="28" t="s">
        <v>5484</v>
      </c>
      <c r="D1237" s="28"/>
      <c r="E1237" s="28" t="s">
        <v>5485</v>
      </c>
      <c r="F1237" s="28" t="s">
        <v>5486</v>
      </c>
    </row>
    <row r="1238" spans="1:6" x14ac:dyDescent="0.25">
      <c r="A1238" s="40">
        <v>44070</v>
      </c>
      <c r="B1238" s="34"/>
      <c r="C1238" s="34" t="s">
        <v>2631</v>
      </c>
      <c r="D1238" s="34"/>
      <c r="E1238" s="34" t="s">
        <v>2632</v>
      </c>
      <c r="F1238" s="34" t="s">
        <v>2633</v>
      </c>
    </row>
    <row r="1239" spans="1:6" x14ac:dyDescent="0.25">
      <c r="A1239" s="40">
        <v>43867</v>
      </c>
      <c r="B1239" s="68"/>
      <c r="C1239" s="68" t="s">
        <v>2634</v>
      </c>
      <c r="D1239" s="68"/>
      <c r="E1239" s="68" t="s">
        <v>2635</v>
      </c>
      <c r="F1239" s="68" t="s">
        <v>2636</v>
      </c>
    </row>
    <row r="1240" spans="1:6" x14ac:dyDescent="0.25">
      <c r="A1240" s="41">
        <v>44922</v>
      </c>
      <c r="B1240" s="28"/>
      <c r="C1240" s="28" t="s">
        <v>5869</v>
      </c>
      <c r="D1240" s="28"/>
      <c r="E1240" s="28" t="s">
        <v>5870</v>
      </c>
      <c r="F1240" s="28" t="s">
        <v>5871</v>
      </c>
    </row>
    <row r="1241" spans="1:6" x14ac:dyDescent="0.25">
      <c r="A1241" s="41">
        <v>44199</v>
      </c>
      <c r="B1241" s="28"/>
      <c r="C1241" s="28" t="s">
        <v>4624</v>
      </c>
      <c r="D1241" s="28"/>
      <c r="E1241" s="28" t="s">
        <v>4624</v>
      </c>
      <c r="F1241" s="28" t="s">
        <v>4838</v>
      </c>
    </row>
    <row r="1242" spans="1:6" x14ac:dyDescent="0.25">
      <c r="A1242" s="41">
        <v>44301</v>
      </c>
      <c r="B1242" s="28">
        <v>11</v>
      </c>
      <c r="C1242" s="28" t="s">
        <v>4625</v>
      </c>
      <c r="D1242" s="28"/>
      <c r="E1242" s="28" t="s">
        <v>4625</v>
      </c>
      <c r="F1242" s="28" t="s">
        <v>4839</v>
      </c>
    </row>
    <row r="1243" spans="1:6" x14ac:dyDescent="0.25">
      <c r="A1243" s="40">
        <v>44013</v>
      </c>
      <c r="B1243" s="49"/>
      <c r="C1243" s="49" t="s">
        <v>2637</v>
      </c>
      <c r="D1243" s="49"/>
      <c r="E1243" s="49" t="s">
        <v>2638</v>
      </c>
      <c r="F1243" s="49" t="s">
        <v>2639</v>
      </c>
    </row>
    <row r="1244" spans="1:6" x14ac:dyDescent="0.25">
      <c r="A1244" s="40">
        <v>43741</v>
      </c>
      <c r="B1244" s="48"/>
      <c r="C1244" s="48" t="s">
        <v>2640</v>
      </c>
      <c r="D1244" s="48"/>
      <c r="E1244" s="48" t="s">
        <v>2641</v>
      </c>
      <c r="F1244" s="48" t="s">
        <v>2642</v>
      </c>
    </row>
    <row r="1245" spans="1:6" x14ac:dyDescent="0.25">
      <c r="A1245" s="40">
        <v>44013</v>
      </c>
      <c r="B1245" s="48"/>
      <c r="C1245" s="48" t="s">
        <v>2643</v>
      </c>
      <c r="D1245" s="48"/>
      <c r="E1245" s="48" t="s">
        <v>2644</v>
      </c>
      <c r="F1245" s="48" t="s">
        <v>2645</v>
      </c>
    </row>
    <row r="1246" spans="1:6" x14ac:dyDescent="0.25">
      <c r="A1246" s="40">
        <v>44043</v>
      </c>
      <c r="B1246" s="49"/>
      <c r="C1246" s="49" t="s">
        <v>2646</v>
      </c>
      <c r="D1246" s="49"/>
      <c r="E1246" s="49" t="s">
        <v>2647</v>
      </c>
      <c r="F1246" s="49" t="s">
        <v>2648</v>
      </c>
    </row>
    <row r="1247" spans="1:6" x14ac:dyDescent="0.25">
      <c r="A1247" s="40">
        <v>44140</v>
      </c>
      <c r="B1247" s="48"/>
      <c r="C1247" s="48" t="s">
        <v>2649</v>
      </c>
      <c r="D1247" s="48"/>
      <c r="E1247" s="48" t="s">
        <v>2650</v>
      </c>
      <c r="F1247" s="48" t="s">
        <v>2651</v>
      </c>
    </row>
    <row r="1248" spans="1:6" x14ac:dyDescent="0.25">
      <c r="A1248" s="40">
        <v>43739</v>
      </c>
      <c r="B1248" s="68"/>
      <c r="C1248" s="68" t="s">
        <v>2652</v>
      </c>
      <c r="D1248" s="68"/>
      <c r="E1248" s="68" t="s">
        <v>2653</v>
      </c>
      <c r="F1248" s="68" t="s">
        <v>2654</v>
      </c>
    </row>
    <row r="1249" spans="1:6" x14ac:dyDescent="0.25">
      <c r="A1249" s="40">
        <v>44172</v>
      </c>
      <c r="B1249" s="28"/>
      <c r="C1249" s="28" t="s">
        <v>2655</v>
      </c>
      <c r="D1249" s="28"/>
      <c r="E1249" s="28" t="s">
        <v>4840</v>
      </c>
      <c r="F1249" s="28" t="s">
        <v>2656</v>
      </c>
    </row>
    <row r="1250" spans="1:6" x14ac:dyDescent="0.25">
      <c r="A1250" s="40">
        <v>43523</v>
      </c>
      <c r="B1250" s="56"/>
      <c r="C1250" s="56" t="s">
        <v>2657</v>
      </c>
      <c r="D1250" s="56"/>
      <c r="E1250" s="56" t="s">
        <v>2658</v>
      </c>
      <c r="F1250" s="56" t="s">
        <v>800</v>
      </c>
    </row>
    <row r="1251" spans="1:6" x14ac:dyDescent="0.25">
      <c r="A1251" s="40">
        <v>43725</v>
      </c>
      <c r="B1251" s="56"/>
      <c r="C1251" s="56" t="s">
        <v>2659</v>
      </c>
      <c r="D1251" s="56"/>
      <c r="E1251" s="56" t="s">
        <v>2660</v>
      </c>
      <c r="F1251" s="56" t="s">
        <v>2661</v>
      </c>
    </row>
    <row r="1252" spans="1:6" x14ac:dyDescent="0.25">
      <c r="A1252" s="40">
        <v>44005</v>
      </c>
      <c r="B1252" s="44"/>
      <c r="C1252" s="44" t="s">
        <v>2662</v>
      </c>
      <c r="D1252" s="44"/>
      <c r="E1252" s="44" t="s">
        <v>2663</v>
      </c>
      <c r="F1252" s="44" t="s">
        <v>2664</v>
      </c>
    </row>
    <row r="1253" spans="1:6" x14ac:dyDescent="0.25">
      <c r="A1253" s="40">
        <v>44166</v>
      </c>
      <c r="B1253" s="68"/>
      <c r="C1253" s="68" t="s">
        <v>2665</v>
      </c>
      <c r="D1253" s="68"/>
      <c r="E1253" s="68" t="s">
        <v>2666</v>
      </c>
      <c r="F1253" s="68" t="s">
        <v>2667</v>
      </c>
    </row>
    <row r="1254" spans="1:6" x14ac:dyDescent="0.25">
      <c r="A1254" s="40">
        <v>44168</v>
      </c>
      <c r="B1254" s="56"/>
      <c r="C1254" s="56" t="s">
        <v>2668</v>
      </c>
      <c r="D1254" s="56" t="s">
        <v>2669</v>
      </c>
      <c r="E1254" s="56" t="s">
        <v>2670</v>
      </c>
      <c r="F1254" s="56" t="s">
        <v>2671</v>
      </c>
    </row>
    <row r="1255" spans="1:6" x14ac:dyDescent="0.25">
      <c r="A1255" s="40">
        <v>43530</v>
      </c>
      <c r="B1255" s="56"/>
      <c r="C1255" s="56" t="s">
        <v>2672</v>
      </c>
      <c r="D1255" s="56"/>
      <c r="E1255" s="56" t="s">
        <v>2673</v>
      </c>
      <c r="F1255" s="56" t="s">
        <v>2674</v>
      </c>
    </row>
    <row r="1256" spans="1:6" x14ac:dyDescent="0.25">
      <c r="A1256" s="40">
        <v>44075</v>
      </c>
      <c r="B1256" s="56"/>
      <c r="C1256" s="56" t="s">
        <v>2675</v>
      </c>
      <c r="D1256" s="56"/>
      <c r="E1256" s="56" t="s">
        <v>2676</v>
      </c>
      <c r="F1256" s="56" t="s">
        <v>2677</v>
      </c>
    </row>
    <row r="1257" spans="1:6" x14ac:dyDescent="0.25">
      <c r="A1257" s="40">
        <v>43655</v>
      </c>
      <c r="B1257" s="48"/>
      <c r="C1257" s="48" t="s">
        <v>2678</v>
      </c>
      <c r="D1257" s="48"/>
      <c r="E1257" s="48" t="s">
        <v>2679</v>
      </c>
      <c r="F1257" s="48" t="s">
        <v>2680</v>
      </c>
    </row>
    <row r="1258" spans="1:6" x14ac:dyDescent="0.25">
      <c r="A1258" s="41">
        <v>44491</v>
      </c>
      <c r="B1258" s="28"/>
      <c r="C1258" s="28" t="s">
        <v>5750</v>
      </c>
      <c r="D1258" s="28"/>
      <c r="E1258" s="28" t="s">
        <v>5751</v>
      </c>
      <c r="F1258" s="28" t="s">
        <v>5752</v>
      </c>
    </row>
    <row r="1259" spans="1:6" x14ac:dyDescent="0.25">
      <c r="A1259" s="40">
        <v>44012</v>
      </c>
      <c r="B1259" s="68"/>
      <c r="C1259" s="68" t="s">
        <v>2681</v>
      </c>
      <c r="D1259" s="68"/>
      <c r="E1259" s="68" t="s">
        <v>2682</v>
      </c>
      <c r="F1259" s="68" t="s">
        <v>2683</v>
      </c>
    </row>
    <row r="1260" spans="1:6" x14ac:dyDescent="0.25">
      <c r="A1260" s="40">
        <v>44118</v>
      </c>
      <c r="B1260" s="68"/>
      <c r="C1260" s="68" t="s">
        <v>2684</v>
      </c>
      <c r="D1260" s="68"/>
      <c r="E1260" s="68" t="s">
        <v>2684</v>
      </c>
      <c r="F1260" s="68" t="s">
        <v>2685</v>
      </c>
    </row>
    <row r="1261" spans="1:6" x14ac:dyDescent="0.25">
      <c r="A1261" s="40">
        <v>43868</v>
      </c>
      <c r="B1261" s="56"/>
      <c r="C1261" s="56" t="s">
        <v>2686</v>
      </c>
      <c r="D1261" s="56"/>
      <c r="E1261" s="56" t="s">
        <v>2686</v>
      </c>
      <c r="F1261" s="56" t="s">
        <v>2687</v>
      </c>
    </row>
    <row r="1262" spans="1:6" x14ac:dyDescent="0.25">
      <c r="A1262" s="40">
        <v>44138</v>
      </c>
      <c r="B1262" s="56"/>
      <c r="C1262" s="56" t="s">
        <v>2688</v>
      </c>
      <c r="D1262" s="56" t="s">
        <v>2689</v>
      </c>
      <c r="E1262" s="56" t="s">
        <v>2690</v>
      </c>
      <c r="F1262" s="56" t="s">
        <v>2691</v>
      </c>
    </row>
    <row r="1263" spans="1:6" x14ac:dyDescent="0.25">
      <c r="A1263" s="41">
        <v>44199</v>
      </c>
      <c r="B1263" s="28"/>
      <c r="C1263" s="28" t="s">
        <v>4626</v>
      </c>
      <c r="D1263" s="28"/>
      <c r="E1263" s="28" t="s">
        <v>4626</v>
      </c>
      <c r="F1263" s="28" t="s">
        <v>4841</v>
      </c>
    </row>
    <row r="1264" spans="1:6" x14ac:dyDescent="0.25">
      <c r="A1264" s="40">
        <v>43725</v>
      </c>
      <c r="B1264" s="56"/>
      <c r="C1264" s="56" t="s">
        <v>2692</v>
      </c>
      <c r="D1264" s="56"/>
      <c r="E1264" s="56" t="s">
        <v>2693</v>
      </c>
      <c r="F1264" s="56" t="s">
        <v>2694</v>
      </c>
    </row>
    <row r="1265" spans="1:6" x14ac:dyDescent="0.25">
      <c r="A1265" s="40">
        <v>43479</v>
      </c>
      <c r="B1265" s="68"/>
      <c r="C1265" s="68" t="s">
        <v>2695</v>
      </c>
      <c r="D1265" s="68"/>
      <c r="E1265" s="68" t="s">
        <v>2696</v>
      </c>
      <c r="F1265" s="68" t="s">
        <v>2697</v>
      </c>
    </row>
    <row r="1266" spans="1:6" x14ac:dyDescent="0.25">
      <c r="A1266" s="40">
        <v>43840</v>
      </c>
      <c r="B1266" s="56"/>
      <c r="C1266" s="56" t="s">
        <v>2698</v>
      </c>
      <c r="D1266" s="56"/>
      <c r="E1266" s="56" t="s">
        <v>2699</v>
      </c>
      <c r="F1266" s="56" t="s">
        <v>2700</v>
      </c>
    </row>
    <row r="1267" spans="1:6" x14ac:dyDescent="0.25">
      <c r="A1267" s="40">
        <v>43868</v>
      </c>
      <c r="B1267" s="56"/>
      <c r="C1267" s="56" t="s">
        <v>2701</v>
      </c>
      <c r="D1267" s="56"/>
      <c r="E1267" s="56" t="s">
        <v>2702</v>
      </c>
      <c r="F1267" s="56" t="s">
        <v>2703</v>
      </c>
    </row>
    <row r="1268" spans="1:6" x14ac:dyDescent="0.25">
      <c r="A1268" s="41">
        <v>44301</v>
      </c>
      <c r="B1268" s="28">
        <v>1</v>
      </c>
      <c r="C1268" s="28" t="s">
        <v>5641</v>
      </c>
      <c r="D1268" s="28"/>
      <c r="E1268" s="28" t="s">
        <v>5642</v>
      </c>
      <c r="F1268" s="28" t="s">
        <v>5643</v>
      </c>
    </row>
    <row r="1269" spans="1:6" x14ac:dyDescent="0.25">
      <c r="A1269" s="41">
        <v>44301</v>
      </c>
      <c r="B1269" s="28">
        <v>2</v>
      </c>
      <c r="C1269" s="28" t="s">
        <v>5644</v>
      </c>
      <c r="D1269" s="28"/>
      <c r="E1269" s="28" t="s">
        <v>5645</v>
      </c>
      <c r="F1269" s="28" t="s">
        <v>5646</v>
      </c>
    </row>
    <row r="1270" spans="1:6" x14ac:dyDescent="0.25">
      <c r="A1270" s="41">
        <v>44301</v>
      </c>
      <c r="B1270" s="28">
        <v>1</v>
      </c>
      <c r="C1270" s="28" t="s">
        <v>5647</v>
      </c>
      <c r="D1270" s="28"/>
      <c r="E1270" s="28" t="s">
        <v>5648</v>
      </c>
      <c r="F1270" s="28" t="s">
        <v>5649</v>
      </c>
    </row>
    <row r="1271" spans="1:6" x14ac:dyDescent="0.25">
      <c r="A1271" s="40">
        <v>43989</v>
      </c>
      <c r="B1271" s="38"/>
      <c r="C1271" s="38" t="s">
        <v>2704</v>
      </c>
      <c r="D1271" s="38"/>
      <c r="E1271" s="38" t="s">
        <v>2705</v>
      </c>
      <c r="F1271" s="38" t="s">
        <v>2706</v>
      </c>
    </row>
    <row r="1272" spans="1:6" x14ac:dyDescent="0.25">
      <c r="A1272" s="40">
        <v>44063</v>
      </c>
      <c r="B1272" s="38"/>
      <c r="C1272" s="38" t="s">
        <v>2707</v>
      </c>
      <c r="D1272" s="38"/>
      <c r="E1272" s="38" t="s">
        <v>2708</v>
      </c>
      <c r="F1272" s="38" t="s">
        <v>2709</v>
      </c>
    </row>
    <row r="1273" spans="1:6" x14ac:dyDescent="0.25">
      <c r="A1273" s="41">
        <v>44301</v>
      </c>
      <c r="B1273" s="28">
        <v>1</v>
      </c>
      <c r="C1273" s="28" t="s">
        <v>5650</v>
      </c>
      <c r="D1273" s="28"/>
      <c r="E1273" s="28" t="s">
        <v>5645</v>
      </c>
      <c r="F1273" s="28" t="s">
        <v>5646</v>
      </c>
    </row>
    <row r="1274" spans="1:6" x14ac:dyDescent="0.25">
      <c r="A1274" s="40">
        <v>44111</v>
      </c>
      <c r="B1274" s="56"/>
      <c r="C1274" s="56" t="s">
        <v>2710</v>
      </c>
      <c r="D1274" s="56"/>
      <c r="E1274" s="56" t="s">
        <v>2711</v>
      </c>
      <c r="F1274" s="56" t="s">
        <v>552</v>
      </c>
    </row>
    <row r="1275" spans="1:6" x14ac:dyDescent="0.25">
      <c r="A1275" s="41">
        <v>44199</v>
      </c>
      <c r="B1275" s="28"/>
      <c r="C1275" s="28" t="s">
        <v>4627</v>
      </c>
      <c r="D1275" s="28"/>
      <c r="E1275" s="28" t="s">
        <v>4842</v>
      </c>
      <c r="F1275" s="28" t="s">
        <v>4843</v>
      </c>
    </row>
    <row r="1276" spans="1:6" x14ac:dyDescent="0.25">
      <c r="A1276" s="40">
        <v>44014</v>
      </c>
      <c r="B1276" s="56"/>
      <c r="C1276" s="56" t="s">
        <v>2712</v>
      </c>
      <c r="D1276" s="56" t="s">
        <v>2713</v>
      </c>
      <c r="E1276" s="56" t="s">
        <v>2714</v>
      </c>
      <c r="F1276" s="56" t="s">
        <v>2715</v>
      </c>
    </row>
    <row r="1277" spans="1:6" x14ac:dyDescent="0.25">
      <c r="A1277" s="40">
        <v>43391</v>
      </c>
      <c r="B1277" s="44"/>
      <c r="C1277" s="44" t="s">
        <v>2716</v>
      </c>
      <c r="D1277" s="44"/>
      <c r="E1277" s="44" t="s">
        <v>2717</v>
      </c>
      <c r="F1277" s="44" t="s">
        <v>2718</v>
      </c>
    </row>
    <row r="1278" spans="1:6" x14ac:dyDescent="0.25">
      <c r="A1278" s="40">
        <v>44019</v>
      </c>
      <c r="B1278" s="38"/>
      <c r="C1278" s="38" t="s">
        <v>2719</v>
      </c>
      <c r="D1278" s="38"/>
      <c r="E1278" s="38" t="s">
        <v>2720</v>
      </c>
      <c r="F1278" s="38" t="s">
        <v>2721</v>
      </c>
    </row>
    <row r="1279" spans="1:6" x14ac:dyDescent="0.25">
      <c r="A1279" s="40">
        <v>43860</v>
      </c>
      <c r="B1279" s="34"/>
      <c r="C1279" s="34" t="s">
        <v>2722</v>
      </c>
      <c r="D1279" s="34"/>
      <c r="E1279" s="34" t="s">
        <v>2723</v>
      </c>
      <c r="F1279" s="34" t="s">
        <v>2724</v>
      </c>
    </row>
    <row r="1280" spans="1:6" x14ac:dyDescent="0.25">
      <c r="A1280" s="40">
        <v>43732</v>
      </c>
      <c r="B1280" s="38"/>
      <c r="C1280" s="38" t="s">
        <v>2725</v>
      </c>
      <c r="D1280" s="38"/>
      <c r="E1280" s="38" t="s">
        <v>2726</v>
      </c>
      <c r="F1280" s="38" t="s">
        <v>2727</v>
      </c>
    </row>
    <row r="1281" spans="1:6" x14ac:dyDescent="0.25">
      <c r="A1281" s="40">
        <v>43460</v>
      </c>
      <c r="C1281" t="s">
        <v>2728</v>
      </c>
      <c r="E1281" t="s">
        <v>2729</v>
      </c>
      <c r="F1281" t="s">
        <v>2730</v>
      </c>
    </row>
    <row r="1282" spans="1:6" x14ac:dyDescent="0.25">
      <c r="A1282" s="40">
        <v>44015</v>
      </c>
      <c r="B1282" s="44"/>
      <c r="C1282" s="44" t="s">
        <v>2731</v>
      </c>
      <c r="D1282" s="44"/>
      <c r="E1282" s="44" t="s">
        <v>2732</v>
      </c>
      <c r="F1282" s="44" t="s">
        <v>2733</v>
      </c>
    </row>
    <row r="1283" spans="1:6" x14ac:dyDescent="0.25">
      <c r="A1283" s="41">
        <v>44199</v>
      </c>
      <c r="B1283" s="28"/>
      <c r="C1283" s="28" t="s">
        <v>4628</v>
      </c>
      <c r="D1283" s="28"/>
      <c r="E1283" s="28" t="s">
        <v>4844</v>
      </c>
      <c r="F1283" s="28" t="s">
        <v>4845</v>
      </c>
    </row>
    <row r="1284" spans="1:6" x14ac:dyDescent="0.25">
      <c r="A1284" s="40">
        <v>43724</v>
      </c>
      <c r="B1284" s="49"/>
      <c r="C1284" s="49" t="s">
        <v>2734</v>
      </c>
      <c r="D1284" s="49"/>
      <c r="E1284" s="49" t="s">
        <v>2735</v>
      </c>
      <c r="F1284" s="49" t="s">
        <v>2736</v>
      </c>
    </row>
    <row r="1285" spans="1:6" x14ac:dyDescent="0.25">
      <c r="B1285" s="48"/>
      <c r="C1285" s="48" t="s">
        <v>2737</v>
      </c>
      <c r="D1285" s="48"/>
      <c r="E1285" s="48" t="s">
        <v>2738</v>
      </c>
      <c r="F1285" s="48" t="s">
        <v>2739</v>
      </c>
    </row>
    <row r="1286" spans="1:6" x14ac:dyDescent="0.25">
      <c r="A1286" s="40">
        <v>43725</v>
      </c>
      <c r="C1286" t="s">
        <v>2740</v>
      </c>
      <c r="E1286" t="s">
        <v>2741</v>
      </c>
      <c r="F1286" t="s">
        <v>2742</v>
      </c>
    </row>
    <row r="1287" spans="1:6" x14ac:dyDescent="0.25">
      <c r="A1287" s="40">
        <v>43465</v>
      </c>
      <c r="C1287" t="s">
        <v>2743</v>
      </c>
      <c r="E1287" t="s">
        <v>2744</v>
      </c>
      <c r="F1287" t="s">
        <v>2745</v>
      </c>
    </row>
    <row r="1288" spans="1:6" x14ac:dyDescent="0.25">
      <c r="A1288" s="40">
        <v>44172</v>
      </c>
      <c r="B1288" s="34"/>
      <c r="C1288" s="34" t="s">
        <v>2746</v>
      </c>
      <c r="D1288" s="34"/>
      <c r="E1288" s="34" t="s">
        <v>2747</v>
      </c>
      <c r="F1288" s="34" t="s">
        <v>2748</v>
      </c>
    </row>
    <row r="1289" spans="1:6" x14ac:dyDescent="0.25">
      <c r="A1289" s="40">
        <v>43644</v>
      </c>
      <c r="B1289" s="34"/>
      <c r="C1289" s="34" t="s">
        <v>2749</v>
      </c>
      <c r="D1289" s="34"/>
      <c r="E1289" s="34" t="s">
        <v>2750</v>
      </c>
      <c r="F1289" s="34" t="s">
        <v>2751</v>
      </c>
    </row>
    <row r="1290" spans="1:6" x14ac:dyDescent="0.25">
      <c r="A1290" s="40">
        <v>43493</v>
      </c>
      <c r="C1290" t="s">
        <v>2752</v>
      </c>
      <c r="E1290" t="s">
        <v>2753</v>
      </c>
      <c r="F1290" t="s">
        <v>2754</v>
      </c>
    </row>
    <row r="1291" spans="1:6" x14ac:dyDescent="0.25">
      <c r="B1291" s="34"/>
      <c r="C1291" s="34" t="s">
        <v>2755</v>
      </c>
      <c r="D1291" s="34"/>
      <c r="E1291" s="34" t="s">
        <v>2756</v>
      </c>
      <c r="F1291" s="34" t="s">
        <v>2757</v>
      </c>
    </row>
    <row r="1292" spans="1:6" x14ac:dyDescent="0.25">
      <c r="B1292" s="68"/>
      <c r="C1292" s="68" t="s">
        <v>2758</v>
      </c>
      <c r="D1292" s="68"/>
      <c r="E1292" s="68" t="s">
        <v>2759</v>
      </c>
      <c r="F1292" s="68" t="s">
        <v>2760</v>
      </c>
    </row>
    <row r="1293" spans="1:6" x14ac:dyDescent="0.25">
      <c r="A1293" s="40">
        <v>44055</v>
      </c>
      <c r="B1293" s="56"/>
      <c r="C1293" s="56" t="s">
        <v>2761</v>
      </c>
      <c r="D1293" s="56"/>
      <c r="E1293" s="56" t="s">
        <v>2762</v>
      </c>
      <c r="F1293" s="56" t="s">
        <v>2763</v>
      </c>
    </row>
    <row r="1294" spans="1:6" x14ac:dyDescent="0.25">
      <c r="A1294" s="40">
        <v>43523</v>
      </c>
      <c r="B1294" s="56"/>
      <c r="C1294" s="56" t="s">
        <v>2764</v>
      </c>
      <c r="D1294" s="56"/>
      <c r="E1294" s="56" t="s">
        <v>2765</v>
      </c>
      <c r="F1294" s="56" t="s">
        <v>2766</v>
      </c>
    </row>
    <row r="1295" spans="1:6" x14ac:dyDescent="0.25">
      <c r="A1295" s="40">
        <v>43721</v>
      </c>
      <c r="B1295" s="56"/>
      <c r="C1295" s="56" t="s">
        <v>2767</v>
      </c>
      <c r="D1295" s="56"/>
      <c r="E1295" s="56" t="s">
        <v>2768</v>
      </c>
      <c r="F1295" s="56" t="s">
        <v>2769</v>
      </c>
    </row>
    <row r="1296" spans="1:6" x14ac:dyDescent="0.25">
      <c r="A1296" s="40">
        <v>44053</v>
      </c>
      <c r="B1296" s="48"/>
      <c r="C1296" s="48" t="s">
        <v>2770</v>
      </c>
      <c r="D1296" s="48"/>
      <c r="E1296" s="48" t="s">
        <v>2771</v>
      </c>
      <c r="F1296" s="48" t="s">
        <v>2772</v>
      </c>
    </row>
    <row r="1297" spans="1:6" x14ac:dyDescent="0.25">
      <c r="A1297" s="40">
        <v>44054</v>
      </c>
      <c r="B1297" s="49"/>
      <c r="C1297" s="49" t="s">
        <v>2773</v>
      </c>
      <c r="D1297" s="49"/>
      <c r="E1297" s="49" t="s">
        <v>2774</v>
      </c>
      <c r="F1297" s="49" t="s">
        <v>2775</v>
      </c>
    </row>
    <row r="1298" spans="1:6" x14ac:dyDescent="0.25">
      <c r="A1298" s="40">
        <v>44012</v>
      </c>
      <c r="B1298" s="48"/>
      <c r="C1298" s="48" t="s">
        <v>2776</v>
      </c>
      <c r="D1298" s="48"/>
      <c r="E1298" s="48" t="s">
        <v>2777</v>
      </c>
      <c r="F1298" s="48" t="s">
        <v>2778</v>
      </c>
    </row>
    <row r="1299" spans="1:6" x14ac:dyDescent="0.25">
      <c r="A1299" s="40">
        <v>43530</v>
      </c>
      <c r="B1299" s="48"/>
      <c r="C1299" s="48" t="s">
        <v>2779</v>
      </c>
      <c r="D1299" s="48"/>
      <c r="E1299" s="48" t="s">
        <v>2780</v>
      </c>
      <c r="F1299" s="48" t="s">
        <v>2781</v>
      </c>
    </row>
    <row r="1300" spans="1:6" x14ac:dyDescent="0.25">
      <c r="A1300" s="40">
        <v>44120</v>
      </c>
      <c r="B1300" s="49"/>
      <c r="C1300" s="49" t="s">
        <v>2782</v>
      </c>
      <c r="D1300" s="49"/>
      <c r="E1300" s="49" t="s">
        <v>2782</v>
      </c>
      <c r="F1300" s="49" t="s">
        <v>2783</v>
      </c>
    </row>
    <row r="1301" spans="1:6" x14ac:dyDescent="0.25">
      <c r="A1301" s="40">
        <v>44015</v>
      </c>
      <c r="B1301" s="68"/>
      <c r="C1301" s="68" t="s">
        <v>2784</v>
      </c>
      <c r="D1301" s="68"/>
      <c r="E1301" s="68" t="s">
        <v>2785</v>
      </c>
      <c r="F1301" s="68" t="s">
        <v>2786</v>
      </c>
    </row>
    <row r="1302" spans="1:6" x14ac:dyDescent="0.25">
      <c r="A1302" s="41">
        <v>44200</v>
      </c>
      <c r="B1302" s="28"/>
      <c r="C1302" s="28" t="s">
        <v>5074</v>
      </c>
      <c r="D1302" s="28"/>
      <c r="E1302" s="28" t="s">
        <v>5242</v>
      </c>
      <c r="F1302" s="28" t="s">
        <v>5409</v>
      </c>
    </row>
    <row r="1303" spans="1:6" x14ac:dyDescent="0.25">
      <c r="A1303" s="40">
        <v>43965</v>
      </c>
      <c r="B1303" s="56"/>
      <c r="C1303" s="56" t="s">
        <v>2787</v>
      </c>
      <c r="D1303" s="56"/>
      <c r="E1303" s="56" t="s">
        <v>2788</v>
      </c>
      <c r="F1303" s="56" t="s">
        <v>2789</v>
      </c>
    </row>
    <row r="1304" spans="1:6" x14ac:dyDescent="0.25">
      <c r="A1304" s="40">
        <v>44172</v>
      </c>
      <c r="B1304" s="56"/>
      <c r="C1304" s="56" t="s">
        <v>2790</v>
      </c>
      <c r="D1304" s="56"/>
      <c r="E1304" s="56" t="s">
        <v>2791</v>
      </c>
      <c r="F1304" s="56" t="s">
        <v>2792</v>
      </c>
    </row>
    <row r="1305" spans="1:6" x14ac:dyDescent="0.25">
      <c r="A1305" s="40">
        <v>44060</v>
      </c>
      <c r="B1305" s="49"/>
      <c r="C1305" s="49" t="s">
        <v>2793</v>
      </c>
      <c r="D1305" s="49"/>
      <c r="E1305" s="49" t="s">
        <v>2794</v>
      </c>
      <c r="F1305" s="49" t="s">
        <v>2795</v>
      </c>
    </row>
    <row r="1306" spans="1:6" x14ac:dyDescent="0.25">
      <c r="A1306" s="40">
        <v>44040</v>
      </c>
      <c r="B1306" s="49"/>
      <c r="C1306" s="49" t="s">
        <v>2796</v>
      </c>
      <c r="D1306" s="49"/>
      <c r="E1306" s="49" t="s">
        <v>2797</v>
      </c>
      <c r="F1306" s="49" t="s">
        <v>2798</v>
      </c>
    </row>
    <row r="1307" spans="1:6" x14ac:dyDescent="0.25">
      <c r="A1307" s="40">
        <v>43860</v>
      </c>
      <c r="B1307" s="48"/>
      <c r="C1307" s="48" t="s">
        <v>2799</v>
      </c>
      <c r="D1307" s="48"/>
      <c r="E1307" s="48" t="s">
        <v>2800</v>
      </c>
      <c r="F1307" s="48" t="s">
        <v>2801</v>
      </c>
    </row>
    <row r="1308" spans="1:6" x14ac:dyDescent="0.25">
      <c r="A1308" s="40">
        <v>43860</v>
      </c>
      <c r="B1308" s="49"/>
      <c r="C1308" s="49" t="s">
        <v>2802</v>
      </c>
      <c r="D1308" s="49"/>
      <c r="E1308" s="49" t="s">
        <v>2803</v>
      </c>
      <c r="F1308" s="49" t="s">
        <v>2804</v>
      </c>
    </row>
    <row r="1309" spans="1:6" x14ac:dyDescent="0.25">
      <c r="A1309" s="40">
        <v>44039</v>
      </c>
      <c r="B1309" s="49"/>
      <c r="C1309" s="49" t="s">
        <v>2805</v>
      </c>
      <c r="D1309" s="49"/>
      <c r="E1309" s="49" t="s">
        <v>2806</v>
      </c>
      <c r="F1309" s="49" t="s">
        <v>2807</v>
      </c>
    </row>
    <row r="1310" spans="1:6" x14ac:dyDescent="0.25">
      <c r="A1310" s="40">
        <v>44019</v>
      </c>
      <c r="B1310" s="48"/>
      <c r="C1310" s="48" t="s">
        <v>2808</v>
      </c>
      <c r="D1310" s="48"/>
      <c r="E1310" s="48" t="s">
        <v>2809</v>
      </c>
      <c r="F1310" s="48" t="s">
        <v>2810</v>
      </c>
    </row>
    <row r="1311" spans="1:6" x14ac:dyDescent="0.25">
      <c r="A1311" s="41">
        <v>44236</v>
      </c>
      <c r="B1311" s="28"/>
      <c r="C1311" s="28" t="s">
        <v>5487</v>
      </c>
      <c r="D1311" s="28"/>
      <c r="E1311" s="28" t="s">
        <v>5488</v>
      </c>
      <c r="F1311" s="28" t="s">
        <v>5489</v>
      </c>
    </row>
    <row r="1312" spans="1:6" x14ac:dyDescent="0.25">
      <c r="A1312" s="40">
        <v>44013</v>
      </c>
      <c r="B1312" s="38"/>
      <c r="C1312" s="38" t="s">
        <v>2811</v>
      </c>
      <c r="D1312" s="38"/>
      <c r="E1312" s="38" t="s">
        <v>2812</v>
      </c>
      <c r="F1312" s="38" t="s">
        <v>2813</v>
      </c>
    </row>
    <row r="1313" spans="1:6" x14ac:dyDescent="0.25">
      <c r="A1313" s="40">
        <v>43391</v>
      </c>
      <c r="C1313" t="s">
        <v>2814</v>
      </c>
      <c r="E1313" t="s">
        <v>2815</v>
      </c>
      <c r="F1313" t="s">
        <v>2816</v>
      </c>
    </row>
    <row r="1314" spans="1:6" x14ac:dyDescent="0.25">
      <c r="A1314" s="40">
        <v>43732</v>
      </c>
      <c r="B1314" s="68"/>
      <c r="C1314" s="68" t="s">
        <v>2817</v>
      </c>
      <c r="D1314" s="68"/>
      <c r="E1314" s="68" t="s">
        <v>2818</v>
      </c>
      <c r="F1314" s="68" t="s">
        <v>2819</v>
      </c>
    </row>
    <row r="1315" spans="1:6" x14ac:dyDescent="0.25">
      <c r="A1315" s="40">
        <v>43344</v>
      </c>
      <c r="B1315" s="56"/>
      <c r="C1315" s="56" t="s">
        <v>2820</v>
      </c>
      <c r="D1315" s="56" t="s">
        <v>2821</v>
      </c>
      <c r="E1315" s="56" t="s">
        <v>2822</v>
      </c>
      <c r="F1315" s="56" t="s">
        <v>2823</v>
      </c>
    </row>
    <row r="1316" spans="1:6" x14ac:dyDescent="0.25">
      <c r="A1316" s="40">
        <v>44173</v>
      </c>
      <c r="B1316" s="56"/>
      <c r="C1316" s="56" t="s">
        <v>2828</v>
      </c>
      <c r="D1316" s="56"/>
      <c r="E1316" s="56" t="s">
        <v>2829</v>
      </c>
      <c r="F1316" s="56" t="s">
        <v>2830</v>
      </c>
    </row>
    <row r="1317" spans="1:6" x14ac:dyDescent="0.25">
      <c r="A1317" s="40">
        <v>44165</v>
      </c>
      <c r="B1317" s="68"/>
      <c r="C1317" s="68" t="s">
        <v>2824</v>
      </c>
      <c r="D1317" s="68" t="s">
        <v>2825</v>
      </c>
      <c r="E1317" s="68" t="s">
        <v>2826</v>
      </c>
      <c r="F1317" s="68" t="s">
        <v>2827</v>
      </c>
    </row>
    <row r="1318" spans="1:6" x14ac:dyDescent="0.25">
      <c r="A1318" s="40">
        <v>43530</v>
      </c>
      <c r="B1318" s="56"/>
      <c r="C1318" s="56" t="s">
        <v>2839</v>
      </c>
      <c r="D1318" s="56"/>
      <c r="E1318" s="56" t="s">
        <v>2840</v>
      </c>
      <c r="F1318" s="56" t="s">
        <v>2841</v>
      </c>
    </row>
    <row r="1319" spans="1:6" x14ac:dyDescent="0.25">
      <c r="A1319" s="40">
        <v>44091</v>
      </c>
      <c r="B1319" s="56"/>
      <c r="C1319" s="56" t="s">
        <v>2842</v>
      </c>
      <c r="D1319" s="56"/>
      <c r="E1319" s="56" t="s">
        <v>2843</v>
      </c>
      <c r="F1319" s="56" t="s">
        <v>2844</v>
      </c>
    </row>
    <row r="1320" spans="1:6" x14ac:dyDescent="0.25">
      <c r="A1320" s="40">
        <v>43634</v>
      </c>
      <c r="B1320" s="56"/>
      <c r="C1320" s="56" t="s">
        <v>2845</v>
      </c>
      <c r="D1320" s="56"/>
      <c r="E1320" s="56" t="s">
        <v>2846</v>
      </c>
      <c r="F1320" s="56" t="s">
        <v>2847</v>
      </c>
    </row>
    <row r="1321" spans="1:6" x14ac:dyDescent="0.25">
      <c r="A1321" s="40">
        <v>43860</v>
      </c>
      <c r="B1321" s="68"/>
      <c r="C1321" s="68" t="s">
        <v>2848</v>
      </c>
      <c r="D1321" s="68"/>
      <c r="E1321" s="68" t="s">
        <v>2849</v>
      </c>
      <c r="F1321" s="68" t="s">
        <v>2850</v>
      </c>
    </row>
    <row r="1322" spans="1:6" x14ac:dyDescent="0.25">
      <c r="A1322" s="40">
        <v>44006</v>
      </c>
      <c r="B1322" s="68"/>
      <c r="C1322" s="68" t="s">
        <v>2851</v>
      </c>
      <c r="D1322" s="68"/>
      <c r="E1322" s="68" t="s">
        <v>2852</v>
      </c>
      <c r="F1322" s="68" t="s">
        <v>2853</v>
      </c>
    </row>
    <row r="1323" spans="1:6" x14ac:dyDescent="0.25">
      <c r="A1323" s="40">
        <v>44118</v>
      </c>
      <c r="B1323" s="68"/>
      <c r="C1323" s="68" t="s">
        <v>2854</v>
      </c>
      <c r="D1323" s="68"/>
      <c r="E1323" s="68" t="s">
        <v>2855</v>
      </c>
      <c r="F1323" s="68" t="s">
        <v>2856</v>
      </c>
    </row>
    <row r="1324" spans="1:6" x14ac:dyDescent="0.25">
      <c r="A1324" s="41">
        <v>44199</v>
      </c>
      <c r="B1324" s="28"/>
      <c r="C1324" s="28" t="s">
        <v>4629</v>
      </c>
      <c r="D1324" s="28"/>
      <c r="E1324" s="28" t="s">
        <v>4846</v>
      </c>
      <c r="F1324" s="28" t="s">
        <v>4847</v>
      </c>
    </row>
    <row r="1325" spans="1:6" x14ac:dyDescent="0.25">
      <c r="A1325" s="40">
        <v>44070</v>
      </c>
      <c r="B1325" s="68"/>
      <c r="C1325" s="68" t="s">
        <v>2857</v>
      </c>
      <c r="D1325" s="68"/>
      <c r="E1325" s="68" t="s">
        <v>2858</v>
      </c>
      <c r="F1325" s="68" t="s">
        <v>2859</v>
      </c>
    </row>
    <row r="1326" spans="1:6" x14ac:dyDescent="0.25">
      <c r="A1326" s="40">
        <v>44013</v>
      </c>
      <c r="B1326" s="68"/>
      <c r="C1326" s="68" t="s">
        <v>2860</v>
      </c>
      <c r="D1326" s="68"/>
      <c r="E1326" s="68" t="s">
        <v>2861</v>
      </c>
      <c r="F1326" s="68" t="s">
        <v>2862</v>
      </c>
    </row>
    <row r="1327" spans="1:6" x14ac:dyDescent="0.25">
      <c r="A1327" s="41">
        <v>44301</v>
      </c>
      <c r="B1327" s="28">
        <v>4</v>
      </c>
      <c r="C1327" s="28" t="s">
        <v>5651</v>
      </c>
      <c r="D1327" s="28"/>
      <c r="E1327" s="28" t="s">
        <v>5652</v>
      </c>
      <c r="F1327" s="28" t="s">
        <v>5653</v>
      </c>
    </row>
    <row r="1328" spans="1:6" x14ac:dyDescent="0.25">
      <c r="A1328" s="40">
        <v>44172</v>
      </c>
      <c r="B1328" s="56"/>
      <c r="C1328" s="56" t="s">
        <v>2863</v>
      </c>
      <c r="D1328" s="56"/>
      <c r="E1328" s="56" t="s">
        <v>2864</v>
      </c>
      <c r="F1328" s="56" t="s">
        <v>2865</v>
      </c>
    </row>
    <row r="1329" spans="1:6" x14ac:dyDescent="0.25">
      <c r="A1329" s="40">
        <v>43630</v>
      </c>
      <c r="B1329" s="56"/>
      <c r="C1329" s="56" t="s">
        <v>2866</v>
      </c>
      <c r="D1329" s="56"/>
      <c r="E1329" s="56" t="s">
        <v>2867</v>
      </c>
      <c r="F1329" s="56" t="s">
        <v>2868</v>
      </c>
    </row>
    <row r="1330" spans="1:6" x14ac:dyDescent="0.25">
      <c r="A1330" s="40">
        <v>43864</v>
      </c>
      <c r="B1330" s="49"/>
      <c r="C1330" s="49" t="s">
        <v>2869</v>
      </c>
      <c r="D1330" s="49"/>
      <c r="E1330" s="49" t="s">
        <v>2870</v>
      </c>
      <c r="F1330" s="49" t="s">
        <v>2871</v>
      </c>
    </row>
    <row r="1331" spans="1:6" x14ac:dyDescent="0.25">
      <c r="A1331" s="41">
        <v>44200</v>
      </c>
      <c r="B1331" s="28"/>
      <c r="C1331" s="28" t="s">
        <v>5075</v>
      </c>
      <c r="D1331" s="28"/>
      <c r="E1331" s="28" t="s">
        <v>5075</v>
      </c>
      <c r="F1331" s="28" t="s">
        <v>5410</v>
      </c>
    </row>
    <row r="1332" spans="1:6" x14ac:dyDescent="0.25">
      <c r="A1332" s="41">
        <v>44199</v>
      </c>
      <c r="B1332" s="28"/>
      <c r="C1332" s="28" t="s">
        <v>4630</v>
      </c>
      <c r="D1332" s="28"/>
      <c r="E1332" s="28" t="s">
        <v>4630</v>
      </c>
      <c r="F1332" s="28" t="s">
        <v>4848</v>
      </c>
    </row>
    <row r="1333" spans="1:6" x14ac:dyDescent="0.25">
      <c r="A1333" s="41">
        <v>44199</v>
      </c>
      <c r="B1333" s="28"/>
      <c r="C1333" s="28" t="s">
        <v>4631</v>
      </c>
      <c r="D1333" s="28"/>
      <c r="E1333" s="28" t="s">
        <v>4631</v>
      </c>
      <c r="F1333" s="28" t="s">
        <v>4849</v>
      </c>
    </row>
    <row r="1334" spans="1:6" x14ac:dyDescent="0.25">
      <c r="A1334" s="40">
        <v>44172</v>
      </c>
      <c r="B1334" s="56"/>
      <c r="C1334" s="56" t="s">
        <v>2872</v>
      </c>
      <c r="D1334" s="56" t="s">
        <v>2873</v>
      </c>
      <c r="E1334" s="56"/>
      <c r="F1334" s="56"/>
    </row>
    <row r="1335" spans="1:6" x14ac:dyDescent="0.25">
      <c r="A1335" s="41">
        <v>44200</v>
      </c>
      <c r="B1335" s="28"/>
      <c r="C1335" s="28" t="s">
        <v>5076</v>
      </c>
      <c r="D1335" s="28"/>
      <c r="E1335" s="28" t="s">
        <v>5243</v>
      </c>
      <c r="F1335" s="28" t="s">
        <v>2874</v>
      </c>
    </row>
    <row r="1336" spans="1:6" x14ac:dyDescent="0.25">
      <c r="A1336" s="41">
        <v>44199</v>
      </c>
      <c r="B1336" s="28"/>
      <c r="C1336" s="28" t="s">
        <v>4632</v>
      </c>
      <c r="D1336" s="28"/>
      <c r="E1336" s="28" t="s">
        <v>4850</v>
      </c>
      <c r="F1336" s="28" t="s">
        <v>4851</v>
      </c>
    </row>
    <row r="1337" spans="1:6" x14ac:dyDescent="0.25">
      <c r="A1337" s="40">
        <v>43937</v>
      </c>
      <c r="B1337" s="68"/>
      <c r="C1337" s="68" t="s">
        <v>2875</v>
      </c>
      <c r="D1337" s="68"/>
      <c r="E1337" s="68" t="s">
        <v>2876</v>
      </c>
      <c r="F1337" s="68" t="s">
        <v>2877</v>
      </c>
    </row>
    <row r="1338" spans="1:6" x14ac:dyDescent="0.25">
      <c r="A1338" s="40">
        <v>43344</v>
      </c>
      <c r="B1338" s="68"/>
      <c r="C1338" s="68" t="s">
        <v>2878</v>
      </c>
      <c r="D1338" s="68" t="s">
        <v>2879</v>
      </c>
      <c r="E1338" s="68" t="s">
        <v>2880</v>
      </c>
      <c r="F1338" s="68" t="s">
        <v>2881</v>
      </c>
    </row>
    <row r="1339" spans="1:6" x14ac:dyDescent="0.25">
      <c r="A1339" s="40">
        <v>43634</v>
      </c>
      <c r="B1339" s="68"/>
      <c r="C1339" s="68" t="s">
        <v>2882</v>
      </c>
      <c r="D1339" s="68"/>
      <c r="E1339" s="68" t="s">
        <v>2883</v>
      </c>
      <c r="F1339" s="68" t="s">
        <v>2884</v>
      </c>
    </row>
    <row r="1340" spans="1:6" x14ac:dyDescent="0.25">
      <c r="A1340" s="40">
        <v>44082</v>
      </c>
      <c r="B1340" s="68"/>
      <c r="C1340" s="68" t="s">
        <v>2885</v>
      </c>
      <c r="D1340" s="68"/>
      <c r="E1340" s="68" t="s">
        <v>2886</v>
      </c>
      <c r="F1340" s="68" t="s">
        <v>556</v>
      </c>
    </row>
    <row r="1341" spans="1:6" x14ac:dyDescent="0.25">
      <c r="A1341" s="40">
        <v>43391</v>
      </c>
      <c r="B1341" s="56"/>
      <c r="C1341" s="56" t="s">
        <v>2887</v>
      </c>
      <c r="D1341" s="56"/>
      <c r="E1341" s="56" t="s">
        <v>2888</v>
      </c>
      <c r="F1341" s="56" t="s">
        <v>2889</v>
      </c>
    </row>
    <row r="1342" spans="1:6" x14ac:dyDescent="0.25">
      <c r="A1342" s="41">
        <v>44199</v>
      </c>
      <c r="B1342" s="28"/>
      <c r="C1342" s="28" t="s">
        <v>4633</v>
      </c>
      <c r="D1342" s="28"/>
      <c r="E1342" s="28" t="s">
        <v>4852</v>
      </c>
      <c r="F1342" s="28" t="s">
        <v>4853</v>
      </c>
    </row>
    <row r="1343" spans="1:6" x14ac:dyDescent="0.25">
      <c r="A1343" s="40">
        <v>44062</v>
      </c>
      <c r="B1343" s="56"/>
      <c r="C1343" s="56" t="s">
        <v>2890</v>
      </c>
      <c r="D1343" s="56"/>
      <c r="E1343" s="56" t="s">
        <v>2891</v>
      </c>
      <c r="F1343" s="56" t="s">
        <v>2892</v>
      </c>
    </row>
    <row r="1344" spans="1:6" x14ac:dyDescent="0.25">
      <c r="A1344" s="40">
        <v>43393</v>
      </c>
      <c r="B1344" s="48"/>
      <c r="C1344" s="48" t="s">
        <v>2893</v>
      </c>
      <c r="D1344" s="48"/>
      <c r="E1344" s="48" t="s">
        <v>2894</v>
      </c>
      <c r="F1344" s="48" t="s">
        <v>2894</v>
      </c>
    </row>
    <row r="1345" spans="1:6" x14ac:dyDescent="0.25">
      <c r="A1345" s="40">
        <v>44061</v>
      </c>
      <c r="B1345" s="68"/>
      <c r="C1345" s="68" t="s">
        <v>2895</v>
      </c>
      <c r="D1345" s="68"/>
      <c r="E1345" s="68" t="s">
        <v>2896</v>
      </c>
      <c r="F1345" s="68" t="s">
        <v>2897</v>
      </c>
    </row>
    <row r="1346" spans="1:6" x14ac:dyDescent="0.25">
      <c r="A1346" s="40">
        <v>43860</v>
      </c>
      <c r="B1346" s="56"/>
      <c r="C1346" s="56" t="s">
        <v>2898</v>
      </c>
      <c r="D1346" s="56"/>
      <c r="E1346" s="56" t="s">
        <v>2899</v>
      </c>
      <c r="F1346" s="56" t="s">
        <v>2900</v>
      </c>
    </row>
    <row r="1347" spans="1:6" x14ac:dyDescent="0.25">
      <c r="A1347" s="41">
        <v>44199</v>
      </c>
      <c r="B1347" s="28"/>
      <c r="C1347" s="28" t="s">
        <v>4634</v>
      </c>
      <c r="D1347" s="28"/>
      <c r="E1347" s="28" t="s">
        <v>4854</v>
      </c>
      <c r="F1347" s="28" t="s">
        <v>4855</v>
      </c>
    </row>
    <row r="1348" spans="1:6" x14ac:dyDescent="0.25">
      <c r="A1348" s="41">
        <v>44199</v>
      </c>
      <c r="B1348" s="28"/>
      <c r="C1348" s="28" t="s">
        <v>4635</v>
      </c>
      <c r="D1348" s="28"/>
      <c r="E1348" s="28" t="s">
        <v>4856</v>
      </c>
      <c r="F1348" s="28" t="s">
        <v>4857</v>
      </c>
    </row>
    <row r="1349" spans="1:6" x14ac:dyDescent="0.25">
      <c r="A1349" s="41">
        <v>44199</v>
      </c>
      <c r="B1349" s="28"/>
      <c r="C1349" s="28" t="s">
        <v>4636</v>
      </c>
      <c r="D1349" s="28"/>
      <c r="E1349" s="28" t="s">
        <v>4858</v>
      </c>
      <c r="F1349" s="28" t="s">
        <v>4859</v>
      </c>
    </row>
    <row r="1350" spans="1:6" x14ac:dyDescent="0.25">
      <c r="A1350" s="41">
        <v>44200</v>
      </c>
      <c r="B1350" s="28"/>
      <c r="C1350" s="28" t="s">
        <v>5077</v>
      </c>
      <c r="D1350" s="28"/>
      <c r="E1350" s="28" t="s">
        <v>5244</v>
      </c>
      <c r="F1350" s="28" t="s">
        <v>5411</v>
      </c>
    </row>
    <row r="1351" spans="1:6" x14ac:dyDescent="0.25">
      <c r="A1351" s="40">
        <v>44007</v>
      </c>
      <c r="B1351" s="44"/>
      <c r="C1351" s="44" t="s">
        <v>2901</v>
      </c>
      <c r="D1351" s="44"/>
      <c r="E1351" s="44" t="s">
        <v>2902</v>
      </c>
      <c r="F1351" s="44" t="s">
        <v>2903</v>
      </c>
    </row>
    <row r="1352" spans="1:6" x14ac:dyDescent="0.25">
      <c r="A1352" s="40">
        <v>44012</v>
      </c>
      <c r="B1352" s="34"/>
      <c r="C1352" s="34" t="s">
        <v>2904</v>
      </c>
      <c r="D1352" s="34"/>
      <c r="E1352" s="34" t="s">
        <v>2905</v>
      </c>
      <c r="F1352" s="34" t="s">
        <v>2906</v>
      </c>
    </row>
    <row r="1353" spans="1:6" x14ac:dyDescent="0.25">
      <c r="A1353" s="40">
        <v>43819</v>
      </c>
      <c r="B1353" s="48"/>
      <c r="C1353" s="48" t="s">
        <v>2907</v>
      </c>
      <c r="D1353" s="48"/>
      <c r="E1353" s="48" t="s">
        <v>2908</v>
      </c>
      <c r="F1353" s="48" t="s">
        <v>2909</v>
      </c>
    </row>
    <row r="1354" spans="1:6" x14ac:dyDescent="0.25">
      <c r="A1354" s="40">
        <v>44172</v>
      </c>
      <c r="B1354" s="49"/>
      <c r="C1354" s="49" t="s">
        <v>2910</v>
      </c>
      <c r="D1354" s="49"/>
      <c r="E1354" s="49" t="s">
        <v>2911</v>
      </c>
      <c r="F1354" s="49" t="s">
        <v>2912</v>
      </c>
    </row>
    <row r="1355" spans="1:6" x14ac:dyDescent="0.25">
      <c r="A1355" s="41">
        <v>44200</v>
      </c>
      <c r="B1355" s="28"/>
      <c r="C1355" s="28" t="s">
        <v>5078</v>
      </c>
      <c r="D1355" s="28"/>
      <c r="E1355" s="28" t="s">
        <v>5245</v>
      </c>
      <c r="F1355" s="28" t="s">
        <v>5412</v>
      </c>
    </row>
    <row r="1356" spans="1:6" x14ac:dyDescent="0.25">
      <c r="A1356" s="40">
        <v>43461</v>
      </c>
      <c r="B1356" s="37"/>
      <c r="C1356" s="37" t="s">
        <v>2913</v>
      </c>
      <c r="D1356" s="37"/>
      <c r="E1356" s="37" t="s">
        <v>2914</v>
      </c>
      <c r="F1356" s="37" t="s">
        <v>2915</v>
      </c>
    </row>
    <row r="1357" spans="1:6" x14ac:dyDescent="0.25">
      <c r="A1357" s="41">
        <v>44199</v>
      </c>
      <c r="B1357" s="28"/>
      <c r="C1357" s="28" t="s">
        <v>4637</v>
      </c>
      <c r="D1357" s="28"/>
      <c r="E1357" s="28" t="s">
        <v>4860</v>
      </c>
      <c r="F1357" s="28" t="s">
        <v>4861</v>
      </c>
    </row>
    <row r="1358" spans="1:6" x14ac:dyDescent="0.25">
      <c r="A1358" s="40">
        <v>43989</v>
      </c>
      <c r="C1358" t="s">
        <v>2916</v>
      </c>
      <c r="E1358" t="s">
        <v>2917</v>
      </c>
      <c r="F1358" t="s">
        <v>2918</v>
      </c>
    </row>
    <row r="1359" spans="1:6" x14ac:dyDescent="0.25">
      <c r="A1359" s="40">
        <v>43860</v>
      </c>
      <c r="B1359" s="38"/>
      <c r="C1359" s="38" t="s">
        <v>2919</v>
      </c>
      <c r="D1359" s="38"/>
      <c r="E1359" s="38" t="s">
        <v>2920</v>
      </c>
      <c r="F1359" s="38" t="s">
        <v>2921</v>
      </c>
    </row>
    <row r="1360" spans="1:6" x14ac:dyDescent="0.25">
      <c r="A1360" s="40">
        <v>43860</v>
      </c>
      <c r="B1360" s="38"/>
      <c r="C1360" s="38" t="s">
        <v>2922</v>
      </c>
      <c r="D1360" s="38"/>
      <c r="E1360" s="38" t="s">
        <v>2923</v>
      </c>
      <c r="F1360" s="38" t="s">
        <v>167</v>
      </c>
    </row>
    <row r="1361" spans="1:6" x14ac:dyDescent="0.25">
      <c r="A1361" s="40">
        <v>43437</v>
      </c>
      <c r="B1361" s="48"/>
      <c r="C1361" s="48" t="s">
        <v>2924</v>
      </c>
      <c r="D1361" s="48" t="s">
        <v>2925</v>
      </c>
      <c r="E1361" s="48" t="s">
        <v>2926</v>
      </c>
      <c r="F1361" s="48" t="s">
        <v>2927</v>
      </c>
    </row>
    <row r="1362" spans="1:6" x14ac:dyDescent="0.25">
      <c r="A1362" s="40">
        <v>44039</v>
      </c>
      <c r="B1362" s="68"/>
      <c r="C1362" s="68" t="s">
        <v>2928</v>
      </c>
      <c r="D1362" s="68"/>
      <c r="E1362" s="68" t="s">
        <v>2929</v>
      </c>
      <c r="F1362" s="68" t="s">
        <v>2930</v>
      </c>
    </row>
    <row r="1363" spans="1:6" x14ac:dyDescent="0.25">
      <c r="A1363" s="40">
        <v>44063</v>
      </c>
      <c r="B1363" s="56"/>
      <c r="C1363" s="56" t="s">
        <v>2931</v>
      </c>
      <c r="D1363" s="56"/>
      <c r="E1363" s="56" t="s">
        <v>2932</v>
      </c>
      <c r="F1363" s="56" t="s">
        <v>2933</v>
      </c>
    </row>
    <row r="1364" spans="1:6" x14ac:dyDescent="0.25">
      <c r="A1364" s="40">
        <v>44053</v>
      </c>
      <c r="B1364" s="56"/>
      <c r="C1364" s="56" t="s">
        <v>2934</v>
      </c>
      <c r="D1364" s="56"/>
      <c r="E1364" s="56" t="s">
        <v>2935</v>
      </c>
      <c r="F1364" s="56" t="s">
        <v>2936</v>
      </c>
    </row>
    <row r="1365" spans="1:6" x14ac:dyDescent="0.25">
      <c r="A1365" s="40">
        <v>44053</v>
      </c>
      <c r="B1365" s="56"/>
      <c r="C1365" s="56" t="s">
        <v>2937</v>
      </c>
      <c r="D1365" s="56"/>
      <c r="E1365" s="56" t="s">
        <v>2938</v>
      </c>
      <c r="F1365" s="56" t="s">
        <v>2939</v>
      </c>
    </row>
    <row r="1366" spans="1:6" x14ac:dyDescent="0.25">
      <c r="A1366" s="40">
        <v>44039</v>
      </c>
      <c r="B1366" s="48"/>
      <c r="C1366" s="48" t="s">
        <v>2940</v>
      </c>
      <c r="D1366" s="48"/>
      <c r="E1366" s="48" t="s">
        <v>2941</v>
      </c>
      <c r="F1366" s="48" t="s">
        <v>2942</v>
      </c>
    </row>
    <row r="1367" spans="1:6" x14ac:dyDescent="0.25">
      <c r="A1367" s="40">
        <v>43523</v>
      </c>
      <c r="B1367" s="38"/>
      <c r="C1367" s="38" t="s">
        <v>2943</v>
      </c>
      <c r="D1367" s="38"/>
      <c r="E1367" s="38" t="s">
        <v>2944</v>
      </c>
      <c r="F1367" s="38" t="s">
        <v>2945</v>
      </c>
    </row>
    <row r="1368" spans="1:6" x14ac:dyDescent="0.25">
      <c r="A1368" s="40">
        <v>44040</v>
      </c>
      <c r="C1368" t="s">
        <v>2946</v>
      </c>
      <c r="E1368" t="s">
        <v>2947</v>
      </c>
      <c r="F1368" t="s">
        <v>2948</v>
      </c>
    </row>
    <row r="1369" spans="1:6" x14ac:dyDescent="0.25">
      <c r="A1369" s="40">
        <v>43996</v>
      </c>
      <c r="B1369" s="44"/>
      <c r="C1369" s="44" t="s">
        <v>2949</v>
      </c>
      <c r="D1369" s="44"/>
      <c r="E1369" s="44" t="s">
        <v>2950</v>
      </c>
      <c r="F1369" s="44" t="s">
        <v>2951</v>
      </c>
    </row>
    <row r="1370" spans="1:6" x14ac:dyDescent="0.25">
      <c r="A1370" s="40">
        <v>43523</v>
      </c>
      <c r="B1370" s="44"/>
      <c r="C1370" s="44" t="s">
        <v>2952</v>
      </c>
      <c r="D1370" s="44"/>
      <c r="E1370" s="44" t="s">
        <v>2953</v>
      </c>
      <c r="F1370" s="44" t="s">
        <v>2954</v>
      </c>
    </row>
    <row r="1371" spans="1:6" x14ac:dyDescent="0.25">
      <c r="A1371" s="40">
        <v>43523</v>
      </c>
      <c r="B1371" s="68"/>
      <c r="C1371" s="68" t="s">
        <v>2955</v>
      </c>
      <c r="D1371" s="68"/>
      <c r="E1371" s="68" t="s">
        <v>2956</v>
      </c>
      <c r="F1371" s="68" t="s">
        <v>2957</v>
      </c>
    </row>
    <row r="1372" spans="1:6" x14ac:dyDescent="0.25">
      <c r="A1372" s="41">
        <v>44199</v>
      </c>
      <c r="B1372" s="28"/>
      <c r="C1372" s="28" t="s">
        <v>4638</v>
      </c>
      <c r="D1372" s="28"/>
      <c r="E1372" s="28" t="s">
        <v>4862</v>
      </c>
      <c r="F1372" s="28" t="s">
        <v>4863</v>
      </c>
    </row>
    <row r="1373" spans="1:6" x14ac:dyDescent="0.25">
      <c r="A1373" s="40">
        <v>44039</v>
      </c>
      <c r="B1373" s="56"/>
      <c r="C1373" s="56" t="s">
        <v>2958</v>
      </c>
      <c r="D1373" s="56"/>
      <c r="E1373" s="56" t="s">
        <v>2959</v>
      </c>
      <c r="F1373" s="56" t="s">
        <v>2960</v>
      </c>
    </row>
    <row r="1374" spans="1:6" x14ac:dyDescent="0.25">
      <c r="A1374" s="40">
        <v>43662</v>
      </c>
      <c r="B1374" s="56"/>
      <c r="C1374" s="56" t="s">
        <v>2961</v>
      </c>
      <c r="D1374" s="56"/>
      <c r="E1374" s="56" t="s">
        <v>2962</v>
      </c>
      <c r="F1374" s="56" t="s">
        <v>2963</v>
      </c>
    </row>
    <row r="1375" spans="1:6" x14ac:dyDescent="0.25">
      <c r="A1375" s="40">
        <v>43662</v>
      </c>
      <c r="B1375" s="44"/>
      <c r="C1375" s="44" t="s">
        <v>2964</v>
      </c>
      <c r="D1375" s="44"/>
      <c r="E1375" s="44" t="s">
        <v>2965</v>
      </c>
      <c r="F1375" s="44" t="s">
        <v>2966</v>
      </c>
    </row>
    <row r="1376" spans="1:6" x14ac:dyDescent="0.25">
      <c r="A1376" s="40">
        <v>43437</v>
      </c>
      <c r="C1376" t="s">
        <v>2967</v>
      </c>
      <c r="D1376" t="s">
        <v>2967</v>
      </c>
      <c r="E1376" t="s">
        <v>2968</v>
      </c>
      <c r="F1376" t="s">
        <v>2969</v>
      </c>
    </row>
    <row r="1377" spans="1:6" x14ac:dyDescent="0.25">
      <c r="A1377" s="40">
        <v>43662</v>
      </c>
      <c r="C1377" t="s">
        <v>2970</v>
      </c>
      <c r="E1377" t="s">
        <v>2971</v>
      </c>
      <c r="F1377" t="s">
        <v>2972</v>
      </c>
    </row>
    <row r="1378" spans="1:6" x14ac:dyDescent="0.25">
      <c r="A1378" s="40">
        <v>44012</v>
      </c>
      <c r="B1378" s="38"/>
      <c r="C1378" s="38" t="s">
        <v>2973</v>
      </c>
      <c r="D1378" s="38"/>
      <c r="E1378" s="38" t="s">
        <v>2974</v>
      </c>
      <c r="F1378" s="38" t="s">
        <v>2975</v>
      </c>
    </row>
    <row r="1379" spans="1:6" x14ac:dyDescent="0.25">
      <c r="B1379" s="68"/>
      <c r="C1379" s="68" t="s">
        <v>2976</v>
      </c>
      <c r="D1379" s="68"/>
      <c r="E1379" s="68" t="s">
        <v>2977</v>
      </c>
      <c r="F1379" s="68" t="s">
        <v>2978</v>
      </c>
    </row>
    <row r="1380" spans="1:6" x14ac:dyDescent="0.25">
      <c r="A1380" s="40">
        <v>43700</v>
      </c>
      <c r="B1380" s="56"/>
      <c r="C1380" s="56" t="s">
        <v>2979</v>
      </c>
      <c r="D1380" s="56"/>
      <c r="E1380" s="56" t="s">
        <v>2980</v>
      </c>
      <c r="F1380" s="56" t="s">
        <v>2981</v>
      </c>
    </row>
    <row r="1381" spans="1:6" x14ac:dyDescent="0.25">
      <c r="A1381" s="41">
        <v>44199</v>
      </c>
      <c r="B1381" s="28"/>
      <c r="C1381" s="28" t="s">
        <v>4639</v>
      </c>
      <c r="D1381" s="28"/>
      <c r="E1381" s="28" t="s">
        <v>4864</v>
      </c>
      <c r="F1381" s="28" t="s">
        <v>4865</v>
      </c>
    </row>
    <row r="1382" spans="1:6" x14ac:dyDescent="0.25">
      <c r="A1382" s="40">
        <v>43530</v>
      </c>
      <c r="B1382" s="68"/>
      <c r="C1382" s="68" t="s">
        <v>2982</v>
      </c>
      <c r="D1382" s="68"/>
      <c r="E1382" s="68" t="s">
        <v>2983</v>
      </c>
      <c r="F1382" s="68" t="s">
        <v>2984</v>
      </c>
    </row>
    <row r="1383" spans="1:6" x14ac:dyDescent="0.25">
      <c r="A1383" s="40">
        <v>44053</v>
      </c>
      <c r="B1383" s="56"/>
      <c r="C1383" s="56" t="s">
        <v>2985</v>
      </c>
      <c r="D1383" s="56"/>
      <c r="E1383" s="56" t="s">
        <v>2986</v>
      </c>
      <c r="F1383" s="56" t="s">
        <v>2987</v>
      </c>
    </row>
    <row r="1384" spans="1:6" x14ac:dyDescent="0.25">
      <c r="A1384" s="40">
        <v>43864</v>
      </c>
      <c r="B1384" s="68"/>
      <c r="C1384" s="68" t="s">
        <v>2988</v>
      </c>
      <c r="D1384" s="68"/>
      <c r="E1384" s="68" t="s">
        <v>2989</v>
      </c>
      <c r="F1384" s="68" t="s">
        <v>2990</v>
      </c>
    </row>
    <row r="1385" spans="1:6" x14ac:dyDescent="0.25">
      <c r="A1385" s="40">
        <v>43725</v>
      </c>
      <c r="B1385" s="56"/>
      <c r="C1385" s="56" t="s">
        <v>2991</v>
      </c>
      <c r="D1385" s="56"/>
      <c r="E1385" s="56" t="s">
        <v>2992</v>
      </c>
      <c r="F1385" s="56" t="s">
        <v>2993</v>
      </c>
    </row>
    <row r="1386" spans="1:6" x14ac:dyDescent="0.25">
      <c r="A1386" s="40">
        <v>43725</v>
      </c>
      <c r="B1386" s="56"/>
      <c r="C1386" s="56" t="s">
        <v>2994</v>
      </c>
      <c r="D1386" s="56"/>
      <c r="E1386" s="56" t="s">
        <v>2995</v>
      </c>
      <c r="F1386" s="56" t="s">
        <v>2996</v>
      </c>
    </row>
    <row r="1387" spans="1:6" x14ac:dyDescent="0.25">
      <c r="A1387" s="40">
        <v>44013</v>
      </c>
      <c r="B1387" s="56"/>
      <c r="C1387" s="56" t="s">
        <v>2997</v>
      </c>
      <c r="D1387" s="56"/>
      <c r="E1387" s="56" t="s">
        <v>2998</v>
      </c>
      <c r="F1387" s="56" t="s">
        <v>2999</v>
      </c>
    </row>
    <row r="1388" spans="1:6" x14ac:dyDescent="0.25">
      <c r="A1388" s="40">
        <v>43840</v>
      </c>
      <c r="C1388" t="s">
        <v>3000</v>
      </c>
      <c r="E1388" t="s">
        <v>3001</v>
      </c>
      <c r="F1388" t="s">
        <v>3002</v>
      </c>
    </row>
    <row r="1389" spans="1:6" x14ac:dyDescent="0.25">
      <c r="A1389" s="41">
        <v>44200</v>
      </c>
      <c r="B1389" s="28"/>
      <c r="C1389" s="28" t="s">
        <v>5079</v>
      </c>
      <c r="D1389" s="28"/>
      <c r="E1389" s="28" t="s">
        <v>5246</v>
      </c>
      <c r="F1389" s="28" t="s">
        <v>5413</v>
      </c>
    </row>
    <row r="1390" spans="1:6" x14ac:dyDescent="0.25">
      <c r="A1390" s="40">
        <v>44083</v>
      </c>
      <c r="B1390" s="49"/>
      <c r="C1390" s="49" t="s">
        <v>3003</v>
      </c>
      <c r="D1390" s="49"/>
      <c r="E1390" s="49" t="s">
        <v>3004</v>
      </c>
      <c r="F1390" s="49" t="s">
        <v>3005</v>
      </c>
    </row>
    <row r="1391" spans="1:6" x14ac:dyDescent="0.25">
      <c r="A1391" s="40">
        <v>43989</v>
      </c>
      <c r="B1391" s="48"/>
      <c r="C1391" s="48" t="s">
        <v>3006</v>
      </c>
      <c r="D1391" s="48"/>
      <c r="E1391" s="48" t="s">
        <v>3007</v>
      </c>
      <c r="F1391" s="48" t="s">
        <v>3008</v>
      </c>
    </row>
    <row r="1392" spans="1:6" x14ac:dyDescent="0.25">
      <c r="A1392" s="41">
        <v>44270</v>
      </c>
      <c r="B1392" s="28"/>
      <c r="C1392" s="28" t="s">
        <v>5532</v>
      </c>
      <c r="D1392" s="28" t="s">
        <v>5533</v>
      </c>
      <c r="E1392" s="28" t="s">
        <v>5534</v>
      </c>
      <c r="F1392" s="28" t="s">
        <v>5535</v>
      </c>
    </row>
    <row r="1393" spans="1:6" x14ac:dyDescent="0.25">
      <c r="A1393" s="40">
        <v>43755</v>
      </c>
      <c r="C1393" t="s">
        <v>3009</v>
      </c>
      <c r="E1393" t="s">
        <v>3009</v>
      </c>
      <c r="F1393" t="s">
        <v>3010</v>
      </c>
    </row>
    <row r="1394" spans="1:6" x14ac:dyDescent="0.25">
      <c r="A1394" s="41">
        <v>44491</v>
      </c>
      <c r="B1394" s="28"/>
      <c r="C1394" s="28" t="s">
        <v>5753</v>
      </c>
      <c r="D1394" s="28"/>
      <c r="E1394" s="28" t="s">
        <v>5754</v>
      </c>
      <c r="F1394" s="28" t="s">
        <v>5755</v>
      </c>
    </row>
    <row r="1395" spans="1:6" x14ac:dyDescent="0.25">
      <c r="A1395" s="40">
        <v>43860</v>
      </c>
      <c r="B1395" s="49"/>
      <c r="C1395" s="49" t="s">
        <v>3011</v>
      </c>
      <c r="D1395" s="49"/>
      <c r="E1395" s="49" t="s">
        <v>3011</v>
      </c>
      <c r="F1395" s="49" t="s">
        <v>3012</v>
      </c>
    </row>
    <row r="1396" spans="1:6" x14ac:dyDescent="0.25">
      <c r="A1396" s="41">
        <v>44944</v>
      </c>
      <c r="B1396" s="28"/>
      <c r="C1396" s="28" t="s">
        <v>5877</v>
      </c>
      <c r="D1396" s="28"/>
      <c r="E1396" s="28" t="s">
        <v>4359</v>
      </c>
      <c r="F1396" s="28" t="s">
        <v>5878</v>
      </c>
    </row>
    <row r="1397" spans="1:6" x14ac:dyDescent="0.25">
      <c r="A1397" s="40">
        <v>44070</v>
      </c>
      <c r="B1397" s="49"/>
      <c r="C1397" s="49" t="s">
        <v>3013</v>
      </c>
      <c r="D1397" s="49"/>
      <c r="E1397" s="49" t="s">
        <v>3014</v>
      </c>
      <c r="F1397" s="49" t="s">
        <v>3015</v>
      </c>
    </row>
    <row r="1398" spans="1:6" s="71" customFormat="1" x14ac:dyDescent="0.25">
      <c r="A1398" s="40">
        <v>44055</v>
      </c>
      <c r="C1398" s="71" t="s">
        <v>3016</v>
      </c>
      <c r="E1398" s="71" t="s">
        <v>3017</v>
      </c>
      <c r="F1398" s="71" t="s">
        <v>3018</v>
      </c>
    </row>
    <row r="1399" spans="1:6" x14ac:dyDescent="0.25">
      <c r="A1399" s="40">
        <v>43587</v>
      </c>
      <c r="B1399" s="48"/>
      <c r="C1399" s="48" t="s">
        <v>3019</v>
      </c>
      <c r="D1399" s="48"/>
      <c r="E1399" s="48" t="s">
        <v>3020</v>
      </c>
      <c r="F1399" s="48" t="s">
        <v>3021</v>
      </c>
    </row>
    <row r="1400" spans="1:6" x14ac:dyDescent="0.25">
      <c r="A1400" s="40">
        <v>43384</v>
      </c>
      <c r="B1400" s="38"/>
      <c r="C1400" s="38" t="s">
        <v>3022</v>
      </c>
      <c r="D1400" s="38"/>
      <c r="E1400" s="38" t="s">
        <v>3023</v>
      </c>
      <c r="F1400" s="38" t="s">
        <v>3024</v>
      </c>
    </row>
    <row r="1401" spans="1:6" x14ac:dyDescent="0.25">
      <c r="A1401" s="40">
        <v>43344</v>
      </c>
      <c r="B1401" s="68"/>
      <c r="C1401" s="68" t="s">
        <v>3025</v>
      </c>
      <c r="D1401" s="68"/>
      <c r="E1401" s="68" t="s">
        <v>3026</v>
      </c>
      <c r="F1401" s="68" t="s">
        <v>3027</v>
      </c>
    </row>
    <row r="1402" spans="1:6" x14ac:dyDescent="0.25">
      <c r="A1402" s="40">
        <v>43384</v>
      </c>
      <c r="B1402" s="56"/>
      <c r="C1402" s="56" t="s">
        <v>3028</v>
      </c>
      <c r="D1402" s="56"/>
      <c r="E1402" s="56" t="s">
        <v>3029</v>
      </c>
      <c r="F1402" s="56" t="s">
        <v>3030</v>
      </c>
    </row>
    <row r="1403" spans="1:6" x14ac:dyDescent="0.25">
      <c r="A1403" s="40">
        <v>44159</v>
      </c>
      <c r="B1403" s="56"/>
      <c r="C1403" s="56" t="s">
        <v>3031</v>
      </c>
      <c r="D1403" s="56"/>
      <c r="E1403" s="56" t="s">
        <v>3032</v>
      </c>
      <c r="F1403" s="56" t="s">
        <v>3033</v>
      </c>
    </row>
    <row r="1404" spans="1:6" x14ac:dyDescent="0.25">
      <c r="A1404" s="40">
        <v>43899</v>
      </c>
      <c r="B1404" s="56"/>
      <c r="C1404" s="56" t="s">
        <v>3034</v>
      </c>
      <c r="D1404" s="56"/>
      <c r="E1404" s="56" t="s">
        <v>3035</v>
      </c>
      <c r="F1404" s="56" t="s">
        <v>3036</v>
      </c>
    </row>
    <row r="1405" spans="1:6" x14ac:dyDescent="0.25">
      <c r="A1405" s="40">
        <v>43899</v>
      </c>
      <c r="B1405" s="44"/>
      <c r="C1405" s="44" t="s">
        <v>3037</v>
      </c>
      <c r="D1405" s="44"/>
      <c r="E1405" s="44" t="s">
        <v>3038</v>
      </c>
      <c r="F1405" s="44" t="s">
        <v>3039</v>
      </c>
    </row>
    <row r="1406" spans="1:6" x14ac:dyDescent="0.25">
      <c r="A1406" s="40">
        <v>43899</v>
      </c>
      <c r="C1406" t="s">
        <v>3040</v>
      </c>
      <c r="E1406" t="s">
        <v>3041</v>
      </c>
      <c r="F1406" t="s">
        <v>3042</v>
      </c>
    </row>
    <row r="1407" spans="1:6" x14ac:dyDescent="0.25">
      <c r="A1407" s="40">
        <v>43587</v>
      </c>
      <c r="B1407" s="68"/>
      <c r="C1407" s="68" t="s">
        <v>3043</v>
      </c>
      <c r="D1407" s="68"/>
      <c r="E1407" s="68" t="s">
        <v>3044</v>
      </c>
      <c r="F1407" s="68" t="s">
        <v>3045</v>
      </c>
    </row>
    <row r="1408" spans="1:6" x14ac:dyDescent="0.25">
      <c r="A1408" s="40">
        <v>43467</v>
      </c>
      <c r="C1408" t="s">
        <v>3046</v>
      </c>
      <c r="E1408" t="s">
        <v>3047</v>
      </c>
      <c r="F1408" t="s">
        <v>3048</v>
      </c>
    </row>
    <row r="1409" spans="1:6" x14ac:dyDescent="0.25">
      <c r="C1409" t="s">
        <v>3049</v>
      </c>
      <c r="E1409" t="s">
        <v>3050</v>
      </c>
      <c r="F1409" t="s">
        <v>3048</v>
      </c>
    </row>
    <row r="1410" spans="1:6" x14ac:dyDescent="0.25">
      <c r="B1410" s="48"/>
      <c r="C1410" s="48" t="s">
        <v>3051</v>
      </c>
      <c r="D1410" s="48"/>
      <c r="E1410" s="48" t="s">
        <v>3052</v>
      </c>
      <c r="F1410" s="48" t="s">
        <v>3053</v>
      </c>
    </row>
    <row r="1411" spans="1:6" x14ac:dyDescent="0.25">
      <c r="A1411" s="41">
        <v>44199</v>
      </c>
      <c r="B1411" s="28"/>
      <c r="C1411" s="28" t="s">
        <v>4640</v>
      </c>
      <c r="D1411" s="28"/>
      <c r="E1411" s="28" t="s">
        <v>4866</v>
      </c>
      <c r="F1411" s="28" t="s">
        <v>3048</v>
      </c>
    </row>
    <row r="1412" spans="1:6" x14ac:dyDescent="0.25">
      <c r="A1412" s="40">
        <v>44172</v>
      </c>
      <c r="B1412" s="56"/>
      <c r="C1412" s="56" t="s">
        <v>3054</v>
      </c>
      <c r="D1412" s="56"/>
      <c r="E1412" s="56" t="s">
        <v>3055</v>
      </c>
      <c r="F1412" s="56" t="s">
        <v>3056</v>
      </c>
    </row>
    <row r="1413" spans="1:6" x14ac:dyDescent="0.25">
      <c r="A1413" s="40">
        <v>43588</v>
      </c>
      <c r="B1413" s="48"/>
      <c r="C1413" s="48" t="s">
        <v>3057</v>
      </c>
      <c r="D1413" s="48"/>
      <c r="E1413" s="48" t="s">
        <v>3058</v>
      </c>
      <c r="F1413" s="48" t="s">
        <v>3059</v>
      </c>
    </row>
    <row r="1414" spans="1:6" x14ac:dyDescent="0.25">
      <c r="A1414" s="40">
        <v>44159</v>
      </c>
      <c r="C1414" t="s">
        <v>3060</v>
      </c>
      <c r="E1414" t="s">
        <v>3061</v>
      </c>
      <c r="F1414" t="s">
        <v>3062</v>
      </c>
    </row>
    <row r="1415" spans="1:6" x14ac:dyDescent="0.25">
      <c r="A1415" s="40">
        <v>43634</v>
      </c>
      <c r="B1415" s="48"/>
      <c r="C1415" s="48" t="s">
        <v>3063</v>
      </c>
      <c r="D1415" s="48"/>
      <c r="E1415" s="48" t="s">
        <v>3064</v>
      </c>
      <c r="F1415" s="48" t="s">
        <v>3065</v>
      </c>
    </row>
    <row r="1416" spans="1:6" x14ac:dyDescent="0.25">
      <c r="A1416" s="40">
        <v>44061</v>
      </c>
      <c r="B1416" s="68"/>
      <c r="C1416" s="68" t="s">
        <v>3066</v>
      </c>
      <c r="D1416" s="68"/>
      <c r="E1416" s="68" t="s">
        <v>3066</v>
      </c>
      <c r="F1416" s="68" t="s">
        <v>3067</v>
      </c>
    </row>
    <row r="1417" spans="1:6" x14ac:dyDescent="0.25">
      <c r="A1417" s="41">
        <v>44813</v>
      </c>
      <c r="B1417" s="28"/>
      <c r="C1417" s="28" t="s">
        <v>5823</v>
      </c>
      <c r="D1417" s="28"/>
      <c r="E1417" s="28" t="s">
        <v>5824</v>
      </c>
      <c r="F1417" s="28" t="s">
        <v>5825</v>
      </c>
    </row>
    <row r="1418" spans="1:6" x14ac:dyDescent="0.25">
      <c r="A1418" s="40">
        <v>44813</v>
      </c>
      <c r="B1418" s="68"/>
      <c r="C1418" s="68" t="s">
        <v>5809</v>
      </c>
      <c r="D1418" s="68"/>
      <c r="E1418" s="68" t="s">
        <v>5810</v>
      </c>
      <c r="F1418" s="68" t="s">
        <v>5811</v>
      </c>
    </row>
    <row r="1419" spans="1:6" x14ac:dyDescent="0.25">
      <c r="A1419" s="40">
        <v>43344</v>
      </c>
      <c r="B1419" s="56"/>
      <c r="C1419" s="56" t="s">
        <v>3068</v>
      </c>
      <c r="D1419" s="56" t="s">
        <v>3069</v>
      </c>
      <c r="E1419" s="56" t="s">
        <v>3070</v>
      </c>
      <c r="F1419" s="56" t="s">
        <v>3071</v>
      </c>
    </row>
    <row r="1420" spans="1:6" x14ac:dyDescent="0.25">
      <c r="A1420" s="40">
        <v>44013</v>
      </c>
      <c r="B1420" s="48"/>
      <c r="C1420" s="48" t="s">
        <v>3072</v>
      </c>
      <c r="D1420" s="48"/>
      <c r="E1420" s="48" t="s">
        <v>3073</v>
      </c>
      <c r="F1420" s="48" t="s">
        <v>3074</v>
      </c>
    </row>
    <row r="1421" spans="1:6" x14ac:dyDescent="0.25">
      <c r="A1421" s="41">
        <v>44200</v>
      </c>
      <c r="B1421" s="28"/>
      <c r="C1421" s="28" t="s">
        <v>5080</v>
      </c>
      <c r="D1421" s="28"/>
      <c r="E1421" s="28" t="s">
        <v>5247</v>
      </c>
      <c r="F1421" s="28" t="s">
        <v>5414</v>
      </c>
    </row>
    <row r="1422" spans="1:6" x14ac:dyDescent="0.25">
      <c r="A1422" s="40">
        <v>43725</v>
      </c>
      <c r="B1422" s="49"/>
      <c r="C1422" s="49" t="s">
        <v>3075</v>
      </c>
      <c r="D1422" s="49"/>
      <c r="E1422" s="49" t="s">
        <v>3075</v>
      </c>
      <c r="F1422" s="49" t="s">
        <v>3076</v>
      </c>
    </row>
    <row r="1423" spans="1:6" x14ac:dyDescent="0.25">
      <c r="A1423" s="40">
        <v>43700</v>
      </c>
      <c r="B1423" s="49"/>
      <c r="C1423" s="49" t="s">
        <v>3077</v>
      </c>
      <c r="D1423" s="49"/>
      <c r="E1423" s="49" t="s">
        <v>3078</v>
      </c>
      <c r="F1423" s="49" t="s">
        <v>3079</v>
      </c>
    </row>
    <row r="1424" spans="1:6" x14ac:dyDescent="0.25">
      <c r="A1424" s="40">
        <v>43700</v>
      </c>
      <c r="B1424" s="48"/>
      <c r="C1424" s="48" t="s">
        <v>3080</v>
      </c>
      <c r="D1424" s="48"/>
      <c r="E1424" s="48" t="s">
        <v>3081</v>
      </c>
      <c r="F1424" s="48" t="s">
        <v>3082</v>
      </c>
    </row>
    <row r="1425" spans="1:6" x14ac:dyDescent="0.25">
      <c r="A1425" s="40">
        <v>44070</v>
      </c>
      <c r="C1425" t="s">
        <v>3083</v>
      </c>
      <c r="E1425" t="s">
        <v>3084</v>
      </c>
      <c r="F1425" t="s">
        <v>3079</v>
      </c>
    </row>
    <row r="1426" spans="1:6" x14ac:dyDescent="0.25">
      <c r="A1426" s="41">
        <v>44199</v>
      </c>
      <c r="B1426" s="28"/>
      <c r="C1426" s="28" t="s">
        <v>4641</v>
      </c>
      <c r="D1426" s="28"/>
      <c r="E1426" s="28" t="s">
        <v>3077</v>
      </c>
      <c r="F1426" s="28" t="s">
        <v>3079</v>
      </c>
    </row>
    <row r="1427" spans="1:6" x14ac:dyDescent="0.25">
      <c r="A1427" s="40">
        <v>44019</v>
      </c>
      <c r="C1427" t="s">
        <v>3085</v>
      </c>
      <c r="E1427" t="s">
        <v>3085</v>
      </c>
      <c r="F1427" t="s">
        <v>167</v>
      </c>
    </row>
    <row r="1428" spans="1:6" x14ac:dyDescent="0.25">
      <c r="A1428" s="41">
        <v>44199</v>
      </c>
      <c r="B1428" s="28"/>
      <c r="C1428" s="28" t="s">
        <v>4642</v>
      </c>
      <c r="D1428" s="28"/>
      <c r="E1428" s="28" t="s">
        <v>4642</v>
      </c>
      <c r="F1428" s="28" t="s">
        <v>4867</v>
      </c>
    </row>
    <row r="1429" spans="1:6" x14ac:dyDescent="0.25">
      <c r="A1429" s="40">
        <v>44012</v>
      </c>
      <c r="C1429" t="s">
        <v>3086</v>
      </c>
      <c r="E1429" t="s">
        <v>3087</v>
      </c>
      <c r="F1429" t="s">
        <v>3088</v>
      </c>
    </row>
    <row r="1430" spans="1:6" x14ac:dyDescent="0.25">
      <c r="A1430" s="40">
        <v>44013</v>
      </c>
      <c r="B1430" s="48"/>
      <c r="C1430" s="48" t="s">
        <v>3089</v>
      </c>
      <c r="D1430" s="48"/>
      <c r="E1430" s="48" t="s">
        <v>3090</v>
      </c>
      <c r="F1430" s="48" t="s">
        <v>3091</v>
      </c>
    </row>
    <row r="1431" spans="1:6" x14ac:dyDescent="0.25">
      <c r="A1431" s="40">
        <v>43732</v>
      </c>
      <c r="B1431" s="68"/>
      <c r="C1431" s="68" t="s">
        <v>3092</v>
      </c>
      <c r="D1431" s="68" t="s">
        <v>3093</v>
      </c>
      <c r="E1431" s="68" t="s">
        <v>3094</v>
      </c>
      <c r="F1431" s="68" t="s">
        <v>3095</v>
      </c>
    </row>
    <row r="1432" spans="1:6" x14ac:dyDescent="0.25">
      <c r="A1432" s="40">
        <v>44172</v>
      </c>
      <c r="B1432" s="68"/>
      <c r="C1432" s="68" t="s">
        <v>3096</v>
      </c>
      <c r="D1432" s="68" t="s">
        <v>3093</v>
      </c>
      <c r="E1432" s="68" t="s">
        <v>3097</v>
      </c>
      <c r="F1432" s="68" t="s">
        <v>3098</v>
      </c>
    </row>
    <row r="1433" spans="1:6" x14ac:dyDescent="0.25">
      <c r="A1433" s="40">
        <v>43725</v>
      </c>
      <c r="B1433" s="56"/>
      <c r="C1433" s="56" t="s">
        <v>3099</v>
      </c>
      <c r="D1433" s="56"/>
      <c r="E1433" s="56" t="s">
        <v>3099</v>
      </c>
      <c r="F1433" s="56" t="s">
        <v>3100</v>
      </c>
    </row>
    <row r="1434" spans="1:6" x14ac:dyDescent="0.25">
      <c r="A1434" s="40">
        <v>43530</v>
      </c>
      <c r="C1434" t="s">
        <v>3101</v>
      </c>
      <c r="E1434" t="s">
        <v>3102</v>
      </c>
      <c r="F1434" t="s">
        <v>3103</v>
      </c>
    </row>
    <row r="1435" spans="1:6" x14ac:dyDescent="0.25">
      <c r="A1435" s="40">
        <v>44014</v>
      </c>
      <c r="B1435" s="34"/>
      <c r="C1435" s="34" t="s">
        <v>3104</v>
      </c>
      <c r="D1435" s="34"/>
      <c r="E1435" s="34" t="s">
        <v>3105</v>
      </c>
      <c r="F1435" s="34" t="s">
        <v>3106</v>
      </c>
    </row>
    <row r="1436" spans="1:6" x14ac:dyDescent="0.25">
      <c r="B1436" s="68"/>
      <c r="C1436" s="68" t="s">
        <v>3107</v>
      </c>
      <c r="D1436" s="68"/>
      <c r="E1436" s="68" t="s">
        <v>3108</v>
      </c>
      <c r="F1436" s="68" t="s">
        <v>3109</v>
      </c>
    </row>
    <row r="1437" spans="1:6" x14ac:dyDescent="0.25">
      <c r="B1437" s="68"/>
      <c r="C1437" s="68" t="s">
        <v>3110</v>
      </c>
      <c r="D1437" s="68"/>
      <c r="E1437" s="68" t="s">
        <v>3111</v>
      </c>
      <c r="F1437" s="68" t="s">
        <v>3112</v>
      </c>
    </row>
    <row r="1438" spans="1:6" x14ac:dyDescent="0.25">
      <c r="A1438" s="40">
        <v>44056</v>
      </c>
      <c r="B1438" s="56"/>
      <c r="C1438" s="56" t="s">
        <v>3113</v>
      </c>
      <c r="D1438" s="56"/>
      <c r="E1438" s="56" t="s">
        <v>3114</v>
      </c>
      <c r="F1438" s="56" t="s">
        <v>3115</v>
      </c>
    </row>
    <row r="1439" spans="1:6" x14ac:dyDescent="0.25">
      <c r="A1439" s="40">
        <v>43724</v>
      </c>
      <c r="B1439" s="68"/>
      <c r="C1439" s="68" t="s">
        <v>3116</v>
      </c>
      <c r="D1439" s="68" t="s">
        <v>3117</v>
      </c>
      <c r="E1439" s="68" t="s">
        <v>3116</v>
      </c>
      <c r="F1439" s="68" t="s">
        <v>3116</v>
      </c>
    </row>
    <row r="1440" spans="1:6" x14ac:dyDescent="0.25">
      <c r="B1440" s="56"/>
      <c r="C1440" s="56" t="s">
        <v>3118</v>
      </c>
      <c r="D1440" s="56"/>
      <c r="E1440" s="56" t="s">
        <v>3119</v>
      </c>
      <c r="F1440" s="56" t="s">
        <v>1542</v>
      </c>
    </row>
    <row r="1441" spans="1:6" x14ac:dyDescent="0.25">
      <c r="A1441" s="41">
        <v>44199</v>
      </c>
      <c r="B1441" s="28"/>
      <c r="C1441" s="28" t="s">
        <v>4643</v>
      </c>
      <c r="D1441" s="28"/>
      <c r="E1441" s="28" t="s">
        <v>4868</v>
      </c>
      <c r="F1441" s="28" t="s">
        <v>4869</v>
      </c>
    </row>
    <row r="1442" spans="1:6" x14ac:dyDescent="0.25">
      <c r="A1442" s="41">
        <v>44199</v>
      </c>
      <c r="B1442" s="28"/>
      <c r="C1442" s="28" t="s">
        <v>4644</v>
      </c>
      <c r="D1442" s="28"/>
      <c r="E1442" s="28" t="s">
        <v>4870</v>
      </c>
      <c r="F1442" s="28" t="s">
        <v>2171</v>
      </c>
    </row>
    <row r="1443" spans="1:6" x14ac:dyDescent="0.25">
      <c r="A1443" s="40">
        <v>44075</v>
      </c>
      <c r="B1443" s="68"/>
      <c r="C1443" s="68" t="s">
        <v>3120</v>
      </c>
      <c r="D1443" s="68"/>
      <c r="E1443" s="68" t="s">
        <v>3121</v>
      </c>
      <c r="F1443" s="68" t="s">
        <v>3122</v>
      </c>
    </row>
    <row r="1444" spans="1:6" x14ac:dyDescent="0.25">
      <c r="A1444" s="40">
        <v>44173</v>
      </c>
      <c r="B1444" s="56"/>
      <c r="C1444" s="56" t="s">
        <v>927</v>
      </c>
      <c r="D1444" s="56"/>
      <c r="E1444" s="56" t="s">
        <v>927</v>
      </c>
      <c r="F1444" s="56" t="s">
        <v>928</v>
      </c>
    </row>
    <row r="1445" spans="1:6" x14ac:dyDescent="0.25">
      <c r="A1445" s="40">
        <v>43467</v>
      </c>
      <c r="C1445" t="s">
        <v>3123</v>
      </c>
      <c r="E1445" t="s">
        <v>3124</v>
      </c>
      <c r="F1445" t="s">
        <v>3125</v>
      </c>
    </row>
    <row r="1446" spans="1:6" x14ac:dyDescent="0.25">
      <c r="A1446" s="41">
        <v>44200</v>
      </c>
      <c r="B1446" s="28"/>
      <c r="C1446" s="28" t="s">
        <v>5081</v>
      </c>
      <c r="D1446" s="28"/>
      <c r="E1446" s="28" t="s">
        <v>5248</v>
      </c>
      <c r="F1446" s="28" t="s">
        <v>5415</v>
      </c>
    </row>
    <row r="1447" spans="1:6" x14ac:dyDescent="0.25">
      <c r="A1447" s="41">
        <v>44200</v>
      </c>
      <c r="B1447" s="28"/>
      <c r="C1447" s="28" t="s">
        <v>5082</v>
      </c>
      <c r="D1447" s="28"/>
      <c r="E1447" s="28" t="s">
        <v>5249</v>
      </c>
      <c r="F1447" s="28" t="s">
        <v>5416</v>
      </c>
    </row>
    <row r="1448" spans="1:6" x14ac:dyDescent="0.25">
      <c r="A1448" s="40">
        <v>44083</v>
      </c>
      <c r="C1448" t="s">
        <v>3126</v>
      </c>
      <c r="E1448" t="s">
        <v>3127</v>
      </c>
      <c r="F1448" t="s">
        <v>3128</v>
      </c>
    </row>
    <row r="1449" spans="1:6" x14ac:dyDescent="0.25">
      <c r="A1449" s="41">
        <v>44199</v>
      </c>
      <c r="B1449" s="28"/>
      <c r="C1449" s="28" t="s">
        <v>4645</v>
      </c>
      <c r="D1449" s="28"/>
      <c r="E1449" s="28" t="s">
        <v>4871</v>
      </c>
      <c r="F1449" s="28" t="s">
        <v>4872</v>
      </c>
    </row>
    <row r="1450" spans="1:6" x14ac:dyDescent="0.25">
      <c r="A1450" s="40">
        <v>43995</v>
      </c>
      <c r="B1450" s="48"/>
      <c r="C1450" s="48" t="s">
        <v>3129</v>
      </c>
      <c r="D1450" s="48"/>
      <c r="E1450" s="48" t="s">
        <v>3130</v>
      </c>
      <c r="F1450" s="48" t="s">
        <v>928</v>
      </c>
    </row>
    <row r="1451" spans="1:6" x14ac:dyDescent="0.25">
      <c r="A1451" s="40">
        <v>43819</v>
      </c>
      <c r="B1451" s="49"/>
      <c r="C1451" s="49" t="s">
        <v>3131</v>
      </c>
      <c r="D1451" s="49"/>
      <c r="E1451" s="49" t="s">
        <v>3132</v>
      </c>
      <c r="F1451" s="49" t="s">
        <v>3133</v>
      </c>
    </row>
    <row r="1452" spans="1:6" x14ac:dyDescent="0.25">
      <c r="A1452" s="41">
        <v>44236</v>
      </c>
      <c r="B1452" s="28"/>
      <c r="C1452" s="28" t="s">
        <v>5490</v>
      </c>
      <c r="D1452" s="28"/>
      <c r="E1452" s="28" t="s">
        <v>5491</v>
      </c>
      <c r="F1452" s="28" t="s">
        <v>5492</v>
      </c>
    </row>
    <row r="1453" spans="1:6" x14ac:dyDescent="0.25">
      <c r="A1453" s="41">
        <v>44301</v>
      </c>
      <c r="B1453" s="28">
        <v>1</v>
      </c>
      <c r="C1453" s="28" t="s">
        <v>5654</v>
      </c>
      <c r="D1453" s="28"/>
      <c r="E1453" s="28" t="s">
        <v>5655</v>
      </c>
      <c r="F1453" s="28" t="s">
        <v>5656</v>
      </c>
    </row>
    <row r="1454" spans="1:6" x14ac:dyDescent="0.25">
      <c r="B1454" s="49"/>
      <c r="C1454" s="49" t="s">
        <v>1551</v>
      </c>
      <c r="D1454" s="49" t="s">
        <v>3134</v>
      </c>
      <c r="E1454" s="49" t="s">
        <v>1551</v>
      </c>
      <c r="F1454" s="49" t="s">
        <v>3135</v>
      </c>
    </row>
    <row r="1455" spans="1:6" x14ac:dyDescent="0.25">
      <c r="A1455" s="40">
        <v>43724</v>
      </c>
      <c r="B1455" s="49"/>
      <c r="C1455" s="49" t="s">
        <v>3136</v>
      </c>
      <c r="D1455" s="49" t="s">
        <v>3137</v>
      </c>
      <c r="E1455" s="49" t="s">
        <v>3136</v>
      </c>
      <c r="F1455" s="49" t="s">
        <v>3138</v>
      </c>
    </row>
    <row r="1456" spans="1:6" x14ac:dyDescent="0.25">
      <c r="A1456" s="41">
        <v>44553</v>
      </c>
      <c r="B1456" s="28"/>
      <c r="C1456" s="28" t="s">
        <v>5756</v>
      </c>
      <c r="D1456" s="28"/>
      <c r="E1456" s="28" t="s">
        <v>5757</v>
      </c>
      <c r="F1456" s="28" t="s">
        <v>5758</v>
      </c>
    </row>
    <row r="1457" spans="1:6" x14ac:dyDescent="0.25">
      <c r="A1457" s="40">
        <v>44054</v>
      </c>
      <c r="C1457" t="s">
        <v>3139</v>
      </c>
      <c r="E1457" t="s">
        <v>3140</v>
      </c>
      <c r="F1457" t="s">
        <v>3141</v>
      </c>
    </row>
    <row r="1458" spans="1:6" x14ac:dyDescent="0.25">
      <c r="A1458" s="40">
        <v>44032</v>
      </c>
      <c r="B1458" s="44"/>
      <c r="C1458" s="44" t="s">
        <v>3142</v>
      </c>
      <c r="D1458" s="44"/>
      <c r="E1458" s="44" t="s">
        <v>3142</v>
      </c>
      <c r="F1458" s="44" t="s">
        <v>3142</v>
      </c>
    </row>
    <row r="1459" spans="1:6" x14ac:dyDescent="0.25">
      <c r="A1459" s="40">
        <v>44082</v>
      </c>
      <c r="B1459" s="44"/>
      <c r="C1459" s="44" t="s">
        <v>3143</v>
      </c>
      <c r="D1459" s="44"/>
      <c r="E1459" s="44" t="s">
        <v>3144</v>
      </c>
      <c r="F1459" s="44" t="s">
        <v>2058</v>
      </c>
    </row>
    <row r="1460" spans="1:6" x14ac:dyDescent="0.25">
      <c r="A1460" s="40">
        <v>43587</v>
      </c>
      <c r="C1460" t="s">
        <v>3145</v>
      </c>
      <c r="E1460" t="s">
        <v>3146</v>
      </c>
      <c r="F1460" t="s">
        <v>3147</v>
      </c>
    </row>
    <row r="1461" spans="1:6" x14ac:dyDescent="0.25">
      <c r="A1461" s="40">
        <v>43588</v>
      </c>
      <c r="B1461" s="68"/>
      <c r="C1461" s="68" t="s">
        <v>3148</v>
      </c>
      <c r="D1461" s="68" t="s">
        <v>3149</v>
      </c>
      <c r="E1461" s="68" t="s">
        <v>3150</v>
      </c>
      <c r="F1461" s="68" t="s">
        <v>3151</v>
      </c>
    </row>
    <row r="1462" spans="1:6" x14ac:dyDescent="0.25">
      <c r="A1462" s="41">
        <v>44199</v>
      </c>
      <c r="B1462" s="28"/>
      <c r="C1462" s="28" t="s">
        <v>4646</v>
      </c>
      <c r="D1462" s="28"/>
      <c r="E1462" s="28" t="s">
        <v>4873</v>
      </c>
      <c r="F1462" s="28" t="s">
        <v>4874</v>
      </c>
    </row>
    <row r="1463" spans="1:6" x14ac:dyDescent="0.25">
      <c r="A1463" s="40">
        <v>43609</v>
      </c>
      <c r="B1463" s="38"/>
      <c r="C1463" s="38" t="s">
        <v>3152</v>
      </c>
      <c r="D1463" s="38"/>
      <c r="E1463" s="38" t="s">
        <v>3153</v>
      </c>
      <c r="F1463" s="38" t="s">
        <v>3154</v>
      </c>
    </row>
    <row r="1464" spans="1:6" x14ac:dyDescent="0.25">
      <c r="A1464" s="40">
        <v>43356</v>
      </c>
      <c r="B1464" s="34"/>
      <c r="C1464" s="34" t="s">
        <v>3155</v>
      </c>
      <c r="D1464" s="34"/>
      <c r="E1464" s="34" t="s">
        <v>1485</v>
      </c>
      <c r="F1464" s="34" t="s">
        <v>1486</v>
      </c>
    </row>
    <row r="1465" spans="1:6" x14ac:dyDescent="0.25">
      <c r="A1465" s="40">
        <v>44070</v>
      </c>
      <c r="B1465" s="34"/>
      <c r="C1465" s="34" t="s">
        <v>3156</v>
      </c>
      <c r="D1465" s="34"/>
      <c r="E1465" s="34" t="s">
        <v>3157</v>
      </c>
      <c r="F1465" s="34" t="s">
        <v>3158</v>
      </c>
    </row>
    <row r="1466" spans="1:6" x14ac:dyDescent="0.25">
      <c r="A1466" s="40">
        <v>44089</v>
      </c>
      <c r="B1466" s="34"/>
      <c r="C1466" s="34" t="s">
        <v>3159</v>
      </c>
      <c r="D1466" s="34"/>
      <c r="E1466" s="34" t="s">
        <v>3160</v>
      </c>
      <c r="F1466" s="34" t="s">
        <v>3161</v>
      </c>
    </row>
    <row r="1467" spans="1:6" x14ac:dyDescent="0.25">
      <c r="A1467" s="40">
        <v>43613</v>
      </c>
      <c r="B1467" s="37"/>
      <c r="C1467" s="37" t="s">
        <v>3162</v>
      </c>
      <c r="D1467" s="37"/>
      <c r="E1467" s="37" t="s">
        <v>3163</v>
      </c>
      <c r="F1467" s="37" t="s">
        <v>3164</v>
      </c>
    </row>
    <row r="1468" spans="1:6" x14ac:dyDescent="0.25">
      <c r="A1468" s="40">
        <v>43720</v>
      </c>
      <c r="B1468" s="44"/>
      <c r="C1468" s="44" t="s">
        <v>3165</v>
      </c>
      <c r="D1468" s="44"/>
      <c r="E1468" s="44" t="s">
        <v>3166</v>
      </c>
      <c r="F1468" s="44" t="s">
        <v>3167</v>
      </c>
    </row>
    <row r="1469" spans="1:6" x14ac:dyDescent="0.25">
      <c r="A1469" s="40">
        <v>44011</v>
      </c>
      <c r="B1469" s="37"/>
      <c r="C1469" s="37" t="s">
        <v>3168</v>
      </c>
      <c r="D1469" s="37"/>
      <c r="E1469" s="37" t="s">
        <v>3169</v>
      </c>
      <c r="F1469" s="37" t="s">
        <v>3170</v>
      </c>
    </row>
    <row r="1470" spans="1:6" x14ac:dyDescent="0.25">
      <c r="A1470" s="40">
        <v>43760</v>
      </c>
      <c r="C1470" t="s">
        <v>3171</v>
      </c>
      <c r="E1470" t="s">
        <v>3172</v>
      </c>
      <c r="F1470" t="s">
        <v>3173</v>
      </c>
    </row>
    <row r="1471" spans="1:6" x14ac:dyDescent="0.25">
      <c r="A1471" s="41">
        <v>44301</v>
      </c>
      <c r="B1471" s="28">
        <v>3</v>
      </c>
      <c r="C1471" s="28" t="s">
        <v>4647</v>
      </c>
      <c r="D1471" s="28"/>
      <c r="E1471" s="28" t="s">
        <v>4875</v>
      </c>
      <c r="F1471" s="28" t="s">
        <v>4876</v>
      </c>
    </row>
    <row r="1472" spans="1:6" x14ac:dyDescent="0.25">
      <c r="A1472" s="40">
        <v>43816</v>
      </c>
      <c r="B1472" s="56"/>
      <c r="C1472" s="56" t="s">
        <v>3174</v>
      </c>
      <c r="D1472" s="56"/>
      <c r="E1472" s="56" t="s">
        <v>3175</v>
      </c>
      <c r="F1472" s="56" t="s">
        <v>3176</v>
      </c>
    </row>
    <row r="1473" spans="1:6" x14ac:dyDescent="0.25">
      <c r="A1473" s="40">
        <v>43644</v>
      </c>
      <c r="B1473" s="68"/>
      <c r="C1473" s="68" t="s">
        <v>3177</v>
      </c>
      <c r="D1473" s="68"/>
      <c r="E1473" s="68" t="s">
        <v>3178</v>
      </c>
      <c r="F1473" s="68" t="s">
        <v>3179</v>
      </c>
    </row>
    <row r="1474" spans="1:6" x14ac:dyDescent="0.25">
      <c r="A1474" s="40">
        <v>44083</v>
      </c>
      <c r="B1474" s="68"/>
      <c r="C1474" s="68" t="s">
        <v>3180</v>
      </c>
      <c r="D1474" s="68"/>
      <c r="E1474" s="68" t="s">
        <v>3181</v>
      </c>
      <c r="F1474" s="68" t="s">
        <v>3182</v>
      </c>
    </row>
    <row r="1475" spans="1:6" x14ac:dyDescent="0.25">
      <c r="A1475" s="40">
        <v>43514</v>
      </c>
      <c r="B1475" s="56"/>
      <c r="C1475" s="56" t="s">
        <v>3183</v>
      </c>
      <c r="D1475" s="56"/>
      <c r="E1475" s="56" t="s">
        <v>3184</v>
      </c>
      <c r="F1475" s="56" t="s">
        <v>3185</v>
      </c>
    </row>
    <row r="1476" spans="1:6" x14ac:dyDescent="0.25">
      <c r="A1476" s="40">
        <v>44075</v>
      </c>
      <c r="C1476" t="s">
        <v>3186</v>
      </c>
      <c r="E1476" t="s">
        <v>3187</v>
      </c>
      <c r="F1476" t="s">
        <v>3188</v>
      </c>
    </row>
    <row r="1477" spans="1:6" x14ac:dyDescent="0.25">
      <c r="A1477" s="40">
        <v>43344</v>
      </c>
      <c r="C1477" t="s">
        <v>3189</v>
      </c>
      <c r="E1477" t="s">
        <v>3190</v>
      </c>
      <c r="F1477" t="s">
        <v>3191</v>
      </c>
    </row>
    <row r="1478" spans="1:6" x14ac:dyDescent="0.25">
      <c r="A1478" s="40">
        <v>43344</v>
      </c>
      <c r="B1478" s="38"/>
      <c r="C1478" s="38" t="s">
        <v>3192</v>
      </c>
      <c r="D1478" s="38"/>
      <c r="E1478" s="38" t="s">
        <v>3193</v>
      </c>
      <c r="F1478" s="38" t="s">
        <v>3194</v>
      </c>
    </row>
    <row r="1479" spans="1:6" x14ac:dyDescent="0.25">
      <c r="A1479" s="40">
        <v>43516</v>
      </c>
      <c r="C1479" t="s">
        <v>3195</v>
      </c>
      <c r="E1479" t="s">
        <v>3196</v>
      </c>
      <c r="F1479" t="s">
        <v>3197</v>
      </c>
    </row>
    <row r="1480" spans="1:6" x14ac:dyDescent="0.25">
      <c r="A1480" s="40">
        <v>44132</v>
      </c>
      <c r="B1480" s="38"/>
      <c r="C1480" s="38" t="s">
        <v>3198</v>
      </c>
      <c r="D1480" s="38"/>
      <c r="E1480" s="38" t="s">
        <v>3199</v>
      </c>
      <c r="F1480" s="38" t="s">
        <v>3200</v>
      </c>
    </row>
    <row r="1481" spans="1:6" x14ac:dyDescent="0.25">
      <c r="A1481" s="41">
        <v>44199</v>
      </c>
      <c r="B1481" s="28"/>
      <c r="C1481" s="28" t="s">
        <v>4648</v>
      </c>
      <c r="D1481" s="28"/>
      <c r="E1481" s="28" t="s">
        <v>4877</v>
      </c>
      <c r="F1481" s="28" t="s">
        <v>4878</v>
      </c>
    </row>
    <row r="1482" spans="1:6" x14ac:dyDescent="0.25">
      <c r="A1482" s="40">
        <v>44133</v>
      </c>
      <c r="C1482" t="s">
        <v>3201</v>
      </c>
      <c r="E1482" t="s">
        <v>3202</v>
      </c>
      <c r="F1482" t="s">
        <v>3203</v>
      </c>
    </row>
    <row r="1483" spans="1:6" x14ac:dyDescent="0.25">
      <c r="A1483" s="41">
        <v>44480</v>
      </c>
      <c r="B1483" s="28"/>
      <c r="C1483" s="28" t="s">
        <v>5694</v>
      </c>
      <c r="D1483" s="28"/>
      <c r="E1483" s="28" t="s">
        <v>5693</v>
      </c>
      <c r="F1483" s="28" t="s">
        <v>5692</v>
      </c>
    </row>
    <row r="1484" spans="1:6" x14ac:dyDescent="0.25">
      <c r="A1484" s="41">
        <v>44301</v>
      </c>
      <c r="B1484" s="28">
        <v>2</v>
      </c>
      <c r="C1484" s="28" t="s">
        <v>4649</v>
      </c>
      <c r="D1484" s="28"/>
      <c r="E1484" s="28" t="s">
        <v>4879</v>
      </c>
      <c r="F1484" s="28" t="s">
        <v>4880</v>
      </c>
    </row>
    <row r="1485" spans="1:6" x14ac:dyDescent="0.25">
      <c r="A1485" s="40">
        <v>43524</v>
      </c>
      <c r="B1485" s="49"/>
      <c r="C1485" s="49" t="s">
        <v>3204</v>
      </c>
      <c r="D1485" s="49"/>
      <c r="E1485" s="49" t="s">
        <v>3204</v>
      </c>
      <c r="F1485" s="49" t="s">
        <v>3205</v>
      </c>
    </row>
    <row r="1486" spans="1:6" x14ac:dyDescent="0.25">
      <c r="A1486" s="40">
        <v>43868</v>
      </c>
      <c r="C1486" t="s">
        <v>3206</v>
      </c>
      <c r="E1486" t="s">
        <v>3207</v>
      </c>
      <c r="F1486" t="s">
        <v>3208</v>
      </c>
    </row>
    <row r="1487" spans="1:6" x14ac:dyDescent="0.25">
      <c r="A1487" s="40">
        <v>44060</v>
      </c>
      <c r="C1487" t="s">
        <v>3209</v>
      </c>
      <c r="E1487" t="s">
        <v>3210</v>
      </c>
      <c r="F1487" t="s">
        <v>3211</v>
      </c>
    </row>
    <row r="1488" spans="1:6" x14ac:dyDescent="0.25">
      <c r="A1488" s="40">
        <v>43868</v>
      </c>
      <c r="C1488" t="s">
        <v>3212</v>
      </c>
      <c r="E1488" t="s">
        <v>3213</v>
      </c>
      <c r="F1488" t="s">
        <v>3214</v>
      </c>
    </row>
    <row r="1489" spans="1:6" x14ac:dyDescent="0.25">
      <c r="A1489" s="40">
        <v>43741</v>
      </c>
      <c r="C1489" t="s">
        <v>3215</v>
      </c>
      <c r="E1489" t="s">
        <v>3216</v>
      </c>
      <c r="F1489" t="s">
        <v>3217</v>
      </c>
    </row>
    <row r="1490" spans="1:6" x14ac:dyDescent="0.25">
      <c r="C1490" t="s">
        <v>3218</v>
      </c>
      <c r="E1490" t="s">
        <v>3219</v>
      </c>
      <c r="F1490" t="s">
        <v>3220</v>
      </c>
    </row>
    <row r="1491" spans="1:6" x14ac:dyDescent="0.25">
      <c r="A1491" s="40">
        <v>43523</v>
      </c>
      <c r="B1491" s="68"/>
      <c r="C1491" s="68" t="s">
        <v>3221</v>
      </c>
      <c r="D1491" s="68"/>
      <c r="E1491" s="68" t="s">
        <v>3222</v>
      </c>
      <c r="F1491" s="68" t="s">
        <v>3223</v>
      </c>
    </row>
    <row r="1492" spans="1:6" x14ac:dyDescent="0.25">
      <c r="A1492" s="40">
        <v>43467</v>
      </c>
      <c r="B1492" s="56"/>
      <c r="C1492" s="56" t="s">
        <v>3224</v>
      </c>
      <c r="D1492" s="56"/>
      <c r="E1492" s="56" t="s">
        <v>3225</v>
      </c>
      <c r="F1492" s="56" t="s">
        <v>3226</v>
      </c>
    </row>
    <row r="1493" spans="1:6" x14ac:dyDescent="0.25">
      <c r="A1493" s="40">
        <v>44007</v>
      </c>
      <c r="B1493" s="34"/>
      <c r="C1493" s="34" t="s">
        <v>3227</v>
      </c>
      <c r="D1493" s="34"/>
      <c r="E1493" s="34" t="s">
        <v>3228</v>
      </c>
      <c r="F1493" s="34" t="s">
        <v>3229</v>
      </c>
    </row>
    <row r="1494" spans="1:6" x14ac:dyDescent="0.25">
      <c r="A1494" s="40">
        <v>44089</v>
      </c>
      <c r="B1494" s="34"/>
      <c r="C1494" s="34" t="s">
        <v>3230</v>
      </c>
      <c r="D1494" s="34"/>
      <c r="E1494" s="34" t="s">
        <v>3231</v>
      </c>
      <c r="F1494" s="34" t="s">
        <v>3232</v>
      </c>
    </row>
    <row r="1495" spans="1:6" x14ac:dyDescent="0.25">
      <c r="A1495" s="40">
        <v>43592</v>
      </c>
      <c r="B1495" s="38"/>
      <c r="C1495" s="38" t="s">
        <v>3233</v>
      </c>
      <c r="D1495" s="38"/>
      <c r="E1495" s="38" t="s">
        <v>2693</v>
      </c>
      <c r="F1495" s="38" t="s">
        <v>2694</v>
      </c>
    </row>
    <row r="1496" spans="1:6" x14ac:dyDescent="0.25">
      <c r="A1496" s="40">
        <v>43469</v>
      </c>
      <c r="B1496" s="34"/>
      <c r="C1496" s="34" t="s">
        <v>3234</v>
      </c>
      <c r="D1496" s="34"/>
      <c r="E1496" s="34" t="s">
        <v>3235</v>
      </c>
      <c r="F1496" s="34" t="s">
        <v>3236</v>
      </c>
    </row>
    <row r="1497" spans="1:6" x14ac:dyDescent="0.25">
      <c r="A1497" s="40">
        <v>43462</v>
      </c>
      <c r="B1497" s="37"/>
      <c r="C1497" s="37" t="s">
        <v>3237</v>
      </c>
      <c r="D1497" s="37"/>
      <c r="E1497" s="37" t="s">
        <v>3238</v>
      </c>
      <c r="F1497" s="37" t="s">
        <v>3239</v>
      </c>
    </row>
    <row r="1498" spans="1:6" x14ac:dyDescent="0.25">
      <c r="A1498" s="40">
        <v>44055</v>
      </c>
      <c r="B1498" s="34"/>
      <c r="C1498" s="34" t="s">
        <v>3240</v>
      </c>
      <c r="D1498" s="34"/>
      <c r="E1498" s="34" t="s">
        <v>3241</v>
      </c>
      <c r="F1498" s="34" t="s">
        <v>3242</v>
      </c>
    </row>
    <row r="1499" spans="1:6" x14ac:dyDescent="0.25">
      <c r="A1499" s="40">
        <v>44060</v>
      </c>
      <c r="B1499" s="37"/>
      <c r="C1499" s="37" t="s">
        <v>3243</v>
      </c>
      <c r="D1499" s="37"/>
      <c r="E1499" s="37" t="s">
        <v>3244</v>
      </c>
      <c r="F1499" s="37" t="s">
        <v>3245</v>
      </c>
    </row>
    <row r="1500" spans="1:6" x14ac:dyDescent="0.25">
      <c r="A1500" s="40">
        <v>44039</v>
      </c>
      <c r="B1500" s="44"/>
      <c r="C1500" s="44" t="s">
        <v>3246</v>
      </c>
      <c r="D1500" s="44"/>
      <c r="E1500" s="44" t="s">
        <v>3247</v>
      </c>
      <c r="F1500" s="44" t="s">
        <v>3248</v>
      </c>
    </row>
    <row r="1501" spans="1:6" x14ac:dyDescent="0.25">
      <c r="A1501" s="41">
        <v>44483</v>
      </c>
      <c r="B1501" s="28"/>
      <c r="C1501" s="28" t="s">
        <v>5759</v>
      </c>
      <c r="D1501" s="28"/>
      <c r="E1501" s="28" t="s">
        <v>5760</v>
      </c>
      <c r="F1501" s="28" t="s">
        <v>5761</v>
      </c>
    </row>
    <row r="1502" spans="1:6" x14ac:dyDescent="0.25">
      <c r="A1502" s="40">
        <v>44172</v>
      </c>
      <c r="B1502" s="34"/>
      <c r="C1502" s="34" t="s">
        <v>3249</v>
      </c>
      <c r="D1502" s="34" t="s">
        <v>3250</v>
      </c>
      <c r="E1502" s="34" t="s">
        <v>3251</v>
      </c>
      <c r="F1502" s="34" t="s">
        <v>3252</v>
      </c>
    </row>
    <row r="1503" spans="1:6" x14ac:dyDescent="0.25">
      <c r="A1503" s="40">
        <v>43384</v>
      </c>
      <c r="B1503" s="37"/>
      <c r="C1503" s="37" t="s">
        <v>3253</v>
      </c>
      <c r="D1503" s="37" t="s">
        <v>3254</v>
      </c>
      <c r="E1503" s="37" t="s">
        <v>3255</v>
      </c>
      <c r="F1503" s="37" t="s">
        <v>3256</v>
      </c>
    </row>
    <row r="1504" spans="1:6" x14ac:dyDescent="0.25">
      <c r="B1504" s="48"/>
      <c r="C1504" s="48" t="s">
        <v>3257</v>
      </c>
      <c r="D1504" s="48"/>
      <c r="E1504" s="48" t="s">
        <v>3258</v>
      </c>
      <c r="F1504" s="48" t="s">
        <v>3259</v>
      </c>
    </row>
    <row r="1505" spans="1:6" x14ac:dyDescent="0.25">
      <c r="A1505" s="40">
        <v>44091</v>
      </c>
      <c r="B1505" s="49"/>
      <c r="C1505" s="49" t="s">
        <v>3260</v>
      </c>
      <c r="D1505" s="49"/>
      <c r="E1505" s="49" t="s">
        <v>3261</v>
      </c>
      <c r="F1505" s="49" t="s">
        <v>3262</v>
      </c>
    </row>
    <row r="1506" spans="1:6" x14ac:dyDescent="0.25">
      <c r="A1506" s="40">
        <v>44091</v>
      </c>
      <c r="B1506" s="49"/>
      <c r="C1506" s="49" t="s">
        <v>3263</v>
      </c>
      <c r="D1506" s="49"/>
      <c r="E1506" s="49" t="s">
        <v>3264</v>
      </c>
      <c r="F1506" s="49" t="s">
        <v>3265</v>
      </c>
    </row>
    <row r="1507" spans="1:6" x14ac:dyDescent="0.25">
      <c r="A1507" s="40">
        <v>44091</v>
      </c>
      <c r="B1507" s="68"/>
      <c r="C1507" s="68" t="s">
        <v>3266</v>
      </c>
      <c r="D1507" s="68"/>
      <c r="E1507" s="68" t="s">
        <v>3267</v>
      </c>
      <c r="F1507" s="68" t="s">
        <v>3268</v>
      </c>
    </row>
    <row r="1508" spans="1:6" x14ac:dyDescent="0.25">
      <c r="A1508" s="40">
        <v>43393</v>
      </c>
      <c r="B1508" s="68"/>
      <c r="C1508" s="68" t="s">
        <v>3269</v>
      </c>
      <c r="D1508" s="68" t="s">
        <v>3270</v>
      </c>
      <c r="E1508" s="68" t="s">
        <v>3271</v>
      </c>
      <c r="F1508" s="68" t="s">
        <v>3272</v>
      </c>
    </row>
    <row r="1509" spans="1:6" x14ac:dyDescent="0.25">
      <c r="A1509" s="40">
        <v>44091</v>
      </c>
      <c r="B1509" s="56"/>
      <c r="C1509" s="56" t="s">
        <v>3273</v>
      </c>
      <c r="D1509" s="56"/>
      <c r="E1509" s="56" t="s">
        <v>3274</v>
      </c>
      <c r="F1509" s="56" t="s">
        <v>3275</v>
      </c>
    </row>
    <row r="1510" spans="1:6" x14ac:dyDescent="0.25">
      <c r="A1510" s="40">
        <v>44091</v>
      </c>
      <c r="C1510" t="s">
        <v>3276</v>
      </c>
      <c r="E1510" t="s">
        <v>3277</v>
      </c>
      <c r="F1510" t="s">
        <v>3278</v>
      </c>
    </row>
    <row r="1511" spans="1:6" x14ac:dyDescent="0.25">
      <c r="A1511" s="40">
        <v>43721</v>
      </c>
      <c r="B1511" s="38"/>
      <c r="C1511" s="38" t="s">
        <v>3279</v>
      </c>
      <c r="D1511" s="38"/>
      <c r="E1511" s="38" t="s">
        <v>3280</v>
      </c>
      <c r="F1511" s="38" t="s">
        <v>3281</v>
      </c>
    </row>
    <row r="1512" spans="1:6" x14ac:dyDescent="0.25">
      <c r="A1512" s="40">
        <v>44007</v>
      </c>
      <c r="C1512" t="s">
        <v>3282</v>
      </c>
      <c r="E1512" t="s">
        <v>3283</v>
      </c>
      <c r="F1512" t="s">
        <v>3284</v>
      </c>
    </row>
    <row r="1513" spans="1:6" x14ac:dyDescent="0.25">
      <c r="A1513" s="40">
        <v>43437</v>
      </c>
      <c r="B1513" s="38"/>
      <c r="C1513" s="38" t="s">
        <v>3285</v>
      </c>
      <c r="D1513" s="38"/>
      <c r="E1513" s="38" t="s">
        <v>3286</v>
      </c>
      <c r="F1513" s="38" t="s">
        <v>3287</v>
      </c>
    </row>
    <row r="1514" spans="1:6" x14ac:dyDescent="0.25">
      <c r="A1514" s="40">
        <v>43608</v>
      </c>
      <c r="C1514" t="s">
        <v>3288</v>
      </c>
      <c r="E1514" t="s">
        <v>3289</v>
      </c>
      <c r="F1514" t="s">
        <v>3290</v>
      </c>
    </row>
    <row r="1515" spans="1:6" x14ac:dyDescent="0.25">
      <c r="A1515" s="40">
        <v>44083</v>
      </c>
      <c r="B1515" s="48"/>
      <c r="C1515" s="48" t="s">
        <v>3291</v>
      </c>
      <c r="D1515" s="48"/>
      <c r="E1515" s="48" t="s">
        <v>3292</v>
      </c>
      <c r="F1515" s="48" t="s">
        <v>3293</v>
      </c>
    </row>
    <row r="1516" spans="1:6" x14ac:dyDescent="0.25">
      <c r="A1516" s="40">
        <v>44028</v>
      </c>
      <c r="B1516" s="49"/>
      <c r="C1516" s="49" t="s">
        <v>3294</v>
      </c>
      <c r="D1516" s="49"/>
      <c r="E1516" s="49" t="s">
        <v>3295</v>
      </c>
      <c r="F1516" s="49" t="s">
        <v>3296</v>
      </c>
    </row>
    <row r="1517" spans="1:6" x14ac:dyDescent="0.25">
      <c r="A1517" s="41">
        <v>44236</v>
      </c>
      <c r="B1517" s="28"/>
      <c r="C1517" s="28" t="s">
        <v>5493</v>
      </c>
      <c r="D1517" s="28"/>
      <c r="E1517" s="28" t="s">
        <v>5494</v>
      </c>
      <c r="F1517" s="28" t="s">
        <v>3287</v>
      </c>
    </row>
    <row r="1518" spans="1:6" x14ac:dyDescent="0.25">
      <c r="A1518" s="40">
        <v>43860</v>
      </c>
      <c r="B1518" s="28"/>
      <c r="C1518" s="28" t="s">
        <v>3297</v>
      </c>
      <c r="D1518" s="28"/>
      <c r="E1518" s="28" t="s">
        <v>3297</v>
      </c>
      <c r="F1518" s="28" t="s">
        <v>4881</v>
      </c>
    </row>
    <row r="1519" spans="1:6" x14ac:dyDescent="0.25">
      <c r="A1519" s="40">
        <v>43760</v>
      </c>
      <c r="B1519" s="34"/>
      <c r="C1519" s="34" t="s">
        <v>3298</v>
      </c>
      <c r="D1519" s="34"/>
      <c r="E1519" s="34" t="s">
        <v>3299</v>
      </c>
      <c r="F1519" s="34" t="s">
        <v>3300</v>
      </c>
    </row>
    <row r="1520" spans="1:6" x14ac:dyDescent="0.25">
      <c r="A1520" s="40">
        <v>43864</v>
      </c>
      <c r="B1520" s="37"/>
      <c r="C1520" s="37" t="s">
        <v>3301</v>
      </c>
      <c r="D1520" s="37"/>
      <c r="E1520" s="37" t="s">
        <v>2213</v>
      </c>
      <c r="F1520" s="37" t="s">
        <v>2214</v>
      </c>
    </row>
    <row r="1521" spans="1:6" x14ac:dyDescent="0.25">
      <c r="A1521" s="40">
        <v>43868</v>
      </c>
      <c r="C1521" t="s">
        <v>3302</v>
      </c>
      <c r="E1521" t="s">
        <v>3303</v>
      </c>
      <c r="F1521" t="s">
        <v>3304</v>
      </c>
    </row>
    <row r="1522" spans="1:6" x14ac:dyDescent="0.25">
      <c r="A1522" s="40">
        <v>43886</v>
      </c>
      <c r="B1522" s="44"/>
      <c r="C1522" s="44" t="s">
        <v>3305</v>
      </c>
      <c r="D1522" s="44"/>
      <c r="E1522" s="44" t="s">
        <v>3306</v>
      </c>
      <c r="F1522" s="44" t="s">
        <v>3307</v>
      </c>
    </row>
    <row r="1523" spans="1:6" x14ac:dyDescent="0.25">
      <c r="A1523" s="40">
        <v>44000</v>
      </c>
      <c r="C1523" t="s">
        <v>3309</v>
      </c>
      <c r="E1523" t="s">
        <v>3310</v>
      </c>
      <c r="F1523" t="s">
        <v>3311</v>
      </c>
    </row>
    <row r="1524" spans="1:6" x14ac:dyDescent="0.25">
      <c r="A1524" s="40">
        <v>44111</v>
      </c>
      <c r="C1524" t="s">
        <v>3312</v>
      </c>
      <c r="E1524" t="s">
        <v>3313</v>
      </c>
      <c r="F1524" t="s">
        <v>3314</v>
      </c>
    </row>
    <row r="1525" spans="1:6" x14ac:dyDescent="0.25">
      <c r="A1525" s="40">
        <v>43472</v>
      </c>
      <c r="C1525" t="s">
        <v>3315</v>
      </c>
      <c r="E1525" t="s">
        <v>3316</v>
      </c>
      <c r="F1525" t="s">
        <v>3317</v>
      </c>
    </row>
    <row r="1526" spans="1:6" x14ac:dyDescent="0.25">
      <c r="A1526" s="40">
        <v>43461</v>
      </c>
      <c r="B1526" s="34"/>
      <c r="C1526" s="34" t="s">
        <v>3318</v>
      </c>
      <c r="D1526" s="34"/>
      <c r="E1526" s="34" t="s">
        <v>3319</v>
      </c>
      <c r="F1526" s="34" t="s">
        <v>3320</v>
      </c>
    </row>
    <row r="1527" spans="1:6" x14ac:dyDescent="0.25">
      <c r="A1527" s="40">
        <v>43461</v>
      </c>
      <c r="B1527" s="34"/>
      <c r="C1527" s="34" t="s">
        <v>3321</v>
      </c>
      <c r="D1527" s="34"/>
      <c r="E1527" s="34" t="s">
        <v>3322</v>
      </c>
      <c r="F1527" s="34" t="s">
        <v>3323</v>
      </c>
    </row>
    <row r="1528" spans="1:6" x14ac:dyDescent="0.25">
      <c r="A1528" s="40">
        <v>44069</v>
      </c>
      <c r="B1528" s="68"/>
      <c r="C1528" s="68" t="s">
        <v>3324</v>
      </c>
      <c r="D1528" s="68"/>
      <c r="E1528" s="68" t="s">
        <v>3325</v>
      </c>
      <c r="F1528" s="68" t="s">
        <v>3326</v>
      </c>
    </row>
    <row r="1529" spans="1:6" x14ac:dyDescent="0.25">
      <c r="A1529" s="40">
        <v>43461</v>
      </c>
      <c r="B1529" s="68"/>
      <c r="C1529" s="68" t="s">
        <v>3327</v>
      </c>
      <c r="D1529" s="68"/>
      <c r="E1529" s="68" t="s">
        <v>3328</v>
      </c>
      <c r="F1529" s="68" t="s">
        <v>3329</v>
      </c>
    </row>
    <row r="1530" spans="1:6" x14ac:dyDescent="0.25">
      <c r="A1530" s="40">
        <v>44006</v>
      </c>
      <c r="B1530" s="56"/>
      <c r="C1530" s="56" t="s">
        <v>3330</v>
      </c>
      <c r="D1530" s="56"/>
      <c r="E1530" s="56" t="s">
        <v>3331</v>
      </c>
      <c r="F1530" s="56" t="s">
        <v>3332</v>
      </c>
    </row>
    <row r="1531" spans="1:6" x14ac:dyDescent="0.25">
      <c r="A1531" s="40">
        <v>43991</v>
      </c>
      <c r="B1531" s="37"/>
      <c r="C1531" s="37" t="s">
        <v>3333</v>
      </c>
      <c r="D1531" s="37"/>
      <c r="E1531" s="37" t="s">
        <v>3334</v>
      </c>
      <c r="F1531" s="37" t="s">
        <v>3335</v>
      </c>
    </row>
    <row r="1532" spans="1:6" x14ac:dyDescent="0.25">
      <c r="A1532" s="40">
        <v>43725</v>
      </c>
      <c r="B1532" s="48"/>
      <c r="C1532" s="48" t="s">
        <v>3336</v>
      </c>
      <c r="D1532" s="48"/>
      <c r="E1532" s="48" t="s">
        <v>3337</v>
      </c>
      <c r="F1532" s="48" t="s">
        <v>3338</v>
      </c>
    </row>
    <row r="1533" spans="1:6" x14ac:dyDescent="0.25">
      <c r="A1533" s="40">
        <v>43725</v>
      </c>
      <c r="B1533" s="49"/>
      <c r="C1533" s="49" t="s">
        <v>3339</v>
      </c>
      <c r="D1533" s="49"/>
      <c r="E1533" s="49" t="s">
        <v>3340</v>
      </c>
      <c r="F1533" s="49" t="s">
        <v>3341</v>
      </c>
    </row>
    <row r="1534" spans="1:6" x14ac:dyDescent="0.25">
      <c r="A1534" s="40">
        <v>43725</v>
      </c>
      <c r="B1534" s="48"/>
      <c r="C1534" s="48" t="s">
        <v>3342</v>
      </c>
      <c r="D1534" s="48"/>
      <c r="E1534" s="48" t="s">
        <v>3343</v>
      </c>
      <c r="F1534" s="48" t="s">
        <v>3344</v>
      </c>
    </row>
    <row r="1535" spans="1:6" x14ac:dyDescent="0.25">
      <c r="A1535" s="40">
        <v>43725</v>
      </c>
      <c r="B1535" s="49"/>
      <c r="C1535" s="49" t="s">
        <v>3345</v>
      </c>
      <c r="D1535" s="49"/>
      <c r="E1535" s="49" t="s">
        <v>3346</v>
      </c>
      <c r="F1535" s="49" t="s">
        <v>3347</v>
      </c>
    </row>
    <row r="1536" spans="1:6" x14ac:dyDescent="0.25">
      <c r="A1536" s="40">
        <v>43725</v>
      </c>
      <c r="B1536" s="34"/>
      <c r="C1536" s="34" t="s">
        <v>3348</v>
      </c>
      <c r="D1536" s="34"/>
      <c r="E1536" s="34" t="s">
        <v>3349</v>
      </c>
      <c r="F1536" s="34" t="s">
        <v>3341</v>
      </c>
    </row>
    <row r="1537" spans="1:6" x14ac:dyDescent="0.25">
      <c r="A1537" s="40">
        <v>43725</v>
      </c>
      <c r="B1537" s="44"/>
      <c r="C1537" s="44" t="s">
        <v>3350</v>
      </c>
      <c r="D1537" s="44"/>
      <c r="E1537" s="44" t="s">
        <v>3351</v>
      </c>
      <c r="F1537" s="44" t="s">
        <v>3352</v>
      </c>
    </row>
    <row r="1538" spans="1:6" x14ac:dyDescent="0.25">
      <c r="A1538" s="41">
        <v>44199</v>
      </c>
      <c r="B1538" s="28"/>
      <c r="C1538" s="28" t="s">
        <v>4650</v>
      </c>
      <c r="D1538" s="28"/>
      <c r="E1538" s="28" t="s">
        <v>4882</v>
      </c>
      <c r="F1538" s="28" t="s">
        <v>4883</v>
      </c>
    </row>
    <row r="1539" spans="1:6" x14ac:dyDescent="0.25">
      <c r="A1539" s="41">
        <v>44199</v>
      </c>
      <c r="B1539" s="28"/>
      <c r="C1539" s="28" t="s">
        <v>4651</v>
      </c>
      <c r="D1539" s="28"/>
      <c r="E1539" s="28" t="s">
        <v>4884</v>
      </c>
      <c r="F1539" s="28" t="s">
        <v>4885</v>
      </c>
    </row>
    <row r="1540" spans="1:6" x14ac:dyDescent="0.25">
      <c r="A1540" s="40">
        <v>43899</v>
      </c>
      <c r="B1540" s="56"/>
      <c r="C1540" s="56" t="s">
        <v>3353</v>
      </c>
      <c r="D1540" s="56"/>
      <c r="E1540" s="56" t="s">
        <v>3354</v>
      </c>
      <c r="F1540" s="56" t="s">
        <v>3355</v>
      </c>
    </row>
    <row r="1541" spans="1:6" x14ac:dyDescent="0.25">
      <c r="A1541" s="40">
        <v>43840</v>
      </c>
      <c r="C1541" t="s">
        <v>3356</v>
      </c>
      <c r="E1541" t="s">
        <v>3357</v>
      </c>
      <c r="F1541" t="s">
        <v>3358</v>
      </c>
    </row>
    <row r="1542" spans="1:6" x14ac:dyDescent="0.25">
      <c r="A1542" s="40">
        <v>44054</v>
      </c>
      <c r="C1542" t="s">
        <v>3359</v>
      </c>
      <c r="E1542" t="s">
        <v>870</v>
      </c>
      <c r="F1542" t="s">
        <v>871</v>
      </c>
    </row>
    <row r="1543" spans="1:6" x14ac:dyDescent="0.25">
      <c r="A1543" s="40">
        <v>43756</v>
      </c>
      <c r="C1543" t="s">
        <v>3360</v>
      </c>
      <c r="E1543" t="s">
        <v>3361</v>
      </c>
      <c r="F1543" t="s">
        <v>3362</v>
      </c>
    </row>
    <row r="1544" spans="1:6" x14ac:dyDescent="0.25">
      <c r="A1544" s="40">
        <v>43725</v>
      </c>
      <c r="C1544" t="s">
        <v>3363</v>
      </c>
      <c r="E1544" t="s">
        <v>3364</v>
      </c>
      <c r="F1544" t="s">
        <v>3365</v>
      </c>
    </row>
    <row r="1545" spans="1:6" x14ac:dyDescent="0.25">
      <c r="A1545" s="40">
        <v>43725</v>
      </c>
      <c r="C1545" t="s">
        <v>3366</v>
      </c>
      <c r="E1545" t="s">
        <v>3367</v>
      </c>
      <c r="F1545" t="s">
        <v>3368</v>
      </c>
    </row>
    <row r="1546" spans="1:6" x14ac:dyDescent="0.25">
      <c r="A1546" s="40">
        <v>43724</v>
      </c>
      <c r="B1546" s="38"/>
      <c r="C1546" s="38" t="s">
        <v>3369</v>
      </c>
      <c r="D1546" s="38"/>
      <c r="E1546" s="38" t="s">
        <v>3369</v>
      </c>
      <c r="F1546" s="38" t="s">
        <v>3370</v>
      </c>
    </row>
    <row r="1547" spans="1:6" x14ac:dyDescent="0.25">
      <c r="A1547" s="40">
        <v>43725</v>
      </c>
      <c r="C1547" t="s">
        <v>3371</v>
      </c>
      <c r="E1547" t="s">
        <v>3372</v>
      </c>
      <c r="F1547" t="s">
        <v>3373</v>
      </c>
    </row>
    <row r="1548" spans="1:6" x14ac:dyDescent="0.25">
      <c r="A1548" s="40">
        <v>44145</v>
      </c>
      <c r="C1548" t="s">
        <v>3374</v>
      </c>
      <c r="E1548" t="s">
        <v>3375</v>
      </c>
      <c r="F1548" t="s">
        <v>3376</v>
      </c>
    </row>
    <row r="1549" spans="1:6" x14ac:dyDescent="0.25">
      <c r="A1549" s="41">
        <v>44199</v>
      </c>
      <c r="B1549" s="28"/>
      <c r="C1549" s="28" t="s">
        <v>4652</v>
      </c>
      <c r="D1549" s="28"/>
      <c r="E1549" s="28" t="s">
        <v>4652</v>
      </c>
      <c r="F1549" s="28" t="s">
        <v>4886</v>
      </c>
    </row>
    <row r="1550" spans="1:6" x14ac:dyDescent="0.25">
      <c r="A1550" s="40">
        <v>44053</v>
      </c>
      <c r="B1550" s="49"/>
      <c r="C1550" s="49" t="s">
        <v>3377</v>
      </c>
      <c r="D1550" s="49"/>
      <c r="E1550" s="49" t="s">
        <v>3378</v>
      </c>
      <c r="F1550" s="49" t="s">
        <v>3379</v>
      </c>
    </row>
    <row r="1551" spans="1:6" x14ac:dyDescent="0.25">
      <c r="B1551" s="44"/>
      <c r="C1551" s="44" t="s">
        <v>3380</v>
      </c>
      <c r="D1551" s="44"/>
      <c r="E1551" s="44" t="s">
        <v>3381</v>
      </c>
      <c r="F1551" s="44" t="s">
        <v>1278</v>
      </c>
    </row>
    <row r="1552" spans="1:6" x14ac:dyDescent="0.25">
      <c r="A1552" s="40">
        <v>43634</v>
      </c>
      <c r="C1552" t="s">
        <v>3382</v>
      </c>
      <c r="E1552" t="s">
        <v>3383</v>
      </c>
      <c r="F1552" t="s">
        <v>3384</v>
      </c>
    </row>
    <row r="1553" spans="1:6" x14ac:dyDescent="0.25">
      <c r="A1553" s="40">
        <v>43384</v>
      </c>
      <c r="B1553" s="38"/>
      <c r="C1553" s="38" t="s">
        <v>3385</v>
      </c>
      <c r="D1553" s="38"/>
      <c r="E1553" s="38" t="s">
        <v>3386</v>
      </c>
      <c r="F1553" s="38" t="s">
        <v>3387</v>
      </c>
    </row>
    <row r="1554" spans="1:6" x14ac:dyDescent="0.25">
      <c r="A1554" s="40">
        <v>43725</v>
      </c>
      <c r="B1554" s="44"/>
      <c r="C1554" s="44" t="s">
        <v>3388</v>
      </c>
      <c r="D1554" s="44"/>
      <c r="E1554" s="44" t="s">
        <v>3389</v>
      </c>
      <c r="F1554" s="44" t="s">
        <v>3390</v>
      </c>
    </row>
    <row r="1555" spans="1:6" x14ac:dyDescent="0.25">
      <c r="A1555" s="40">
        <v>43860</v>
      </c>
      <c r="B1555" s="44"/>
      <c r="C1555" s="44" t="s">
        <v>3391</v>
      </c>
      <c r="D1555" s="44"/>
      <c r="E1555" s="44" t="s">
        <v>3392</v>
      </c>
      <c r="F1555" s="44" t="s">
        <v>3393</v>
      </c>
    </row>
    <row r="1556" spans="1:6" x14ac:dyDescent="0.25">
      <c r="A1556" s="40">
        <v>43356</v>
      </c>
      <c r="B1556" s="68"/>
      <c r="C1556" s="68" t="s">
        <v>3394</v>
      </c>
      <c r="D1556" s="68"/>
      <c r="E1556" s="68" t="s">
        <v>3395</v>
      </c>
      <c r="F1556" s="68" t="s">
        <v>3396</v>
      </c>
    </row>
    <row r="1557" spans="1:6" x14ac:dyDescent="0.25">
      <c r="A1557" s="40">
        <v>44018</v>
      </c>
      <c r="B1557" s="56"/>
      <c r="C1557" s="56" t="s">
        <v>3397</v>
      </c>
      <c r="D1557" s="56"/>
      <c r="E1557" s="56" t="s">
        <v>3398</v>
      </c>
      <c r="F1557" s="56" t="s">
        <v>3399</v>
      </c>
    </row>
    <row r="1558" spans="1:6" x14ac:dyDescent="0.25">
      <c r="A1558" s="40">
        <v>43344</v>
      </c>
      <c r="B1558" s="68"/>
      <c r="C1558" s="68" t="s">
        <v>3400</v>
      </c>
      <c r="D1558" s="68"/>
      <c r="E1558" s="68" t="s">
        <v>3401</v>
      </c>
      <c r="F1558" s="68" t="s">
        <v>3402</v>
      </c>
    </row>
    <row r="1559" spans="1:6" x14ac:dyDescent="0.25">
      <c r="A1559" s="40">
        <v>44082</v>
      </c>
      <c r="B1559" s="56"/>
      <c r="C1559" s="56" t="s">
        <v>3403</v>
      </c>
      <c r="D1559" s="56"/>
      <c r="E1559" s="56" t="s">
        <v>3404</v>
      </c>
      <c r="F1559" s="56" t="s">
        <v>3405</v>
      </c>
    </row>
    <row r="1560" spans="1:6" x14ac:dyDescent="0.25">
      <c r="A1560" s="40">
        <v>44173</v>
      </c>
      <c r="B1560" s="49"/>
      <c r="C1560" s="49" t="s">
        <v>3406</v>
      </c>
      <c r="D1560" s="49"/>
      <c r="E1560" s="49" t="s">
        <v>3407</v>
      </c>
      <c r="F1560" s="49" t="s">
        <v>3408</v>
      </c>
    </row>
    <row r="1561" spans="1:6" x14ac:dyDescent="0.25">
      <c r="A1561" s="40">
        <v>44082</v>
      </c>
      <c r="B1561" s="34"/>
      <c r="C1561" s="34" t="s">
        <v>3409</v>
      </c>
      <c r="D1561" s="34"/>
      <c r="E1561" s="34" t="s">
        <v>3410</v>
      </c>
      <c r="F1561" s="34" t="s">
        <v>3411</v>
      </c>
    </row>
    <row r="1562" spans="1:6" x14ac:dyDescent="0.25">
      <c r="A1562" s="40">
        <v>43461</v>
      </c>
      <c r="B1562" s="34"/>
      <c r="C1562" s="34" t="s">
        <v>3412</v>
      </c>
      <c r="D1562" s="34"/>
      <c r="E1562" s="34" t="s">
        <v>3413</v>
      </c>
      <c r="F1562" s="34" t="s">
        <v>3414</v>
      </c>
    </row>
    <row r="1563" spans="1:6" x14ac:dyDescent="0.25">
      <c r="A1563" s="40">
        <v>43860</v>
      </c>
      <c r="C1563" t="s">
        <v>3415</v>
      </c>
      <c r="E1563" t="s">
        <v>3415</v>
      </c>
      <c r="F1563" t="s">
        <v>3416</v>
      </c>
    </row>
    <row r="1564" spans="1:6" x14ac:dyDescent="0.25">
      <c r="A1564" s="40">
        <v>44173</v>
      </c>
      <c r="B1564" s="34"/>
      <c r="C1564" s="34" t="s">
        <v>3417</v>
      </c>
      <c r="D1564" s="34"/>
      <c r="E1564" s="34" t="s">
        <v>3418</v>
      </c>
      <c r="F1564" s="34" t="s">
        <v>3419</v>
      </c>
    </row>
    <row r="1565" spans="1:6" x14ac:dyDescent="0.25">
      <c r="A1565" s="40">
        <v>43634</v>
      </c>
      <c r="B1565" s="44"/>
      <c r="C1565" s="44" t="s">
        <v>3420</v>
      </c>
      <c r="D1565" s="44"/>
      <c r="E1565" s="44" t="s">
        <v>3421</v>
      </c>
      <c r="F1565" s="44" t="s">
        <v>3422</v>
      </c>
    </row>
    <row r="1566" spans="1:6" x14ac:dyDescent="0.25">
      <c r="A1566" s="41">
        <v>44200</v>
      </c>
      <c r="B1566" s="28"/>
      <c r="C1566" s="28" t="s">
        <v>5083</v>
      </c>
      <c r="D1566" s="28"/>
      <c r="E1566" s="28" t="s">
        <v>5250</v>
      </c>
      <c r="F1566" s="28" t="s">
        <v>5417</v>
      </c>
    </row>
    <row r="1567" spans="1:6" x14ac:dyDescent="0.25">
      <c r="A1567" s="40">
        <v>43588</v>
      </c>
      <c r="B1567" s="68"/>
      <c r="C1567" s="68" t="s">
        <v>3423</v>
      </c>
      <c r="D1567" s="68"/>
      <c r="E1567" s="68" t="s">
        <v>3424</v>
      </c>
      <c r="F1567" s="68" t="s">
        <v>3425</v>
      </c>
    </row>
    <row r="1568" spans="1:6" x14ac:dyDescent="0.25">
      <c r="A1568" s="41">
        <v>44199</v>
      </c>
      <c r="B1568" s="28"/>
      <c r="C1568" s="28" t="s">
        <v>4653</v>
      </c>
      <c r="D1568" s="28"/>
      <c r="E1568" s="28" t="s">
        <v>4887</v>
      </c>
      <c r="F1568" s="28" t="s">
        <v>4888</v>
      </c>
    </row>
    <row r="1569" spans="1:6" x14ac:dyDescent="0.25">
      <c r="A1569" s="40">
        <v>44060</v>
      </c>
      <c r="B1569" s="49"/>
      <c r="C1569" s="49" t="s">
        <v>3426</v>
      </c>
      <c r="D1569" s="49"/>
      <c r="E1569" s="49" t="s">
        <v>3427</v>
      </c>
      <c r="F1569" s="49" t="s">
        <v>3428</v>
      </c>
    </row>
    <row r="1570" spans="1:6" x14ac:dyDescent="0.25">
      <c r="A1570" s="40">
        <v>44063</v>
      </c>
      <c r="B1570" s="37"/>
      <c r="C1570" s="37" t="s">
        <v>3429</v>
      </c>
      <c r="D1570" s="37"/>
      <c r="E1570" s="37" t="s">
        <v>3430</v>
      </c>
      <c r="F1570" s="37" t="s">
        <v>3431</v>
      </c>
    </row>
    <row r="1571" spans="1:6" x14ac:dyDescent="0.25">
      <c r="A1571" s="40">
        <v>44063</v>
      </c>
      <c r="B1571" s="34"/>
      <c r="C1571" s="34" t="s">
        <v>3432</v>
      </c>
      <c r="D1571" s="34"/>
      <c r="E1571" s="34" t="s">
        <v>3433</v>
      </c>
      <c r="F1571" s="34" t="s">
        <v>3434</v>
      </c>
    </row>
    <row r="1572" spans="1:6" x14ac:dyDescent="0.25">
      <c r="A1572" s="40">
        <v>44063</v>
      </c>
      <c r="B1572" s="48"/>
      <c r="C1572" s="48" t="s">
        <v>3435</v>
      </c>
      <c r="D1572" s="48"/>
      <c r="E1572" s="48" t="s">
        <v>3436</v>
      </c>
      <c r="F1572" s="48" t="s">
        <v>3437</v>
      </c>
    </row>
    <row r="1573" spans="1:6" x14ac:dyDescent="0.25">
      <c r="A1573" s="40">
        <v>44054</v>
      </c>
      <c r="B1573" s="49"/>
      <c r="C1573" s="49" t="s">
        <v>3438</v>
      </c>
      <c r="D1573" s="49"/>
      <c r="E1573" s="49" t="s">
        <v>3439</v>
      </c>
      <c r="F1573" s="49" t="s">
        <v>3440</v>
      </c>
    </row>
    <row r="1574" spans="1:6" x14ac:dyDescent="0.25">
      <c r="A1574" s="40">
        <v>43762</v>
      </c>
      <c r="B1574" s="68"/>
      <c r="C1574" s="68" t="s">
        <v>3441</v>
      </c>
      <c r="D1574" s="68"/>
      <c r="E1574" s="68" t="s">
        <v>3442</v>
      </c>
      <c r="F1574" s="68" t="s">
        <v>3443</v>
      </c>
    </row>
    <row r="1575" spans="1:6" x14ac:dyDescent="0.25">
      <c r="A1575" s="40">
        <v>44040</v>
      </c>
      <c r="B1575" s="56"/>
      <c r="C1575" s="56" t="s">
        <v>3444</v>
      </c>
      <c r="D1575" s="56"/>
      <c r="E1575" s="56" t="s">
        <v>3445</v>
      </c>
      <c r="F1575" s="56" t="s">
        <v>3446</v>
      </c>
    </row>
    <row r="1576" spans="1:6" x14ac:dyDescent="0.25">
      <c r="B1576" s="37"/>
      <c r="C1576" s="37" t="s">
        <v>3447</v>
      </c>
      <c r="D1576" s="37"/>
      <c r="E1576" s="37" t="s">
        <v>3448</v>
      </c>
      <c r="F1576" s="37" t="s">
        <v>3449</v>
      </c>
    </row>
    <row r="1577" spans="1:6" x14ac:dyDescent="0.25">
      <c r="A1577" s="41">
        <v>44491</v>
      </c>
      <c r="B1577" s="28"/>
      <c r="C1577" s="28" t="s">
        <v>5762</v>
      </c>
      <c r="D1577" s="28"/>
      <c r="E1577" s="28" t="s">
        <v>5763</v>
      </c>
      <c r="F1577" s="28" t="s">
        <v>5764</v>
      </c>
    </row>
    <row r="1578" spans="1:6" x14ac:dyDescent="0.25">
      <c r="A1578" s="40">
        <v>43725</v>
      </c>
      <c r="C1578" t="s">
        <v>3133</v>
      </c>
      <c r="D1578" t="s">
        <v>3450</v>
      </c>
      <c r="E1578" t="s">
        <v>3451</v>
      </c>
      <c r="F1578" t="s">
        <v>3452</v>
      </c>
    </row>
    <row r="1579" spans="1:6" x14ac:dyDescent="0.25">
      <c r="A1579" s="40">
        <v>43725</v>
      </c>
      <c r="C1579" t="s">
        <v>3453</v>
      </c>
      <c r="D1579" t="s">
        <v>3454</v>
      </c>
      <c r="E1579" t="s">
        <v>3455</v>
      </c>
      <c r="F1579" t="s">
        <v>3456</v>
      </c>
    </row>
    <row r="1580" spans="1:6" x14ac:dyDescent="0.25">
      <c r="A1580" s="40">
        <v>43815</v>
      </c>
      <c r="C1580" t="s">
        <v>3457</v>
      </c>
      <c r="E1580" t="s">
        <v>3457</v>
      </c>
      <c r="F1580" t="s">
        <v>3458</v>
      </c>
    </row>
    <row r="1581" spans="1:6" x14ac:dyDescent="0.25">
      <c r="A1581" s="40">
        <v>43887</v>
      </c>
      <c r="C1581" t="s">
        <v>3459</v>
      </c>
      <c r="E1581" t="s">
        <v>3460</v>
      </c>
      <c r="F1581" t="s">
        <v>3461</v>
      </c>
    </row>
    <row r="1582" spans="1:6" x14ac:dyDescent="0.25">
      <c r="A1582" s="40">
        <v>43868</v>
      </c>
      <c r="C1582" t="s">
        <v>3462</v>
      </c>
      <c r="E1582" t="s">
        <v>3463</v>
      </c>
      <c r="F1582" t="s">
        <v>3464</v>
      </c>
    </row>
    <row r="1583" spans="1:6" x14ac:dyDescent="0.25">
      <c r="A1583" s="40">
        <v>43608</v>
      </c>
      <c r="B1583" s="38"/>
      <c r="C1583" s="38" t="s">
        <v>3465</v>
      </c>
      <c r="D1583" s="38"/>
      <c r="E1583" s="38" t="s">
        <v>3466</v>
      </c>
      <c r="F1583" s="38" t="s">
        <v>3467</v>
      </c>
    </row>
    <row r="1584" spans="1:6" x14ac:dyDescent="0.25">
      <c r="A1584" s="41">
        <v>44236</v>
      </c>
      <c r="B1584" s="28"/>
      <c r="C1584" s="28" t="s">
        <v>5495</v>
      </c>
      <c r="D1584" s="28"/>
      <c r="E1584" s="28" t="s">
        <v>5496</v>
      </c>
      <c r="F1584" s="28" t="s">
        <v>5497</v>
      </c>
    </row>
    <row r="1585" spans="1:6" x14ac:dyDescent="0.25">
      <c r="A1585" s="40">
        <v>44123</v>
      </c>
      <c r="B1585" s="56"/>
      <c r="C1585" s="56" t="s">
        <v>3468</v>
      </c>
      <c r="D1585" s="56"/>
      <c r="E1585" s="56" t="s">
        <v>3469</v>
      </c>
      <c r="F1585" s="56" t="s">
        <v>3470</v>
      </c>
    </row>
    <row r="1586" spans="1:6" x14ac:dyDescent="0.25">
      <c r="A1586" s="40">
        <v>44001</v>
      </c>
      <c r="B1586" s="38"/>
      <c r="C1586" s="38" t="s">
        <v>3471</v>
      </c>
      <c r="D1586" s="38"/>
      <c r="E1586" s="38" t="s">
        <v>3472</v>
      </c>
      <c r="F1586" s="38" t="s">
        <v>3473</v>
      </c>
    </row>
    <row r="1587" spans="1:6" x14ac:dyDescent="0.25">
      <c r="B1587" s="48"/>
      <c r="C1587" s="48" t="s">
        <v>3474</v>
      </c>
      <c r="D1587" s="48" t="s">
        <v>3475</v>
      </c>
      <c r="E1587" s="48" t="s">
        <v>3476</v>
      </c>
      <c r="F1587" s="48" t="s">
        <v>3477</v>
      </c>
    </row>
    <row r="1588" spans="1:6" x14ac:dyDescent="0.25">
      <c r="A1588" s="40">
        <v>43634</v>
      </c>
      <c r="B1588" s="49"/>
      <c r="C1588" s="49" t="s">
        <v>3478</v>
      </c>
      <c r="D1588" s="49"/>
      <c r="E1588" s="49" t="s">
        <v>3478</v>
      </c>
      <c r="F1588" s="49" t="s">
        <v>3479</v>
      </c>
    </row>
    <row r="1589" spans="1:6" x14ac:dyDescent="0.25">
      <c r="A1589" s="40">
        <v>44081</v>
      </c>
      <c r="C1589" t="s">
        <v>3480</v>
      </c>
      <c r="E1589" t="s">
        <v>3481</v>
      </c>
      <c r="F1589" t="s">
        <v>3482</v>
      </c>
    </row>
    <row r="1590" spans="1:6" x14ac:dyDescent="0.25">
      <c r="A1590" s="40">
        <v>43662</v>
      </c>
      <c r="B1590" s="48"/>
      <c r="C1590" s="48" t="s">
        <v>3483</v>
      </c>
      <c r="D1590" s="48" t="s">
        <v>3484</v>
      </c>
      <c r="E1590" s="48" t="s">
        <v>3485</v>
      </c>
      <c r="F1590" s="48" t="s">
        <v>3486</v>
      </c>
    </row>
    <row r="1591" spans="1:6" x14ac:dyDescent="0.25">
      <c r="A1591" s="40">
        <v>43662</v>
      </c>
      <c r="B1591" s="68"/>
      <c r="C1591" s="68" t="s">
        <v>3487</v>
      </c>
      <c r="D1591" s="68" t="s">
        <v>3488</v>
      </c>
      <c r="E1591" s="68" t="s">
        <v>3489</v>
      </c>
      <c r="F1591" s="68" t="s">
        <v>3490</v>
      </c>
    </row>
    <row r="1592" spans="1:6" x14ac:dyDescent="0.25">
      <c r="A1592" s="40">
        <v>44070</v>
      </c>
      <c r="B1592" s="56"/>
      <c r="C1592" s="56" t="s">
        <v>3491</v>
      </c>
      <c r="D1592" s="56"/>
      <c r="E1592" s="56" t="s">
        <v>3492</v>
      </c>
      <c r="F1592" s="56" t="s">
        <v>3493</v>
      </c>
    </row>
    <row r="1593" spans="1:6" x14ac:dyDescent="0.25">
      <c r="A1593" s="40">
        <v>43503</v>
      </c>
      <c r="B1593" s="68"/>
      <c r="C1593" s="68" t="s">
        <v>3494</v>
      </c>
      <c r="D1593" s="68"/>
      <c r="E1593" s="68" t="s">
        <v>3495</v>
      </c>
      <c r="F1593" s="68" t="s">
        <v>3496</v>
      </c>
    </row>
    <row r="1594" spans="1:6" x14ac:dyDescent="0.25">
      <c r="A1594" s="41">
        <v>44956</v>
      </c>
      <c r="B1594" s="28"/>
      <c r="C1594" s="28" t="s">
        <v>5879</v>
      </c>
      <c r="D1594" s="28" t="s">
        <v>5879</v>
      </c>
      <c r="E1594" s="28" t="s">
        <v>5880</v>
      </c>
      <c r="F1594" s="28" t="s">
        <v>5881</v>
      </c>
    </row>
    <row r="1595" spans="1:6" x14ac:dyDescent="0.25">
      <c r="A1595" s="41">
        <v>44301</v>
      </c>
      <c r="B1595" s="28">
        <v>6</v>
      </c>
      <c r="C1595" s="28" t="s">
        <v>5657</v>
      </c>
      <c r="D1595" s="28"/>
      <c r="E1595" s="28" t="s">
        <v>1526</v>
      </c>
      <c r="F1595" s="28" t="s">
        <v>1527</v>
      </c>
    </row>
    <row r="1596" spans="1:6" x14ac:dyDescent="0.25">
      <c r="A1596" s="40">
        <v>43865</v>
      </c>
      <c r="C1596" t="s">
        <v>3497</v>
      </c>
      <c r="E1596" t="s">
        <v>3498</v>
      </c>
      <c r="F1596" t="s">
        <v>3499</v>
      </c>
    </row>
    <row r="1597" spans="1:6" x14ac:dyDescent="0.25">
      <c r="A1597" s="40">
        <v>44120</v>
      </c>
      <c r="B1597" s="68"/>
      <c r="C1597" s="68" t="s">
        <v>3500</v>
      </c>
      <c r="D1597" s="68"/>
      <c r="E1597" s="68" t="s">
        <v>3501</v>
      </c>
      <c r="F1597" s="68" t="s">
        <v>3502</v>
      </c>
    </row>
    <row r="1598" spans="1:6" x14ac:dyDescent="0.25">
      <c r="A1598" s="40">
        <v>44019</v>
      </c>
      <c r="B1598" s="56"/>
      <c r="C1598" s="56" t="s">
        <v>3503</v>
      </c>
      <c r="D1598" s="56"/>
      <c r="E1598" s="56" t="s">
        <v>3503</v>
      </c>
      <c r="F1598" s="56" t="s">
        <v>3504</v>
      </c>
    </row>
    <row r="1599" spans="1:6" x14ac:dyDescent="0.25">
      <c r="A1599" s="40">
        <v>43636</v>
      </c>
      <c r="C1599" t="s">
        <v>3505</v>
      </c>
      <c r="E1599" t="s">
        <v>3506</v>
      </c>
      <c r="F1599" t="s">
        <v>3507</v>
      </c>
    </row>
    <row r="1600" spans="1:6" x14ac:dyDescent="0.25">
      <c r="A1600" s="40">
        <v>44138</v>
      </c>
      <c r="C1600" t="s">
        <v>3508</v>
      </c>
      <c r="E1600" t="s">
        <v>3509</v>
      </c>
      <c r="F1600" t="s">
        <v>3510</v>
      </c>
    </row>
    <row r="1601" spans="1:6" x14ac:dyDescent="0.25">
      <c r="A1601" s="40">
        <v>44064</v>
      </c>
      <c r="B1601" s="72"/>
      <c r="C1601" s="72" t="s">
        <v>3511</v>
      </c>
      <c r="D1601" s="72"/>
      <c r="E1601" s="72" t="s">
        <v>3512</v>
      </c>
      <c r="F1601" s="72" t="s">
        <v>3513</v>
      </c>
    </row>
    <row r="1602" spans="1:6" x14ac:dyDescent="0.25">
      <c r="A1602" s="41">
        <v>44199</v>
      </c>
      <c r="B1602" s="28"/>
      <c r="C1602" s="28" t="s">
        <v>4654</v>
      </c>
      <c r="D1602" s="28"/>
      <c r="E1602" s="28" t="s">
        <v>4889</v>
      </c>
      <c r="F1602" s="28" t="s">
        <v>4890</v>
      </c>
    </row>
    <row r="1603" spans="1:6" x14ac:dyDescent="0.25">
      <c r="A1603" s="40">
        <v>43634</v>
      </c>
      <c r="B1603" s="72"/>
      <c r="C1603" s="72" t="s">
        <v>3514</v>
      </c>
      <c r="D1603" s="72"/>
      <c r="E1603" s="72" t="s">
        <v>3514</v>
      </c>
      <c r="F1603" s="72" t="s">
        <v>3515</v>
      </c>
    </row>
    <row r="1604" spans="1:6" x14ac:dyDescent="0.25">
      <c r="A1604" s="41">
        <v>44199</v>
      </c>
      <c r="B1604" s="28"/>
      <c r="C1604" s="28" t="s">
        <v>4655</v>
      </c>
      <c r="D1604" s="28"/>
      <c r="E1604" s="28" t="s">
        <v>4655</v>
      </c>
      <c r="F1604" s="28" t="s">
        <v>4655</v>
      </c>
    </row>
    <row r="1605" spans="1:6" x14ac:dyDescent="0.25">
      <c r="A1605" s="40">
        <v>43467</v>
      </c>
      <c r="B1605" s="48"/>
      <c r="C1605" s="48" t="s">
        <v>3516</v>
      </c>
      <c r="D1605" s="48"/>
      <c r="E1605" s="48" t="s">
        <v>3517</v>
      </c>
      <c r="F1605" s="48" t="s">
        <v>3518</v>
      </c>
    </row>
    <row r="1606" spans="1:6" x14ac:dyDescent="0.25">
      <c r="A1606" s="40">
        <v>43794</v>
      </c>
      <c r="B1606" s="49"/>
      <c r="C1606" s="49" t="s">
        <v>3519</v>
      </c>
      <c r="D1606" s="49"/>
      <c r="E1606" s="49" t="s">
        <v>3520</v>
      </c>
      <c r="F1606" s="49" t="s">
        <v>3521</v>
      </c>
    </row>
    <row r="1607" spans="1:6" x14ac:dyDescent="0.25">
      <c r="A1607" s="40">
        <v>43989</v>
      </c>
      <c r="B1607" s="72"/>
      <c r="C1607" s="72" t="s">
        <v>3522</v>
      </c>
      <c r="D1607" s="72"/>
      <c r="E1607" s="72" t="s">
        <v>3522</v>
      </c>
      <c r="F1607" s="72" t="s">
        <v>3523</v>
      </c>
    </row>
    <row r="1608" spans="1:6" x14ac:dyDescent="0.25">
      <c r="A1608" s="41">
        <v>44200</v>
      </c>
      <c r="B1608" s="28"/>
      <c r="C1608" s="28" t="s">
        <v>5084</v>
      </c>
      <c r="D1608" s="28"/>
      <c r="E1608" s="28" t="s">
        <v>5084</v>
      </c>
      <c r="F1608" s="28" t="s">
        <v>4402</v>
      </c>
    </row>
    <row r="1609" spans="1:6" x14ac:dyDescent="0.25">
      <c r="A1609" s="40">
        <v>43864</v>
      </c>
      <c r="B1609" s="48"/>
      <c r="C1609" s="48" t="s">
        <v>3524</v>
      </c>
      <c r="D1609" s="48"/>
      <c r="E1609" s="48" t="s">
        <v>3525</v>
      </c>
      <c r="F1609" s="48" t="s">
        <v>3526</v>
      </c>
    </row>
    <row r="1610" spans="1:6" x14ac:dyDescent="0.25">
      <c r="A1610" s="40">
        <v>43724</v>
      </c>
      <c r="B1610" s="49"/>
      <c r="C1610" s="49" t="s">
        <v>3527</v>
      </c>
      <c r="D1610" s="49"/>
      <c r="E1610" s="49" t="s">
        <v>3528</v>
      </c>
      <c r="F1610" s="49" t="s">
        <v>3529</v>
      </c>
    </row>
    <row r="1611" spans="1:6" x14ac:dyDescent="0.25">
      <c r="A1611" s="40">
        <v>43732</v>
      </c>
      <c r="B1611" s="49"/>
      <c r="C1611" s="49" t="s">
        <v>3530</v>
      </c>
      <c r="D1611" s="49"/>
      <c r="E1611" s="49" t="s">
        <v>3531</v>
      </c>
      <c r="F1611" s="49" t="s">
        <v>3532</v>
      </c>
    </row>
    <row r="1612" spans="1:6" x14ac:dyDescent="0.25">
      <c r="A1612" s="40">
        <v>44172</v>
      </c>
      <c r="B1612" s="68"/>
      <c r="C1612" s="68" t="s">
        <v>3533</v>
      </c>
      <c r="D1612" s="68"/>
      <c r="E1612" s="68" t="s">
        <v>3534</v>
      </c>
      <c r="F1612" s="68" t="s">
        <v>3535</v>
      </c>
    </row>
    <row r="1613" spans="1:6" x14ac:dyDescent="0.25">
      <c r="A1613" s="40">
        <v>43867</v>
      </c>
      <c r="B1613" s="56"/>
      <c r="C1613" s="56" t="s">
        <v>3536</v>
      </c>
      <c r="D1613" s="56"/>
      <c r="E1613" s="56" t="s">
        <v>3537</v>
      </c>
      <c r="F1613" s="56" t="s">
        <v>3538</v>
      </c>
    </row>
    <row r="1614" spans="1:6" x14ac:dyDescent="0.25">
      <c r="A1614" s="40">
        <v>44007</v>
      </c>
      <c r="B1614" s="37"/>
      <c r="C1614" s="37" t="s">
        <v>3539</v>
      </c>
      <c r="D1614" s="37"/>
      <c r="E1614" s="37" t="s">
        <v>3540</v>
      </c>
      <c r="F1614" s="37" t="s">
        <v>3541</v>
      </c>
    </row>
    <row r="1615" spans="1:6" x14ac:dyDescent="0.25">
      <c r="A1615" s="40">
        <v>43489</v>
      </c>
      <c r="B1615" s="68"/>
      <c r="C1615" s="68" t="s">
        <v>3542</v>
      </c>
      <c r="D1615" s="68"/>
      <c r="E1615" s="68" t="s">
        <v>3543</v>
      </c>
      <c r="F1615" s="68" t="s">
        <v>3544</v>
      </c>
    </row>
    <row r="1616" spans="1:6" x14ac:dyDescent="0.25">
      <c r="A1616" s="40">
        <v>43489</v>
      </c>
      <c r="B1616" s="56"/>
      <c r="C1616" s="56" t="s">
        <v>3545</v>
      </c>
      <c r="D1616" s="56"/>
      <c r="E1616" s="56" t="s">
        <v>3546</v>
      </c>
      <c r="F1616" s="56" t="s">
        <v>3547</v>
      </c>
    </row>
    <row r="1617" spans="1:6" x14ac:dyDescent="0.25">
      <c r="A1617" s="40">
        <v>43489</v>
      </c>
      <c r="B1617" s="49"/>
      <c r="C1617" s="49" t="s">
        <v>3548</v>
      </c>
      <c r="D1617" s="49"/>
      <c r="E1617" s="49" t="s">
        <v>3549</v>
      </c>
      <c r="F1617" s="49" t="s">
        <v>3550</v>
      </c>
    </row>
    <row r="1618" spans="1:6" x14ac:dyDescent="0.25">
      <c r="A1618" s="40">
        <v>43493</v>
      </c>
      <c r="C1618" t="s">
        <v>3551</v>
      </c>
      <c r="E1618" t="s">
        <v>3552</v>
      </c>
      <c r="F1618" t="s">
        <v>3553</v>
      </c>
    </row>
    <row r="1619" spans="1:6" x14ac:dyDescent="0.25">
      <c r="A1619" s="40">
        <v>43893</v>
      </c>
      <c r="B1619" s="68"/>
      <c r="C1619" s="68" t="s">
        <v>3554</v>
      </c>
      <c r="D1619" s="68"/>
      <c r="E1619" s="68" t="s">
        <v>3555</v>
      </c>
      <c r="F1619" s="68" t="s">
        <v>3556</v>
      </c>
    </row>
    <row r="1620" spans="1:6" x14ac:dyDescent="0.25">
      <c r="A1620" s="40">
        <v>43893</v>
      </c>
      <c r="B1620" s="56"/>
      <c r="C1620" s="56" t="s">
        <v>3557</v>
      </c>
      <c r="D1620" s="56"/>
      <c r="E1620" s="56" t="s">
        <v>3558</v>
      </c>
      <c r="F1620" s="56" t="s">
        <v>3559</v>
      </c>
    </row>
    <row r="1621" spans="1:6" x14ac:dyDescent="0.25">
      <c r="A1621" s="40">
        <v>44173</v>
      </c>
      <c r="B1621" s="34"/>
      <c r="C1621" s="34" t="s">
        <v>3560</v>
      </c>
      <c r="D1621" s="34"/>
      <c r="E1621" s="34" t="s">
        <v>3561</v>
      </c>
      <c r="F1621" s="34" t="s">
        <v>3562</v>
      </c>
    </row>
    <row r="1622" spans="1:6" x14ac:dyDescent="0.25">
      <c r="A1622" s="40">
        <v>44152</v>
      </c>
      <c r="B1622" s="72"/>
      <c r="C1622" s="72" t="s">
        <v>3563</v>
      </c>
      <c r="D1622" s="72"/>
      <c r="E1622" s="72" t="s">
        <v>3564</v>
      </c>
      <c r="F1622" s="72" t="s">
        <v>3565</v>
      </c>
    </row>
    <row r="1623" spans="1:6" x14ac:dyDescent="0.25">
      <c r="A1623" s="41">
        <v>44236</v>
      </c>
      <c r="B1623" s="28"/>
      <c r="C1623" s="28" t="s">
        <v>5498</v>
      </c>
      <c r="D1623" s="28" t="s">
        <v>5499</v>
      </c>
      <c r="E1623" s="28" t="s">
        <v>5498</v>
      </c>
      <c r="F1623" s="28" t="s">
        <v>5500</v>
      </c>
    </row>
    <row r="1624" spans="1:6" x14ac:dyDescent="0.25">
      <c r="A1624" s="40">
        <v>44081</v>
      </c>
      <c r="B1624" s="34"/>
      <c r="C1624" s="34" t="s">
        <v>3566</v>
      </c>
      <c r="D1624" s="34"/>
      <c r="E1624" s="34" t="s">
        <v>3567</v>
      </c>
      <c r="F1624" s="34" t="s">
        <v>3568</v>
      </c>
    </row>
    <row r="1625" spans="1:6" x14ac:dyDescent="0.25">
      <c r="A1625" s="40">
        <v>44012</v>
      </c>
      <c r="B1625" s="72"/>
      <c r="C1625" s="72" t="s">
        <v>3569</v>
      </c>
      <c r="D1625" s="72"/>
      <c r="E1625" s="72" t="s">
        <v>3570</v>
      </c>
      <c r="F1625" s="72" t="s">
        <v>3571</v>
      </c>
    </row>
    <row r="1626" spans="1:6" x14ac:dyDescent="0.25">
      <c r="A1626" s="41">
        <v>44199</v>
      </c>
      <c r="B1626" s="28"/>
      <c r="C1626" s="28" t="s">
        <v>4656</v>
      </c>
      <c r="D1626" s="28"/>
      <c r="E1626" s="28" t="s">
        <v>4891</v>
      </c>
      <c r="F1626" s="28" t="s">
        <v>4892</v>
      </c>
    </row>
    <row r="1627" spans="1:6" x14ac:dyDescent="0.25">
      <c r="A1627" s="40">
        <v>44005</v>
      </c>
      <c r="B1627" s="68"/>
      <c r="C1627" s="68" t="s">
        <v>3572</v>
      </c>
      <c r="D1627" s="68"/>
      <c r="E1627" s="68" t="s">
        <v>3572</v>
      </c>
      <c r="F1627" s="68" t="s">
        <v>3573</v>
      </c>
    </row>
    <row r="1628" spans="1:6" x14ac:dyDescent="0.25">
      <c r="A1628" s="40">
        <v>43989</v>
      </c>
      <c r="B1628" s="56"/>
      <c r="C1628" s="56" t="s">
        <v>3574</v>
      </c>
      <c r="D1628" s="56"/>
      <c r="E1628" s="56" t="s">
        <v>3575</v>
      </c>
      <c r="F1628" s="56" t="s">
        <v>3576</v>
      </c>
    </row>
    <row r="1629" spans="1:6" x14ac:dyDescent="0.25">
      <c r="A1629" s="40">
        <v>43989</v>
      </c>
      <c r="B1629" s="72"/>
      <c r="C1629" s="72" t="s">
        <v>3577</v>
      </c>
      <c r="D1629" s="72"/>
      <c r="E1629" s="72" t="s">
        <v>3578</v>
      </c>
      <c r="F1629" s="72" t="s">
        <v>3579</v>
      </c>
    </row>
    <row r="1630" spans="1:6" x14ac:dyDescent="0.25">
      <c r="A1630" s="41">
        <v>44301</v>
      </c>
      <c r="B1630" s="28">
        <v>3</v>
      </c>
      <c r="C1630" s="28" t="s">
        <v>5658</v>
      </c>
      <c r="D1630" s="28"/>
      <c r="E1630" s="28" t="s">
        <v>5659</v>
      </c>
      <c r="F1630" s="28" t="s">
        <v>5660</v>
      </c>
    </row>
    <row r="1631" spans="1:6" x14ac:dyDescent="0.25">
      <c r="A1631" s="40">
        <v>44091</v>
      </c>
      <c r="B1631" s="68"/>
      <c r="C1631" s="68" t="s">
        <v>3580</v>
      </c>
      <c r="D1631" s="68"/>
      <c r="E1631" s="68" t="s">
        <v>3581</v>
      </c>
      <c r="F1631" s="68" t="s">
        <v>3582</v>
      </c>
    </row>
    <row r="1632" spans="1:6" x14ac:dyDescent="0.25">
      <c r="A1632" s="40">
        <v>44001</v>
      </c>
      <c r="B1632" s="68"/>
      <c r="C1632" s="68" t="s">
        <v>3583</v>
      </c>
      <c r="D1632" s="68"/>
      <c r="E1632" s="68" t="s">
        <v>3584</v>
      </c>
      <c r="F1632" s="68" t="s">
        <v>3585</v>
      </c>
    </row>
    <row r="1633" spans="1:6" x14ac:dyDescent="0.25">
      <c r="A1633" s="40">
        <v>43634</v>
      </c>
      <c r="B1633" s="56"/>
      <c r="C1633" s="56" t="s">
        <v>3586</v>
      </c>
      <c r="D1633" s="56"/>
      <c r="E1633" s="56" t="s">
        <v>3586</v>
      </c>
      <c r="F1633" s="56" t="s">
        <v>3587</v>
      </c>
    </row>
    <row r="1634" spans="1:6" x14ac:dyDescent="0.25">
      <c r="A1634" s="40">
        <v>44111</v>
      </c>
      <c r="B1634" s="68"/>
      <c r="C1634" s="68" t="s">
        <v>3588</v>
      </c>
      <c r="D1634" s="68"/>
      <c r="E1634" s="68" t="s">
        <v>3589</v>
      </c>
      <c r="F1634" s="68" t="s">
        <v>3590</v>
      </c>
    </row>
    <row r="1635" spans="1:6" x14ac:dyDescent="0.25">
      <c r="A1635" s="40">
        <v>44111</v>
      </c>
      <c r="B1635" s="68"/>
      <c r="C1635" s="68" t="s">
        <v>3591</v>
      </c>
      <c r="D1635" s="68"/>
      <c r="E1635" s="68" t="s">
        <v>3592</v>
      </c>
      <c r="F1635" s="68" t="s">
        <v>3593</v>
      </c>
    </row>
    <row r="1636" spans="1:6" x14ac:dyDescent="0.25">
      <c r="A1636" s="40">
        <v>44111</v>
      </c>
      <c r="B1636" s="68"/>
      <c r="C1636" s="68" t="s">
        <v>3594</v>
      </c>
      <c r="D1636" s="68"/>
      <c r="E1636" s="68" t="s">
        <v>3595</v>
      </c>
      <c r="F1636" s="68" t="s">
        <v>3596</v>
      </c>
    </row>
    <row r="1637" spans="1:6" x14ac:dyDescent="0.25">
      <c r="A1637" s="40">
        <v>44111</v>
      </c>
      <c r="B1637" s="72"/>
      <c r="C1637" s="72" t="s">
        <v>3597</v>
      </c>
      <c r="D1637" s="72"/>
      <c r="E1637" s="72" t="s">
        <v>3598</v>
      </c>
      <c r="F1637" s="72" t="s">
        <v>3599</v>
      </c>
    </row>
    <row r="1638" spans="1:6" x14ac:dyDescent="0.25">
      <c r="A1638" s="41">
        <v>44199</v>
      </c>
      <c r="B1638" s="28"/>
      <c r="C1638" s="28" t="s">
        <v>4657</v>
      </c>
      <c r="D1638" s="28"/>
      <c r="E1638" s="28" t="s">
        <v>4893</v>
      </c>
      <c r="F1638" s="28" t="s">
        <v>4894</v>
      </c>
    </row>
    <row r="1639" spans="1:6" x14ac:dyDescent="0.25">
      <c r="A1639" s="40">
        <v>43865</v>
      </c>
      <c r="B1639" s="49"/>
      <c r="C1639" s="49" t="s">
        <v>3600</v>
      </c>
      <c r="D1639" s="49"/>
      <c r="E1639" s="49" t="s">
        <v>3601</v>
      </c>
      <c r="F1639" s="49" t="s">
        <v>3602</v>
      </c>
    </row>
    <row r="1640" spans="1:6" x14ac:dyDescent="0.25">
      <c r="A1640" s="40">
        <v>43794</v>
      </c>
      <c r="B1640" s="72"/>
      <c r="C1640" s="72" t="s">
        <v>3603</v>
      </c>
      <c r="D1640" s="72" t="s">
        <v>3604</v>
      </c>
      <c r="E1640" s="72" t="s">
        <v>3605</v>
      </c>
      <c r="F1640" s="72" t="s">
        <v>3606</v>
      </c>
    </row>
    <row r="1641" spans="1:6" x14ac:dyDescent="0.25">
      <c r="A1641" s="41">
        <v>44199</v>
      </c>
      <c r="B1641" s="28"/>
      <c r="C1641" s="28" t="s">
        <v>4658</v>
      </c>
      <c r="D1641" s="28"/>
      <c r="E1641" s="28" t="s">
        <v>4895</v>
      </c>
      <c r="F1641" s="28" t="s">
        <v>4896</v>
      </c>
    </row>
    <row r="1642" spans="1:6" x14ac:dyDescent="0.25">
      <c r="A1642" s="41">
        <v>44200</v>
      </c>
      <c r="B1642" s="28"/>
      <c r="C1642" s="28" t="s">
        <v>5085</v>
      </c>
      <c r="D1642" s="28"/>
      <c r="E1642" s="28" t="s">
        <v>5251</v>
      </c>
      <c r="F1642" s="28" t="s">
        <v>5418</v>
      </c>
    </row>
    <row r="1643" spans="1:6" x14ac:dyDescent="0.25">
      <c r="A1643" s="41">
        <v>44236</v>
      </c>
      <c r="B1643" s="28"/>
      <c r="C1643" s="28" t="s">
        <v>5501</v>
      </c>
      <c r="D1643" s="28"/>
      <c r="E1643" s="28" t="s">
        <v>5502</v>
      </c>
      <c r="F1643" s="28" t="s">
        <v>5503</v>
      </c>
    </row>
    <row r="1644" spans="1:6" x14ac:dyDescent="0.25">
      <c r="A1644" s="40">
        <v>44123</v>
      </c>
      <c r="B1644" s="72"/>
      <c r="C1644" s="72" t="s">
        <v>3607</v>
      </c>
      <c r="D1644" s="72"/>
      <c r="E1644" s="72" t="s">
        <v>3607</v>
      </c>
      <c r="F1644" s="72" t="s">
        <v>3608</v>
      </c>
    </row>
    <row r="1645" spans="1:6" x14ac:dyDescent="0.25">
      <c r="A1645" s="41">
        <v>44553</v>
      </c>
      <c r="B1645" s="28"/>
      <c r="C1645" s="28" t="s">
        <v>5765</v>
      </c>
      <c r="D1645" s="28"/>
      <c r="E1645" s="28" t="s">
        <v>5766</v>
      </c>
      <c r="F1645" s="28" t="s">
        <v>5767</v>
      </c>
    </row>
    <row r="1646" spans="1:6" x14ac:dyDescent="0.25">
      <c r="A1646" s="41">
        <v>44199</v>
      </c>
      <c r="B1646" s="28"/>
      <c r="C1646" s="28" t="s">
        <v>4659</v>
      </c>
      <c r="D1646" s="28"/>
      <c r="E1646" s="28" t="s">
        <v>4897</v>
      </c>
      <c r="F1646" s="28" t="s">
        <v>4898</v>
      </c>
    </row>
    <row r="1647" spans="1:6" x14ac:dyDescent="0.25">
      <c r="A1647" s="41">
        <v>44199</v>
      </c>
      <c r="B1647" s="28"/>
      <c r="C1647" s="28" t="s">
        <v>4660</v>
      </c>
      <c r="D1647" s="28"/>
      <c r="E1647" s="28" t="s">
        <v>4660</v>
      </c>
      <c r="F1647" s="28" t="s">
        <v>4899</v>
      </c>
    </row>
    <row r="1648" spans="1:6" x14ac:dyDescent="0.25">
      <c r="A1648" s="40">
        <v>43530</v>
      </c>
      <c r="B1648" s="49"/>
      <c r="C1648" s="49" t="s">
        <v>3609</v>
      </c>
      <c r="D1648" s="49"/>
      <c r="E1648" s="49" t="s">
        <v>3610</v>
      </c>
      <c r="F1648" s="49" t="s">
        <v>3611</v>
      </c>
    </row>
    <row r="1649" spans="1:6" x14ac:dyDescent="0.25">
      <c r="A1649" s="40">
        <v>44039</v>
      </c>
      <c r="C1649" t="s">
        <v>3612</v>
      </c>
      <c r="E1649" t="s">
        <v>3613</v>
      </c>
      <c r="F1649" t="s">
        <v>3614</v>
      </c>
    </row>
    <row r="1650" spans="1:6" x14ac:dyDescent="0.25">
      <c r="A1650" s="40">
        <v>43794</v>
      </c>
      <c r="B1650" s="44"/>
      <c r="C1650" s="44" t="s">
        <v>3615</v>
      </c>
      <c r="D1650" s="44" t="s">
        <v>3616</v>
      </c>
      <c r="E1650" s="44" t="s">
        <v>3617</v>
      </c>
      <c r="F1650" s="44" t="s">
        <v>3618</v>
      </c>
    </row>
    <row r="1651" spans="1:6" x14ac:dyDescent="0.25">
      <c r="A1651" s="40">
        <v>43384</v>
      </c>
      <c r="B1651" s="44"/>
      <c r="C1651" s="44" t="s">
        <v>3619</v>
      </c>
      <c r="D1651" s="44" t="s">
        <v>3620</v>
      </c>
      <c r="E1651" s="44" t="s">
        <v>3619</v>
      </c>
      <c r="F1651" s="44" t="s">
        <v>3621</v>
      </c>
    </row>
    <row r="1652" spans="1:6" x14ac:dyDescent="0.25">
      <c r="A1652" s="40">
        <v>43384</v>
      </c>
      <c r="B1652" s="72"/>
      <c r="C1652" s="72" t="s">
        <v>3622</v>
      </c>
      <c r="D1652" s="72" t="s">
        <v>3623</v>
      </c>
      <c r="E1652" s="72" t="s">
        <v>3622</v>
      </c>
      <c r="F1652" s="72" t="s">
        <v>3624</v>
      </c>
    </row>
    <row r="1653" spans="1:6" x14ac:dyDescent="0.25">
      <c r="A1653" s="41">
        <v>44236</v>
      </c>
      <c r="B1653" s="28"/>
      <c r="C1653" s="28" t="s">
        <v>5504</v>
      </c>
      <c r="D1653" s="28"/>
      <c r="E1653" s="28" t="s">
        <v>5505</v>
      </c>
      <c r="F1653" s="28" t="s">
        <v>5506</v>
      </c>
    </row>
    <row r="1654" spans="1:6" x14ac:dyDescent="0.25">
      <c r="A1654" s="40">
        <v>44172</v>
      </c>
      <c r="B1654" s="49"/>
      <c r="C1654" s="49" t="s">
        <v>3625</v>
      </c>
      <c r="D1654" s="49"/>
      <c r="E1654" s="49" t="s">
        <v>3626</v>
      </c>
      <c r="F1654" s="49" t="s">
        <v>3627</v>
      </c>
    </row>
    <row r="1655" spans="1:6" x14ac:dyDescent="0.25">
      <c r="A1655" s="40">
        <v>44174</v>
      </c>
      <c r="B1655" s="38"/>
      <c r="C1655" s="38" t="s">
        <v>3628</v>
      </c>
      <c r="D1655" s="38" t="s">
        <v>2</v>
      </c>
      <c r="E1655" s="38" t="s">
        <v>3629</v>
      </c>
      <c r="F1655" s="38" t="s">
        <v>3630</v>
      </c>
    </row>
    <row r="1656" spans="1:6" x14ac:dyDescent="0.25">
      <c r="A1656" s="40">
        <v>43344</v>
      </c>
      <c r="B1656" s="38"/>
      <c r="C1656" s="38" t="s">
        <v>3631</v>
      </c>
      <c r="D1656" s="38" t="e">
        <f>PROPER([3]!ObjGes[[#This Row],[Nom EN]])</f>
        <v>#REF!</v>
      </c>
      <c r="E1656" s="38" t="s">
        <v>3632</v>
      </c>
      <c r="F1656" s="38" t="s">
        <v>3633</v>
      </c>
    </row>
    <row r="1657" spans="1:6" x14ac:dyDescent="0.25">
      <c r="A1657" s="40">
        <v>43530</v>
      </c>
      <c r="C1657" t="s">
        <v>3634</v>
      </c>
      <c r="E1657" t="s">
        <v>3635</v>
      </c>
      <c r="F1657" t="s">
        <v>3636</v>
      </c>
    </row>
    <row r="1658" spans="1:6" x14ac:dyDescent="0.25">
      <c r="A1658" s="40">
        <v>43794</v>
      </c>
      <c r="B1658" s="68"/>
      <c r="C1658" s="68" t="s">
        <v>3637</v>
      </c>
      <c r="D1658" s="68"/>
      <c r="E1658" s="68" t="s">
        <v>3638</v>
      </c>
      <c r="F1658" s="68" t="s">
        <v>3639</v>
      </c>
    </row>
    <row r="1659" spans="1:6" x14ac:dyDescent="0.25">
      <c r="A1659" s="40">
        <v>44081</v>
      </c>
      <c r="B1659" s="56"/>
      <c r="C1659" s="56" t="s">
        <v>3640</v>
      </c>
      <c r="D1659" s="56"/>
      <c r="E1659" s="56" t="s">
        <v>3641</v>
      </c>
      <c r="F1659" s="56" t="s">
        <v>3642</v>
      </c>
    </row>
    <row r="1660" spans="1:6" x14ac:dyDescent="0.25">
      <c r="A1660" s="40">
        <v>43391</v>
      </c>
      <c r="B1660" s="44"/>
      <c r="C1660" s="44" t="s">
        <v>3643</v>
      </c>
      <c r="D1660" s="44"/>
      <c r="E1660" s="44" t="s">
        <v>3643</v>
      </c>
      <c r="F1660" s="44" t="s">
        <v>3644</v>
      </c>
    </row>
    <row r="1661" spans="1:6" x14ac:dyDescent="0.25">
      <c r="A1661" s="40">
        <v>44053</v>
      </c>
      <c r="B1661" s="34"/>
      <c r="C1661" s="34" t="s">
        <v>3645</v>
      </c>
      <c r="D1661" s="34"/>
      <c r="E1661" s="34" t="s">
        <v>3646</v>
      </c>
      <c r="F1661" s="34" t="s">
        <v>3647</v>
      </c>
    </row>
    <row r="1662" spans="1:6" x14ac:dyDescent="0.25">
      <c r="A1662" s="40">
        <v>43469</v>
      </c>
      <c r="B1662" s="34"/>
      <c r="C1662" s="34" t="s">
        <v>3648</v>
      </c>
      <c r="D1662" s="34"/>
      <c r="E1662" s="34" t="s">
        <v>3649</v>
      </c>
      <c r="F1662" s="34" t="s">
        <v>3650</v>
      </c>
    </row>
    <row r="1663" spans="1:6" x14ac:dyDescent="0.25">
      <c r="A1663" s="40">
        <v>43865</v>
      </c>
      <c r="B1663" s="44"/>
      <c r="C1663" s="44" t="s">
        <v>3651</v>
      </c>
      <c r="D1663" s="44"/>
      <c r="E1663" s="44" t="s">
        <v>3652</v>
      </c>
      <c r="F1663" s="44" t="s">
        <v>3653</v>
      </c>
    </row>
    <row r="1664" spans="1:6" x14ac:dyDescent="0.25">
      <c r="A1664" s="40">
        <v>44040</v>
      </c>
      <c r="B1664" s="68"/>
      <c r="C1664" s="68" t="s">
        <v>3654</v>
      </c>
      <c r="D1664" s="68"/>
      <c r="E1664" s="68" t="s">
        <v>3655</v>
      </c>
      <c r="F1664" s="68" t="s">
        <v>3656</v>
      </c>
    </row>
    <row r="1665" spans="1:6" x14ac:dyDescent="0.25">
      <c r="A1665" s="40">
        <v>43742</v>
      </c>
      <c r="B1665" s="56"/>
      <c r="C1665" s="56" t="s">
        <v>3657</v>
      </c>
      <c r="D1665" s="56"/>
      <c r="E1665" s="56" t="s">
        <v>3658</v>
      </c>
      <c r="F1665" s="56" t="s">
        <v>3659</v>
      </c>
    </row>
    <row r="1666" spans="1:6" x14ac:dyDescent="0.25">
      <c r="A1666" s="40">
        <v>44082</v>
      </c>
      <c r="B1666" s="34"/>
      <c r="C1666" s="34" t="s">
        <v>3660</v>
      </c>
      <c r="D1666" s="34" t="s">
        <v>3661</v>
      </c>
      <c r="E1666" s="34" t="s">
        <v>3662</v>
      </c>
      <c r="F1666" s="34" t="s">
        <v>3663</v>
      </c>
    </row>
    <row r="1667" spans="1:6" x14ac:dyDescent="0.25">
      <c r="A1667" s="40">
        <v>43864</v>
      </c>
      <c r="B1667" s="48"/>
      <c r="C1667" s="48" t="s">
        <v>3664</v>
      </c>
      <c r="D1667" s="48" t="s">
        <v>3665</v>
      </c>
      <c r="E1667" s="48" t="s">
        <v>3664</v>
      </c>
      <c r="F1667" s="48" t="s">
        <v>3664</v>
      </c>
    </row>
    <row r="1668" spans="1:6" x14ac:dyDescent="0.25">
      <c r="A1668" s="40">
        <v>44207</v>
      </c>
      <c r="B1668" s="72"/>
      <c r="C1668" s="72" t="s">
        <v>5689</v>
      </c>
      <c r="D1668" s="72"/>
      <c r="E1668" s="72" t="s">
        <v>5690</v>
      </c>
      <c r="F1668" s="72" t="s">
        <v>5691</v>
      </c>
    </row>
    <row r="1669" spans="1:6" x14ac:dyDescent="0.25">
      <c r="A1669" s="41">
        <v>44480</v>
      </c>
      <c r="B1669" s="28"/>
      <c r="C1669" s="28" t="s">
        <v>5695</v>
      </c>
      <c r="D1669" s="28"/>
      <c r="E1669" s="28" t="s">
        <v>5696</v>
      </c>
      <c r="F1669" s="28" t="s">
        <v>5697</v>
      </c>
    </row>
    <row r="1670" spans="1:6" x14ac:dyDescent="0.25">
      <c r="A1670" s="40">
        <v>43356</v>
      </c>
      <c r="B1670" s="34"/>
      <c r="C1670" s="34" t="s">
        <v>3666</v>
      </c>
      <c r="D1670" s="34"/>
      <c r="E1670" s="34" t="s">
        <v>3667</v>
      </c>
      <c r="F1670" s="34" t="s">
        <v>3668</v>
      </c>
    </row>
    <row r="1671" spans="1:6" x14ac:dyDescent="0.25">
      <c r="A1671" s="40">
        <v>43760</v>
      </c>
      <c r="B1671" s="68"/>
      <c r="C1671" s="68" t="s">
        <v>3669</v>
      </c>
      <c r="D1671" s="68"/>
      <c r="E1671" s="68" t="s">
        <v>3670</v>
      </c>
      <c r="F1671" s="68" t="s">
        <v>3671</v>
      </c>
    </row>
    <row r="1672" spans="1:6" x14ac:dyDescent="0.25">
      <c r="A1672" s="40">
        <v>44172</v>
      </c>
      <c r="B1672" s="68"/>
      <c r="C1672" s="68" t="s">
        <v>3672</v>
      </c>
      <c r="D1672" s="68"/>
      <c r="E1672" s="68" t="s">
        <v>3673</v>
      </c>
      <c r="F1672" s="68" t="s">
        <v>3674</v>
      </c>
    </row>
    <row r="1673" spans="1:6" x14ac:dyDescent="0.25">
      <c r="A1673" s="40">
        <v>43417</v>
      </c>
      <c r="B1673" s="56"/>
      <c r="C1673" s="56" t="s">
        <v>3675</v>
      </c>
      <c r="D1673" s="56"/>
      <c r="E1673" s="56" t="s">
        <v>3676</v>
      </c>
      <c r="F1673" s="56" t="s">
        <v>3677</v>
      </c>
    </row>
    <row r="1674" spans="1:6" x14ac:dyDescent="0.25">
      <c r="A1674" s="40">
        <v>43344</v>
      </c>
      <c r="B1674" s="72"/>
      <c r="C1674" s="72" t="s">
        <v>3678</v>
      </c>
      <c r="D1674" s="72"/>
      <c r="E1674" s="72" t="s">
        <v>3679</v>
      </c>
      <c r="F1674" s="72" t="s">
        <v>3680</v>
      </c>
    </row>
    <row r="1675" spans="1:6" x14ac:dyDescent="0.25">
      <c r="A1675" s="41">
        <v>44301</v>
      </c>
      <c r="B1675" s="28">
        <v>1</v>
      </c>
      <c r="C1675" s="28" t="s">
        <v>5661</v>
      </c>
      <c r="D1675" s="28"/>
      <c r="E1675" s="28" t="s">
        <v>4534</v>
      </c>
      <c r="F1675" s="28" t="s">
        <v>4699</v>
      </c>
    </row>
    <row r="1676" spans="1:6" x14ac:dyDescent="0.25">
      <c r="A1676" s="40">
        <v>43469</v>
      </c>
      <c r="B1676" s="44"/>
      <c r="C1676" s="44" t="s">
        <v>3681</v>
      </c>
      <c r="D1676" s="44"/>
      <c r="E1676" s="44" t="s">
        <v>3682</v>
      </c>
      <c r="F1676" s="44" t="s">
        <v>3683</v>
      </c>
    </row>
    <row r="1677" spans="1:6" x14ac:dyDescent="0.25">
      <c r="A1677" s="40">
        <v>43937</v>
      </c>
      <c r="C1677" t="s">
        <v>3684</v>
      </c>
      <c r="E1677" t="s">
        <v>420</v>
      </c>
      <c r="F1677" t="s">
        <v>421</v>
      </c>
    </row>
    <row r="1678" spans="1:6" x14ac:dyDescent="0.25">
      <c r="A1678" s="40">
        <v>43937</v>
      </c>
      <c r="B1678" s="72"/>
      <c r="C1678" s="72" t="s">
        <v>3685</v>
      </c>
      <c r="D1678" s="72"/>
      <c r="E1678" s="72" t="s">
        <v>3686</v>
      </c>
      <c r="F1678" s="72" t="s">
        <v>3687</v>
      </c>
    </row>
    <row r="1679" spans="1:6" x14ac:dyDescent="0.25">
      <c r="A1679" s="41">
        <v>44301</v>
      </c>
      <c r="B1679" s="28">
        <v>2</v>
      </c>
      <c r="C1679" s="28" t="s">
        <v>4661</v>
      </c>
      <c r="D1679" s="28"/>
      <c r="E1679" s="28" t="s">
        <v>4900</v>
      </c>
      <c r="F1679" s="28" t="s">
        <v>4901</v>
      </c>
    </row>
    <row r="1680" spans="1:6" x14ac:dyDescent="0.25">
      <c r="A1680" s="40">
        <v>44083</v>
      </c>
      <c r="B1680" s="44"/>
      <c r="C1680" s="44" t="s">
        <v>3688</v>
      </c>
      <c r="D1680" s="44"/>
      <c r="E1680" s="44" t="s">
        <v>3689</v>
      </c>
      <c r="F1680" s="44" t="s">
        <v>3690</v>
      </c>
    </row>
    <row r="1681" spans="1:6" x14ac:dyDescent="0.25">
      <c r="A1681" s="40">
        <v>43985</v>
      </c>
      <c r="B1681" s="72"/>
      <c r="C1681" s="72" t="s">
        <v>3691</v>
      </c>
      <c r="D1681" s="72"/>
      <c r="E1681" s="72" t="s">
        <v>3692</v>
      </c>
      <c r="F1681" s="72" t="s">
        <v>3693</v>
      </c>
    </row>
    <row r="1682" spans="1:6" x14ac:dyDescent="0.25">
      <c r="A1682" s="41">
        <v>44199</v>
      </c>
      <c r="B1682" s="28"/>
      <c r="C1682" s="28" t="s">
        <v>4662</v>
      </c>
      <c r="D1682" s="28"/>
      <c r="E1682" s="28" t="s">
        <v>4662</v>
      </c>
      <c r="F1682" s="28" t="s">
        <v>4662</v>
      </c>
    </row>
    <row r="1683" spans="1:6" x14ac:dyDescent="0.25">
      <c r="A1683" s="41">
        <v>44199</v>
      </c>
      <c r="B1683" s="28"/>
      <c r="C1683" s="28" t="s">
        <v>4663</v>
      </c>
      <c r="D1683" s="28"/>
      <c r="E1683" s="28" t="s">
        <v>4902</v>
      </c>
      <c r="F1683" s="28" t="s">
        <v>4903</v>
      </c>
    </row>
    <row r="1684" spans="1:6" x14ac:dyDescent="0.25">
      <c r="A1684" s="40">
        <v>43530</v>
      </c>
      <c r="C1684" t="s">
        <v>3694</v>
      </c>
      <c r="E1684" t="s">
        <v>3694</v>
      </c>
      <c r="F1684" t="s">
        <v>3695</v>
      </c>
    </row>
    <row r="1685" spans="1:6" x14ac:dyDescent="0.25">
      <c r="A1685" s="40">
        <v>44000</v>
      </c>
      <c r="C1685" t="s">
        <v>3696</v>
      </c>
      <c r="D1685" t="s">
        <v>3697</v>
      </c>
      <c r="E1685" t="s">
        <v>295</v>
      </c>
      <c r="F1685" t="s">
        <v>3698</v>
      </c>
    </row>
    <row r="1686" spans="1:6" x14ac:dyDescent="0.25">
      <c r="A1686" s="40">
        <v>43384</v>
      </c>
      <c r="B1686" s="44"/>
      <c r="C1686" s="44" t="s">
        <v>3699</v>
      </c>
      <c r="D1686" s="44"/>
      <c r="E1686" s="44" t="s">
        <v>3700</v>
      </c>
      <c r="F1686" s="44" t="s">
        <v>3701</v>
      </c>
    </row>
    <row r="1687" spans="1:6" x14ac:dyDescent="0.25">
      <c r="A1687" s="40">
        <v>43384</v>
      </c>
      <c r="C1687" t="s">
        <v>3702</v>
      </c>
      <c r="E1687" t="s">
        <v>3703</v>
      </c>
      <c r="F1687" t="s">
        <v>3704</v>
      </c>
    </row>
    <row r="1688" spans="1:6" x14ac:dyDescent="0.25">
      <c r="A1688" s="40">
        <v>43700</v>
      </c>
      <c r="B1688" s="72"/>
      <c r="C1688" s="72" t="s">
        <v>3705</v>
      </c>
      <c r="D1688" s="72"/>
      <c r="E1688" s="72" t="s">
        <v>3706</v>
      </c>
      <c r="F1688" s="72" t="s">
        <v>3707</v>
      </c>
    </row>
    <row r="1689" spans="1:6" x14ac:dyDescent="0.25">
      <c r="A1689" s="41">
        <v>44199</v>
      </c>
      <c r="B1689" s="28"/>
      <c r="C1689" s="28" t="s">
        <v>4664</v>
      </c>
      <c r="D1689" s="28"/>
      <c r="E1689" s="28" t="s">
        <v>4904</v>
      </c>
      <c r="F1689" s="28" t="s">
        <v>4905</v>
      </c>
    </row>
    <row r="1690" spans="1:6" x14ac:dyDescent="0.25">
      <c r="A1690" s="40">
        <v>43384</v>
      </c>
      <c r="B1690" s="49"/>
      <c r="C1690" s="49" t="s">
        <v>3708</v>
      </c>
      <c r="D1690" s="49"/>
      <c r="E1690" s="49" t="s">
        <v>3709</v>
      </c>
      <c r="F1690" s="49" t="s">
        <v>3710</v>
      </c>
    </row>
    <row r="1691" spans="1:6" x14ac:dyDescent="0.25">
      <c r="A1691" s="40">
        <v>43384</v>
      </c>
      <c r="B1691" s="49"/>
      <c r="C1691" s="49" t="s">
        <v>3711</v>
      </c>
      <c r="D1691" s="49"/>
      <c r="E1691" s="49" t="s">
        <v>3712</v>
      </c>
      <c r="F1691" s="49" t="s">
        <v>3713</v>
      </c>
    </row>
    <row r="1692" spans="1:6" x14ac:dyDescent="0.25">
      <c r="A1692" s="40">
        <v>43490</v>
      </c>
      <c r="C1692" t="s">
        <v>3714</v>
      </c>
      <c r="D1692" t="s">
        <v>3715</v>
      </c>
      <c r="E1692" t="s">
        <v>3716</v>
      </c>
      <c r="F1692" t="s">
        <v>3717</v>
      </c>
    </row>
    <row r="1693" spans="1:6" x14ac:dyDescent="0.25">
      <c r="A1693" s="40">
        <v>43756</v>
      </c>
      <c r="B1693" s="68"/>
      <c r="C1693" s="68" t="s">
        <v>3718</v>
      </c>
      <c r="D1693" s="68"/>
      <c r="E1693" s="68" t="s">
        <v>3719</v>
      </c>
      <c r="F1693" s="68" t="s">
        <v>3720</v>
      </c>
    </row>
    <row r="1694" spans="1:6" x14ac:dyDescent="0.25">
      <c r="A1694" s="40">
        <v>44081</v>
      </c>
      <c r="B1694" s="56"/>
      <c r="C1694" s="56" t="s">
        <v>3721</v>
      </c>
      <c r="D1694" s="56"/>
      <c r="E1694" s="56" t="s">
        <v>3722</v>
      </c>
      <c r="F1694" s="56" t="s">
        <v>3723</v>
      </c>
    </row>
    <row r="1695" spans="1:6" x14ac:dyDescent="0.25">
      <c r="A1695" s="40">
        <v>44012</v>
      </c>
      <c r="C1695" t="s">
        <v>3724</v>
      </c>
      <c r="E1695" t="s">
        <v>3725</v>
      </c>
      <c r="F1695" t="s">
        <v>3726</v>
      </c>
    </row>
    <row r="1696" spans="1:6" x14ac:dyDescent="0.25">
      <c r="A1696" s="40">
        <v>43616</v>
      </c>
      <c r="B1696" s="44"/>
      <c r="C1696" s="44" t="s">
        <v>3727</v>
      </c>
      <c r="D1696" s="44"/>
      <c r="E1696" s="44" t="s">
        <v>3728</v>
      </c>
      <c r="F1696" s="44" t="s">
        <v>3729</v>
      </c>
    </row>
    <row r="1697" spans="1:6" x14ac:dyDescent="0.25">
      <c r="A1697" s="40">
        <v>43887</v>
      </c>
      <c r="C1697" t="s">
        <v>3730</v>
      </c>
      <c r="E1697" t="s">
        <v>3731</v>
      </c>
      <c r="F1697" t="s">
        <v>3732</v>
      </c>
    </row>
    <row r="1698" spans="1:6" x14ac:dyDescent="0.25">
      <c r="A1698" s="40">
        <v>43996</v>
      </c>
      <c r="C1698" t="s">
        <v>3733</v>
      </c>
      <c r="E1698" t="s">
        <v>3734</v>
      </c>
      <c r="F1698" t="s">
        <v>3735</v>
      </c>
    </row>
    <row r="1699" spans="1:6" x14ac:dyDescent="0.25">
      <c r="A1699" s="40">
        <v>43868</v>
      </c>
      <c r="C1699" t="s">
        <v>3736</v>
      </c>
      <c r="E1699" t="s">
        <v>3737</v>
      </c>
      <c r="F1699" t="s">
        <v>3738</v>
      </c>
    </row>
    <row r="1700" spans="1:6" x14ac:dyDescent="0.25">
      <c r="A1700" s="40">
        <v>43760</v>
      </c>
      <c r="C1700" t="s">
        <v>3739</v>
      </c>
      <c r="E1700" t="s">
        <v>3740</v>
      </c>
      <c r="F1700" t="s">
        <v>3741</v>
      </c>
    </row>
    <row r="1701" spans="1:6" x14ac:dyDescent="0.25">
      <c r="A1701" s="40">
        <v>43461</v>
      </c>
      <c r="C1701" t="s">
        <v>3742</v>
      </c>
      <c r="E1701" t="s">
        <v>3743</v>
      </c>
      <c r="F1701" t="s">
        <v>3744</v>
      </c>
    </row>
    <row r="1702" spans="1:6" x14ac:dyDescent="0.25">
      <c r="B1702" s="48"/>
      <c r="C1702" s="48" t="s">
        <v>3745</v>
      </c>
      <c r="D1702" s="48"/>
      <c r="E1702" s="48" t="s">
        <v>3746</v>
      </c>
      <c r="F1702" s="48" t="s">
        <v>3747</v>
      </c>
    </row>
    <row r="1703" spans="1:6" x14ac:dyDescent="0.25">
      <c r="A1703" s="40">
        <v>43636</v>
      </c>
      <c r="B1703" s="72"/>
      <c r="C1703" s="72" t="s">
        <v>3748</v>
      </c>
      <c r="D1703" s="72"/>
      <c r="E1703" s="72" t="s">
        <v>3749</v>
      </c>
      <c r="F1703" s="72" t="s">
        <v>3750</v>
      </c>
    </row>
    <row r="1704" spans="1:6" x14ac:dyDescent="0.25">
      <c r="A1704" s="41">
        <v>44301</v>
      </c>
      <c r="B1704" s="28">
        <v>1</v>
      </c>
      <c r="C1704" s="28" t="s">
        <v>5662</v>
      </c>
      <c r="D1704" s="28"/>
      <c r="E1704" s="28" t="s">
        <v>5663</v>
      </c>
      <c r="F1704" s="28" t="s">
        <v>5664</v>
      </c>
    </row>
    <row r="1705" spans="1:6" x14ac:dyDescent="0.25">
      <c r="A1705" s="40">
        <v>44029</v>
      </c>
      <c r="C1705" t="s">
        <v>3313</v>
      </c>
      <c r="E1705" t="s">
        <v>3313</v>
      </c>
      <c r="F1705" t="s">
        <v>3314</v>
      </c>
    </row>
    <row r="1706" spans="1:6" x14ac:dyDescent="0.25">
      <c r="A1706" s="40">
        <v>43523</v>
      </c>
      <c r="B1706" s="68"/>
      <c r="C1706" s="68" t="s">
        <v>3751</v>
      </c>
      <c r="D1706" s="68"/>
      <c r="E1706" s="68" t="s">
        <v>1645</v>
      </c>
      <c r="F1706" s="68" t="s">
        <v>1646</v>
      </c>
    </row>
    <row r="1707" spans="1:6" x14ac:dyDescent="0.25">
      <c r="A1707" s="40">
        <v>43860</v>
      </c>
      <c r="C1707" t="s">
        <v>3752</v>
      </c>
      <c r="E1707" t="s">
        <v>3753</v>
      </c>
      <c r="F1707" t="s">
        <v>3754</v>
      </c>
    </row>
    <row r="1708" spans="1:6" x14ac:dyDescent="0.25">
      <c r="A1708" s="40">
        <v>43867</v>
      </c>
      <c r="C1708" t="s">
        <v>3755</v>
      </c>
      <c r="E1708" t="s">
        <v>3756</v>
      </c>
      <c r="F1708" t="s">
        <v>3757</v>
      </c>
    </row>
    <row r="1709" spans="1:6" x14ac:dyDescent="0.25">
      <c r="A1709" s="40">
        <v>44013</v>
      </c>
      <c r="C1709" t="s">
        <v>3758</v>
      </c>
      <c r="E1709" t="s">
        <v>3759</v>
      </c>
      <c r="F1709" t="s">
        <v>3760</v>
      </c>
    </row>
    <row r="1710" spans="1:6" x14ac:dyDescent="0.25">
      <c r="A1710" s="40">
        <v>43724</v>
      </c>
      <c r="B1710" s="34"/>
      <c r="C1710" s="34" t="s">
        <v>3761</v>
      </c>
      <c r="D1710" s="34"/>
      <c r="E1710" s="34" t="s">
        <v>3761</v>
      </c>
      <c r="F1710" s="34" t="s">
        <v>3762</v>
      </c>
    </row>
    <row r="1711" spans="1:6" x14ac:dyDescent="0.25">
      <c r="A1711" s="40">
        <v>43899</v>
      </c>
      <c r="B1711" s="34"/>
      <c r="C1711" s="34" t="s">
        <v>3763</v>
      </c>
      <c r="D1711" s="34"/>
      <c r="E1711" s="34" t="s">
        <v>3763</v>
      </c>
      <c r="F1711" s="34" t="s">
        <v>3764</v>
      </c>
    </row>
    <row r="1712" spans="1:6" x14ac:dyDescent="0.25">
      <c r="A1712" s="40">
        <v>43634</v>
      </c>
      <c r="B1712" s="48"/>
      <c r="C1712" s="48" t="s">
        <v>3765</v>
      </c>
      <c r="D1712" s="48"/>
      <c r="E1712" s="48" t="s">
        <v>3766</v>
      </c>
      <c r="F1712" s="48" t="s">
        <v>3767</v>
      </c>
    </row>
    <row r="1713" spans="1:6" x14ac:dyDescent="0.25">
      <c r="A1713" s="40">
        <v>43761</v>
      </c>
      <c r="B1713" s="49"/>
      <c r="C1713" s="49" t="s">
        <v>3768</v>
      </c>
      <c r="D1713" s="49"/>
      <c r="E1713" s="49" t="s">
        <v>3769</v>
      </c>
      <c r="F1713" s="49" t="s">
        <v>3770</v>
      </c>
    </row>
    <row r="1714" spans="1:6" x14ac:dyDescent="0.25">
      <c r="A1714" s="40">
        <v>43984</v>
      </c>
      <c r="B1714" s="49"/>
      <c r="C1714" s="49" t="s">
        <v>3771</v>
      </c>
      <c r="D1714" s="49"/>
      <c r="E1714" s="49" t="s">
        <v>3772</v>
      </c>
      <c r="F1714" s="49" t="s">
        <v>3773</v>
      </c>
    </row>
    <row r="1715" spans="1:6" x14ac:dyDescent="0.25">
      <c r="A1715" s="40">
        <v>43984</v>
      </c>
      <c r="B1715" s="37"/>
      <c r="C1715" s="37" t="s">
        <v>3775</v>
      </c>
      <c r="D1715" s="37"/>
      <c r="E1715" s="37" t="s">
        <v>3776</v>
      </c>
      <c r="F1715" s="37" t="s">
        <v>3777</v>
      </c>
    </row>
    <row r="1716" spans="1:6" x14ac:dyDescent="0.25">
      <c r="A1716" s="40">
        <v>43819</v>
      </c>
      <c r="B1716" s="72"/>
      <c r="C1716" s="72" t="s">
        <v>3778</v>
      </c>
      <c r="D1716" s="72"/>
      <c r="E1716" s="72" t="s">
        <v>3779</v>
      </c>
      <c r="F1716" s="72" t="s">
        <v>3780</v>
      </c>
    </row>
    <row r="1717" spans="1:6" x14ac:dyDescent="0.25">
      <c r="A1717" s="41">
        <v>44813</v>
      </c>
      <c r="B1717" s="28"/>
      <c r="C1717" s="28" t="s">
        <v>5821</v>
      </c>
      <c r="D1717" s="28"/>
      <c r="E1717" s="28" t="s">
        <v>5821</v>
      </c>
      <c r="F1717" s="28" t="s">
        <v>5822</v>
      </c>
    </row>
    <row r="1718" spans="1:6" x14ac:dyDescent="0.25">
      <c r="A1718" s="40">
        <v>43754</v>
      </c>
      <c r="B1718" s="68"/>
      <c r="C1718" s="68" t="s">
        <v>3781</v>
      </c>
      <c r="D1718" s="68"/>
      <c r="E1718" s="68" t="s">
        <v>3782</v>
      </c>
      <c r="F1718" s="68" t="s">
        <v>3783</v>
      </c>
    </row>
    <row r="1719" spans="1:6" x14ac:dyDescent="0.25">
      <c r="A1719" s="40">
        <v>44159</v>
      </c>
      <c r="B1719" s="68"/>
      <c r="C1719" s="68" t="s">
        <v>3784</v>
      </c>
      <c r="D1719" s="68"/>
      <c r="E1719" s="68" t="s">
        <v>3785</v>
      </c>
      <c r="F1719" s="68" t="s">
        <v>3786</v>
      </c>
    </row>
    <row r="1720" spans="1:6" x14ac:dyDescent="0.25">
      <c r="A1720" s="40">
        <v>43738</v>
      </c>
      <c r="C1720" t="s">
        <v>3787</v>
      </c>
      <c r="E1720" t="s">
        <v>3788</v>
      </c>
      <c r="F1720" t="s">
        <v>3789</v>
      </c>
    </row>
    <row r="1721" spans="1:6" x14ac:dyDescent="0.25">
      <c r="A1721" s="40">
        <v>44172</v>
      </c>
      <c r="B1721" s="34"/>
      <c r="C1721" s="34" t="s">
        <v>3790</v>
      </c>
      <c r="D1721" s="34"/>
      <c r="E1721" s="34" t="s">
        <v>3791</v>
      </c>
      <c r="F1721" s="34" t="s">
        <v>3792</v>
      </c>
    </row>
    <row r="1722" spans="1:6" x14ac:dyDescent="0.25">
      <c r="A1722" s="40">
        <v>43755</v>
      </c>
      <c r="B1722" s="34"/>
      <c r="C1722" s="34" t="s">
        <v>3793</v>
      </c>
      <c r="D1722" s="34"/>
      <c r="E1722" s="34" t="s">
        <v>3794</v>
      </c>
      <c r="F1722" s="34" t="s">
        <v>3795</v>
      </c>
    </row>
    <row r="1723" spans="1:6" x14ac:dyDescent="0.25">
      <c r="A1723" s="40">
        <v>43514</v>
      </c>
      <c r="B1723" s="34"/>
      <c r="C1723" s="34" t="s">
        <v>3796</v>
      </c>
      <c r="D1723" s="34"/>
      <c r="E1723" s="34" t="s">
        <v>3796</v>
      </c>
      <c r="F1723" s="34" t="s">
        <v>3797</v>
      </c>
    </row>
    <row r="1724" spans="1:6" x14ac:dyDescent="0.25">
      <c r="A1724" s="40">
        <v>44173</v>
      </c>
      <c r="B1724" s="34"/>
      <c r="C1724" s="34" t="s">
        <v>3798</v>
      </c>
      <c r="D1724" s="34"/>
      <c r="E1724" s="34" t="s">
        <v>3799</v>
      </c>
      <c r="F1724" s="34" t="s">
        <v>3800</v>
      </c>
    </row>
    <row r="1725" spans="1:6" x14ac:dyDescent="0.25">
      <c r="A1725" s="40">
        <v>44070</v>
      </c>
      <c r="B1725" s="34"/>
      <c r="C1725" s="34" t="s">
        <v>3801</v>
      </c>
      <c r="D1725" s="34" t="s">
        <v>3802</v>
      </c>
      <c r="E1725" s="34" t="s">
        <v>3801</v>
      </c>
      <c r="F1725" s="34" t="s">
        <v>3801</v>
      </c>
    </row>
    <row r="1726" spans="1:6" x14ac:dyDescent="0.25">
      <c r="A1726" s="40">
        <v>44070</v>
      </c>
      <c r="B1726" s="37"/>
      <c r="C1726" s="37" t="s">
        <v>3803</v>
      </c>
      <c r="D1726" s="37" t="s">
        <v>3802</v>
      </c>
      <c r="E1726" s="37" t="s">
        <v>3803</v>
      </c>
      <c r="F1726" s="37" t="s">
        <v>3803</v>
      </c>
    </row>
    <row r="1727" spans="1:6" x14ac:dyDescent="0.25">
      <c r="A1727" s="40">
        <v>44070</v>
      </c>
      <c r="B1727" s="72"/>
      <c r="C1727" s="72" t="s">
        <v>3804</v>
      </c>
      <c r="D1727" s="72" t="s">
        <v>3802</v>
      </c>
      <c r="E1727" s="72" t="s">
        <v>3804</v>
      </c>
      <c r="F1727" s="72" t="s">
        <v>3804</v>
      </c>
    </row>
    <row r="1728" spans="1:6" x14ac:dyDescent="0.25">
      <c r="A1728" s="41">
        <v>44200</v>
      </c>
      <c r="B1728" s="28"/>
      <c r="C1728" s="28" t="s">
        <v>5086</v>
      </c>
      <c r="D1728" s="28"/>
      <c r="E1728" s="28" t="s">
        <v>5252</v>
      </c>
      <c r="F1728" s="28" t="s">
        <v>5419</v>
      </c>
    </row>
    <row r="1729" spans="1:6" x14ac:dyDescent="0.25">
      <c r="A1729" s="41">
        <v>44491</v>
      </c>
      <c r="B1729" s="28"/>
      <c r="C1729" s="28" t="s">
        <v>5768</v>
      </c>
      <c r="D1729" s="28"/>
      <c r="E1729" s="28" t="s">
        <v>5769</v>
      </c>
      <c r="F1729" s="28" t="s">
        <v>5770</v>
      </c>
    </row>
    <row r="1730" spans="1:6" x14ac:dyDescent="0.25">
      <c r="A1730" s="41">
        <v>44200</v>
      </c>
      <c r="B1730" s="28"/>
      <c r="C1730" s="28" t="s">
        <v>5087</v>
      </c>
      <c r="D1730" s="28"/>
      <c r="E1730" s="28" t="s">
        <v>5253</v>
      </c>
      <c r="F1730" s="28" t="s">
        <v>5420</v>
      </c>
    </row>
    <row r="1731" spans="1:6" x14ac:dyDescent="0.25">
      <c r="A1731" s="40">
        <v>43644</v>
      </c>
      <c r="B1731" s="68"/>
      <c r="C1731" s="68" t="s">
        <v>3805</v>
      </c>
      <c r="D1731" s="68"/>
      <c r="E1731" s="68" t="s">
        <v>3806</v>
      </c>
      <c r="F1731" s="68" t="s">
        <v>3807</v>
      </c>
    </row>
    <row r="1732" spans="1:6" x14ac:dyDescent="0.25">
      <c r="A1732" s="40">
        <v>43725</v>
      </c>
      <c r="B1732" s="68"/>
      <c r="C1732" s="68" t="s">
        <v>3808</v>
      </c>
      <c r="D1732" s="68"/>
      <c r="E1732" s="68" t="s">
        <v>3809</v>
      </c>
      <c r="F1732" s="68" t="s">
        <v>3810</v>
      </c>
    </row>
    <row r="1733" spans="1:6" x14ac:dyDescent="0.25">
      <c r="A1733" s="40">
        <v>43740</v>
      </c>
      <c r="B1733" s="37"/>
      <c r="C1733" s="37" t="s">
        <v>3811</v>
      </c>
      <c r="D1733" s="37"/>
      <c r="E1733" s="37" t="s">
        <v>3812</v>
      </c>
      <c r="F1733" s="37" t="s">
        <v>3813</v>
      </c>
    </row>
    <row r="1734" spans="1:6" x14ac:dyDescent="0.25">
      <c r="A1734" s="40">
        <v>43726</v>
      </c>
      <c r="B1734" s="48"/>
      <c r="C1734" s="48" t="s">
        <v>3814</v>
      </c>
      <c r="D1734" s="48"/>
      <c r="E1734" s="48" t="s">
        <v>3815</v>
      </c>
      <c r="F1734" s="48" t="s">
        <v>3816</v>
      </c>
    </row>
    <row r="1735" spans="1:6" x14ac:dyDescent="0.25">
      <c r="A1735" s="40">
        <v>43644</v>
      </c>
      <c r="B1735" s="49"/>
      <c r="C1735" s="49" t="s">
        <v>3817</v>
      </c>
      <c r="D1735" s="49"/>
      <c r="E1735" s="49" t="s">
        <v>3818</v>
      </c>
      <c r="F1735" s="49" t="s">
        <v>3819</v>
      </c>
    </row>
    <row r="1736" spans="1:6" x14ac:dyDescent="0.25">
      <c r="A1736" s="40">
        <v>43644</v>
      </c>
      <c r="B1736" s="48"/>
      <c r="C1736" s="48" t="s">
        <v>3820</v>
      </c>
      <c r="D1736" s="48"/>
      <c r="E1736" s="48" t="s">
        <v>3821</v>
      </c>
      <c r="F1736" s="48" t="s">
        <v>3822</v>
      </c>
    </row>
    <row r="1737" spans="1:6" x14ac:dyDescent="0.25">
      <c r="A1737" s="40">
        <v>43644</v>
      </c>
      <c r="B1737" s="49"/>
      <c r="C1737" s="49" t="s">
        <v>3823</v>
      </c>
      <c r="D1737" s="49"/>
      <c r="E1737" s="49" t="s">
        <v>3824</v>
      </c>
      <c r="F1737" s="49" t="s">
        <v>3825</v>
      </c>
    </row>
    <row r="1738" spans="1:6" x14ac:dyDescent="0.25">
      <c r="A1738" s="40">
        <v>43644</v>
      </c>
      <c r="C1738" t="s">
        <v>3826</v>
      </c>
      <c r="E1738" t="s">
        <v>3827</v>
      </c>
      <c r="F1738" t="s">
        <v>3828</v>
      </c>
    </row>
    <row r="1739" spans="1:6" x14ac:dyDescent="0.25">
      <c r="A1739" s="40">
        <v>43998</v>
      </c>
      <c r="C1739" t="s">
        <v>3829</v>
      </c>
      <c r="E1739" t="s">
        <v>3830</v>
      </c>
      <c r="F1739" t="s">
        <v>3831</v>
      </c>
    </row>
    <row r="1740" spans="1:6" x14ac:dyDescent="0.25">
      <c r="A1740" s="40">
        <v>44006</v>
      </c>
      <c r="B1740" s="44"/>
      <c r="C1740" s="44" t="s">
        <v>3832</v>
      </c>
      <c r="D1740" s="44"/>
      <c r="E1740" s="44" t="s">
        <v>3833</v>
      </c>
      <c r="F1740" s="44" t="s">
        <v>3834</v>
      </c>
    </row>
    <row r="1741" spans="1:6" x14ac:dyDescent="0.25">
      <c r="A1741" s="40">
        <v>43644</v>
      </c>
      <c r="B1741" s="72"/>
      <c r="C1741" s="72" t="s">
        <v>3835</v>
      </c>
      <c r="D1741" s="72"/>
      <c r="E1741" s="72" t="s">
        <v>3836</v>
      </c>
      <c r="F1741" s="72" t="s">
        <v>3837</v>
      </c>
    </row>
    <row r="1742" spans="1:6" x14ac:dyDescent="0.25">
      <c r="A1742" s="41">
        <v>44200</v>
      </c>
      <c r="B1742" s="28"/>
      <c r="C1742" s="28" t="s">
        <v>5088</v>
      </c>
      <c r="D1742" s="28"/>
      <c r="E1742" s="28" t="s">
        <v>5254</v>
      </c>
      <c r="F1742" s="28" t="s">
        <v>3816</v>
      </c>
    </row>
    <row r="1743" spans="1:6" x14ac:dyDescent="0.25">
      <c r="A1743" s="41">
        <v>44200</v>
      </c>
      <c r="B1743" s="28"/>
      <c r="C1743" s="28" t="s">
        <v>5089</v>
      </c>
      <c r="D1743" s="28"/>
      <c r="E1743" s="28" t="s">
        <v>5255</v>
      </c>
      <c r="F1743" s="28" t="s">
        <v>3838</v>
      </c>
    </row>
    <row r="1744" spans="1:6" x14ac:dyDescent="0.25">
      <c r="A1744" s="40">
        <v>43644</v>
      </c>
      <c r="B1744" s="48"/>
      <c r="C1744" s="48" t="s">
        <v>3839</v>
      </c>
      <c r="D1744" s="48"/>
      <c r="E1744" s="48" t="s">
        <v>3840</v>
      </c>
      <c r="F1744" s="48" t="s">
        <v>3088</v>
      </c>
    </row>
    <row r="1745" spans="1:6" x14ac:dyDescent="0.25">
      <c r="A1745" s="40">
        <v>43996</v>
      </c>
      <c r="B1745" s="68"/>
      <c r="C1745" s="68" t="s">
        <v>3841</v>
      </c>
      <c r="D1745" s="68"/>
      <c r="E1745" s="68" t="s">
        <v>3842</v>
      </c>
      <c r="F1745" s="68" t="s">
        <v>3843</v>
      </c>
    </row>
    <row r="1746" spans="1:6" x14ac:dyDescent="0.25">
      <c r="A1746" s="40">
        <v>43725</v>
      </c>
      <c r="C1746" t="s">
        <v>3844</v>
      </c>
      <c r="E1746" t="s">
        <v>3845</v>
      </c>
      <c r="F1746" t="s">
        <v>3846</v>
      </c>
    </row>
    <row r="1747" spans="1:6" x14ac:dyDescent="0.25">
      <c r="A1747" s="40">
        <v>43860</v>
      </c>
      <c r="B1747" s="38"/>
      <c r="C1747" s="38" t="s">
        <v>3847</v>
      </c>
      <c r="D1747" s="38"/>
      <c r="E1747" s="38" t="s">
        <v>3848</v>
      </c>
      <c r="F1747" s="38" t="s">
        <v>3849</v>
      </c>
    </row>
    <row r="1748" spans="1:6" x14ac:dyDescent="0.25">
      <c r="A1748" s="40">
        <v>43860</v>
      </c>
      <c r="B1748" s="44"/>
      <c r="C1748" s="44" t="s">
        <v>3850</v>
      </c>
      <c r="D1748" s="44"/>
      <c r="E1748" s="44" t="s">
        <v>3851</v>
      </c>
      <c r="F1748" s="44" t="s">
        <v>3852</v>
      </c>
    </row>
    <row r="1749" spans="1:6" x14ac:dyDescent="0.25">
      <c r="A1749" s="40">
        <v>43860</v>
      </c>
      <c r="B1749" s="44"/>
      <c r="C1749" s="44" t="s">
        <v>3853</v>
      </c>
      <c r="D1749" s="44"/>
      <c r="E1749" s="44" t="s">
        <v>3854</v>
      </c>
      <c r="F1749" s="44" t="s">
        <v>3855</v>
      </c>
    </row>
    <row r="1750" spans="1:6" x14ac:dyDescent="0.25">
      <c r="A1750" s="40">
        <v>43860</v>
      </c>
      <c r="B1750" s="38"/>
      <c r="C1750" s="38" t="s">
        <v>3856</v>
      </c>
      <c r="D1750" s="38"/>
      <c r="E1750" s="38" t="s">
        <v>3857</v>
      </c>
      <c r="F1750" s="38" t="s">
        <v>3858</v>
      </c>
    </row>
    <row r="1751" spans="1:6" x14ac:dyDescent="0.25">
      <c r="A1751" s="40">
        <v>44123</v>
      </c>
      <c r="B1751" s="72"/>
      <c r="C1751" s="72" t="s">
        <v>3859</v>
      </c>
      <c r="D1751" s="72"/>
      <c r="E1751" s="72" t="s">
        <v>3860</v>
      </c>
      <c r="F1751" s="72" t="s">
        <v>3861</v>
      </c>
    </row>
    <row r="1752" spans="1:6" x14ac:dyDescent="0.25">
      <c r="A1752" s="41">
        <v>44199</v>
      </c>
      <c r="B1752" s="28"/>
      <c r="C1752" s="28" t="s">
        <v>4665</v>
      </c>
      <c r="D1752" s="28"/>
      <c r="E1752" s="28" t="s">
        <v>4906</v>
      </c>
      <c r="F1752" s="28" t="s">
        <v>4907</v>
      </c>
    </row>
    <row r="1753" spans="1:6" x14ac:dyDescent="0.25">
      <c r="A1753" s="41">
        <v>44199</v>
      </c>
      <c r="B1753" s="28"/>
      <c r="C1753" s="28" t="s">
        <v>4666</v>
      </c>
      <c r="D1753" s="28"/>
      <c r="E1753" s="28" t="s">
        <v>4908</v>
      </c>
      <c r="F1753" s="28" t="s">
        <v>4909</v>
      </c>
    </row>
    <row r="1754" spans="1:6" x14ac:dyDescent="0.25">
      <c r="A1754" s="40">
        <v>44056</v>
      </c>
      <c r="B1754" s="44"/>
      <c r="C1754" s="44" t="s">
        <v>3862</v>
      </c>
      <c r="D1754" s="44"/>
      <c r="E1754" s="44" t="s">
        <v>3863</v>
      </c>
      <c r="F1754" s="44" t="s">
        <v>3864</v>
      </c>
    </row>
    <row r="1755" spans="1:6" x14ac:dyDescent="0.25">
      <c r="A1755" s="40">
        <v>44085</v>
      </c>
      <c r="B1755" s="72"/>
      <c r="C1755" s="72" t="s">
        <v>3865</v>
      </c>
      <c r="D1755" s="72"/>
      <c r="E1755" s="72" t="s">
        <v>3866</v>
      </c>
      <c r="F1755" s="72" t="s">
        <v>3867</v>
      </c>
    </row>
    <row r="1756" spans="1:6" x14ac:dyDescent="0.25">
      <c r="A1756" s="41">
        <v>44199</v>
      </c>
      <c r="B1756" s="28"/>
      <c r="C1756" s="28" t="s">
        <v>4667</v>
      </c>
      <c r="D1756" s="28"/>
      <c r="E1756" s="28" t="s">
        <v>4910</v>
      </c>
      <c r="F1756" s="28" t="s">
        <v>4911</v>
      </c>
    </row>
    <row r="1757" spans="1:6" x14ac:dyDescent="0.25">
      <c r="A1757" s="40">
        <v>43739</v>
      </c>
      <c r="C1757" t="s">
        <v>3868</v>
      </c>
      <c r="D1757" s="44"/>
      <c r="E1757" t="s">
        <v>3869</v>
      </c>
      <c r="F1757" t="s">
        <v>3870</v>
      </c>
    </row>
    <row r="1758" spans="1:6" x14ac:dyDescent="0.25">
      <c r="A1758" s="40">
        <v>43489</v>
      </c>
      <c r="C1758" t="s">
        <v>3871</v>
      </c>
      <c r="E1758" t="s">
        <v>3872</v>
      </c>
      <c r="F1758" t="s">
        <v>3873</v>
      </c>
    </row>
    <row r="1759" spans="1:6" x14ac:dyDescent="0.25">
      <c r="A1759" s="40">
        <v>43886</v>
      </c>
      <c r="B1759" s="68"/>
      <c r="C1759" s="68" t="s">
        <v>3874</v>
      </c>
      <c r="D1759" s="68"/>
      <c r="E1759" s="68" t="s">
        <v>3875</v>
      </c>
      <c r="F1759" s="68" t="s">
        <v>3876</v>
      </c>
    </row>
    <row r="1760" spans="1:6" x14ac:dyDescent="0.25">
      <c r="A1760" s="40">
        <v>43868</v>
      </c>
      <c r="B1760" s="34"/>
      <c r="C1760" s="34" t="s">
        <v>3877</v>
      </c>
      <c r="D1760" s="34"/>
      <c r="E1760" s="34" t="s">
        <v>3878</v>
      </c>
      <c r="F1760" s="34" t="s">
        <v>3879</v>
      </c>
    </row>
    <row r="1761" spans="1:6" x14ac:dyDescent="0.25">
      <c r="A1761" s="40">
        <v>43860</v>
      </c>
      <c r="C1761" t="s">
        <v>3880</v>
      </c>
      <c r="E1761" t="s">
        <v>3881</v>
      </c>
      <c r="F1761" t="s">
        <v>3882</v>
      </c>
    </row>
    <row r="1762" spans="1:6" s="34" customFormat="1" x14ac:dyDescent="0.25">
      <c r="A1762" s="40">
        <v>43864</v>
      </c>
      <c r="C1762" s="34" t="s">
        <v>3883</v>
      </c>
      <c r="E1762" s="34" t="s">
        <v>3884</v>
      </c>
      <c r="F1762" s="34" t="s">
        <v>3885</v>
      </c>
    </row>
    <row r="1763" spans="1:6" s="34" customFormat="1" x14ac:dyDescent="0.25">
      <c r="A1763" s="40">
        <v>43467</v>
      </c>
      <c r="B1763" s="68"/>
      <c r="C1763" s="68" t="s">
        <v>3886</v>
      </c>
      <c r="D1763" s="68"/>
      <c r="E1763" s="68" t="s">
        <v>3887</v>
      </c>
      <c r="F1763" s="68" t="s">
        <v>3888</v>
      </c>
    </row>
    <row r="1764" spans="1:6" s="34" customFormat="1" x14ac:dyDescent="0.25">
      <c r="A1764" s="40">
        <v>43860</v>
      </c>
      <c r="C1764" s="34" t="s">
        <v>3889</v>
      </c>
      <c r="E1764" s="34" t="s">
        <v>3890</v>
      </c>
      <c r="F1764" s="34" t="s">
        <v>3891</v>
      </c>
    </row>
    <row r="1765" spans="1:6" s="34" customFormat="1" x14ac:dyDescent="0.25">
      <c r="A1765" s="40">
        <v>43860</v>
      </c>
      <c r="B1765" s="68"/>
      <c r="C1765" s="68" t="s">
        <v>3892</v>
      </c>
      <c r="D1765" s="68"/>
      <c r="E1765" s="68" t="s">
        <v>3893</v>
      </c>
      <c r="F1765" s="68" t="s">
        <v>3894</v>
      </c>
    </row>
    <row r="1766" spans="1:6" x14ac:dyDescent="0.25">
      <c r="A1766" s="40">
        <v>43868</v>
      </c>
      <c r="B1766" s="37"/>
      <c r="C1766" s="37" t="s">
        <v>3895</v>
      </c>
      <c r="D1766" s="37"/>
      <c r="E1766" s="37" t="s">
        <v>3896</v>
      </c>
      <c r="F1766" s="37" t="s">
        <v>3897</v>
      </c>
    </row>
    <row r="1767" spans="1:6" x14ac:dyDescent="0.25">
      <c r="A1767" s="40">
        <v>43868</v>
      </c>
      <c r="B1767" s="34"/>
      <c r="C1767" s="34" t="s">
        <v>3898</v>
      </c>
      <c r="D1767" s="34"/>
      <c r="E1767" s="34" t="s">
        <v>3899</v>
      </c>
      <c r="F1767" s="34" t="s">
        <v>3900</v>
      </c>
    </row>
    <row r="1768" spans="1:6" x14ac:dyDescent="0.25">
      <c r="A1768" s="40">
        <v>43860</v>
      </c>
      <c r="B1768" s="34"/>
      <c r="C1768" s="34" t="s">
        <v>3901</v>
      </c>
      <c r="D1768" s="34"/>
      <c r="E1768" s="34" t="s">
        <v>3902</v>
      </c>
      <c r="F1768" s="34" t="s">
        <v>3903</v>
      </c>
    </row>
    <row r="1769" spans="1:6" x14ac:dyDescent="0.25">
      <c r="A1769" s="40">
        <v>43609</v>
      </c>
      <c r="B1769" s="72"/>
      <c r="C1769" s="72" t="s">
        <v>3904</v>
      </c>
      <c r="D1769" s="72"/>
      <c r="E1769" s="72" t="s">
        <v>3905</v>
      </c>
      <c r="F1769" s="72" t="s">
        <v>3906</v>
      </c>
    </row>
    <row r="1770" spans="1:6" x14ac:dyDescent="0.25">
      <c r="A1770" s="41">
        <v>44200</v>
      </c>
      <c r="B1770" s="28"/>
      <c r="C1770" s="28" t="s">
        <v>5090</v>
      </c>
      <c r="D1770" s="28"/>
      <c r="E1770" s="28" t="s">
        <v>5256</v>
      </c>
      <c r="F1770" s="28" t="s">
        <v>5421</v>
      </c>
    </row>
    <row r="1771" spans="1:6" x14ac:dyDescent="0.25">
      <c r="A1771" s="40">
        <v>44123</v>
      </c>
      <c r="B1771" s="68"/>
      <c r="C1771" s="68" t="s">
        <v>3907</v>
      </c>
      <c r="D1771" s="68"/>
      <c r="E1771" s="68" t="s">
        <v>3908</v>
      </c>
      <c r="F1771" s="68" t="s">
        <v>3909</v>
      </c>
    </row>
    <row r="1772" spans="1:6" x14ac:dyDescent="0.25">
      <c r="A1772" s="40">
        <v>44123</v>
      </c>
      <c r="C1772" t="s">
        <v>3910</v>
      </c>
      <c r="E1772" t="s">
        <v>3911</v>
      </c>
      <c r="F1772" t="s">
        <v>3912</v>
      </c>
    </row>
    <row r="1773" spans="1:6" x14ac:dyDescent="0.25">
      <c r="A1773" s="40">
        <v>43726</v>
      </c>
      <c r="B1773" s="72"/>
      <c r="C1773" s="72" t="s">
        <v>3913</v>
      </c>
      <c r="D1773" s="72" t="s">
        <v>3914</v>
      </c>
      <c r="E1773" s="72" t="s">
        <v>3915</v>
      </c>
      <c r="F1773" s="72" t="s">
        <v>3916</v>
      </c>
    </row>
    <row r="1774" spans="1:6" x14ac:dyDescent="0.25">
      <c r="A1774" s="41">
        <v>44199</v>
      </c>
      <c r="B1774" s="28"/>
      <c r="C1774" s="28" t="s">
        <v>4668</v>
      </c>
      <c r="D1774" s="28"/>
      <c r="E1774" s="28" t="s">
        <v>4668</v>
      </c>
      <c r="F1774" s="28" t="s">
        <v>4912</v>
      </c>
    </row>
    <row r="1775" spans="1:6" x14ac:dyDescent="0.25">
      <c r="A1775" s="40">
        <v>44120</v>
      </c>
      <c r="B1775" s="72"/>
      <c r="C1775" s="72" t="s">
        <v>3917</v>
      </c>
      <c r="D1775" s="72"/>
      <c r="E1775" s="72" t="s">
        <v>3918</v>
      </c>
      <c r="F1775" s="72" t="s">
        <v>3919</v>
      </c>
    </row>
    <row r="1776" spans="1:6" x14ac:dyDescent="0.25">
      <c r="A1776" s="41">
        <v>44301</v>
      </c>
      <c r="B1776" s="28">
        <v>1</v>
      </c>
      <c r="C1776" s="28" t="s">
        <v>5665</v>
      </c>
      <c r="D1776" s="28"/>
      <c r="E1776" s="28" t="s">
        <v>5666</v>
      </c>
      <c r="F1776" s="28" t="s">
        <v>5667</v>
      </c>
    </row>
    <row r="1777" spans="1:6" x14ac:dyDescent="0.25">
      <c r="A1777" s="40">
        <v>43740</v>
      </c>
      <c r="B1777" s="37"/>
      <c r="C1777" s="37" t="s">
        <v>3920</v>
      </c>
      <c r="D1777" s="37"/>
      <c r="E1777" s="37" t="s">
        <v>3921</v>
      </c>
      <c r="F1777" s="37" t="s">
        <v>3922</v>
      </c>
    </row>
    <row r="1778" spans="1:6" x14ac:dyDescent="0.25">
      <c r="A1778" s="40">
        <v>43609</v>
      </c>
      <c r="B1778" s="68"/>
      <c r="C1778" s="68" t="s">
        <v>3923</v>
      </c>
      <c r="D1778" s="68"/>
      <c r="E1778" s="68" t="s">
        <v>3924</v>
      </c>
      <c r="F1778" s="68" t="s">
        <v>3924</v>
      </c>
    </row>
    <row r="1779" spans="1:6" x14ac:dyDescent="0.25">
      <c r="A1779" s="40">
        <v>43763</v>
      </c>
      <c r="B1779" s="37"/>
      <c r="C1779" s="37" t="s">
        <v>3925</v>
      </c>
      <c r="D1779" s="37"/>
      <c r="E1779" s="37" t="s">
        <v>3926</v>
      </c>
      <c r="F1779" s="37" t="s">
        <v>3927</v>
      </c>
    </row>
    <row r="1780" spans="1:6" x14ac:dyDescent="0.25">
      <c r="A1780" s="40">
        <v>44159</v>
      </c>
      <c r="B1780" s="72"/>
      <c r="C1780" s="72" t="s">
        <v>3928</v>
      </c>
      <c r="D1780" s="72"/>
      <c r="E1780" s="72" t="s">
        <v>3929</v>
      </c>
      <c r="F1780" s="72" t="s">
        <v>3930</v>
      </c>
    </row>
    <row r="1781" spans="1:6" x14ac:dyDescent="0.25">
      <c r="A1781" s="41">
        <v>44199</v>
      </c>
      <c r="B1781" s="28"/>
      <c r="C1781" s="28" t="s">
        <v>4669</v>
      </c>
      <c r="D1781" s="28"/>
      <c r="E1781" s="28" t="s">
        <v>4913</v>
      </c>
      <c r="F1781" s="28" t="s">
        <v>4914</v>
      </c>
    </row>
    <row r="1782" spans="1:6" x14ac:dyDescent="0.25">
      <c r="A1782" s="41">
        <v>44301</v>
      </c>
      <c r="B1782" s="28">
        <v>1</v>
      </c>
      <c r="C1782" s="28" t="s">
        <v>5668</v>
      </c>
      <c r="D1782" s="28"/>
      <c r="E1782" s="28" t="s">
        <v>5669</v>
      </c>
      <c r="F1782" s="28" t="s">
        <v>5670</v>
      </c>
    </row>
    <row r="1783" spans="1:6" x14ac:dyDescent="0.25">
      <c r="A1783" s="40">
        <v>44029</v>
      </c>
      <c r="B1783" s="72"/>
      <c r="C1783" s="72" t="s">
        <v>3931</v>
      </c>
      <c r="D1783" s="72"/>
      <c r="E1783" s="72" t="s">
        <v>3931</v>
      </c>
      <c r="F1783" s="72" t="s">
        <v>3932</v>
      </c>
    </row>
    <row r="1784" spans="1:6" x14ac:dyDescent="0.25">
      <c r="A1784" s="41">
        <v>44199</v>
      </c>
      <c r="B1784" s="28"/>
      <c r="C1784" s="28" t="s">
        <v>4670</v>
      </c>
      <c r="D1784" s="28"/>
      <c r="E1784" s="28" t="s">
        <v>4915</v>
      </c>
      <c r="F1784" s="28" t="s">
        <v>4916</v>
      </c>
    </row>
    <row r="1785" spans="1:6" x14ac:dyDescent="0.25">
      <c r="A1785" s="40">
        <v>44064</v>
      </c>
      <c r="B1785" s="37"/>
      <c r="C1785" s="37" t="s">
        <v>3933</v>
      </c>
      <c r="D1785" s="37"/>
      <c r="E1785" s="37" t="s">
        <v>3934</v>
      </c>
      <c r="F1785" s="37" t="s">
        <v>3935</v>
      </c>
    </row>
    <row r="1786" spans="1:6" x14ac:dyDescent="0.25">
      <c r="A1786" s="40">
        <v>44060</v>
      </c>
      <c r="B1786" s="37"/>
      <c r="C1786" s="37" t="s">
        <v>3936</v>
      </c>
      <c r="D1786" s="37"/>
      <c r="E1786" s="37" t="s">
        <v>3937</v>
      </c>
      <c r="F1786" s="37" t="s">
        <v>3938</v>
      </c>
    </row>
    <row r="1787" spans="1:6" x14ac:dyDescent="0.25">
      <c r="A1787" s="40">
        <v>43867</v>
      </c>
      <c r="B1787" s="37"/>
      <c r="C1787" s="37" t="s">
        <v>3939</v>
      </c>
      <c r="D1787" s="37"/>
      <c r="E1787" s="37" t="s">
        <v>3940</v>
      </c>
      <c r="F1787" s="37" t="s">
        <v>3941</v>
      </c>
    </row>
    <row r="1788" spans="1:6" x14ac:dyDescent="0.25">
      <c r="A1788" s="40">
        <v>43725</v>
      </c>
      <c r="B1788" s="72"/>
      <c r="C1788" s="72" t="s">
        <v>3942</v>
      </c>
      <c r="D1788" s="72"/>
      <c r="E1788" s="72" t="s">
        <v>3943</v>
      </c>
      <c r="F1788" s="72" t="s">
        <v>3944</v>
      </c>
    </row>
    <row r="1789" spans="1:6" x14ac:dyDescent="0.25">
      <c r="A1789" s="41">
        <v>44553</v>
      </c>
      <c r="B1789" s="28"/>
      <c r="C1789" s="28" t="s">
        <v>5771</v>
      </c>
      <c r="D1789" s="28"/>
      <c r="E1789" s="28" t="s">
        <v>5772</v>
      </c>
      <c r="F1789" s="28" t="s">
        <v>5773</v>
      </c>
    </row>
    <row r="1790" spans="1:6" x14ac:dyDescent="0.25">
      <c r="A1790" s="40">
        <v>43128</v>
      </c>
      <c r="B1790" s="38"/>
      <c r="C1790" s="38" t="s">
        <v>3945</v>
      </c>
      <c r="D1790" s="38"/>
      <c r="E1790" s="38" t="s">
        <v>3946</v>
      </c>
      <c r="F1790" s="38" t="s">
        <v>3947</v>
      </c>
    </row>
    <row r="1791" spans="1:6" x14ac:dyDescent="0.25">
      <c r="A1791" s="40">
        <v>43893</v>
      </c>
      <c r="B1791" s="38"/>
      <c r="C1791" s="38" t="s">
        <v>3948</v>
      </c>
      <c r="D1791" s="38"/>
      <c r="E1791" s="38" t="s">
        <v>3949</v>
      </c>
      <c r="F1791" s="38" t="s">
        <v>3950</v>
      </c>
    </row>
    <row r="1792" spans="1:6" x14ac:dyDescent="0.25">
      <c r="A1792" s="40">
        <v>43893</v>
      </c>
      <c r="B1792" s="72"/>
      <c r="C1792" s="72" t="s">
        <v>3951</v>
      </c>
      <c r="D1792" s="72"/>
      <c r="E1792" s="72" t="s">
        <v>3952</v>
      </c>
      <c r="F1792" s="72" t="s">
        <v>3953</v>
      </c>
    </row>
    <row r="1793" spans="1:6" x14ac:dyDescent="0.25">
      <c r="A1793" s="41">
        <v>44199</v>
      </c>
      <c r="B1793" s="28"/>
      <c r="C1793" s="28" t="s">
        <v>4671</v>
      </c>
      <c r="D1793" s="28"/>
      <c r="E1793" s="28" t="s">
        <v>4917</v>
      </c>
      <c r="F1793" s="28" t="s">
        <v>4918</v>
      </c>
    </row>
    <row r="1794" spans="1:6" x14ac:dyDescent="0.25">
      <c r="A1794" s="40">
        <v>44159</v>
      </c>
      <c r="B1794" s="48"/>
      <c r="C1794" s="48" t="s">
        <v>3954</v>
      </c>
      <c r="D1794" s="48"/>
      <c r="E1794" s="48" t="s">
        <v>3955</v>
      </c>
      <c r="F1794" s="48" t="s">
        <v>3955</v>
      </c>
    </row>
    <row r="1795" spans="1:6" x14ac:dyDescent="0.25">
      <c r="A1795" s="40">
        <v>43393</v>
      </c>
      <c r="B1795" s="49"/>
      <c r="C1795" s="49" t="s">
        <v>3956</v>
      </c>
      <c r="D1795" s="49"/>
      <c r="E1795" s="49" t="s">
        <v>3956</v>
      </c>
      <c r="F1795" s="49" t="s">
        <v>3957</v>
      </c>
    </row>
    <row r="1796" spans="1:6" x14ac:dyDescent="0.25">
      <c r="A1796" s="40">
        <v>44091</v>
      </c>
      <c r="B1796" s="44"/>
      <c r="C1796" s="44" t="s">
        <v>3958</v>
      </c>
      <c r="D1796" s="44"/>
      <c r="E1796" s="44" t="s">
        <v>3959</v>
      </c>
      <c r="F1796" s="44" t="s">
        <v>3960</v>
      </c>
    </row>
    <row r="1797" spans="1:6" x14ac:dyDescent="0.25">
      <c r="A1797" s="40">
        <v>43647</v>
      </c>
      <c r="B1797" s="48"/>
      <c r="C1797" s="48" t="s">
        <v>3961</v>
      </c>
      <c r="D1797" s="48"/>
      <c r="E1797" s="48" t="s">
        <v>3962</v>
      </c>
      <c r="F1797" s="48" t="s">
        <v>3963</v>
      </c>
    </row>
    <row r="1798" spans="1:6" x14ac:dyDescent="0.25">
      <c r="A1798" s="40">
        <v>43719</v>
      </c>
      <c r="B1798" s="49"/>
      <c r="C1798" s="49" t="s">
        <v>3964</v>
      </c>
      <c r="D1798" s="49"/>
      <c r="E1798" s="49" t="s">
        <v>3965</v>
      </c>
      <c r="F1798" s="49" t="s">
        <v>3966</v>
      </c>
    </row>
    <row r="1799" spans="1:6" x14ac:dyDescent="0.25">
      <c r="A1799" s="40">
        <v>43465</v>
      </c>
      <c r="B1799" s="44"/>
      <c r="C1799" s="44" t="s">
        <v>3967</v>
      </c>
      <c r="D1799" s="44"/>
      <c r="E1799" s="44" t="s">
        <v>3968</v>
      </c>
      <c r="F1799" s="44" t="s">
        <v>3969</v>
      </c>
    </row>
    <row r="1800" spans="1:6" x14ac:dyDescent="0.25">
      <c r="B1800" s="44"/>
      <c r="C1800" s="44" t="s">
        <v>3970</v>
      </c>
      <c r="D1800" s="44"/>
      <c r="E1800" s="44" t="s">
        <v>3971</v>
      </c>
      <c r="F1800" s="44" t="s">
        <v>3972</v>
      </c>
    </row>
    <row r="1801" spans="1:6" x14ac:dyDescent="0.25">
      <c r="A1801" s="40">
        <v>43608</v>
      </c>
      <c r="B1801" s="44"/>
      <c r="C1801" s="44" t="s">
        <v>3973</v>
      </c>
      <c r="D1801" s="44"/>
      <c r="E1801" s="44" t="s">
        <v>3974</v>
      </c>
      <c r="F1801" s="44" t="s">
        <v>3975</v>
      </c>
    </row>
    <row r="1802" spans="1:6" x14ac:dyDescent="0.25">
      <c r="A1802" s="40">
        <v>43647</v>
      </c>
      <c r="B1802" s="44"/>
      <c r="C1802" s="44" t="s">
        <v>3976</v>
      </c>
      <c r="D1802" s="44"/>
      <c r="E1802" s="44" t="s">
        <v>3977</v>
      </c>
      <c r="F1802" s="44" t="s">
        <v>3978</v>
      </c>
    </row>
    <row r="1803" spans="1:6" x14ac:dyDescent="0.25">
      <c r="A1803" s="40">
        <v>43587</v>
      </c>
      <c r="B1803" s="44"/>
      <c r="C1803" s="44" t="s">
        <v>3979</v>
      </c>
      <c r="D1803" s="44"/>
      <c r="E1803" s="44" t="s">
        <v>3980</v>
      </c>
      <c r="F1803" s="44" t="s">
        <v>3981</v>
      </c>
    </row>
    <row r="1804" spans="1:6" x14ac:dyDescent="0.25">
      <c r="A1804" s="40">
        <v>43592</v>
      </c>
      <c r="B1804" s="44"/>
      <c r="C1804" s="44" t="s">
        <v>3982</v>
      </c>
      <c r="D1804" s="44"/>
      <c r="E1804" s="44" t="s">
        <v>3983</v>
      </c>
      <c r="F1804" s="44" t="s">
        <v>3984</v>
      </c>
    </row>
    <row r="1805" spans="1:6" x14ac:dyDescent="0.25">
      <c r="A1805" s="40">
        <v>44123</v>
      </c>
      <c r="B1805" s="48"/>
      <c r="C1805" s="48" t="s">
        <v>3985</v>
      </c>
      <c r="D1805" s="48"/>
      <c r="E1805" s="48" t="s">
        <v>3986</v>
      </c>
      <c r="F1805" s="48" t="s">
        <v>3987</v>
      </c>
    </row>
    <row r="1806" spans="1:6" x14ac:dyDescent="0.25">
      <c r="A1806" s="40">
        <v>43719</v>
      </c>
      <c r="B1806" s="49"/>
      <c r="C1806" s="49" t="s">
        <v>3988</v>
      </c>
      <c r="D1806" s="49"/>
      <c r="E1806" s="49" t="s">
        <v>3989</v>
      </c>
      <c r="F1806" s="49" t="s">
        <v>3990</v>
      </c>
    </row>
    <row r="1807" spans="1:6" x14ac:dyDescent="0.25">
      <c r="A1807" s="40">
        <v>43719</v>
      </c>
      <c r="B1807" s="49"/>
      <c r="C1807" s="49" t="s">
        <v>3991</v>
      </c>
      <c r="D1807" s="49"/>
      <c r="E1807" s="49" t="s">
        <v>3992</v>
      </c>
      <c r="F1807" s="49" t="s">
        <v>3993</v>
      </c>
    </row>
    <row r="1808" spans="1:6" x14ac:dyDescent="0.25">
      <c r="A1808" s="40">
        <v>44082</v>
      </c>
      <c r="B1808" s="44"/>
      <c r="C1808" s="44" t="s">
        <v>3994</v>
      </c>
      <c r="D1808" s="44"/>
      <c r="E1808" s="44" t="s">
        <v>3995</v>
      </c>
      <c r="F1808" s="44" t="s">
        <v>3996</v>
      </c>
    </row>
    <row r="1809" spans="1:6" x14ac:dyDescent="0.25">
      <c r="A1809" s="40">
        <v>44120</v>
      </c>
      <c r="B1809" s="48"/>
      <c r="C1809" s="48" t="s">
        <v>3997</v>
      </c>
      <c r="D1809" s="48"/>
      <c r="E1809" s="48" t="s">
        <v>3998</v>
      </c>
      <c r="F1809" s="48" t="s">
        <v>3999</v>
      </c>
    </row>
    <row r="1810" spans="1:6" x14ac:dyDescent="0.25">
      <c r="A1810" s="40">
        <v>44053</v>
      </c>
      <c r="B1810" s="49"/>
      <c r="C1810" s="49" t="s">
        <v>4000</v>
      </c>
      <c r="D1810" s="49"/>
      <c r="E1810" s="49" t="s">
        <v>4001</v>
      </c>
      <c r="F1810" s="49" t="s">
        <v>4002</v>
      </c>
    </row>
    <row r="1811" spans="1:6" x14ac:dyDescent="0.25">
      <c r="A1811" s="40">
        <v>44060</v>
      </c>
      <c r="B1811" s="68"/>
      <c r="C1811" s="68" t="s">
        <v>4003</v>
      </c>
      <c r="D1811" s="68"/>
      <c r="E1811" s="68" t="s">
        <v>4004</v>
      </c>
      <c r="F1811" s="68" t="s">
        <v>4005</v>
      </c>
    </row>
    <row r="1812" spans="1:6" x14ac:dyDescent="0.25">
      <c r="A1812" s="40">
        <v>43587</v>
      </c>
      <c r="B1812" s="49"/>
      <c r="C1812" s="49" t="s">
        <v>4006</v>
      </c>
      <c r="D1812" s="49"/>
      <c r="E1812" s="49" t="s">
        <v>4007</v>
      </c>
      <c r="F1812" s="49" t="s">
        <v>4008</v>
      </c>
    </row>
    <row r="1813" spans="1:6" x14ac:dyDescent="0.25">
      <c r="A1813" s="40">
        <v>43467</v>
      </c>
      <c r="B1813" s="49"/>
      <c r="C1813" s="49" t="s">
        <v>4009</v>
      </c>
      <c r="D1813" s="49"/>
      <c r="E1813" s="49" t="s">
        <v>4010</v>
      </c>
      <c r="F1813" s="49" t="s">
        <v>4011</v>
      </c>
    </row>
    <row r="1814" spans="1:6" x14ac:dyDescent="0.25">
      <c r="A1814" s="40">
        <v>44053</v>
      </c>
      <c r="B1814" s="44"/>
      <c r="C1814" s="44" t="s">
        <v>4012</v>
      </c>
      <c r="D1814" s="48"/>
      <c r="E1814" s="44" t="s">
        <v>4013</v>
      </c>
      <c r="F1814" s="44" t="s">
        <v>4014</v>
      </c>
    </row>
    <row r="1815" spans="1:6" x14ac:dyDescent="0.25">
      <c r="A1815" s="40">
        <v>44053</v>
      </c>
      <c r="B1815" s="44"/>
      <c r="C1815" s="44" t="s">
        <v>4015</v>
      </c>
      <c r="D1815" s="49"/>
      <c r="E1815" s="44" t="s">
        <v>4016</v>
      </c>
      <c r="F1815" s="44" t="s">
        <v>4017</v>
      </c>
    </row>
    <row r="1816" spans="1:6" x14ac:dyDescent="0.25">
      <c r="A1816" s="40">
        <v>43724</v>
      </c>
      <c r="B1816" s="48"/>
      <c r="C1816" s="48" t="s">
        <v>4018</v>
      </c>
      <c r="D1816" s="48"/>
      <c r="E1816" s="48" t="s">
        <v>4019</v>
      </c>
      <c r="F1816" s="48" t="s">
        <v>4020</v>
      </c>
    </row>
    <row r="1817" spans="1:6" x14ac:dyDescent="0.25">
      <c r="A1817" s="40">
        <v>44054</v>
      </c>
      <c r="B1817" s="49"/>
      <c r="C1817" s="49" t="s">
        <v>4021</v>
      </c>
      <c r="D1817" s="49"/>
      <c r="E1817" s="49" t="s">
        <v>4022</v>
      </c>
      <c r="F1817" s="49" t="s">
        <v>4023</v>
      </c>
    </row>
    <row r="1818" spans="1:6" x14ac:dyDescent="0.25">
      <c r="A1818" s="40">
        <v>43587</v>
      </c>
      <c r="B1818" s="44"/>
      <c r="C1818" s="44" t="s">
        <v>4024</v>
      </c>
      <c r="D1818" s="44"/>
      <c r="E1818" s="44" t="s">
        <v>4025</v>
      </c>
      <c r="F1818" s="44" t="s">
        <v>4026</v>
      </c>
    </row>
    <row r="1819" spans="1:6" x14ac:dyDescent="0.25">
      <c r="A1819" s="40">
        <v>43724</v>
      </c>
      <c r="B1819" s="44"/>
      <c r="C1819" s="44" t="s">
        <v>4027</v>
      </c>
      <c r="D1819" s="44"/>
      <c r="E1819" s="44" t="s">
        <v>4028</v>
      </c>
      <c r="F1819" s="44" t="s">
        <v>4029</v>
      </c>
    </row>
    <row r="1820" spans="1:6" x14ac:dyDescent="0.25">
      <c r="A1820" s="40">
        <v>43608</v>
      </c>
      <c r="B1820" s="44"/>
      <c r="C1820" s="44" t="s">
        <v>4030</v>
      </c>
      <c r="D1820" s="44"/>
      <c r="E1820" s="44" t="s">
        <v>4031</v>
      </c>
      <c r="F1820" s="44" t="s">
        <v>4032</v>
      </c>
    </row>
    <row r="1821" spans="1:6" x14ac:dyDescent="0.25">
      <c r="A1821" s="40">
        <v>43588</v>
      </c>
      <c r="B1821" s="72"/>
      <c r="C1821" s="72" t="s">
        <v>4033</v>
      </c>
      <c r="D1821" s="72"/>
      <c r="E1821" s="72" t="s">
        <v>4034</v>
      </c>
      <c r="F1821" s="72" t="s">
        <v>4035</v>
      </c>
    </row>
    <row r="1822" spans="1:6" x14ac:dyDescent="0.25">
      <c r="A1822" s="41">
        <v>44301</v>
      </c>
      <c r="B1822" s="28">
        <v>1</v>
      </c>
      <c r="C1822" s="28" t="s">
        <v>5671</v>
      </c>
      <c r="D1822" s="28"/>
      <c r="E1822" s="28" t="s">
        <v>5672</v>
      </c>
      <c r="F1822" s="28" t="s">
        <v>5673</v>
      </c>
    </row>
    <row r="1823" spans="1:6" x14ac:dyDescent="0.25">
      <c r="A1823" s="40">
        <v>43587</v>
      </c>
      <c r="B1823" s="44"/>
      <c r="C1823" s="44" t="s">
        <v>4036</v>
      </c>
      <c r="D1823" s="44"/>
      <c r="E1823" s="44" t="s">
        <v>4037</v>
      </c>
      <c r="F1823" s="44" t="s">
        <v>4038</v>
      </c>
    </row>
    <row r="1824" spans="1:6" x14ac:dyDescent="0.25">
      <c r="A1824" s="40">
        <v>43391</v>
      </c>
      <c r="B1824" s="68"/>
      <c r="C1824" s="68" t="s">
        <v>4039</v>
      </c>
      <c r="D1824" s="68"/>
      <c r="E1824" s="68" t="s">
        <v>4040</v>
      </c>
      <c r="F1824" s="68" t="s">
        <v>4041</v>
      </c>
    </row>
    <row r="1825" spans="1:6" x14ac:dyDescent="0.25">
      <c r="A1825" s="40">
        <v>43720</v>
      </c>
      <c r="B1825" s="44"/>
      <c r="C1825" s="44" t="s">
        <v>4042</v>
      </c>
      <c r="D1825" s="44"/>
      <c r="E1825" s="44" t="s">
        <v>4043</v>
      </c>
      <c r="F1825" s="44" t="s">
        <v>4044</v>
      </c>
    </row>
    <row r="1826" spans="1:6" x14ac:dyDescent="0.25">
      <c r="A1826" s="40">
        <v>43587</v>
      </c>
      <c r="B1826" s="44"/>
      <c r="C1826" s="44" t="s">
        <v>4045</v>
      </c>
      <c r="D1826" s="44"/>
      <c r="E1826" s="44" t="s">
        <v>4046</v>
      </c>
      <c r="F1826" s="44" t="s">
        <v>4047</v>
      </c>
    </row>
    <row r="1827" spans="1:6" x14ac:dyDescent="0.25">
      <c r="A1827" s="40">
        <v>43465</v>
      </c>
      <c r="B1827" s="68"/>
      <c r="C1827" s="68" t="s">
        <v>4048</v>
      </c>
      <c r="D1827" s="68"/>
      <c r="E1827" s="68" t="s">
        <v>4049</v>
      </c>
      <c r="F1827" s="68" t="s">
        <v>4050</v>
      </c>
    </row>
    <row r="1828" spans="1:6" x14ac:dyDescent="0.25">
      <c r="A1828" s="40">
        <v>44053</v>
      </c>
      <c r="B1828" s="44"/>
      <c r="C1828" s="44" t="s">
        <v>4051</v>
      </c>
      <c r="D1828" s="44"/>
      <c r="E1828" s="44" t="s">
        <v>4052</v>
      </c>
      <c r="F1828" s="44" t="s">
        <v>4053</v>
      </c>
    </row>
    <row r="1829" spans="1:6" x14ac:dyDescent="0.25">
      <c r="A1829" s="40">
        <v>43344</v>
      </c>
      <c r="B1829" s="44"/>
      <c r="C1829" s="44" t="s">
        <v>4054</v>
      </c>
      <c r="D1829" s="44"/>
      <c r="E1829" s="44" t="s">
        <v>4055</v>
      </c>
      <c r="F1829" s="44" t="s">
        <v>4056</v>
      </c>
    </row>
    <row r="1830" spans="1:6" x14ac:dyDescent="0.25">
      <c r="A1830" s="40">
        <v>43344</v>
      </c>
      <c r="B1830" s="44"/>
      <c r="C1830" s="44" t="s">
        <v>4057</v>
      </c>
      <c r="D1830" s="44"/>
      <c r="E1830" s="44" t="s">
        <v>4058</v>
      </c>
      <c r="F1830" s="44" t="s">
        <v>4059</v>
      </c>
    </row>
    <row r="1831" spans="1:6" x14ac:dyDescent="0.25">
      <c r="A1831" s="40">
        <v>43344</v>
      </c>
      <c r="B1831" s="44"/>
      <c r="C1831" s="44" t="s">
        <v>4060</v>
      </c>
      <c r="D1831" s="44"/>
      <c r="E1831" s="44" t="s">
        <v>4061</v>
      </c>
      <c r="F1831" s="44" t="s">
        <v>4062</v>
      </c>
    </row>
    <row r="1832" spans="1:6" x14ac:dyDescent="0.25">
      <c r="A1832" s="40">
        <v>43637</v>
      </c>
      <c r="B1832" s="48"/>
      <c r="C1832" s="48" t="s">
        <v>4063</v>
      </c>
      <c r="D1832" s="48"/>
      <c r="E1832" s="48" t="s">
        <v>4064</v>
      </c>
      <c r="F1832" s="48" t="s">
        <v>4065</v>
      </c>
    </row>
    <row r="1833" spans="1:6" x14ac:dyDescent="0.25">
      <c r="A1833" s="40">
        <v>43393</v>
      </c>
      <c r="B1833" s="49"/>
      <c r="C1833" s="49" t="s">
        <v>4066</v>
      </c>
      <c r="D1833" s="49"/>
      <c r="E1833" s="49" t="s">
        <v>4067</v>
      </c>
      <c r="F1833" s="49" t="s">
        <v>4068</v>
      </c>
    </row>
    <row r="1834" spans="1:6" x14ac:dyDescent="0.25">
      <c r="A1834" s="40">
        <v>43523</v>
      </c>
      <c r="B1834" s="72"/>
      <c r="C1834" s="72" t="s">
        <v>4069</v>
      </c>
      <c r="D1834" s="72"/>
      <c r="E1834" s="72" t="s">
        <v>4070</v>
      </c>
      <c r="F1834" s="72" t="s">
        <v>4071</v>
      </c>
    </row>
    <row r="1835" spans="1:6" x14ac:dyDescent="0.25">
      <c r="A1835" s="41">
        <v>44199</v>
      </c>
      <c r="B1835" s="28"/>
      <c r="C1835" s="28" t="s">
        <v>4672</v>
      </c>
      <c r="D1835" s="28"/>
      <c r="E1835" s="28" t="s">
        <v>4919</v>
      </c>
      <c r="F1835" s="28" t="s">
        <v>4920</v>
      </c>
    </row>
    <row r="1836" spans="1:6" x14ac:dyDescent="0.25">
      <c r="A1836" s="40">
        <v>44069</v>
      </c>
      <c r="B1836" s="68"/>
      <c r="C1836" s="68" t="s">
        <v>4072</v>
      </c>
      <c r="D1836" s="68"/>
      <c r="E1836" s="68" t="s">
        <v>4073</v>
      </c>
      <c r="F1836" s="68" t="s">
        <v>4074</v>
      </c>
    </row>
    <row r="1837" spans="1:6" x14ac:dyDescent="0.25">
      <c r="A1837" s="40">
        <v>43762</v>
      </c>
      <c r="B1837" s="72"/>
      <c r="C1837" s="72" t="s">
        <v>4075</v>
      </c>
      <c r="D1837" s="72"/>
      <c r="E1837" s="72" t="s">
        <v>4076</v>
      </c>
      <c r="F1837" s="72" t="s">
        <v>4077</v>
      </c>
    </row>
    <row r="1838" spans="1:6" x14ac:dyDescent="0.25">
      <c r="A1838" s="41">
        <v>44200</v>
      </c>
      <c r="B1838" s="28"/>
      <c r="C1838" s="28" t="s">
        <v>5091</v>
      </c>
      <c r="D1838" s="28"/>
      <c r="E1838" s="28" t="s">
        <v>5091</v>
      </c>
      <c r="F1838" s="28" t="s">
        <v>5091</v>
      </c>
    </row>
    <row r="1839" spans="1:6" x14ac:dyDescent="0.25">
      <c r="A1839" s="40">
        <v>44013</v>
      </c>
      <c r="B1839" s="44"/>
      <c r="C1839" s="44" t="s">
        <v>4078</v>
      </c>
      <c r="D1839" s="44"/>
      <c r="E1839" s="44" t="s">
        <v>4079</v>
      </c>
      <c r="F1839" s="44" t="s">
        <v>4080</v>
      </c>
    </row>
    <row r="1840" spans="1:6" x14ac:dyDescent="0.25">
      <c r="A1840" s="40">
        <v>44172</v>
      </c>
      <c r="B1840" s="68"/>
      <c r="C1840" s="68" t="s">
        <v>4081</v>
      </c>
      <c r="D1840" s="68"/>
      <c r="E1840" s="68" t="s">
        <v>4082</v>
      </c>
      <c r="F1840" s="68" t="s">
        <v>4083</v>
      </c>
    </row>
    <row r="1841" spans="1:6" x14ac:dyDescent="0.25">
      <c r="A1841" s="40">
        <v>43637</v>
      </c>
      <c r="B1841" s="68"/>
      <c r="C1841" s="68" t="s">
        <v>4084</v>
      </c>
      <c r="D1841" s="68"/>
      <c r="E1841" s="68" t="s">
        <v>4085</v>
      </c>
      <c r="F1841" s="68" t="s">
        <v>4086</v>
      </c>
    </row>
    <row r="1842" spans="1:6" x14ac:dyDescent="0.25">
      <c r="A1842" s="40">
        <v>43720</v>
      </c>
      <c r="B1842" s="68"/>
      <c r="C1842" s="68" t="s">
        <v>4087</v>
      </c>
      <c r="D1842" s="68"/>
      <c r="E1842" s="68" t="s">
        <v>4088</v>
      </c>
      <c r="F1842" s="68" t="s">
        <v>4065</v>
      </c>
    </row>
    <row r="1843" spans="1:6" x14ac:dyDescent="0.25">
      <c r="A1843" s="40">
        <v>44082</v>
      </c>
      <c r="B1843" s="68"/>
      <c r="C1843" s="68" t="s">
        <v>4089</v>
      </c>
      <c r="D1843" s="68"/>
      <c r="E1843" s="68" t="s">
        <v>4090</v>
      </c>
      <c r="F1843" s="68" t="s">
        <v>4091</v>
      </c>
    </row>
    <row r="1844" spans="1:6" x14ac:dyDescent="0.25">
      <c r="A1844" s="40">
        <v>44166</v>
      </c>
      <c r="B1844" s="72"/>
      <c r="C1844" s="72" t="s">
        <v>4092</v>
      </c>
      <c r="D1844" s="72"/>
      <c r="E1844" s="72" t="s">
        <v>4093</v>
      </c>
      <c r="F1844" s="72" t="s">
        <v>4094</v>
      </c>
    </row>
    <row r="1845" spans="1:6" x14ac:dyDescent="0.25">
      <c r="A1845" s="41">
        <v>44491</v>
      </c>
      <c r="B1845" s="28"/>
      <c r="C1845" s="28" t="s">
        <v>5774</v>
      </c>
      <c r="D1845" s="28"/>
      <c r="E1845" s="28" t="s">
        <v>4079</v>
      </c>
      <c r="F1845" s="28" t="s">
        <v>4080</v>
      </c>
    </row>
    <row r="1846" spans="1:6" x14ac:dyDescent="0.25">
      <c r="A1846" s="40">
        <v>44061</v>
      </c>
      <c r="B1846" s="72"/>
      <c r="C1846" s="72" t="s">
        <v>4095</v>
      </c>
      <c r="D1846" s="72"/>
      <c r="E1846" s="72" t="s">
        <v>4096</v>
      </c>
      <c r="F1846" s="72" t="s">
        <v>4097</v>
      </c>
    </row>
    <row r="1847" spans="1:6" x14ac:dyDescent="0.25">
      <c r="A1847" s="41">
        <v>44200</v>
      </c>
      <c r="B1847" s="28"/>
      <c r="C1847" s="28" t="s">
        <v>5092</v>
      </c>
      <c r="D1847" s="28"/>
      <c r="E1847" s="28" t="s">
        <v>5257</v>
      </c>
      <c r="F1847" s="28" t="s">
        <v>5422</v>
      </c>
    </row>
    <row r="1848" spans="1:6" x14ac:dyDescent="0.25">
      <c r="A1848" s="41">
        <v>44200</v>
      </c>
      <c r="B1848" s="28"/>
      <c r="C1848" s="28" t="s">
        <v>5093</v>
      </c>
      <c r="D1848" s="28"/>
      <c r="E1848" s="28" t="s">
        <v>5258</v>
      </c>
      <c r="F1848" s="28" t="s">
        <v>5423</v>
      </c>
    </row>
    <row r="1849" spans="1:6" x14ac:dyDescent="0.25">
      <c r="A1849" s="40">
        <v>44013</v>
      </c>
      <c r="B1849" s="44"/>
      <c r="C1849" s="44" t="s">
        <v>4098</v>
      </c>
      <c r="D1849" s="44"/>
      <c r="E1849" s="44" t="s">
        <v>4099</v>
      </c>
      <c r="F1849" s="44" t="s">
        <v>4100</v>
      </c>
    </row>
    <row r="1850" spans="1:6" x14ac:dyDescent="0.25">
      <c r="A1850" s="40">
        <v>43588</v>
      </c>
      <c r="B1850" s="72"/>
      <c r="C1850" s="72" t="s">
        <v>4101</v>
      </c>
      <c r="D1850" s="72"/>
      <c r="E1850" s="72" t="s">
        <v>4102</v>
      </c>
      <c r="F1850" s="72" t="s">
        <v>4103</v>
      </c>
    </row>
    <row r="1851" spans="1:6" x14ac:dyDescent="0.25">
      <c r="A1851" s="41">
        <v>44200</v>
      </c>
      <c r="B1851" s="28"/>
      <c r="C1851" s="28" t="s">
        <v>5094</v>
      </c>
      <c r="D1851" s="28"/>
      <c r="E1851" s="28" t="s">
        <v>5259</v>
      </c>
      <c r="F1851" s="28" t="s">
        <v>5424</v>
      </c>
    </row>
    <row r="1852" spans="1:6" x14ac:dyDescent="0.25">
      <c r="A1852" s="41">
        <v>44200</v>
      </c>
      <c r="B1852" s="28"/>
      <c r="C1852" s="28" t="s">
        <v>5095</v>
      </c>
      <c r="D1852" s="28"/>
      <c r="E1852" s="28" t="s">
        <v>5260</v>
      </c>
      <c r="F1852" s="28" t="s">
        <v>5425</v>
      </c>
    </row>
    <row r="1853" spans="1:6" x14ac:dyDescent="0.25">
      <c r="A1853" s="41">
        <v>44200</v>
      </c>
      <c r="B1853" s="28"/>
      <c r="C1853" s="28" t="s">
        <v>5096</v>
      </c>
      <c r="D1853" s="28"/>
      <c r="E1853" s="28" t="s">
        <v>5261</v>
      </c>
      <c r="F1853" s="28" t="s">
        <v>5426</v>
      </c>
    </row>
    <row r="1854" spans="1:6" x14ac:dyDescent="0.25">
      <c r="A1854" s="41">
        <v>44199</v>
      </c>
      <c r="B1854" s="28"/>
      <c r="C1854" s="28" t="s">
        <v>4673</v>
      </c>
      <c r="D1854" s="28"/>
      <c r="E1854" s="28" t="s">
        <v>4673</v>
      </c>
      <c r="F1854" s="28" t="s">
        <v>4921</v>
      </c>
    </row>
    <row r="1855" spans="1:6" x14ac:dyDescent="0.25">
      <c r="A1855" s="40">
        <v>44082</v>
      </c>
      <c r="B1855" s="49"/>
      <c r="C1855" s="49" t="s">
        <v>4104</v>
      </c>
      <c r="D1855" s="72"/>
      <c r="E1855" s="49" t="s">
        <v>4105</v>
      </c>
      <c r="F1855" s="49" t="s">
        <v>4106</v>
      </c>
    </row>
    <row r="1856" spans="1:6" x14ac:dyDescent="0.25">
      <c r="A1856" s="40">
        <v>44231</v>
      </c>
      <c r="B1856" s="49"/>
      <c r="C1856" s="49" t="s">
        <v>5456</v>
      </c>
      <c r="D1856" s="28"/>
      <c r="E1856" s="49" t="s">
        <v>5457</v>
      </c>
      <c r="F1856" s="49" t="s">
        <v>4921</v>
      </c>
    </row>
    <row r="1857" spans="1:6" x14ac:dyDescent="0.25">
      <c r="A1857" s="40">
        <v>43815</v>
      </c>
      <c r="B1857" s="72"/>
      <c r="C1857" s="72" t="s">
        <v>4107</v>
      </c>
      <c r="D1857" s="72"/>
      <c r="E1857" s="72" t="s">
        <v>4108</v>
      </c>
      <c r="F1857" s="72" t="s">
        <v>4109</v>
      </c>
    </row>
    <row r="1858" spans="1:6" x14ac:dyDescent="0.25">
      <c r="A1858" s="41">
        <v>44199</v>
      </c>
      <c r="B1858" s="28"/>
      <c r="C1858" s="28" t="s">
        <v>4674</v>
      </c>
      <c r="D1858" s="28"/>
      <c r="E1858" s="28" t="s">
        <v>4922</v>
      </c>
      <c r="F1858" s="28" t="s">
        <v>4921</v>
      </c>
    </row>
    <row r="1859" spans="1:6" x14ac:dyDescent="0.25">
      <c r="A1859" s="40">
        <v>44082</v>
      </c>
      <c r="B1859" s="49"/>
      <c r="C1859" s="49" t="s">
        <v>4110</v>
      </c>
      <c r="D1859" s="49"/>
      <c r="E1859" s="49" t="s">
        <v>4111</v>
      </c>
      <c r="F1859" s="49" t="s">
        <v>4112</v>
      </c>
    </row>
    <row r="1860" spans="1:6" x14ac:dyDescent="0.25">
      <c r="A1860" s="40">
        <v>43634</v>
      </c>
      <c r="B1860" s="49"/>
      <c r="C1860" s="49" t="s">
        <v>4113</v>
      </c>
      <c r="D1860" s="49"/>
      <c r="E1860" s="49" t="s">
        <v>4114</v>
      </c>
      <c r="F1860" s="49" t="s">
        <v>4115</v>
      </c>
    </row>
    <row r="1861" spans="1:6" x14ac:dyDescent="0.25">
      <c r="A1861" s="40">
        <v>43725</v>
      </c>
      <c r="B1861" s="49"/>
      <c r="C1861" s="49" t="s">
        <v>4116</v>
      </c>
      <c r="D1861" s="49"/>
      <c r="E1861" s="49" t="s">
        <v>4117</v>
      </c>
      <c r="F1861" s="49" t="s">
        <v>4118</v>
      </c>
    </row>
    <row r="1862" spans="1:6" x14ac:dyDescent="0.25">
      <c r="B1862" s="49"/>
      <c r="C1862" s="49" t="s">
        <v>4120</v>
      </c>
      <c r="D1862" s="49"/>
      <c r="E1862" s="49" t="s">
        <v>4121</v>
      </c>
      <c r="F1862" s="49" t="s">
        <v>4122</v>
      </c>
    </row>
    <row r="1863" spans="1:6" x14ac:dyDescent="0.25">
      <c r="B1863" s="68"/>
      <c r="C1863" s="68" t="s">
        <v>4123</v>
      </c>
      <c r="D1863" s="68"/>
      <c r="E1863" s="68" t="s">
        <v>4124</v>
      </c>
      <c r="F1863" s="68" t="s">
        <v>4125</v>
      </c>
    </row>
    <row r="1864" spans="1:6" x14ac:dyDescent="0.25">
      <c r="A1864" s="40">
        <v>43989</v>
      </c>
      <c r="B1864" s="49"/>
      <c r="C1864" s="49" t="s">
        <v>4126</v>
      </c>
      <c r="D1864" s="49"/>
      <c r="E1864" s="49" t="s">
        <v>4127</v>
      </c>
      <c r="F1864" s="49" t="s">
        <v>4128</v>
      </c>
    </row>
    <row r="1865" spans="1:6" x14ac:dyDescent="0.25">
      <c r="A1865" s="40">
        <v>44013</v>
      </c>
      <c r="B1865" s="49"/>
      <c r="C1865" s="49" t="s">
        <v>4129</v>
      </c>
      <c r="D1865" s="49"/>
      <c r="E1865" s="49" t="s">
        <v>4130</v>
      </c>
      <c r="F1865" s="49" t="s">
        <v>4131</v>
      </c>
    </row>
    <row r="1866" spans="1:6" x14ac:dyDescent="0.25">
      <c r="A1866" s="40">
        <v>44013</v>
      </c>
      <c r="B1866" s="49"/>
      <c r="C1866" s="49" t="s">
        <v>4132</v>
      </c>
      <c r="D1866" s="49"/>
      <c r="E1866" s="49" t="s">
        <v>4133</v>
      </c>
      <c r="F1866" s="49" t="s">
        <v>4134</v>
      </c>
    </row>
    <row r="1867" spans="1:6" x14ac:dyDescent="0.25">
      <c r="A1867" s="40">
        <v>43725</v>
      </c>
      <c r="B1867" s="49"/>
      <c r="C1867" s="49" t="s">
        <v>4135</v>
      </c>
      <c r="D1867" s="49" t="s">
        <v>4136</v>
      </c>
      <c r="E1867" s="49" t="s">
        <v>4137</v>
      </c>
      <c r="F1867" s="49" t="s">
        <v>4138</v>
      </c>
    </row>
    <row r="1868" spans="1:6" x14ac:dyDescent="0.25">
      <c r="A1868" s="40">
        <v>44120</v>
      </c>
      <c r="B1868" s="68"/>
      <c r="C1868" s="68" t="s">
        <v>4139</v>
      </c>
      <c r="D1868" s="68"/>
      <c r="E1868" s="68" t="s">
        <v>4140</v>
      </c>
      <c r="F1868" s="68" t="s">
        <v>4141</v>
      </c>
    </row>
    <row r="1869" spans="1:6" x14ac:dyDescent="0.25">
      <c r="A1869" s="40">
        <v>44120</v>
      </c>
      <c r="B1869" s="49"/>
      <c r="C1869" s="49" t="s">
        <v>4142</v>
      </c>
      <c r="D1869" s="49"/>
      <c r="E1869" s="49" t="s">
        <v>4143</v>
      </c>
      <c r="F1869" s="49" t="s">
        <v>4144</v>
      </c>
    </row>
    <row r="1870" spans="1:6" x14ac:dyDescent="0.25">
      <c r="A1870" s="40">
        <v>44120</v>
      </c>
      <c r="B1870" s="49"/>
      <c r="C1870" s="49" t="s">
        <v>4145</v>
      </c>
      <c r="D1870" s="49"/>
      <c r="E1870" s="49" t="s">
        <v>4146</v>
      </c>
      <c r="F1870" s="49" t="s">
        <v>4147</v>
      </c>
    </row>
    <row r="1871" spans="1:6" x14ac:dyDescent="0.25">
      <c r="A1871" s="40">
        <v>43840</v>
      </c>
      <c r="B1871" s="49"/>
      <c r="C1871" s="49" t="s">
        <v>4148</v>
      </c>
      <c r="D1871" s="49"/>
      <c r="E1871" s="49" t="s">
        <v>4149</v>
      </c>
      <c r="F1871" s="49" t="s">
        <v>4150</v>
      </c>
    </row>
    <row r="1872" spans="1:6" x14ac:dyDescent="0.25">
      <c r="A1872" s="40">
        <v>43985</v>
      </c>
      <c r="B1872" s="49"/>
      <c r="C1872" s="49" t="s">
        <v>4151</v>
      </c>
      <c r="D1872" s="49"/>
      <c r="E1872" s="49" t="s">
        <v>4152</v>
      </c>
      <c r="F1872" s="49" t="s">
        <v>4153</v>
      </c>
    </row>
    <row r="1873" spans="1:6" s="68" customFormat="1" x14ac:dyDescent="0.25">
      <c r="A1873" s="40">
        <v>43894</v>
      </c>
      <c r="B1873" s="72"/>
      <c r="C1873" s="72" t="s">
        <v>4154</v>
      </c>
      <c r="D1873" s="72"/>
      <c r="E1873" s="72" t="s">
        <v>2693</v>
      </c>
      <c r="F1873" s="72" t="s">
        <v>2694</v>
      </c>
    </row>
    <row r="1874" spans="1:6" s="68" customFormat="1" x14ac:dyDescent="0.25">
      <c r="A1874" s="41">
        <v>44199</v>
      </c>
      <c r="B1874" s="28"/>
      <c r="C1874" s="28" t="s">
        <v>4675</v>
      </c>
      <c r="D1874" s="28"/>
      <c r="E1874" s="28" t="s">
        <v>4675</v>
      </c>
      <c r="F1874" s="28" t="s">
        <v>4923</v>
      </c>
    </row>
    <row r="1875" spans="1:6" s="68" customFormat="1" x14ac:dyDescent="0.25">
      <c r="A1875" s="40">
        <v>43344</v>
      </c>
      <c r="C1875" s="68" t="s">
        <v>4155</v>
      </c>
      <c r="D1875" s="68" t="s">
        <v>4156</v>
      </c>
      <c r="E1875" s="68" t="s">
        <v>4157</v>
      </c>
      <c r="F1875" s="68" t="s">
        <v>4158</v>
      </c>
    </row>
    <row r="1876" spans="1:6" s="68" customFormat="1" x14ac:dyDescent="0.25">
      <c r="A1876" s="40">
        <v>43344</v>
      </c>
      <c r="C1876" s="68" t="s">
        <v>4159</v>
      </c>
      <c r="D1876" s="68" t="s">
        <v>4160</v>
      </c>
      <c r="E1876" s="68" t="s">
        <v>4161</v>
      </c>
      <c r="F1876" s="68" t="s">
        <v>4162</v>
      </c>
    </row>
    <row r="1877" spans="1:6" s="68" customFormat="1" x14ac:dyDescent="0.25">
      <c r="A1877" s="40">
        <v>43386</v>
      </c>
      <c r="C1877" s="68" t="s">
        <v>4163</v>
      </c>
      <c r="D1877" s="68" t="s">
        <v>4164</v>
      </c>
      <c r="E1877" s="68" t="s">
        <v>4165</v>
      </c>
      <c r="F1877" s="68" t="s">
        <v>4166</v>
      </c>
    </row>
    <row r="1878" spans="1:6" s="68" customFormat="1" x14ac:dyDescent="0.25">
      <c r="A1878" s="40">
        <v>43644</v>
      </c>
      <c r="B1878" s="72"/>
      <c r="C1878" s="72" t="s">
        <v>4167</v>
      </c>
      <c r="D1878" s="72"/>
      <c r="E1878" s="72" t="s">
        <v>4168</v>
      </c>
      <c r="F1878" s="72" t="s">
        <v>4169</v>
      </c>
    </row>
    <row r="1879" spans="1:6" s="68" customFormat="1" x14ac:dyDescent="0.25">
      <c r="A1879" s="41">
        <v>44301</v>
      </c>
      <c r="B1879" s="28">
        <v>1</v>
      </c>
      <c r="C1879" s="28" t="s">
        <v>5674</v>
      </c>
      <c r="D1879" s="28"/>
      <c r="E1879" s="28" t="s">
        <v>5675</v>
      </c>
      <c r="F1879" s="28" t="s">
        <v>5676</v>
      </c>
    </row>
    <row r="1880" spans="1:6" s="68" customFormat="1" x14ac:dyDescent="0.25">
      <c r="A1880" s="40">
        <v>43725</v>
      </c>
      <c r="C1880" s="68" t="s">
        <v>4170</v>
      </c>
      <c r="D1880" s="68" t="s">
        <v>4171</v>
      </c>
      <c r="E1880" s="68" t="s">
        <v>4172</v>
      </c>
      <c r="F1880" s="68" t="s">
        <v>4173</v>
      </c>
    </row>
    <row r="1881" spans="1:6" s="68" customFormat="1" x14ac:dyDescent="0.25">
      <c r="A1881" s="40">
        <v>43725</v>
      </c>
      <c r="C1881" s="68" t="s">
        <v>4174</v>
      </c>
      <c r="E1881" s="68" t="s">
        <v>4175</v>
      </c>
      <c r="F1881" s="68" t="s">
        <v>714</v>
      </c>
    </row>
    <row r="1882" spans="1:6" s="68" customFormat="1" x14ac:dyDescent="0.25">
      <c r="A1882" s="40">
        <v>44019</v>
      </c>
      <c r="C1882" s="68" t="s">
        <v>4176</v>
      </c>
      <c r="E1882" s="68" t="s">
        <v>4177</v>
      </c>
      <c r="F1882" s="68" t="s">
        <v>4178</v>
      </c>
    </row>
    <row r="1883" spans="1:6" x14ac:dyDescent="0.25">
      <c r="A1883" s="40">
        <v>43860</v>
      </c>
      <c r="B1883" s="49"/>
      <c r="C1883" s="49" t="s">
        <v>4179</v>
      </c>
      <c r="D1883" s="49"/>
      <c r="E1883" s="49" t="s">
        <v>4179</v>
      </c>
      <c r="F1883" s="49" t="s">
        <v>4179</v>
      </c>
    </row>
    <row r="1884" spans="1:6" x14ac:dyDescent="0.25">
      <c r="A1884" s="40">
        <v>44230</v>
      </c>
      <c r="B1884" s="49"/>
      <c r="C1884" s="49" t="s">
        <v>5453</v>
      </c>
      <c r="D1884" s="49"/>
      <c r="E1884" s="49" t="s">
        <v>5455</v>
      </c>
      <c r="F1884" s="49" t="s">
        <v>5454</v>
      </c>
    </row>
    <row r="1885" spans="1:6" x14ac:dyDescent="0.25">
      <c r="A1885" s="40">
        <v>44019</v>
      </c>
      <c r="B1885" s="49"/>
      <c r="C1885" s="49" t="s">
        <v>4180</v>
      </c>
      <c r="D1885" s="49"/>
      <c r="E1885" s="49" t="s">
        <v>4181</v>
      </c>
      <c r="F1885" s="49" t="s">
        <v>4182</v>
      </c>
    </row>
    <row r="1886" spans="1:6" x14ac:dyDescent="0.25">
      <c r="A1886" s="40">
        <v>43588</v>
      </c>
      <c r="B1886" s="49"/>
      <c r="C1886" s="49" t="s">
        <v>4183</v>
      </c>
      <c r="D1886" s="49"/>
      <c r="E1886" s="49" t="s">
        <v>4184</v>
      </c>
      <c r="F1886" s="49" t="s">
        <v>4185</v>
      </c>
    </row>
    <row r="1887" spans="1:6" x14ac:dyDescent="0.25">
      <c r="A1887" s="40">
        <v>43725</v>
      </c>
      <c r="B1887" s="72"/>
      <c r="C1887" s="72" t="s">
        <v>4186</v>
      </c>
      <c r="D1887" s="72" t="s">
        <v>4187</v>
      </c>
      <c r="E1887" s="72" t="s">
        <v>4188</v>
      </c>
      <c r="F1887" s="72" t="s">
        <v>4189</v>
      </c>
    </row>
    <row r="1888" spans="1:6" x14ac:dyDescent="0.25">
      <c r="A1888" s="41">
        <v>44301</v>
      </c>
      <c r="B1888" s="28">
        <v>1</v>
      </c>
      <c r="C1888" s="28" t="s">
        <v>5677</v>
      </c>
      <c r="D1888" s="28"/>
      <c r="E1888" s="28" t="s">
        <v>5678</v>
      </c>
      <c r="F1888" s="28" t="s">
        <v>5679</v>
      </c>
    </row>
    <row r="1889" spans="1:1022 1025:2046 2049:3070 3073:4094 4097:5118 5121:6142 6145:7166 7169:8190 8193:9214 9217:10238 10241:11262 11265:12286 12289:13310 13313:14334 14337:15358 15361:16382" x14ac:dyDescent="0.25">
      <c r="A1889" s="41">
        <v>44200</v>
      </c>
      <c r="B1889" s="28"/>
      <c r="C1889" s="28" t="s">
        <v>5097</v>
      </c>
      <c r="D1889" s="28"/>
      <c r="E1889" s="28" t="s">
        <v>5097</v>
      </c>
      <c r="F1889" s="28" t="s">
        <v>5427</v>
      </c>
    </row>
    <row r="1890" spans="1:1022 1025:2046 2049:3070 3073:4094 4097:5118 5121:6142 6145:7166 7169:8190 8193:9214 9217:10238 10241:11262 11265:12286 12289:13310 13313:14334 14337:15358 15361:16382" x14ac:dyDescent="0.25">
      <c r="A1890" s="40">
        <v>43725</v>
      </c>
      <c r="B1890" s="49"/>
      <c r="C1890" s="49" t="s">
        <v>1794</v>
      </c>
      <c r="D1890" s="49" t="s">
        <v>4190</v>
      </c>
      <c r="E1890" s="49" t="s">
        <v>4191</v>
      </c>
      <c r="F1890" s="49" t="s">
        <v>4192</v>
      </c>
    </row>
    <row r="1891" spans="1:1022 1025:2046 2049:3070 3073:4094 4097:5118 5121:6142 6145:7166 7169:8190 8193:9214 9217:10238 10241:11262 11265:12286 12289:13310 13313:14334 14337:15358 15361:16382" x14ac:dyDescent="0.25">
      <c r="A1891" s="40">
        <v>44011</v>
      </c>
      <c r="B1891" s="49"/>
      <c r="C1891" s="49" t="s">
        <v>4193</v>
      </c>
      <c r="D1891" s="49"/>
      <c r="E1891" s="49" t="s">
        <v>4193</v>
      </c>
      <c r="F1891" s="49" t="s">
        <v>4194</v>
      </c>
    </row>
    <row r="1892" spans="1:1022 1025:2046 2049:3070 3073:4094 4097:5118 5121:6142 6145:7166 7169:8190 8193:9214 9217:10238 10241:11262 11265:12286 12289:13310 13313:14334 14337:15358 15361:16382" x14ac:dyDescent="0.25">
      <c r="A1892" s="40">
        <v>44013</v>
      </c>
      <c r="B1892" s="49"/>
      <c r="C1892" s="49" t="s">
        <v>4195</v>
      </c>
      <c r="D1892" s="49"/>
      <c r="E1892" s="49" t="s">
        <v>4196</v>
      </c>
      <c r="F1892" s="49" t="s">
        <v>4197</v>
      </c>
    </row>
    <row r="1893" spans="1:1022 1025:2046 2049:3070 3073:4094 4097:5118 5121:6142 6145:7166 7169:8190 8193:9214 9217:10238 10241:11262 11265:12286 12289:13310 13313:14334 14337:15358 15361:16382" x14ac:dyDescent="0.25">
      <c r="A1893" s="40">
        <v>43760</v>
      </c>
      <c r="B1893" s="49"/>
      <c r="C1893" s="49" t="s">
        <v>4198</v>
      </c>
      <c r="D1893" s="49"/>
      <c r="E1893" s="49" t="s">
        <v>4199</v>
      </c>
      <c r="F1893" s="49" t="s">
        <v>4200</v>
      </c>
    </row>
    <row r="1894" spans="1:1022 1025:2046 2049:3070 3073:4094 4097:5118 5121:6142 6145:7166 7169:8190 8193:9214 9217:10238 10241:11262 11265:12286 12289:13310 13313:14334 14337:15358 15361:16382" x14ac:dyDescent="0.25">
      <c r="A1894" s="40">
        <v>43803</v>
      </c>
      <c r="B1894" s="49"/>
      <c r="C1894" s="49" t="s">
        <v>4201</v>
      </c>
      <c r="D1894" s="49"/>
      <c r="E1894" s="49" t="s">
        <v>4201</v>
      </c>
      <c r="F1894" s="49" t="s">
        <v>4202</v>
      </c>
      <c r="Q1894">
        <v>44583</v>
      </c>
      <c r="R1894">
        <v>0</v>
      </c>
      <c r="S1894" t="s">
        <v>5778</v>
      </c>
      <c r="T1894" t="s">
        <v>5778</v>
      </c>
      <c r="U1894" t="s">
        <v>5778</v>
      </c>
      <c r="V1894" t="s">
        <v>5779</v>
      </c>
      <c r="Y1894">
        <v>44583</v>
      </c>
      <c r="Z1894">
        <v>0</v>
      </c>
      <c r="AA1894" t="s">
        <v>5778</v>
      </c>
      <c r="AB1894" t="s">
        <v>5778</v>
      </c>
      <c r="AC1894" t="s">
        <v>5778</v>
      </c>
      <c r="AD1894" t="s">
        <v>5779</v>
      </c>
      <c r="AG1894">
        <v>44583</v>
      </c>
      <c r="AH1894">
        <v>0</v>
      </c>
      <c r="AI1894" t="s">
        <v>5778</v>
      </c>
      <c r="AJ1894" t="s">
        <v>5778</v>
      </c>
      <c r="AK1894" t="s">
        <v>5778</v>
      </c>
      <c r="AL1894" t="s">
        <v>5779</v>
      </c>
      <c r="AO1894">
        <v>44583</v>
      </c>
      <c r="AP1894">
        <v>0</v>
      </c>
      <c r="AQ1894" t="s">
        <v>5778</v>
      </c>
      <c r="AR1894" t="s">
        <v>5778</v>
      </c>
      <c r="AS1894" t="s">
        <v>5778</v>
      </c>
      <c r="AT1894" t="s">
        <v>5779</v>
      </c>
      <c r="AW1894">
        <v>44583</v>
      </c>
      <c r="AX1894">
        <v>0</v>
      </c>
      <c r="AY1894" t="s">
        <v>5778</v>
      </c>
      <c r="AZ1894" t="s">
        <v>5778</v>
      </c>
      <c r="BA1894" t="s">
        <v>5778</v>
      </c>
      <c r="BB1894" t="s">
        <v>5779</v>
      </c>
      <c r="BE1894">
        <v>44583</v>
      </c>
      <c r="BF1894">
        <v>0</v>
      </c>
      <c r="BG1894" t="s">
        <v>5778</v>
      </c>
      <c r="BH1894" t="s">
        <v>5778</v>
      </c>
      <c r="BI1894" t="s">
        <v>5778</v>
      </c>
      <c r="BJ1894" t="s">
        <v>5779</v>
      </c>
      <c r="BM1894">
        <v>44583</v>
      </c>
      <c r="BN1894">
        <v>0</v>
      </c>
      <c r="BO1894" t="s">
        <v>5778</v>
      </c>
      <c r="BP1894" t="s">
        <v>5778</v>
      </c>
      <c r="BQ1894" t="s">
        <v>5778</v>
      </c>
      <c r="BR1894" t="s">
        <v>5779</v>
      </c>
      <c r="BU1894">
        <v>44583</v>
      </c>
      <c r="BV1894">
        <v>0</v>
      </c>
      <c r="BW1894" t="s">
        <v>5778</v>
      </c>
      <c r="BX1894" t="s">
        <v>5778</v>
      </c>
      <c r="BY1894" t="s">
        <v>5778</v>
      </c>
      <c r="BZ1894" t="s">
        <v>5779</v>
      </c>
      <c r="CC1894">
        <v>44583</v>
      </c>
      <c r="CD1894">
        <v>0</v>
      </c>
      <c r="CE1894" t="s">
        <v>5778</v>
      </c>
      <c r="CF1894" t="s">
        <v>5778</v>
      </c>
      <c r="CG1894" t="s">
        <v>5778</v>
      </c>
      <c r="CH1894" t="s">
        <v>5779</v>
      </c>
      <c r="CK1894">
        <v>44583</v>
      </c>
      <c r="CL1894">
        <v>0</v>
      </c>
      <c r="CM1894" t="s">
        <v>5778</v>
      </c>
      <c r="CN1894" t="s">
        <v>5778</v>
      </c>
      <c r="CO1894" t="s">
        <v>5778</v>
      </c>
      <c r="CP1894" t="s">
        <v>5779</v>
      </c>
      <c r="CS1894">
        <v>44583</v>
      </c>
      <c r="CT1894">
        <v>0</v>
      </c>
      <c r="CU1894" t="s">
        <v>5778</v>
      </c>
      <c r="CV1894" t="s">
        <v>5778</v>
      </c>
      <c r="CW1894" t="s">
        <v>5778</v>
      </c>
      <c r="CX1894" t="s">
        <v>5779</v>
      </c>
      <c r="DA1894">
        <v>44583</v>
      </c>
      <c r="DB1894">
        <v>0</v>
      </c>
      <c r="DC1894" t="s">
        <v>5778</v>
      </c>
      <c r="DD1894" t="s">
        <v>5778</v>
      </c>
      <c r="DE1894" t="s">
        <v>5778</v>
      </c>
      <c r="DF1894" t="s">
        <v>5779</v>
      </c>
      <c r="DI1894">
        <v>44583</v>
      </c>
      <c r="DJ1894">
        <v>0</v>
      </c>
      <c r="DK1894" t="s">
        <v>5778</v>
      </c>
      <c r="DL1894" t="s">
        <v>5778</v>
      </c>
      <c r="DM1894" t="s">
        <v>5778</v>
      </c>
      <c r="DN1894" t="s">
        <v>5779</v>
      </c>
      <c r="DQ1894">
        <v>44583</v>
      </c>
      <c r="DR1894">
        <v>0</v>
      </c>
      <c r="DS1894" t="s">
        <v>5778</v>
      </c>
      <c r="DT1894" t="s">
        <v>5778</v>
      </c>
      <c r="DU1894" t="s">
        <v>5778</v>
      </c>
      <c r="DV1894" t="s">
        <v>5779</v>
      </c>
      <c r="DY1894">
        <v>44583</v>
      </c>
      <c r="DZ1894">
        <v>0</v>
      </c>
      <c r="EA1894" t="s">
        <v>5778</v>
      </c>
      <c r="EB1894" t="s">
        <v>5778</v>
      </c>
      <c r="EC1894" t="s">
        <v>5778</v>
      </c>
      <c r="ED1894" t="s">
        <v>5779</v>
      </c>
      <c r="EG1894">
        <v>44583</v>
      </c>
      <c r="EH1894">
        <v>0</v>
      </c>
      <c r="EI1894" t="s">
        <v>5778</v>
      </c>
      <c r="EJ1894" t="s">
        <v>5778</v>
      </c>
      <c r="EK1894" t="s">
        <v>5778</v>
      </c>
      <c r="EL1894" t="s">
        <v>5779</v>
      </c>
      <c r="EO1894">
        <v>44583</v>
      </c>
      <c r="EP1894">
        <v>0</v>
      </c>
      <c r="EQ1894" t="s">
        <v>5778</v>
      </c>
      <c r="ER1894" t="s">
        <v>5778</v>
      </c>
      <c r="ES1894" t="s">
        <v>5778</v>
      </c>
      <c r="ET1894" t="s">
        <v>5779</v>
      </c>
      <c r="EW1894">
        <v>44583</v>
      </c>
      <c r="EX1894">
        <v>0</v>
      </c>
      <c r="EY1894" t="s">
        <v>5778</v>
      </c>
      <c r="EZ1894" t="s">
        <v>5778</v>
      </c>
      <c r="FA1894" t="s">
        <v>5778</v>
      </c>
      <c r="FB1894" t="s">
        <v>5779</v>
      </c>
      <c r="FE1894">
        <v>44583</v>
      </c>
      <c r="FF1894">
        <v>0</v>
      </c>
      <c r="FG1894" t="s">
        <v>5778</v>
      </c>
      <c r="FH1894" t="s">
        <v>5778</v>
      </c>
      <c r="FI1894" t="s">
        <v>5778</v>
      </c>
      <c r="FJ1894" t="s">
        <v>5779</v>
      </c>
      <c r="FM1894">
        <v>44583</v>
      </c>
      <c r="FN1894">
        <v>0</v>
      </c>
      <c r="FO1894" t="s">
        <v>5778</v>
      </c>
      <c r="FP1894" t="s">
        <v>5778</v>
      </c>
      <c r="FQ1894" t="s">
        <v>5778</v>
      </c>
      <c r="FR1894" t="s">
        <v>5779</v>
      </c>
      <c r="FU1894">
        <v>44583</v>
      </c>
      <c r="FV1894">
        <v>0</v>
      </c>
      <c r="FW1894" t="s">
        <v>5778</v>
      </c>
      <c r="FX1894" t="s">
        <v>5778</v>
      </c>
      <c r="FY1894" t="s">
        <v>5778</v>
      </c>
      <c r="FZ1894" t="s">
        <v>5779</v>
      </c>
      <c r="GC1894">
        <v>44583</v>
      </c>
      <c r="GD1894">
        <v>0</v>
      </c>
      <c r="GE1894" t="s">
        <v>5778</v>
      </c>
      <c r="GF1894" t="s">
        <v>5778</v>
      </c>
      <c r="GG1894" t="s">
        <v>5778</v>
      </c>
      <c r="GH1894" t="s">
        <v>5779</v>
      </c>
      <c r="GK1894">
        <v>44583</v>
      </c>
      <c r="GL1894">
        <v>0</v>
      </c>
      <c r="GM1894" t="s">
        <v>5778</v>
      </c>
      <c r="GN1894" t="s">
        <v>5778</v>
      </c>
      <c r="GO1894" t="s">
        <v>5778</v>
      </c>
      <c r="GP1894" t="s">
        <v>5779</v>
      </c>
      <c r="GS1894">
        <v>44583</v>
      </c>
      <c r="GT1894">
        <v>0</v>
      </c>
      <c r="GU1894" t="s">
        <v>5778</v>
      </c>
      <c r="GV1894" t="s">
        <v>5778</v>
      </c>
      <c r="GW1894" t="s">
        <v>5778</v>
      </c>
      <c r="GX1894" t="s">
        <v>5779</v>
      </c>
      <c r="HA1894">
        <v>44583</v>
      </c>
      <c r="HB1894">
        <v>0</v>
      </c>
      <c r="HC1894" t="s">
        <v>5778</v>
      </c>
      <c r="HD1894" t="s">
        <v>5778</v>
      </c>
      <c r="HE1894" t="s">
        <v>5778</v>
      </c>
      <c r="HF1894" t="s">
        <v>5779</v>
      </c>
      <c r="HI1894">
        <v>44583</v>
      </c>
      <c r="HJ1894">
        <v>0</v>
      </c>
      <c r="HK1894" t="s">
        <v>5778</v>
      </c>
      <c r="HL1894" t="s">
        <v>5778</v>
      </c>
      <c r="HM1894" t="s">
        <v>5778</v>
      </c>
      <c r="HN1894" t="s">
        <v>5779</v>
      </c>
      <c r="HQ1894">
        <v>44583</v>
      </c>
      <c r="HR1894">
        <v>0</v>
      </c>
      <c r="HS1894" t="s">
        <v>5778</v>
      </c>
      <c r="HT1894" t="s">
        <v>5778</v>
      </c>
      <c r="HU1894" t="s">
        <v>5778</v>
      </c>
      <c r="HV1894" t="s">
        <v>5779</v>
      </c>
      <c r="HY1894">
        <v>44583</v>
      </c>
      <c r="HZ1894">
        <v>0</v>
      </c>
      <c r="IA1894" t="s">
        <v>5778</v>
      </c>
      <c r="IB1894" t="s">
        <v>5778</v>
      </c>
      <c r="IC1894" t="s">
        <v>5778</v>
      </c>
      <c r="ID1894" t="s">
        <v>5779</v>
      </c>
      <c r="IG1894">
        <v>44583</v>
      </c>
      <c r="IH1894">
        <v>0</v>
      </c>
      <c r="II1894" t="s">
        <v>5778</v>
      </c>
      <c r="IJ1894" t="s">
        <v>5778</v>
      </c>
      <c r="IK1894" t="s">
        <v>5778</v>
      </c>
      <c r="IL1894" t="s">
        <v>5779</v>
      </c>
      <c r="IO1894">
        <v>44583</v>
      </c>
      <c r="IP1894">
        <v>0</v>
      </c>
      <c r="IQ1894" t="s">
        <v>5778</v>
      </c>
      <c r="IR1894" t="s">
        <v>5778</v>
      </c>
      <c r="IS1894" t="s">
        <v>5778</v>
      </c>
      <c r="IT1894" t="s">
        <v>5779</v>
      </c>
      <c r="IW1894">
        <v>44583</v>
      </c>
      <c r="IX1894">
        <v>0</v>
      </c>
      <c r="IY1894" t="s">
        <v>5778</v>
      </c>
      <c r="IZ1894" t="s">
        <v>5778</v>
      </c>
      <c r="JA1894" t="s">
        <v>5778</v>
      </c>
      <c r="JB1894" t="s">
        <v>5779</v>
      </c>
      <c r="JE1894">
        <v>44583</v>
      </c>
      <c r="JF1894">
        <v>0</v>
      </c>
      <c r="JG1894" t="s">
        <v>5778</v>
      </c>
      <c r="JH1894" t="s">
        <v>5778</v>
      </c>
      <c r="JI1894" t="s">
        <v>5778</v>
      </c>
      <c r="JJ1894" t="s">
        <v>5779</v>
      </c>
      <c r="JM1894">
        <v>44583</v>
      </c>
      <c r="JN1894">
        <v>0</v>
      </c>
      <c r="JO1894" t="s">
        <v>5778</v>
      </c>
      <c r="JP1894" t="s">
        <v>5778</v>
      </c>
      <c r="JQ1894" t="s">
        <v>5778</v>
      </c>
      <c r="JR1894" t="s">
        <v>5779</v>
      </c>
      <c r="JU1894">
        <v>44583</v>
      </c>
      <c r="JV1894">
        <v>0</v>
      </c>
      <c r="JW1894" t="s">
        <v>5778</v>
      </c>
      <c r="JX1894" t="s">
        <v>5778</v>
      </c>
      <c r="JY1894" t="s">
        <v>5778</v>
      </c>
      <c r="JZ1894" t="s">
        <v>5779</v>
      </c>
      <c r="KC1894">
        <v>44583</v>
      </c>
      <c r="KD1894">
        <v>0</v>
      </c>
      <c r="KE1894" t="s">
        <v>5778</v>
      </c>
      <c r="KF1894" t="s">
        <v>5778</v>
      </c>
      <c r="KG1894" t="s">
        <v>5778</v>
      </c>
      <c r="KH1894" t="s">
        <v>5779</v>
      </c>
      <c r="KK1894">
        <v>44583</v>
      </c>
      <c r="KL1894">
        <v>0</v>
      </c>
      <c r="KM1894" t="s">
        <v>5778</v>
      </c>
      <c r="KN1894" t="s">
        <v>5778</v>
      </c>
      <c r="KO1894" t="s">
        <v>5778</v>
      </c>
      <c r="KP1894" t="s">
        <v>5779</v>
      </c>
      <c r="KS1894">
        <v>44583</v>
      </c>
      <c r="KT1894">
        <v>0</v>
      </c>
      <c r="KU1894" t="s">
        <v>5778</v>
      </c>
      <c r="KV1894" t="s">
        <v>5778</v>
      </c>
      <c r="KW1894" t="s">
        <v>5778</v>
      </c>
      <c r="KX1894" t="s">
        <v>5779</v>
      </c>
      <c r="LA1894">
        <v>44583</v>
      </c>
      <c r="LB1894">
        <v>0</v>
      </c>
      <c r="LC1894" t="s">
        <v>5778</v>
      </c>
      <c r="LD1894" t="s">
        <v>5778</v>
      </c>
      <c r="LE1894" t="s">
        <v>5778</v>
      </c>
      <c r="LF1894" t="s">
        <v>5779</v>
      </c>
      <c r="LI1894">
        <v>44583</v>
      </c>
      <c r="LJ1894">
        <v>0</v>
      </c>
      <c r="LK1894" t="s">
        <v>5778</v>
      </c>
      <c r="LL1894" t="s">
        <v>5778</v>
      </c>
      <c r="LM1894" t="s">
        <v>5778</v>
      </c>
      <c r="LN1894" t="s">
        <v>5779</v>
      </c>
      <c r="LQ1894">
        <v>44583</v>
      </c>
      <c r="LR1894">
        <v>0</v>
      </c>
      <c r="LS1894" t="s">
        <v>5778</v>
      </c>
      <c r="LT1894" t="s">
        <v>5778</v>
      </c>
      <c r="LU1894" t="s">
        <v>5778</v>
      </c>
      <c r="LV1894" t="s">
        <v>5779</v>
      </c>
      <c r="LY1894">
        <v>44583</v>
      </c>
      <c r="LZ1894">
        <v>0</v>
      </c>
      <c r="MA1894" t="s">
        <v>5778</v>
      </c>
      <c r="MB1894" t="s">
        <v>5778</v>
      </c>
      <c r="MC1894" t="s">
        <v>5778</v>
      </c>
      <c r="MD1894" t="s">
        <v>5779</v>
      </c>
      <c r="MG1894">
        <v>44583</v>
      </c>
      <c r="MH1894">
        <v>0</v>
      </c>
      <c r="MI1894" t="s">
        <v>5778</v>
      </c>
      <c r="MJ1894" t="s">
        <v>5778</v>
      </c>
      <c r="MK1894" t="s">
        <v>5778</v>
      </c>
      <c r="ML1894" t="s">
        <v>5779</v>
      </c>
      <c r="MO1894">
        <v>44583</v>
      </c>
      <c r="MP1894">
        <v>0</v>
      </c>
      <c r="MQ1894" t="s">
        <v>5778</v>
      </c>
      <c r="MR1894" t="s">
        <v>5778</v>
      </c>
      <c r="MS1894" t="s">
        <v>5778</v>
      </c>
      <c r="MT1894" t="s">
        <v>5779</v>
      </c>
      <c r="MW1894">
        <v>44583</v>
      </c>
      <c r="MX1894">
        <v>0</v>
      </c>
      <c r="MY1894" t="s">
        <v>5778</v>
      </c>
      <c r="MZ1894" t="s">
        <v>5778</v>
      </c>
      <c r="NA1894" t="s">
        <v>5778</v>
      </c>
      <c r="NB1894" t="s">
        <v>5779</v>
      </c>
      <c r="NE1894">
        <v>44583</v>
      </c>
      <c r="NF1894">
        <v>0</v>
      </c>
      <c r="NG1894" t="s">
        <v>5778</v>
      </c>
      <c r="NH1894" t="s">
        <v>5778</v>
      </c>
      <c r="NI1894" t="s">
        <v>5778</v>
      </c>
      <c r="NJ1894" t="s">
        <v>5779</v>
      </c>
      <c r="NM1894">
        <v>44583</v>
      </c>
      <c r="NN1894">
        <v>0</v>
      </c>
      <c r="NO1894" t="s">
        <v>5778</v>
      </c>
      <c r="NP1894" t="s">
        <v>5778</v>
      </c>
      <c r="NQ1894" t="s">
        <v>5778</v>
      </c>
      <c r="NR1894" t="s">
        <v>5779</v>
      </c>
      <c r="NU1894">
        <v>44583</v>
      </c>
      <c r="NV1894">
        <v>0</v>
      </c>
      <c r="NW1894" t="s">
        <v>5778</v>
      </c>
      <c r="NX1894" t="s">
        <v>5778</v>
      </c>
      <c r="NY1894" t="s">
        <v>5778</v>
      </c>
      <c r="NZ1894" t="s">
        <v>5779</v>
      </c>
      <c r="OC1894">
        <v>44583</v>
      </c>
      <c r="OD1894">
        <v>0</v>
      </c>
      <c r="OE1894" t="s">
        <v>5778</v>
      </c>
      <c r="OF1894" t="s">
        <v>5778</v>
      </c>
      <c r="OG1894" t="s">
        <v>5778</v>
      </c>
      <c r="OH1894" t="s">
        <v>5779</v>
      </c>
      <c r="OK1894">
        <v>44583</v>
      </c>
      <c r="OL1894">
        <v>0</v>
      </c>
      <c r="OM1894" t="s">
        <v>5778</v>
      </c>
      <c r="ON1894" t="s">
        <v>5778</v>
      </c>
      <c r="OO1894" t="s">
        <v>5778</v>
      </c>
      <c r="OP1894" t="s">
        <v>5779</v>
      </c>
      <c r="OS1894">
        <v>44583</v>
      </c>
      <c r="OT1894">
        <v>0</v>
      </c>
      <c r="OU1894" t="s">
        <v>5778</v>
      </c>
      <c r="OV1894" t="s">
        <v>5778</v>
      </c>
      <c r="OW1894" t="s">
        <v>5778</v>
      </c>
      <c r="OX1894" t="s">
        <v>5779</v>
      </c>
      <c r="PA1894">
        <v>44583</v>
      </c>
      <c r="PB1894">
        <v>0</v>
      </c>
      <c r="PC1894" t="s">
        <v>5778</v>
      </c>
      <c r="PD1894" t="s">
        <v>5778</v>
      </c>
      <c r="PE1894" t="s">
        <v>5778</v>
      </c>
      <c r="PF1894" t="s">
        <v>5779</v>
      </c>
      <c r="PI1894">
        <v>44583</v>
      </c>
      <c r="PJ1894">
        <v>0</v>
      </c>
      <c r="PK1894" t="s">
        <v>5778</v>
      </c>
      <c r="PL1894" t="s">
        <v>5778</v>
      </c>
      <c r="PM1894" t="s">
        <v>5778</v>
      </c>
      <c r="PN1894" t="s">
        <v>5779</v>
      </c>
      <c r="PQ1894">
        <v>44583</v>
      </c>
      <c r="PR1894">
        <v>0</v>
      </c>
      <c r="PS1894" t="s">
        <v>5778</v>
      </c>
      <c r="PT1894" t="s">
        <v>5778</v>
      </c>
      <c r="PU1894" t="s">
        <v>5778</v>
      </c>
      <c r="PV1894" t="s">
        <v>5779</v>
      </c>
      <c r="PY1894">
        <v>44583</v>
      </c>
      <c r="PZ1894">
        <v>0</v>
      </c>
      <c r="QA1894" t="s">
        <v>5778</v>
      </c>
      <c r="QB1894" t="s">
        <v>5778</v>
      </c>
      <c r="QC1894" t="s">
        <v>5778</v>
      </c>
      <c r="QD1894" t="s">
        <v>5779</v>
      </c>
      <c r="QG1894">
        <v>44583</v>
      </c>
      <c r="QH1894">
        <v>0</v>
      </c>
      <c r="QI1894" t="s">
        <v>5778</v>
      </c>
      <c r="QJ1894" t="s">
        <v>5778</v>
      </c>
      <c r="QK1894" t="s">
        <v>5778</v>
      </c>
      <c r="QL1894" t="s">
        <v>5779</v>
      </c>
      <c r="QO1894">
        <v>44583</v>
      </c>
      <c r="QP1894">
        <v>0</v>
      </c>
      <c r="QQ1894" t="s">
        <v>5778</v>
      </c>
      <c r="QR1894" t="s">
        <v>5778</v>
      </c>
      <c r="QS1894" t="s">
        <v>5778</v>
      </c>
      <c r="QT1894" t="s">
        <v>5779</v>
      </c>
      <c r="QW1894">
        <v>44583</v>
      </c>
      <c r="QX1894">
        <v>0</v>
      </c>
      <c r="QY1894" t="s">
        <v>5778</v>
      </c>
      <c r="QZ1894" t="s">
        <v>5778</v>
      </c>
      <c r="RA1894" t="s">
        <v>5778</v>
      </c>
      <c r="RB1894" t="s">
        <v>5779</v>
      </c>
      <c r="RE1894">
        <v>44583</v>
      </c>
      <c r="RF1894">
        <v>0</v>
      </c>
      <c r="RG1894" t="s">
        <v>5778</v>
      </c>
      <c r="RH1894" t="s">
        <v>5778</v>
      </c>
      <c r="RI1894" t="s">
        <v>5778</v>
      </c>
      <c r="RJ1894" t="s">
        <v>5779</v>
      </c>
      <c r="RM1894">
        <v>44583</v>
      </c>
      <c r="RN1894">
        <v>0</v>
      </c>
      <c r="RO1894" t="s">
        <v>5778</v>
      </c>
      <c r="RP1894" t="s">
        <v>5778</v>
      </c>
      <c r="RQ1894" t="s">
        <v>5778</v>
      </c>
      <c r="RR1894" t="s">
        <v>5779</v>
      </c>
      <c r="RU1894">
        <v>44583</v>
      </c>
      <c r="RV1894">
        <v>0</v>
      </c>
      <c r="RW1894" t="s">
        <v>5778</v>
      </c>
      <c r="RX1894" t="s">
        <v>5778</v>
      </c>
      <c r="RY1894" t="s">
        <v>5778</v>
      </c>
      <c r="RZ1894" t="s">
        <v>5779</v>
      </c>
      <c r="SC1894">
        <v>44583</v>
      </c>
      <c r="SD1894">
        <v>0</v>
      </c>
      <c r="SE1894" t="s">
        <v>5778</v>
      </c>
      <c r="SF1894" t="s">
        <v>5778</v>
      </c>
      <c r="SG1894" t="s">
        <v>5778</v>
      </c>
      <c r="SH1894" t="s">
        <v>5779</v>
      </c>
      <c r="SK1894">
        <v>44583</v>
      </c>
      <c r="SL1894">
        <v>0</v>
      </c>
      <c r="SM1894" t="s">
        <v>5778</v>
      </c>
      <c r="SN1894" t="s">
        <v>5778</v>
      </c>
      <c r="SO1894" t="s">
        <v>5778</v>
      </c>
      <c r="SP1894" t="s">
        <v>5779</v>
      </c>
      <c r="SS1894">
        <v>44583</v>
      </c>
      <c r="ST1894">
        <v>0</v>
      </c>
      <c r="SU1894" t="s">
        <v>5778</v>
      </c>
      <c r="SV1894" t="s">
        <v>5778</v>
      </c>
      <c r="SW1894" t="s">
        <v>5778</v>
      </c>
      <c r="SX1894" t="s">
        <v>5779</v>
      </c>
      <c r="TA1894">
        <v>44583</v>
      </c>
      <c r="TB1894">
        <v>0</v>
      </c>
      <c r="TC1894" t="s">
        <v>5778</v>
      </c>
      <c r="TD1894" t="s">
        <v>5778</v>
      </c>
      <c r="TE1894" t="s">
        <v>5778</v>
      </c>
      <c r="TF1894" t="s">
        <v>5779</v>
      </c>
      <c r="TI1894">
        <v>44583</v>
      </c>
      <c r="TJ1894">
        <v>0</v>
      </c>
      <c r="TK1894" t="s">
        <v>5778</v>
      </c>
      <c r="TL1894" t="s">
        <v>5778</v>
      </c>
      <c r="TM1894" t="s">
        <v>5778</v>
      </c>
      <c r="TN1894" t="s">
        <v>5779</v>
      </c>
      <c r="TQ1894">
        <v>44583</v>
      </c>
      <c r="TR1894">
        <v>0</v>
      </c>
      <c r="TS1894" t="s">
        <v>5778</v>
      </c>
      <c r="TT1894" t="s">
        <v>5778</v>
      </c>
      <c r="TU1894" t="s">
        <v>5778</v>
      </c>
      <c r="TV1894" t="s">
        <v>5779</v>
      </c>
      <c r="TY1894">
        <v>44583</v>
      </c>
      <c r="TZ1894">
        <v>0</v>
      </c>
      <c r="UA1894" t="s">
        <v>5778</v>
      </c>
      <c r="UB1894" t="s">
        <v>5778</v>
      </c>
      <c r="UC1894" t="s">
        <v>5778</v>
      </c>
      <c r="UD1894" t="s">
        <v>5779</v>
      </c>
      <c r="UG1894">
        <v>44583</v>
      </c>
      <c r="UH1894">
        <v>0</v>
      </c>
      <c r="UI1894" t="s">
        <v>5778</v>
      </c>
      <c r="UJ1894" t="s">
        <v>5778</v>
      </c>
      <c r="UK1894" t="s">
        <v>5778</v>
      </c>
      <c r="UL1894" t="s">
        <v>5779</v>
      </c>
      <c r="UO1894">
        <v>44583</v>
      </c>
      <c r="UP1894">
        <v>0</v>
      </c>
      <c r="UQ1894" t="s">
        <v>5778</v>
      </c>
      <c r="UR1894" t="s">
        <v>5778</v>
      </c>
      <c r="US1894" t="s">
        <v>5778</v>
      </c>
      <c r="UT1894" t="s">
        <v>5779</v>
      </c>
      <c r="UW1894">
        <v>44583</v>
      </c>
      <c r="UX1894">
        <v>0</v>
      </c>
      <c r="UY1894" t="s">
        <v>5778</v>
      </c>
      <c r="UZ1894" t="s">
        <v>5778</v>
      </c>
      <c r="VA1894" t="s">
        <v>5778</v>
      </c>
      <c r="VB1894" t="s">
        <v>5779</v>
      </c>
      <c r="VE1894">
        <v>44583</v>
      </c>
      <c r="VF1894">
        <v>0</v>
      </c>
      <c r="VG1894" t="s">
        <v>5778</v>
      </c>
      <c r="VH1894" t="s">
        <v>5778</v>
      </c>
      <c r="VI1894" t="s">
        <v>5778</v>
      </c>
      <c r="VJ1894" t="s">
        <v>5779</v>
      </c>
      <c r="VM1894">
        <v>44583</v>
      </c>
      <c r="VN1894">
        <v>0</v>
      </c>
      <c r="VO1894" t="s">
        <v>5778</v>
      </c>
      <c r="VP1894" t="s">
        <v>5778</v>
      </c>
      <c r="VQ1894" t="s">
        <v>5778</v>
      </c>
      <c r="VR1894" t="s">
        <v>5779</v>
      </c>
      <c r="VU1894">
        <v>44583</v>
      </c>
      <c r="VV1894">
        <v>0</v>
      </c>
      <c r="VW1894" t="s">
        <v>5778</v>
      </c>
      <c r="VX1894" t="s">
        <v>5778</v>
      </c>
      <c r="VY1894" t="s">
        <v>5778</v>
      </c>
      <c r="VZ1894" t="s">
        <v>5779</v>
      </c>
      <c r="WC1894">
        <v>44583</v>
      </c>
      <c r="WD1894">
        <v>0</v>
      </c>
      <c r="WE1894" t="s">
        <v>5778</v>
      </c>
      <c r="WF1894" t="s">
        <v>5778</v>
      </c>
      <c r="WG1894" t="s">
        <v>5778</v>
      </c>
      <c r="WH1894" t="s">
        <v>5779</v>
      </c>
      <c r="WK1894">
        <v>44583</v>
      </c>
      <c r="WL1894">
        <v>0</v>
      </c>
      <c r="WM1894" t="s">
        <v>5778</v>
      </c>
      <c r="WN1894" t="s">
        <v>5778</v>
      </c>
      <c r="WO1894" t="s">
        <v>5778</v>
      </c>
      <c r="WP1894" t="s">
        <v>5779</v>
      </c>
      <c r="WS1894">
        <v>44583</v>
      </c>
      <c r="WT1894">
        <v>0</v>
      </c>
      <c r="WU1894" t="s">
        <v>5778</v>
      </c>
      <c r="WV1894" t="s">
        <v>5778</v>
      </c>
      <c r="WW1894" t="s">
        <v>5778</v>
      </c>
      <c r="WX1894" t="s">
        <v>5779</v>
      </c>
      <c r="XA1894">
        <v>44583</v>
      </c>
      <c r="XB1894">
        <v>0</v>
      </c>
      <c r="XC1894" t="s">
        <v>5778</v>
      </c>
      <c r="XD1894" t="s">
        <v>5778</v>
      </c>
      <c r="XE1894" t="s">
        <v>5778</v>
      </c>
      <c r="XF1894" t="s">
        <v>5779</v>
      </c>
      <c r="XI1894">
        <v>44583</v>
      </c>
      <c r="XJ1894">
        <v>0</v>
      </c>
      <c r="XK1894" t="s">
        <v>5778</v>
      </c>
      <c r="XL1894" t="s">
        <v>5778</v>
      </c>
      <c r="XM1894" t="s">
        <v>5778</v>
      </c>
      <c r="XN1894" t="s">
        <v>5779</v>
      </c>
      <c r="XQ1894">
        <v>44583</v>
      </c>
      <c r="XR1894">
        <v>0</v>
      </c>
      <c r="XS1894" t="s">
        <v>5778</v>
      </c>
      <c r="XT1894" t="s">
        <v>5778</v>
      </c>
      <c r="XU1894" t="s">
        <v>5778</v>
      </c>
      <c r="XV1894" t="s">
        <v>5779</v>
      </c>
      <c r="XY1894">
        <v>44583</v>
      </c>
      <c r="XZ1894">
        <v>0</v>
      </c>
      <c r="YA1894" t="s">
        <v>5778</v>
      </c>
      <c r="YB1894" t="s">
        <v>5778</v>
      </c>
      <c r="YC1894" t="s">
        <v>5778</v>
      </c>
      <c r="YD1894" t="s">
        <v>5779</v>
      </c>
      <c r="YG1894">
        <v>44583</v>
      </c>
      <c r="YH1894">
        <v>0</v>
      </c>
      <c r="YI1894" t="s">
        <v>5778</v>
      </c>
      <c r="YJ1894" t="s">
        <v>5778</v>
      </c>
      <c r="YK1894" t="s">
        <v>5778</v>
      </c>
      <c r="YL1894" t="s">
        <v>5779</v>
      </c>
      <c r="YO1894">
        <v>44583</v>
      </c>
      <c r="YP1894">
        <v>0</v>
      </c>
      <c r="YQ1894" t="s">
        <v>5778</v>
      </c>
      <c r="YR1894" t="s">
        <v>5778</v>
      </c>
      <c r="YS1894" t="s">
        <v>5778</v>
      </c>
      <c r="YT1894" t="s">
        <v>5779</v>
      </c>
      <c r="YW1894">
        <v>44583</v>
      </c>
      <c r="YX1894">
        <v>0</v>
      </c>
      <c r="YY1894" t="s">
        <v>5778</v>
      </c>
      <c r="YZ1894" t="s">
        <v>5778</v>
      </c>
      <c r="ZA1894" t="s">
        <v>5778</v>
      </c>
      <c r="ZB1894" t="s">
        <v>5779</v>
      </c>
      <c r="ZE1894">
        <v>44583</v>
      </c>
      <c r="ZF1894">
        <v>0</v>
      </c>
      <c r="ZG1894" t="s">
        <v>5778</v>
      </c>
      <c r="ZH1894" t="s">
        <v>5778</v>
      </c>
      <c r="ZI1894" t="s">
        <v>5778</v>
      </c>
      <c r="ZJ1894" t="s">
        <v>5779</v>
      </c>
      <c r="ZM1894">
        <v>44583</v>
      </c>
      <c r="ZN1894">
        <v>0</v>
      </c>
      <c r="ZO1894" t="s">
        <v>5778</v>
      </c>
      <c r="ZP1894" t="s">
        <v>5778</v>
      </c>
      <c r="ZQ1894" t="s">
        <v>5778</v>
      </c>
      <c r="ZR1894" t="s">
        <v>5779</v>
      </c>
      <c r="ZU1894">
        <v>44583</v>
      </c>
      <c r="ZV1894">
        <v>0</v>
      </c>
      <c r="ZW1894" t="s">
        <v>5778</v>
      </c>
      <c r="ZX1894" t="s">
        <v>5778</v>
      </c>
      <c r="ZY1894" t="s">
        <v>5778</v>
      </c>
      <c r="ZZ1894" t="s">
        <v>5779</v>
      </c>
      <c r="AAC1894">
        <v>44583</v>
      </c>
      <c r="AAD1894">
        <v>0</v>
      </c>
      <c r="AAE1894" t="s">
        <v>5778</v>
      </c>
      <c r="AAF1894" t="s">
        <v>5778</v>
      </c>
      <c r="AAG1894" t="s">
        <v>5778</v>
      </c>
      <c r="AAH1894" t="s">
        <v>5779</v>
      </c>
      <c r="AAK1894">
        <v>44583</v>
      </c>
      <c r="AAL1894">
        <v>0</v>
      </c>
      <c r="AAM1894" t="s">
        <v>5778</v>
      </c>
      <c r="AAN1894" t="s">
        <v>5778</v>
      </c>
      <c r="AAO1894" t="s">
        <v>5778</v>
      </c>
      <c r="AAP1894" t="s">
        <v>5779</v>
      </c>
      <c r="AAS1894">
        <v>44583</v>
      </c>
      <c r="AAT1894">
        <v>0</v>
      </c>
      <c r="AAU1894" t="s">
        <v>5778</v>
      </c>
      <c r="AAV1894" t="s">
        <v>5778</v>
      </c>
      <c r="AAW1894" t="s">
        <v>5778</v>
      </c>
      <c r="AAX1894" t="s">
        <v>5779</v>
      </c>
      <c r="ABA1894">
        <v>44583</v>
      </c>
      <c r="ABB1894">
        <v>0</v>
      </c>
      <c r="ABC1894" t="s">
        <v>5778</v>
      </c>
      <c r="ABD1894" t="s">
        <v>5778</v>
      </c>
      <c r="ABE1894" t="s">
        <v>5778</v>
      </c>
      <c r="ABF1894" t="s">
        <v>5779</v>
      </c>
      <c r="ABI1894">
        <v>44583</v>
      </c>
      <c r="ABJ1894">
        <v>0</v>
      </c>
      <c r="ABK1894" t="s">
        <v>5778</v>
      </c>
      <c r="ABL1894" t="s">
        <v>5778</v>
      </c>
      <c r="ABM1894" t="s">
        <v>5778</v>
      </c>
      <c r="ABN1894" t="s">
        <v>5779</v>
      </c>
      <c r="ABQ1894">
        <v>44583</v>
      </c>
      <c r="ABR1894">
        <v>0</v>
      </c>
      <c r="ABS1894" t="s">
        <v>5778</v>
      </c>
      <c r="ABT1894" t="s">
        <v>5778</v>
      </c>
      <c r="ABU1894" t="s">
        <v>5778</v>
      </c>
      <c r="ABV1894" t="s">
        <v>5779</v>
      </c>
      <c r="ABY1894">
        <v>44583</v>
      </c>
      <c r="ABZ1894">
        <v>0</v>
      </c>
      <c r="ACA1894" t="s">
        <v>5778</v>
      </c>
      <c r="ACB1894" t="s">
        <v>5778</v>
      </c>
      <c r="ACC1894" t="s">
        <v>5778</v>
      </c>
      <c r="ACD1894" t="s">
        <v>5779</v>
      </c>
      <c r="ACG1894">
        <v>44583</v>
      </c>
      <c r="ACH1894">
        <v>0</v>
      </c>
      <c r="ACI1894" t="s">
        <v>5778</v>
      </c>
      <c r="ACJ1894" t="s">
        <v>5778</v>
      </c>
      <c r="ACK1894" t="s">
        <v>5778</v>
      </c>
      <c r="ACL1894" t="s">
        <v>5779</v>
      </c>
      <c r="ACO1894">
        <v>44583</v>
      </c>
      <c r="ACP1894">
        <v>0</v>
      </c>
      <c r="ACQ1894" t="s">
        <v>5778</v>
      </c>
      <c r="ACR1894" t="s">
        <v>5778</v>
      </c>
      <c r="ACS1894" t="s">
        <v>5778</v>
      </c>
      <c r="ACT1894" t="s">
        <v>5779</v>
      </c>
      <c r="ACW1894">
        <v>44583</v>
      </c>
      <c r="ACX1894">
        <v>0</v>
      </c>
      <c r="ACY1894" t="s">
        <v>5778</v>
      </c>
      <c r="ACZ1894" t="s">
        <v>5778</v>
      </c>
      <c r="ADA1894" t="s">
        <v>5778</v>
      </c>
      <c r="ADB1894" t="s">
        <v>5779</v>
      </c>
      <c r="ADE1894">
        <v>44583</v>
      </c>
      <c r="ADF1894">
        <v>0</v>
      </c>
      <c r="ADG1894" t="s">
        <v>5778</v>
      </c>
      <c r="ADH1894" t="s">
        <v>5778</v>
      </c>
      <c r="ADI1894" t="s">
        <v>5778</v>
      </c>
      <c r="ADJ1894" t="s">
        <v>5779</v>
      </c>
      <c r="ADM1894">
        <v>44583</v>
      </c>
      <c r="ADN1894">
        <v>0</v>
      </c>
      <c r="ADO1894" t="s">
        <v>5778</v>
      </c>
      <c r="ADP1894" t="s">
        <v>5778</v>
      </c>
      <c r="ADQ1894" t="s">
        <v>5778</v>
      </c>
      <c r="ADR1894" t="s">
        <v>5779</v>
      </c>
      <c r="ADU1894">
        <v>44583</v>
      </c>
      <c r="ADV1894">
        <v>0</v>
      </c>
      <c r="ADW1894" t="s">
        <v>5778</v>
      </c>
      <c r="ADX1894" t="s">
        <v>5778</v>
      </c>
      <c r="ADY1894" t="s">
        <v>5778</v>
      </c>
      <c r="ADZ1894" t="s">
        <v>5779</v>
      </c>
      <c r="AEC1894">
        <v>44583</v>
      </c>
      <c r="AED1894">
        <v>0</v>
      </c>
      <c r="AEE1894" t="s">
        <v>5778</v>
      </c>
      <c r="AEF1894" t="s">
        <v>5778</v>
      </c>
      <c r="AEG1894" t="s">
        <v>5778</v>
      </c>
      <c r="AEH1894" t="s">
        <v>5779</v>
      </c>
      <c r="AEK1894">
        <v>44583</v>
      </c>
      <c r="AEL1894">
        <v>0</v>
      </c>
      <c r="AEM1894" t="s">
        <v>5778</v>
      </c>
      <c r="AEN1894" t="s">
        <v>5778</v>
      </c>
      <c r="AEO1894" t="s">
        <v>5778</v>
      </c>
      <c r="AEP1894" t="s">
        <v>5779</v>
      </c>
      <c r="AES1894">
        <v>44583</v>
      </c>
      <c r="AET1894">
        <v>0</v>
      </c>
      <c r="AEU1894" t="s">
        <v>5778</v>
      </c>
      <c r="AEV1894" t="s">
        <v>5778</v>
      </c>
      <c r="AEW1894" t="s">
        <v>5778</v>
      </c>
      <c r="AEX1894" t="s">
        <v>5779</v>
      </c>
      <c r="AFA1894">
        <v>44583</v>
      </c>
      <c r="AFB1894">
        <v>0</v>
      </c>
      <c r="AFC1894" t="s">
        <v>5778</v>
      </c>
      <c r="AFD1894" t="s">
        <v>5778</v>
      </c>
      <c r="AFE1894" t="s">
        <v>5778</v>
      </c>
      <c r="AFF1894" t="s">
        <v>5779</v>
      </c>
      <c r="AFI1894">
        <v>44583</v>
      </c>
      <c r="AFJ1894">
        <v>0</v>
      </c>
      <c r="AFK1894" t="s">
        <v>5778</v>
      </c>
      <c r="AFL1894" t="s">
        <v>5778</v>
      </c>
      <c r="AFM1894" t="s">
        <v>5778</v>
      </c>
      <c r="AFN1894" t="s">
        <v>5779</v>
      </c>
      <c r="AFQ1894">
        <v>44583</v>
      </c>
      <c r="AFR1894">
        <v>0</v>
      </c>
      <c r="AFS1894" t="s">
        <v>5778</v>
      </c>
      <c r="AFT1894" t="s">
        <v>5778</v>
      </c>
      <c r="AFU1894" t="s">
        <v>5778</v>
      </c>
      <c r="AFV1894" t="s">
        <v>5779</v>
      </c>
      <c r="AFY1894">
        <v>44583</v>
      </c>
      <c r="AFZ1894">
        <v>0</v>
      </c>
      <c r="AGA1894" t="s">
        <v>5778</v>
      </c>
      <c r="AGB1894" t="s">
        <v>5778</v>
      </c>
      <c r="AGC1894" t="s">
        <v>5778</v>
      </c>
      <c r="AGD1894" t="s">
        <v>5779</v>
      </c>
      <c r="AGG1894">
        <v>44583</v>
      </c>
      <c r="AGH1894">
        <v>0</v>
      </c>
      <c r="AGI1894" t="s">
        <v>5778</v>
      </c>
      <c r="AGJ1894" t="s">
        <v>5778</v>
      </c>
      <c r="AGK1894" t="s">
        <v>5778</v>
      </c>
      <c r="AGL1894" t="s">
        <v>5779</v>
      </c>
      <c r="AGO1894">
        <v>44583</v>
      </c>
      <c r="AGP1894">
        <v>0</v>
      </c>
      <c r="AGQ1894" t="s">
        <v>5778</v>
      </c>
      <c r="AGR1894" t="s">
        <v>5778</v>
      </c>
      <c r="AGS1894" t="s">
        <v>5778</v>
      </c>
      <c r="AGT1894" t="s">
        <v>5779</v>
      </c>
      <c r="AGW1894">
        <v>44583</v>
      </c>
      <c r="AGX1894">
        <v>0</v>
      </c>
      <c r="AGY1894" t="s">
        <v>5778</v>
      </c>
      <c r="AGZ1894" t="s">
        <v>5778</v>
      </c>
      <c r="AHA1894" t="s">
        <v>5778</v>
      </c>
      <c r="AHB1894" t="s">
        <v>5779</v>
      </c>
      <c r="AHE1894">
        <v>44583</v>
      </c>
      <c r="AHF1894">
        <v>0</v>
      </c>
      <c r="AHG1894" t="s">
        <v>5778</v>
      </c>
      <c r="AHH1894" t="s">
        <v>5778</v>
      </c>
      <c r="AHI1894" t="s">
        <v>5778</v>
      </c>
      <c r="AHJ1894" t="s">
        <v>5779</v>
      </c>
      <c r="AHM1894">
        <v>44583</v>
      </c>
      <c r="AHN1894">
        <v>0</v>
      </c>
      <c r="AHO1894" t="s">
        <v>5778</v>
      </c>
      <c r="AHP1894" t="s">
        <v>5778</v>
      </c>
      <c r="AHQ1894" t="s">
        <v>5778</v>
      </c>
      <c r="AHR1894" t="s">
        <v>5779</v>
      </c>
      <c r="AHU1894">
        <v>44583</v>
      </c>
      <c r="AHV1894">
        <v>0</v>
      </c>
      <c r="AHW1894" t="s">
        <v>5778</v>
      </c>
      <c r="AHX1894" t="s">
        <v>5778</v>
      </c>
      <c r="AHY1894" t="s">
        <v>5778</v>
      </c>
      <c r="AHZ1894" t="s">
        <v>5779</v>
      </c>
      <c r="AIC1894">
        <v>44583</v>
      </c>
      <c r="AID1894">
        <v>0</v>
      </c>
      <c r="AIE1894" t="s">
        <v>5778</v>
      </c>
      <c r="AIF1894" t="s">
        <v>5778</v>
      </c>
      <c r="AIG1894" t="s">
        <v>5778</v>
      </c>
      <c r="AIH1894" t="s">
        <v>5779</v>
      </c>
      <c r="AIK1894">
        <v>44583</v>
      </c>
      <c r="AIL1894">
        <v>0</v>
      </c>
      <c r="AIM1894" t="s">
        <v>5778</v>
      </c>
      <c r="AIN1894" t="s">
        <v>5778</v>
      </c>
      <c r="AIO1894" t="s">
        <v>5778</v>
      </c>
      <c r="AIP1894" t="s">
        <v>5779</v>
      </c>
      <c r="AIS1894">
        <v>44583</v>
      </c>
      <c r="AIT1894">
        <v>0</v>
      </c>
      <c r="AIU1894" t="s">
        <v>5778</v>
      </c>
      <c r="AIV1894" t="s">
        <v>5778</v>
      </c>
      <c r="AIW1894" t="s">
        <v>5778</v>
      </c>
      <c r="AIX1894" t="s">
        <v>5779</v>
      </c>
      <c r="AJA1894">
        <v>44583</v>
      </c>
      <c r="AJB1894">
        <v>0</v>
      </c>
      <c r="AJC1894" t="s">
        <v>5778</v>
      </c>
      <c r="AJD1894" t="s">
        <v>5778</v>
      </c>
      <c r="AJE1894" t="s">
        <v>5778</v>
      </c>
      <c r="AJF1894" t="s">
        <v>5779</v>
      </c>
      <c r="AJI1894">
        <v>44583</v>
      </c>
      <c r="AJJ1894">
        <v>0</v>
      </c>
      <c r="AJK1894" t="s">
        <v>5778</v>
      </c>
      <c r="AJL1894" t="s">
        <v>5778</v>
      </c>
      <c r="AJM1894" t="s">
        <v>5778</v>
      </c>
      <c r="AJN1894" t="s">
        <v>5779</v>
      </c>
      <c r="AJQ1894">
        <v>44583</v>
      </c>
      <c r="AJR1894">
        <v>0</v>
      </c>
      <c r="AJS1894" t="s">
        <v>5778</v>
      </c>
      <c r="AJT1894" t="s">
        <v>5778</v>
      </c>
      <c r="AJU1894" t="s">
        <v>5778</v>
      </c>
      <c r="AJV1894" t="s">
        <v>5779</v>
      </c>
      <c r="AJY1894">
        <v>44583</v>
      </c>
      <c r="AJZ1894">
        <v>0</v>
      </c>
      <c r="AKA1894" t="s">
        <v>5778</v>
      </c>
      <c r="AKB1894" t="s">
        <v>5778</v>
      </c>
      <c r="AKC1894" t="s">
        <v>5778</v>
      </c>
      <c r="AKD1894" t="s">
        <v>5779</v>
      </c>
      <c r="AKG1894">
        <v>44583</v>
      </c>
      <c r="AKH1894">
        <v>0</v>
      </c>
      <c r="AKI1894" t="s">
        <v>5778</v>
      </c>
      <c r="AKJ1894" t="s">
        <v>5778</v>
      </c>
      <c r="AKK1894" t="s">
        <v>5778</v>
      </c>
      <c r="AKL1894" t="s">
        <v>5779</v>
      </c>
      <c r="AKO1894">
        <v>44583</v>
      </c>
      <c r="AKP1894">
        <v>0</v>
      </c>
      <c r="AKQ1894" t="s">
        <v>5778</v>
      </c>
      <c r="AKR1894" t="s">
        <v>5778</v>
      </c>
      <c r="AKS1894" t="s">
        <v>5778</v>
      </c>
      <c r="AKT1894" t="s">
        <v>5779</v>
      </c>
      <c r="AKW1894">
        <v>44583</v>
      </c>
      <c r="AKX1894">
        <v>0</v>
      </c>
      <c r="AKY1894" t="s">
        <v>5778</v>
      </c>
      <c r="AKZ1894" t="s">
        <v>5778</v>
      </c>
      <c r="ALA1894" t="s">
        <v>5778</v>
      </c>
      <c r="ALB1894" t="s">
        <v>5779</v>
      </c>
      <c r="ALE1894">
        <v>44583</v>
      </c>
      <c r="ALF1894">
        <v>0</v>
      </c>
      <c r="ALG1894" t="s">
        <v>5778</v>
      </c>
      <c r="ALH1894" t="s">
        <v>5778</v>
      </c>
      <c r="ALI1894" t="s">
        <v>5778</v>
      </c>
      <c r="ALJ1894" t="s">
        <v>5779</v>
      </c>
      <c r="ALM1894">
        <v>44583</v>
      </c>
      <c r="ALN1894">
        <v>0</v>
      </c>
      <c r="ALO1894" t="s">
        <v>5778</v>
      </c>
      <c r="ALP1894" t="s">
        <v>5778</v>
      </c>
      <c r="ALQ1894" t="s">
        <v>5778</v>
      </c>
      <c r="ALR1894" t="s">
        <v>5779</v>
      </c>
      <c r="ALU1894">
        <v>44583</v>
      </c>
      <c r="ALV1894">
        <v>0</v>
      </c>
      <c r="ALW1894" t="s">
        <v>5778</v>
      </c>
      <c r="ALX1894" t="s">
        <v>5778</v>
      </c>
      <c r="ALY1894" t="s">
        <v>5778</v>
      </c>
      <c r="ALZ1894" t="s">
        <v>5779</v>
      </c>
      <c r="AMC1894">
        <v>44583</v>
      </c>
      <c r="AMD1894">
        <v>0</v>
      </c>
      <c r="AME1894" t="s">
        <v>5778</v>
      </c>
      <c r="AMF1894" t="s">
        <v>5778</v>
      </c>
      <c r="AMG1894" t="s">
        <v>5778</v>
      </c>
      <c r="AMH1894" t="s">
        <v>5779</v>
      </c>
      <c r="AMK1894">
        <v>44583</v>
      </c>
      <c r="AML1894">
        <v>0</v>
      </c>
      <c r="AMM1894" t="s">
        <v>5778</v>
      </c>
      <c r="AMN1894" t="s">
        <v>5778</v>
      </c>
      <c r="AMO1894" t="s">
        <v>5778</v>
      </c>
      <c r="AMP1894" t="s">
        <v>5779</v>
      </c>
      <c r="AMS1894">
        <v>44583</v>
      </c>
      <c r="AMT1894">
        <v>0</v>
      </c>
      <c r="AMU1894" t="s">
        <v>5778</v>
      </c>
      <c r="AMV1894" t="s">
        <v>5778</v>
      </c>
      <c r="AMW1894" t="s">
        <v>5778</v>
      </c>
      <c r="AMX1894" t="s">
        <v>5779</v>
      </c>
      <c r="ANA1894">
        <v>44583</v>
      </c>
      <c r="ANB1894">
        <v>0</v>
      </c>
      <c r="ANC1894" t="s">
        <v>5778</v>
      </c>
      <c r="AND1894" t="s">
        <v>5778</v>
      </c>
      <c r="ANE1894" t="s">
        <v>5778</v>
      </c>
      <c r="ANF1894" t="s">
        <v>5779</v>
      </c>
      <c r="ANI1894">
        <v>44583</v>
      </c>
      <c r="ANJ1894">
        <v>0</v>
      </c>
      <c r="ANK1894" t="s">
        <v>5778</v>
      </c>
      <c r="ANL1894" t="s">
        <v>5778</v>
      </c>
      <c r="ANM1894" t="s">
        <v>5778</v>
      </c>
      <c r="ANN1894" t="s">
        <v>5779</v>
      </c>
      <c r="ANQ1894">
        <v>44583</v>
      </c>
      <c r="ANR1894">
        <v>0</v>
      </c>
      <c r="ANS1894" t="s">
        <v>5778</v>
      </c>
      <c r="ANT1894" t="s">
        <v>5778</v>
      </c>
      <c r="ANU1894" t="s">
        <v>5778</v>
      </c>
      <c r="ANV1894" t="s">
        <v>5779</v>
      </c>
      <c r="ANY1894">
        <v>44583</v>
      </c>
      <c r="ANZ1894">
        <v>0</v>
      </c>
      <c r="AOA1894" t="s">
        <v>5778</v>
      </c>
      <c r="AOB1894" t="s">
        <v>5778</v>
      </c>
      <c r="AOC1894" t="s">
        <v>5778</v>
      </c>
      <c r="AOD1894" t="s">
        <v>5779</v>
      </c>
      <c r="AOG1894">
        <v>44583</v>
      </c>
      <c r="AOH1894">
        <v>0</v>
      </c>
      <c r="AOI1894" t="s">
        <v>5778</v>
      </c>
      <c r="AOJ1894" t="s">
        <v>5778</v>
      </c>
      <c r="AOK1894" t="s">
        <v>5778</v>
      </c>
      <c r="AOL1894" t="s">
        <v>5779</v>
      </c>
      <c r="AOO1894">
        <v>44583</v>
      </c>
      <c r="AOP1894">
        <v>0</v>
      </c>
      <c r="AOQ1894" t="s">
        <v>5778</v>
      </c>
      <c r="AOR1894" t="s">
        <v>5778</v>
      </c>
      <c r="AOS1894" t="s">
        <v>5778</v>
      </c>
      <c r="AOT1894" t="s">
        <v>5779</v>
      </c>
      <c r="AOW1894">
        <v>44583</v>
      </c>
      <c r="AOX1894">
        <v>0</v>
      </c>
      <c r="AOY1894" t="s">
        <v>5778</v>
      </c>
      <c r="AOZ1894" t="s">
        <v>5778</v>
      </c>
      <c r="APA1894" t="s">
        <v>5778</v>
      </c>
      <c r="APB1894" t="s">
        <v>5779</v>
      </c>
      <c r="APE1894">
        <v>44583</v>
      </c>
      <c r="APF1894">
        <v>0</v>
      </c>
      <c r="APG1894" t="s">
        <v>5778</v>
      </c>
      <c r="APH1894" t="s">
        <v>5778</v>
      </c>
      <c r="API1894" t="s">
        <v>5778</v>
      </c>
      <c r="APJ1894" t="s">
        <v>5779</v>
      </c>
      <c r="APM1894">
        <v>44583</v>
      </c>
      <c r="APN1894">
        <v>0</v>
      </c>
      <c r="APO1894" t="s">
        <v>5778</v>
      </c>
      <c r="APP1894" t="s">
        <v>5778</v>
      </c>
      <c r="APQ1894" t="s">
        <v>5778</v>
      </c>
      <c r="APR1894" t="s">
        <v>5779</v>
      </c>
      <c r="APU1894">
        <v>44583</v>
      </c>
      <c r="APV1894">
        <v>0</v>
      </c>
      <c r="APW1894" t="s">
        <v>5778</v>
      </c>
      <c r="APX1894" t="s">
        <v>5778</v>
      </c>
      <c r="APY1894" t="s">
        <v>5778</v>
      </c>
      <c r="APZ1894" t="s">
        <v>5779</v>
      </c>
      <c r="AQC1894">
        <v>44583</v>
      </c>
      <c r="AQD1894">
        <v>0</v>
      </c>
      <c r="AQE1894" t="s">
        <v>5778</v>
      </c>
      <c r="AQF1894" t="s">
        <v>5778</v>
      </c>
      <c r="AQG1894" t="s">
        <v>5778</v>
      </c>
      <c r="AQH1894" t="s">
        <v>5779</v>
      </c>
      <c r="AQK1894">
        <v>44583</v>
      </c>
      <c r="AQL1894">
        <v>0</v>
      </c>
      <c r="AQM1894" t="s">
        <v>5778</v>
      </c>
      <c r="AQN1894" t="s">
        <v>5778</v>
      </c>
      <c r="AQO1894" t="s">
        <v>5778</v>
      </c>
      <c r="AQP1894" t="s">
        <v>5779</v>
      </c>
      <c r="AQS1894">
        <v>44583</v>
      </c>
      <c r="AQT1894">
        <v>0</v>
      </c>
      <c r="AQU1894" t="s">
        <v>5778</v>
      </c>
      <c r="AQV1894" t="s">
        <v>5778</v>
      </c>
      <c r="AQW1894" t="s">
        <v>5778</v>
      </c>
      <c r="AQX1894" t="s">
        <v>5779</v>
      </c>
      <c r="ARA1894">
        <v>44583</v>
      </c>
      <c r="ARB1894">
        <v>0</v>
      </c>
      <c r="ARC1894" t="s">
        <v>5778</v>
      </c>
      <c r="ARD1894" t="s">
        <v>5778</v>
      </c>
      <c r="ARE1894" t="s">
        <v>5778</v>
      </c>
      <c r="ARF1894" t="s">
        <v>5779</v>
      </c>
      <c r="ARI1894">
        <v>44583</v>
      </c>
      <c r="ARJ1894">
        <v>0</v>
      </c>
      <c r="ARK1894" t="s">
        <v>5778</v>
      </c>
      <c r="ARL1894" t="s">
        <v>5778</v>
      </c>
      <c r="ARM1894" t="s">
        <v>5778</v>
      </c>
      <c r="ARN1894" t="s">
        <v>5779</v>
      </c>
      <c r="ARQ1894">
        <v>44583</v>
      </c>
      <c r="ARR1894">
        <v>0</v>
      </c>
      <c r="ARS1894" t="s">
        <v>5778</v>
      </c>
      <c r="ART1894" t="s">
        <v>5778</v>
      </c>
      <c r="ARU1894" t="s">
        <v>5778</v>
      </c>
      <c r="ARV1894" t="s">
        <v>5779</v>
      </c>
      <c r="ARY1894">
        <v>44583</v>
      </c>
      <c r="ARZ1894">
        <v>0</v>
      </c>
      <c r="ASA1894" t="s">
        <v>5778</v>
      </c>
      <c r="ASB1894" t="s">
        <v>5778</v>
      </c>
      <c r="ASC1894" t="s">
        <v>5778</v>
      </c>
      <c r="ASD1894" t="s">
        <v>5779</v>
      </c>
      <c r="ASG1894">
        <v>44583</v>
      </c>
      <c r="ASH1894">
        <v>0</v>
      </c>
      <c r="ASI1894" t="s">
        <v>5778</v>
      </c>
      <c r="ASJ1894" t="s">
        <v>5778</v>
      </c>
      <c r="ASK1894" t="s">
        <v>5778</v>
      </c>
      <c r="ASL1894" t="s">
        <v>5779</v>
      </c>
      <c r="ASO1894">
        <v>44583</v>
      </c>
      <c r="ASP1894">
        <v>0</v>
      </c>
      <c r="ASQ1894" t="s">
        <v>5778</v>
      </c>
      <c r="ASR1894" t="s">
        <v>5778</v>
      </c>
      <c r="ASS1894" t="s">
        <v>5778</v>
      </c>
      <c r="AST1894" t="s">
        <v>5779</v>
      </c>
      <c r="ASW1894">
        <v>44583</v>
      </c>
      <c r="ASX1894">
        <v>0</v>
      </c>
      <c r="ASY1894" t="s">
        <v>5778</v>
      </c>
      <c r="ASZ1894" t="s">
        <v>5778</v>
      </c>
      <c r="ATA1894" t="s">
        <v>5778</v>
      </c>
      <c r="ATB1894" t="s">
        <v>5779</v>
      </c>
      <c r="ATE1894">
        <v>44583</v>
      </c>
      <c r="ATF1894">
        <v>0</v>
      </c>
      <c r="ATG1894" t="s">
        <v>5778</v>
      </c>
      <c r="ATH1894" t="s">
        <v>5778</v>
      </c>
      <c r="ATI1894" t="s">
        <v>5778</v>
      </c>
      <c r="ATJ1894" t="s">
        <v>5779</v>
      </c>
      <c r="ATM1894">
        <v>44583</v>
      </c>
      <c r="ATN1894">
        <v>0</v>
      </c>
      <c r="ATO1894" t="s">
        <v>5778</v>
      </c>
      <c r="ATP1894" t="s">
        <v>5778</v>
      </c>
      <c r="ATQ1894" t="s">
        <v>5778</v>
      </c>
      <c r="ATR1894" t="s">
        <v>5779</v>
      </c>
      <c r="ATU1894">
        <v>44583</v>
      </c>
      <c r="ATV1894">
        <v>0</v>
      </c>
      <c r="ATW1894" t="s">
        <v>5778</v>
      </c>
      <c r="ATX1894" t="s">
        <v>5778</v>
      </c>
      <c r="ATY1894" t="s">
        <v>5778</v>
      </c>
      <c r="ATZ1894" t="s">
        <v>5779</v>
      </c>
      <c r="AUC1894">
        <v>44583</v>
      </c>
      <c r="AUD1894">
        <v>0</v>
      </c>
      <c r="AUE1894" t="s">
        <v>5778</v>
      </c>
      <c r="AUF1894" t="s">
        <v>5778</v>
      </c>
      <c r="AUG1894" t="s">
        <v>5778</v>
      </c>
      <c r="AUH1894" t="s">
        <v>5779</v>
      </c>
      <c r="AUK1894">
        <v>44583</v>
      </c>
      <c r="AUL1894">
        <v>0</v>
      </c>
      <c r="AUM1894" t="s">
        <v>5778</v>
      </c>
      <c r="AUN1894" t="s">
        <v>5778</v>
      </c>
      <c r="AUO1894" t="s">
        <v>5778</v>
      </c>
      <c r="AUP1894" t="s">
        <v>5779</v>
      </c>
      <c r="AUS1894">
        <v>44583</v>
      </c>
      <c r="AUT1894">
        <v>0</v>
      </c>
      <c r="AUU1894" t="s">
        <v>5778</v>
      </c>
      <c r="AUV1894" t="s">
        <v>5778</v>
      </c>
      <c r="AUW1894" t="s">
        <v>5778</v>
      </c>
      <c r="AUX1894" t="s">
        <v>5779</v>
      </c>
      <c r="AVA1894">
        <v>44583</v>
      </c>
      <c r="AVB1894">
        <v>0</v>
      </c>
      <c r="AVC1894" t="s">
        <v>5778</v>
      </c>
      <c r="AVD1894" t="s">
        <v>5778</v>
      </c>
      <c r="AVE1894" t="s">
        <v>5778</v>
      </c>
      <c r="AVF1894" t="s">
        <v>5779</v>
      </c>
      <c r="AVI1894">
        <v>44583</v>
      </c>
      <c r="AVJ1894">
        <v>0</v>
      </c>
      <c r="AVK1894" t="s">
        <v>5778</v>
      </c>
      <c r="AVL1894" t="s">
        <v>5778</v>
      </c>
      <c r="AVM1894" t="s">
        <v>5778</v>
      </c>
      <c r="AVN1894" t="s">
        <v>5779</v>
      </c>
      <c r="AVQ1894">
        <v>44583</v>
      </c>
      <c r="AVR1894">
        <v>0</v>
      </c>
      <c r="AVS1894" t="s">
        <v>5778</v>
      </c>
      <c r="AVT1894" t="s">
        <v>5778</v>
      </c>
      <c r="AVU1894" t="s">
        <v>5778</v>
      </c>
      <c r="AVV1894" t="s">
        <v>5779</v>
      </c>
      <c r="AVY1894">
        <v>44583</v>
      </c>
      <c r="AVZ1894">
        <v>0</v>
      </c>
      <c r="AWA1894" t="s">
        <v>5778</v>
      </c>
      <c r="AWB1894" t="s">
        <v>5778</v>
      </c>
      <c r="AWC1894" t="s">
        <v>5778</v>
      </c>
      <c r="AWD1894" t="s">
        <v>5779</v>
      </c>
      <c r="AWG1894">
        <v>44583</v>
      </c>
      <c r="AWH1894">
        <v>0</v>
      </c>
      <c r="AWI1894" t="s">
        <v>5778</v>
      </c>
      <c r="AWJ1894" t="s">
        <v>5778</v>
      </c>
      <c r="AWK1894" t="s">
        <v>5778</v>
      </c>
      <c r="AWL1894" t="s">
        <v>5779</v>
      </c>
      <c r="AWO1894">
        <v>44583</v>
      </c>
      <c r="AWP1894">
        <v>0</v>
      </c>
      <c r="AWQ1894" t="s">
        <v>5778</v>
      </c>
      <c r="AWR1894" t="s">
        <v>5778</v>
      </c>
      <c r="AWS1894" t="s">
        <v>5778</v>
      </c>
      <c r="AWT1894" t="s">
        <v>5779</v>
      </c>
      <c r="AWW1894">
        <v>44583</v>
      </c>
      <c r="AWX1894">
        <v>0</v>
      </c>
      <c r="AWY1894" t="s">
        <v>5778</v>
      </c>
      <c r="AWZ1894" t="s">
        <v>5778</v>
      </c>
      <c r="AXA1894" t="s">
        <v>5778</v>
      </c>
      <c r="AXB1894" t="s">
        <v>5779</v>
      </c>
      <c r="AXE1894">
        <v>44583</v>
      </c>
      <c r="AXF1894">
        <v>0</v>
      </c>
      <c r="AXG1894" t="s">
        <v>5778</v>
      </c>
      <c r="AXH1894" t="s">
        <v>5778</v>
      </c>
      <c r="AXI1894" t="s">
        <v>5778</v>
      </c>
      <c r="AXJ1894" t="s">
        <v>5779</v>
      </c>
      <c r="AXM1894">
        <v>44583</v>
      </c>
      <c r="AXN1894">
        <v>0</v>
      </c>
      <c r="AXO1894" t="s">
        <v>5778</v>
      </c>
      <c r="AXP1894" t="s">
        <v>5778</v>
      </c>
      <c r="AXQ1894" t="s">
        <v>5778</v>
      </c>
      <c r="AXR1894" t="s">
        <v>5779</v>
      </c>
      <c r="AXU1894">
        <v>44583</v>
      </c>
      <c r="AXV1894">
        <v>0</v>
      </c>
      <c r="AXW1894" t="s">
        <v>5778</v>
      </c>
      <c r="AXX1894" t="s">
        <v>5778</v>
      </c>
      <c r="AXY1894" t="s">
        <v>5778</v>
      </c>
      <c r="AXZ1894" t="s">
        <v>5779</v>
      </c>
      <c r="AYC1894">
        <v>44583</v>
      </c>
      <c r="AYD1894">
        <v>0</v>
      </c>
      <c r="AYE1894" t="s">
        <v>5778</v>
      </c>
      <c r="AYF1894" t="s">
        <v>5778</v>
      </c>
      <c r="AYG1894" t="s">
        <v>5778</v>
      </c>
      <c r="AYH1894" t="s">
        <v>5779</v>
      </c>
      <c r="AYK1894">
        <v>44583</v>
      </c>
      <c r="AYL1894">
        <v>0</v>
      </c>
      <c r="AYM1894" t="s">
        <v>5778</v>
      </c>
      <c r="AYN1894" t="s">
        <v>5778</v>
      </c>
      <c r="AYO1894" t="s">
        <v>5778</v>
      </c>
      <c r="AYP1894" t="s">
        <v>5779</v>
      </c>
      <c r="AYS1894">
        <v>44583</v>
      </c>
      <c r="AYT1894">
        <v>0</v>
      </c>
      <c r="AYU1894" t="s">
        <v>5778</v>
      </c>
      <c r="AYV1894" t="s">
        <v>5778</v>
      </c>
      <c r="AYW1894" t="s">
        <v>5778</v>
      </c>
      <c r="AYX1894" t="s">
        <v>5779</v>
      </c>
      <c r="AZA1894">
        <v>44583</v>
      </c>
      <c r="AZB1894">
        <v>0</v>
      </c>
      <c r="AZC1894" t="s">
        <v>5778</v>
      </c>
      <c r="AZD1894" t="s">
        <v>5778</v>
      </c>
      <c r="AZE1894" t="s">
        <v>5778</v>
      </c>
      <c r="AZF1894" t="s">
        <v>5779</v>
      </c>
      <c r="AZI1894">
        <v>44583</v>
      </c>
      <c r="AZJ1894">
        <v>0</v>
      </c>
      <c r="AZK1894" t="s">
        <v>5778</v>
      </c>
      <c r="AZL1894" t="s">
        <v>5778</v>
      </c>
      <c r="AZM1894" t="s">
        <v>5778</v>
      </c>
      <c r="AZN1894" t="s">
        <v>5779</v>
      </c>
      <c r="AZQ1894">
        <v>44583</v>
      </c>
      <c r="AZR1894">
        <v>0</v>
      </c>
      <c r="AZS1894" t="s">
        <v>5778</v>
      </c>
      <c r="AZT1894" t="s">
        <v>5778</v>
      </c>
      <c r="AZU1894" t="s">
        <v>5778</v>
      </c>
      <c r="AZV1894" t="s">
        <v>5779</v>
      </c>
      <c r="AZY1894">
        <v>44583</v>
      </c>
      <c r="AZZ1894">
        <v>0</v>
      </c>
      <c r="BAA1894" t="s">
        <v>5778</v>
      </c>
      <c r="BAB1894" t="s">
        <v>5778</v>
      </c>
      <c r="BAC1894" t="s">
        <v>5778</v>
      </c>
      <c r="BAD1894" t="s">
        <v>5779</v>
      </c>
      <c r="BAG1894">
        <v>44583</v>
      </c>
      <c r="BAH1894">
        <v>0</v>
      </c>
      <c r="BAI1894" t="s">
        <v>5778</v>
      </c>
      <c r="BAJ1894" t="s">
        <v>5778</v>
      </c>
      <c r="BAK1894" t="s">
        <v>5778</v>
      </c>
      <c r="BAL1894" t="s">
        <v>5779</v>
      </c>
      <c r="BAO1894">
        <v>44583</v>
      </c>
      <c r="BAP1894">
        <v>0</v>
      </c>
      <c r="BAQ1894" t="s">
        <v>5778</v>
      </c>
      <c r="BAR1894" t="s">
        <v>5778</v>
      </c>
      <c r="BAS1894" t="s">
        <v>5778</v>
      </c>
      <c r="BAT1894" t="s">
        <v>5779</v>
      </c>
      <c r="BAW1894">
        <v>44583</v>
      </c>
      <c r="BAX1894">
        <v>0</v>
      </c>
      <c r="BAY1894" t="s">
        <v>5778</v>
      </c>
      <c r="BAZ1894" t="s">
        <v>5778</v>
      </c>
      <c r="BBA1894" t="s">
        <v>5778</v>
      </c>
      <c r="BBB1894" t="s">
        <v>5779</v>
      </c>
      <c r="BBE1894">
        <v>44583</v>
      </c>
      <c r="BBF1894">
        <v>0</v>
      </c>
      <c r="BBG1894" t="s">
        <v>5778</v>
      </c>
      <c r="BBH1894" t="s">
        <v>5778</v>
      </c>
      <c r="BBI1894" t="s">
        <v>5778</v>
      </c>
      <c r="BBJ1894" t="s">
        <v>5779</v>
      </c>
      <c r="BBM1894">
        <v>44583</v>
      </c>
      <c r="BBN1894">
        <v>0</v>
      </c>
      <c r="BBO1894" t="s">
        <v>5778</v>
      </c>
      <c r="BBP1894" t="s">
        <v>5778</v>
      </c>
      <c r="BBQ1894" t="s">
        <v>5778</v>
      </c>
      <c r="BBR1894" t="s">
        <v>5779</v>
      </c>
      <c r="BBU1894">
        <v>44583</v>
      </c>
      <c r="BBV1894">
        <v>0</v>
      </c>
      <c r="BBW1894" t="s">
        <v>5778</v>
      </c>
      <c r="BBX1894" t="s">
        <v>5778</v>
      </c>
      <c r="BBY1894" t="s">
        <v>5778</v>
      </c>
      <c r="BBZ1894" t="s">
        <v>5779</v>
      </c>
      <c r="BCC1894">
        <v>44583</v>
      </c>
      <c r="BCD1894">
        <v>0</v>
      </c>
      <c r="BCE1894" t="s">
        <v>5778</v>
      </c>
      <c r="BCF1894" t="s">
        <v>5778</v>
      </c>
      <c r="BCG1894" t="s">
        <v>5778</v>
      </c>
      <c r="BCH1894" t="s">
        <v>5779</v>
      </c>
      <c r="BCK1894">
        <v>44583</v>
      </c>
      <c r="BCL1894">
        <v>0</v>
      </c>
      <c r="BCM1894" t="s">
        <v>5778</v>
      </c>
      <c r="BCN1894" t="s">
        <v>5778</v>
      </c>
      <c r="BCO1894" t="s">
        <v>5778</v>
      </c>
      <c r="BCP1894" t="s">
        <v>5779</v>
      </c>
      <c r="BCS1894">
        <v>44583</v>
      </c>
      <c r="BCT1894">
        <v>0</v>
      </c>
      <c r="BCU1894" t="s">
        <v>5778</v>
      </c>
      <c r="BCV1894" t="s">
        <v>5778</v>
      </c>
      <c r="BCW1894" t="s">
        <v>5778</v>
      </c>
      <c r="BCX1894" t="s">
        <v>5779</v>
      </c>
      <c r="BDA1894">
        <v>44583</v>
      </c>
      <c r="BDB1894">
        <v>0</v>
      </c>
      <c r="BDC1894" t="s">
        <v>5778</v>
      </c>
      <c r="BDD1894" t="s">
        <v>5778</v>
      </c>
      <c r="BDE1894" t="s">
        <v>5778</v>
      </c>
      <c r="BDF1894" t="s">
        <v>5779</v>
      </c>
      <c r="BDI1894">
        <v>44583</v>
      </c>
      <c r="BDJ1894">
        <v>0</v>
      </c>
      <c r="BDK1894" t="s">
        <v>5778</v>
      </c>
      <c r="BDL1894" t="s">
        <v>5778</v>
      </c>
      <c r="BDM1894" t="s">
        <v>5778</v>
      </c>
      <c r="BDN1894" t="s">
        <v>5779</v>
      </c>
      <c r="BDQ1894">
        <v>44583</v>
      </c>
      <c r="BDR1894">
        <v>0</v>
      </c>
      <c r="BDS1894" t="s">
        <v>5778</v>
      </c>
      <c r="BDT1894" t="s">
        <v>5778</v>
      </c>
      <c r="BDU1894" t="s">
        <v>5778</v>
      </c>
      <c r="BDV1894" t="s">
        <v>5779</v>
      </c>
      <c r="BDY1894">
        <v>44583</v>
      </c>
      <c r="BDZ1894">
        <v>0</v>
      </c>
      <c r="BEA1894" t="s">
        <v>5778</v>
      </c>
      <c r="BEB1894" t="s">
        <v>5778</v>
      </c>
      <c r="BEC1894" t="s">
        <v>5778</v>
      </c>
      <c r="BED1894" t="s">
        <v>5779</v>
      </c>
      <c r="BEG1894">
        <v>44583</v>
      </c>
      <c r="BEH1894">
        <v>0</v>
      </c>
      <c r="BEI1894" t="s">
        <v>5778</v>
      </c>
      <c r="BEJ1894" t="s">
        <v>5778</v>
      </c>
      <c r="BEK1894" t="s">
        <v>5778</v>
      </c>
      <c r="BEL1894" t="s">
        <v>5779</v>
      </c>
      <c r="BEO1894">
        <v>44583</v>
      </c>
      <c r="BEP1894">
        <v>0</v>
      </c>
      <c r="BEQ1894" t="s">
        <v>5778</v>
      </c>
      <c r="BER1894" t="s">
        <v>5778</v>
      </c>
      <c r="BES1894" t="s">
        <v>5778</v>
      </c>
      <c r="BET1894" t="s">
        <v>5779</v>
      </c>
      <c r="BEW1894">
        <v>44583</v>
      </c>
      <c r="BEX1894">
        <v>0</v>
      </c>
      <c r="BEY1894" t="s">
        <v>5778</v>
      </c>
      <c r="BEZ1894" t="s">
        <v>5778</v>
      </c>
      <c r="BFA1894" t="s">
        <v>5778</v>
      </c>
      <c r="BFB1894" t="s">
        <v>5779</v>
      </c>
      <c r="BFE1894">
        <v>44583</v>
      </c>
      <c r="BFF1894">
        <v>0</v>
      </c>
      <c r="BFG1894" t="s">
        <v>5778</v>
      </c>
      <c r="BFH1894" t="s">
        <v>5778</v>
      </c>
      <c r="BFI1894" t="s">
        <v>5778</v>
      </c>
      <c r="BFJ1894" t="s">
        <v>5779</v>
      </c>
      <c r="BFM1894">
        <v>44583</v>
      </c>
      <c r="BFN1894">
        <v>0</v>
      </c>
      <c r="BFO1894" t="s">
        <v>5778</v>
      </c>
      <c r="BFP1894" t="s">
        <v>5778</v>
      </c>
      <c r="BFQ1894" t="s">
        <v>5778</v>
      </c>
      <c r="BFR1894" t="s">
        <v>5779</v>
      </c>
      <c r="BFU1894">
        <v>44583</v>
      </c>
      <c r="BFV1894">
        <v>0</v>
      </c>
      <c r="BFW1894" t="s">
        <v>5778</v>
      </c>
      <c r="BFX1894" t="s">
        <v>5778</v>
      </c>
      <c r="BFY1894" t="s">
        <v>5778</v>
      </c>
      <c r="BFZ1894" t="s">
        <v>5779</v>
      </c>
      <c r="BGC1894">
        <v>44583</v>
      </c>
      <c r="BGD1894">
        <v>0</v>
      </c>
      <c r="BGE1894" t="s">
        <v>5778</v>
      </c>
      <c r="BGF1894" t="s">
        <v>5778</v>
      </c>
      <c r="BGG1894" t="s">
        <v>5778</v>
      </c>
      <c r="BGH1894" t="s">
        <v>5779</v>
      </c>
      <c r="BGK1894">
        <v>44583</v>
      </c>
      <c r="BGL1894">
        <v>0</v>
      </c>
      <c r="BGM1894" t="s">
        <v>5778</v>
      </c>
      <c r="BGN1894" t="s">
        <v>5778</v>
      </c>
      <c r="BGO1894" t="s">
        <v>5778</v>
      </c>
      <c r="BGP1894" t="s">
        <v>5779</v>
      </c>
      <c r="BGS1894">
        <v>44583</v>
      </c>
      <c r="BGT1894">
        <v>0</v>
      </c>
      <c r="BGU1894" t="s">
        <v>5778</v>
      </c>
      <c r="BGV1894" t="s">
        <v>5778</v>
      </c>
      <c r="BGW1894" t="s">
        <v>5778</v>
      </c>
      <c r="BGX1894" t="s">
        <v>5779</v>
      </c>
      <c r="BHA1894">
        <v>44583</v>
      </c>
      <c r="BHB1894">
        <v>0</v>
      </c>
      <c r="BHC1894" t="s">
        <v>5778</v>
      </c>
      <c r="BHD1894" t="s">
        <v>5778</v>
      </c>
      <c r="BHE1894" t="s">
        <v>5778</v>
      </c>
      <c r="BHF1894" t="s">
        <v>5779</v>
      </c>
      <c r="BHI1894">
        <v>44583</v>
      </c>
      <c r="BHJ1894">
        <v>0</v>
      </c>
      <c r="BHK1894" t="s">
        <v>5778</v>
      </c>
      <c r="BHL1894" t="s">
        <v>5778</v>
      </c>
      <c r="BHM1894" t="s">
        <v>5778</v>
      </c>
      <c r="BHN1894" t="s">
        <v>5779</v>
      </c>
      <c r="BHQ1894">
        <v>44583</v>
      </c>
      <c r="BHR1894">
        <v>0</v>
      </c>
      <c r="BHS1894" t="s">
        <v>5778</v>
      </c>
      <c r="BHT1894" t="s">
        <v>5778</v>
      </c>
      <c r="BHU1894" t="s">
        <v>5778</v>
      </c>
      <c r="BHV1894" t="s">
        <v>5779</v>
      </c>
      <c r="BHY1894">
        <v>44583</v>
      </c>
      <c r="BHZ1894">
        <v>0</v>
      </c>
      <c r="BIA1894" t="s">
        <v>5778</v>
      </c>
      <c r="BIB1894" t="s">
        <v>5778</v>
      </c>
      <c r="BIC1894" t="s">
        <v>5778</v>
      </c>
      <c r="BID1894" t="s">
        <v>5779</v>
      </c>
      <c r="BIG1894">
        <v>44583</v>
      </c>
      <c r="BIH1894">
        <v>0</v>
      </c>
      <c r="BII1894" t="s">
        <v>5778</v>
      </c>
      <c r="BIJ1894" t="s">
        <v>5778</v>
      </c>
      <c r="BIK1894" t="s">
        <v>5778</v>
      </c>
      <c r="BIL1894" t="s">
        <v>5779</v>
      </c>
      <c r="BIO1894">
        <v>44583</v>
      </c>
      <c r="BIP1894">
        <v>0</v>
      </c>
      <c r="BIQ1894" t="s">
        <v>5778</v>
      </c>
      <c r="BIR1894" t="s">
        <v>5778</v>
      </c>
      <c r="BIS1894" t="s">
        <v>5778</v>
      </c>
      <c r="BIT1894" t="s">
        <v>5779</v>
      </c>
      <c r="BIW1894">
        <v>44583</v>
      </c>
      <c r="BIX1894">
        <v>0</v>
      </c>
      <c r="BIY1894" t="s">
        <v>5778</v>
      </c>
      <c r="BIZ1894" t="s">
        <v>5778</v>
      </c>
      <c r="BJA1894" t="s">
        <v>5778</v>
      </c>
      <c r="BJB1894" t="s">
        <v>5779</v>
      </c>
      <c r="BJE1894">
        <v>44583</v>
      </c>
      <c r="BJF1894">
        <v>0</v>
      </c>
      <c r="BJG1894" t="s">
        <v>5778</v>
      </c>
      <c r="BJH1894" t="s">
        <v>5778</v>
      </c>
      <c r="BJI1894" t="s">
        <v>5778</v>
      </c>
      <c r="BJJ1894" t="s">
        <v>5779</v>
      </c>
      <c r="BJM1894">
        <v>44583</v>
      </c>
      <c r="BJN1894">
        <v>0</v>
      </c>
      <c r="BJO1894" t="s">
        <v>5778</v>
      </c>
      <c r="BJP1894" t="s">
        <v>5778</v>
      </c>
      <c r="BJQ1894" t="s">
        <v>5778</v>
      </c>
      <c r="BJR1894" t="s">
        <v>5779</v>
      </c>
      <c r="BJU1894">
        <v>44583</v>
      </c>
      <c r="BJV1894">
        <v>0</v>
      </c>
      <c r="BJW1894" t="s">
        <v>5778</v>
      </c>
      <c r="BJX1894" t="s">
        <v>5778</v>
      </c>
      <c r="BJY1894" t="s">
        <v>5778</v>
      </c>
      <c r="BJZ1894" t="s">
        <v>5779</v>
      </c>
      <c r="BKC1894">
        <v>44583</v>
      </c>
      <c r="BKD1894">
        <v>0</v>
      </c>
      <c r="BKE1894" t="s">
        <v>5778</v>
      </c>
      <c r="BKF1894" t="s">
        <v>5778</v>
      </c>
      <c r="BKG1894" t="s">
        <v>5778</v>
      </c>
      <c r="BKH1894" t="s">
        <v>5779</v>
      </c>
      <c r="BKK1894">
        <v>44583</v>
      </c>
      <c r="BKL1894">
        <v>0</v>
      </c>
      <c r="BKM1894" t="s">
        <v>5778</v>
      </c>
      <c r="BKN1894" t="s">
        <v>5778</v>
      </c>
      <c r="BKO1894" t="s">
        <v>5778</v>
      </c>
      <c r="BKP1894" t="s">
        <v>5779</v>
      </c>
      <c r="BKS1894">
        <v>44583</v>
      </c>
      <c r="BKT1894">
        <v>0</v>
      </c>
      <c r="BKU1894" t="s">
        <v>5778</v>
      </c>
      <c r="BKV1894" t="s">
        <v>5778</v>
      </c>
      <c r="BKW1894" t="s">
        <v>5778</v>
      </c>
      <c r="BKX1894" t="s">
        <v>5779</v>
      </c>
      <c r="BLA1894">
        <v>44583</v>
      </c>
      <c r="BLB1894">
        <v>0</v>
      </c>
      <c r="BLC1894" t="s">
        <v>5778</v>
      </c>
      <c r="BLD1894" t="s">
        <v>5778</v>
      </c>
      <c r="BLE1894" t="s">
        <v>5778</v>
      </c>
      <c r="BLF1894" t="s">
        <v>5779</v>
      </c>
      <c r="BLI1894">
        <v>44583</v>
      </c>
      <c r="BLJ1894">
        <v>0</v>
      </c>
      <c r="BLK1894" t="s">
        <v>5778</v>
      </c>
      <c r="BLL1894" t="s">
        <v>5778</v>
      </c>
      <c r="BLM1894" t="s">
        <v>5778</v>
      </c>
      <c r="BLN1894" t="s">
        <v>5779</v>
      </c>
      <c r="BLQ1894">
        <v>44583</v>
      </c>
      <c r="BLR1894">
        <v>0</v>
      </c>
      <c r="BLS1894" t="s">
        <v>5778</v>
      </c>
      <c r="BLT1894" t="s">
        <v>5778</v>
      </c>
      <c r="BLU1894" t="s">
        <v>5778</v>
      </c>
      <c r="BLV1894" t="s">
        <v>5779</v>
      </c>
      <c r="BLY1894">
        <v>44583</v>
      </c>
      <c r="BLZ1894">
        <v>0</v>
      </c>
      <c r="BMA1894" t="s">
        <v>5778</v>
      </c>
      <c r="BMB1894" t="s">
        <v>5778</v>
      </c>
      <c r="BMC1894" t="s">
        <v>5778</v>
      </c>
      <c r="BMD1894" t="s">
        <v>5779</v>
      </c>
      <c r="BMG1894">
        <v>44583</v>
      </c>
      <c r="BMH1894">
        <v>0</v>
      </c>
      <c r="BMI1894" t="s">
        <v>5778</v>
      </c>
      <c r="BMJ1894" t="s">
        <v>5778</v>
      </c>
      <c r="BMK1894" t="s">
        <v>5778</v>
      </c>
      <c r="BML1894" t="s">
        <v>5779</v>
      </c>
      <c r="BMO1894">
        <v>44583</v>
      </c>
      <c r="BMP1894">
        <v>0</v>
      </c>
      <c r="BMQ1894" t="s">
        <v>5778</v>
      </c>
      <c r="BMR1894" t="s">
        <v>5778</v>
      </c>
      <c r="BMS1894" t="s">
        <v>5778</v>
      </c>
      <c r="BMT1894" t="s">
        <v>5779</v>
      </c>
      <c r="BMW1894">
        <v>44583</v>
      </c>
      <c r="BMX1894">
        <v>0</v>
      </c>
      <c r="BMY1894" t="s">
        <v>5778</v>
      </c>
      <c r="BMZ1894" t="s">
        <v>5778</v>
      </c>
      <c r="BNA1894" t="s">
        <v>5778</v>
      </c>
      <c r="BNB1894" t="s">
        <v>5779</v>
      </c>
      <c r="BNE1894">
        <v>44583</v>
      </c>
      <c r="BNF1894">
        <v>0</v>
      </c>
      <c r="BNG1894" t="s">
        <v>5778</v>
      </c>
      <c r="BNH1894" t="s">
        <v>5778</v>
      </c>
      <c r="BNI1894" t="s">
        <v>5778</v>
      </c>
      <c r="BNJ1894" t="s">
        <v>5779</v>
      </c>
      <c r="BNM1894">
        <v>44583</v>
      </c>
      <c r="BNN1894">
        <v>0</v>
      </c>
      <c r="BNO1894" t="s">
        <v>5778</v>
      </c>
      <c r="BNP1894" t="s">
        <v>5778</v>
      </c>
      <c r="BNQ1894" t="s">
        <v>5778</v>
      </c>
      <c r="BNR1894" t="s">
        <v>5779</v>
      </c>
      <c r="BNU1894">
        <v>44583</v>
      </c>
      <c r="BNV1894">
        <v>0</v>
      </c>
      <c r="BNW1894" t="s">
        <v>5778</v>
      </c>
      <c r="BNX1894" t="s">
        <v>5778</v>
      </c>
      <c r="BNY1894" t="s">
        <v>5778</v>
      </c>
      <c r="BNZ1894" t="s">
        <v>5779</v>
      </c>
      <c r="BOC1894">
        <v>44583</v>
      </c>
      <c r="BOD1894">
        <v>0</v>
      </c>
      <c r="BOE1894" t="s">
        <v>5778</v>
      </c>
      <c r="BOF1894" t="s">
        <v>5778</v>
      </c>
      <c r="BOG1894" t="s">
        <v>5778</v>
      </c>
      <c r="BOH1894" t="s">
        <v>5779</v>
      </c>
      <c r="BOK1894">
        <v>44583</v>
      </c>
      <c r="BOL1894">
        <v>0</v>
      </c>
      <c r="BOM1894" t="s">
        <v>5778</v>
      </c>
      <c r="BON1894" t="s">
        <v>5778</v>
      </c>
      <c r="BOO1894" t="s">
        <v>5778</v>
      </c>
      <c r="BOP1894" t="s">
        <v>5779</v>
      </c>
      <c r="BOS1894">
        <v>44583</v>
      </c>
      <c r="BOT1894">
        <v>0</v>
      </c>
      <c r="BOU1894" t="s">
        <v>5778</v>
      </c>
      <c r="BOV1894" t="s">
        <v>5778</v>
      </c>
      <c r="BOW1894" t="s">
        <v>5778</v>
      </c>
      <c r="BOX1894" t="s">
        <v>5779</v>
      </c>
      <c r="BPA1894">
        <v>44583</v>
      </c>
      <c r="BPB1894">
        <v>0</v>
      </c>
      <c r="BPC1894" t="s">
        <v>5778</v>
      </c>
      <c r="BPD1894" t="s">
        <v>5778</v>
      </c>
      <c r="BPE1894" t="s">
        <v>5778</v>
      </c>
      <c r="BPF1894" t="s">
        <v>5779</v>
      </c>
      <c r="BPI1894">
        <v>44583</v>
      </c>
      <c r="BPJ1894">
        <v>0</v>
      </c>
      <c r="BPK1894" t="s">
        <v>5778</v>
      </c>
      <c r="BPL1894" t="s">
        <v>5778</v>
      </c>
      <c r="BPM1894" t="s">
        <v>5778</v>
      </c>
      <c r="BPN1894" t="s">
        <v>5779</v>
      </c>
      <c r="BPQ1894">
        <v>44583</v>
      </c>
      <c r="BPR1894">
        <v>0</v>
      </c>
      <c r="BPS1894" t="s">
        <v>5778</v>
      </c>
      <c r="BPT1894" t="s">
        <v>5778</v>
      </c>
      <c r="BPU1894" t="s">
        <v>5778</v>
      </c>
      <c r="BPV1894" t="s">
        <v>5779</v>
      </c>
      <c r="BPY1894">
        <v>44583</v>
      </c>
      <c r="BPZ1894">
        <v>0</v>
      </c>
      <c r="BQA1894" t="s">
        <v>5778</v>
      </c>
      <c r="BQB1894" t="s">
        <v>5778</v>
      </c>
      <c r="BQC1894" t="s">
        <v>5778</v>
      </c>
      <c r="BQD1894" t="s">
        <v>5779</v>
      </c>
      <c r="BQG1894">
        <v>44583</v>
      </c>
      <c r="BQH1894">
        <v>0</v>
      </c>
      <c r="BQI1894" t="s">
        <v>5778</v>
      </c>
      <c r="BQJ1894" t="s">
        <v>5778</v>
      </c>
      <c r="BQK1894" t="s">
        <v>5778</v>
      </c>
      <c r="BQL1894" t="s">
        <v>5779</v>
      </c>
      <c r="BQO1894">
        <v>44583</v>
      </c>
      <c r="BQP1894">
        <v>0</v>
      </c>
      <c r="BQQ1894" t="s">
        <v>5778</v>
      </c>
      <c r="BQR1894" t="s">
        <v>5778</v>
      </c>
      <c r="BQS1894" t="s">
        <v>5778</v>
      </c>
      <c r="BQT1894" t="s">
        <v>5779</v>
      </c>
      <c r="BQW1894">
        <v>44583</v>
      </c>
      <c r="BQX1894">
        <v>0</v>
      </c>
      <c r="BQY1894" t="s">
        <v>5778</v>
      </c>
      <c r="BQZ1894" t="s">
        <v>5778</v>
      </c>
      <c r="BRA1894" t="s">
        <v>5778</v>
      </c>
      <c r="BRB1894" t="s">
        <v>5779</v>
      </c>
      <c r="BRE1894">
        <v>44583</v>
      </c>
      <c r="BRF1894">
        <v>0</v>
      </c>
      <c r="BRG1894" t="s">
        <v>5778</v>
      </c>
      <c r="BRH1894" t="s">
        <v>5778</v>
      </c>
      <c r="BRI1894" t="s">
        <v>5778</v>
      </c>
      <c r="BRJ1894" t="s">
        <v>5779</v>
      </c>
      <c r="BRM1894">
        <v>44583</v>
      </c>
      <c r="BRN1894">
        <v>0</v>
      </c>
      <c r="BRO1894" t="s">
        <v>5778</v>
      </c>
      <c r="BRP1894" t="s">
        <v>5778</v>
      </c>
      <c r="BRQ1894" t="s">
        <v>5778</v>
      </c>
      <c r="BRR1894" t="s">
        <v>5779</v>
      </c>
      <c r="BRU1894">
        <v>44583</v>
      </c>
      <c r="BRV1894">
        <v>0</v>
      </c>
      <c r="BRW1894" t="s">
        <v>5778</v>
      </c>
      <c r="BRX1894" t="s">
        <v>5778</v>
      </c>
      <c r="BRY1894" t="s">
        <v>5778</v>
      </c>
      <c r="BRZ1894" t="s">
        <v>5779</v>
      </c>
      <c r="BSC1894">
        <v>44583</v>
      </c>
      <c r="BSD1894">
        <v>0</v>
      </c>
      <c r="BSE1894" t="s">
        <v>5778</v>
      </c>
      <c r="BSF1894" t="s">
        <v>5778</v>
      </c>
      <c r="BSG1894" t="s">
        <v>5778</v>
      </c>
      <c r="BSH1894" t="s">
        <v>5779</v>
      </c>
      <c r="BSK1894">
        <v>44583</v>
      </c>
      <c r="BSL1894">
        <v>0</v>
      </c>
      <c r="BSM1894" t="s">
        <v>5778</v>
      </c>
      <c r="BSN1894" t="s">
        <v>5778</v>
      </c>
      <c r="BSO1894" t="s">
        <v>5778</v>
      </c>
      <c r="BSP1894" t="s">
        <v>5779</v>
      </c>
      <c r="BSS1894">
        <v>44583</v>
      </c>
      <c r="BST1894">
        <v>0</v>
      </c>
      <c r="BSU1894" t="s">
        <v>5778</v>
      </c>
      <c r="BSV1894" t="s">
        <v>5778</v>
      </c>
      <c r="BSW1894" t="s">
        <v>5778</v>
      </c>
      <c r="BSX1894" t="s">
        <v>5779</v>
      </c>
      <c r="BTA1894">
        <v>44583</v>
      </c>
      <c r="BTB1894">
        <v>0</v>
      </c>
      <c r="BTC1894" t="s">
        <v>5778</v>
      </c>
      <c r="BTD1894" t="s">
        <v>5778</v>
      </c>
      <c r="BTE1894" t="s">
        <v>5778</v>
      </c>
      <c r="BTF1894" t="s">
        <v>5779</v>
      </c>
      <c r="BTI1894">
        <v>44583</v>
      </c>
      <c r="BTJ1894">
        <v>0</v>
      </c>
      <c r="BTK1894" t="s">
        <v>5778</v>
      </c>
      <c r="BTL1894" t="s">
        <v>5778</v>
      </c>
      <c r="BTM1894" t="s">
        <v>5778</v>
      </c>
      <c r="BTN1894" t="s">
        <v>5779</v>
      </c>
      <c r="BTQ1894">
        <v>44583</v>
      </c>
      <c r="BTR1894">
        <v>0</v>
      </c>
      <c r="BTS1894" t="s">
        <v>5778</v>
      </c>
      <c r="BTT1894" t="s">
        <v>5778</v>
      </c>
      <c r="BTU1894" t="s">
        <v>5778</v>
      </c>
      <c r="BTV1894" t="s">
        <v>5779</v>
      </c>
      <c r="BTY1894">
        <v>44583</v>
      </c>
      <c r="BTZ1894">
        <v>0</v>
      </c>
      <c r="BUA1894" t="s">
        <v>5778</v>
      </c>
      <c r="BUB1894" t="s">
        <v>5778</v>
      </c>
      <c r="BUC1894" t="s">
        <v>5778</v>
      </c>
      <c r="BUD1894" t="s">
        <v>5779</v>
      </c>
      <c r="BUG1894">
        <v>44583</v>
      </c>
      <c r="BUH1894">
        <v>0</v>
      </c>
      <c r="BUI1894" t="s">
        <v>5778</v>
      </c>
      <c r="BUJ1894" t="s">
        <v>5778</v>
      </c>
      <c r="BUK1894" t="s">
        <v>5778</v>
      </c>
      <c r="BUL1894" t="s">
        <v>5779</v>
      </c>
      <c r="BUO1894">
        <v>44583</v>
      </c>
      <c r="BUP1894">
        <v>0</v>
      </c>
      <c r="BUQ1894" t="s">
        <v>5778</v>
      </c>
      <c r="BUR1894" t="s">
        <v>5778</v>
      </c>
      <c r="BUS1894" t="s">
        <v>5778</v>
      </c>
      <c r="BUT1894" t="s">
        <v>5779</v>
      </c>
      <c r="BUW1894">
        <v>44583</v>
      </c>
      <c r="BUX1894">
        <v>0</v>
      </c>
      <c r="BUY1894" t="s">
        <v>5778</v>
      </c>
      <c r="BUZ1894" t="s">
        <v>5778</v>
      </c>
      <c r="BVA1894" t="s">
        <v>5778</v>
      </c>
      <c r="BVB1894" t="s">
        <v>5779</v>
      </c>
      <c r="BVE1894">
        <v>44583</v>
      </c>
      <c r="BVF1894">
        <v>0</v>
      </c>
      <c r="BVG1894" t="s">
        <v>5778</v>
      </c>
      <c r="BVH1894" t="s">
        <v>5778</v>
      </c>
      <c r="BVI1894" t="s">
        <v>5778</v>
      </c>
      <c r="BVJ1894" t="s">
        <v>5779</v>
      </c>
      <c r="BVM1894">
        <v>44583</v>
      </c>
      <c r="BVN1894">
        <v>0</v>
      </c>
      <c r="BVO1894" t="s">
        <v>5778</v>
      </c>
      <c r="BVP1894" t="s">
        <v>5778</v>
      </c>
      <c r="BVQ1894" t="s">
        <v>5778</v>
      </c>
      <c r="BVR1894" t="s">
        <v>5779</v>
      </c>
      <c r="BVU1894">
        <v>44583</v>
      </c>
      <c r="BVV1894">
        <v>0</v>
      </c>
      <c r="BVW1894" t="s">
        <v>5778</v>
      </c>
      <c r="BVX1894" t="s">
        <v>5778</v>
      </c>
      <c r="BVY1894" t="s">
        <v>5778</v>
      </c>
      <c r="BVZ1894" t="s">
        <v>5779</v>
      </c>
      <c r="BWC1894">
        <v>44583</v>
      </c>
      <c r="BWD1894">
        <v>0</v>
      </c>
      <c r="BWE1894" t="s">
        <v>5778</v>
      </c>
      <c r="BWF1894" t="s">
        <v>5778</v>
      </c>
      <c r="BWG1894" t="s">
        <v>5778</v>
      </c>
      <c r="BWH1894" t="s">
        <v>5779</v>
      </c>
      <c r="BWK1894">
        <v>44583</v>
      </c>
      <c r="BWL1894">
        <v>0</v>
      </c>
      <c r="BWM1894" t="s">
        <v>5778</v>
      </c>
      <c r="BWN1894" t="s">
        <v>5778</v>
      </c>
      <c r="BWO1894" t="s">
        <v>5778</v>
      </c>
      <c r="BWP1894" t="s">
        <v>5779</v>
      </c>
      <c r="BWS1894">
        <v>44583</v>
      </c>
      <c r="BWT1894">
        <v>0</v>
      </c>
      <c r="BWU1894" t="s">
        <v>5778</v>
      </c>
      <c r="BWV1894" t="s">
        <v>5778</v>
      </c>
      <c r="BWW1894" t="s">
        <v>5778</v>
      </c>
      <c r="BWX1894" t="s">
        <v>5779</v>
      </c>
      <c r="BXA1894">
        <v>44583</v>
      </c>
      <c r="BXB1894">
        <v>0</v>
      </c>
      <c r="BXC1894" t="s">
        <v>5778</v>
      </c>
      <c r="BXD1894" t="s">
        <v>5778</v>
      </c>
      <c r="BXE1894" t="s">
        <v>5778</v>
      </c>
      <c r="BXF1894" t="s">
        <v>5779</v>
      </c>
      <c r="BXI1894">
        <v>44583</v>
      </c>
      <c r="BXJ1894">
        <v>0</v>
      </c>
      <c r="BXK1894" t="s">
        <v>5778</v>
      </c>
      <c r="BXL1894" t="s">
        <v>5778</v>
      </c>
      <c r="BXM1894" t="s">
        <v>5778</v>
      </c>
      <c r="BXN1894" t="s">
        <v>5779</v>
      </c>
      <c r="BXQ1894">
        <v>44583</v>
      </c>
      <c r="BXR1894">
        <v>0</v>
      </c>
      <c r="BXS1894" t="s">
        <v>5778</v>
      </c>
      <c r="BXT1894" t="s">
        <v>5778</v>
      </c>
      <c r="BXU1894" t="s">
        <v>5778</v>
      </c>
      <c r="BXV1894" t="s">
        <v>5779</v>
      </c>
      <c r="BXY1894">
        <v>44583</v>
      </c>
      <c r="BXZ1894">
        <v>0</v>
      </c>
      <c r="BYA1894" t="s">
        <v>5778</v>
      </c>
      <c r="BYB1894" t="s">
        <v>5778</v>
      </c>
      <c r="BYC1894" t="s">
        <v>5778</v>
      </c>
      <c r="BYD1894" t="s">
        <v>5779</v>
      </c>
      <c r="BYG1894">
        <v>44583</v>
      </c>
      <c r="BYH1894">
        <v>0</v>
      </c>
      <c r="BYI1894" t="s">
        <v>5778</v>
      </c>
      <c r="BYJ1894" t="s">
        <v>5778</v>
      </c>
      <c r="BYK1894" t="s">
        <v>5778</v>
      </c>
      <c r="BYL1894" t="s">
        <v>5779</v>
      </c>
      <c r="BYO1894">
        <v>44583</v>
      </c>
      <c r="BYP1894">
        <v>0</v>
      </c>
      <c r="BYQ1894" t="s">
        <v>5778</v>
      </c>
      <c r="BYR1894" t="s">
        <v>5778</v>
      </c>
      <c r="BYS1894" t="s">
        <v>5778</v>
      </c>
      <c r="BYT1894" t="s">
        <v>5779</v>
      </c>
      <c r="BYW1894">
        <v>44583</v>
      </c>
      <c r="BYX1894">
        <v>0</v>
      </c>
      <c r="BYY1894" t="s">
        <v>5778</v>
      </c>
      <c r="BYZ1894" t="s">
        <v>5778</v>
      </c>
      <c r="BZA1894" t="s">
        <v>5778</v>
      </c>
      <c r="BZB1894" t="s">
        <v>5779</v>
      </c>
      <c r="BZE1894">
        <v>44583</v>
      </c>
      <c r="BZF1894">
        <v>0</v>
      </c>
      <c r="BZG1894" t="s">
        <v>5778</v>
      </c>
      <c r="BZH1894" t="s">
        <v>5778</v>
      </c>
      <c r="BZI1894" t="s">
        <v>5778</v>
      </c>
      <c r="BZJ1894" t="s">
        <v>5779</v>
      </c>
      <c r="BZM1894">
        <v>44583</v>
      </c>
      <c r="BZN1894">
        <v>0</v>
      </c>
      <c r="BZO1894" t="s">
        <v>5778</v>
      </c>
      <c r="BZP1894" t="s">
        <v>5778</v>
      </c>
      <c r="BZQ1894" t="s">
        <v>5778</v>
      </c>
      <c r="BZR1894" t="s">
        <v>5779</v>
      </c>
      <c r="BZU1894">
        <v>44583</v>
      </c>
      <c r="BZV1894">
        <v>0</v>
      </c>
      <c r="BZW1894" t="s">
        <v>5778</v>
      </c>
      <c r="BZX1894" t="s">
        <v>5778</v>
      </c>
      <c r="BZY1894" t="s">
        <v>5778</v>
      </c>
      <c r="BZZ1894" t="s">
        <v>5779</v>
      </c>
      <c r="CAC1894">
        <v>44583</v>
      </c>
      <c r="CAD1894">
        <v>0</v>
      </c>
      <c r="CAE1894" t="s">
        <v>5778</v>
      </c>
      <c r="CAF1894" t="s">
        <v>5778</v>
      </c>
      <c r="CAG1894" t="s">
        <v>5778</v>
      </c>
      <c r="CAH1894" t="s">
        <v>5779</v>
      </c>
      <c r="CAK1894">
        <v>44583</v>
      </c>
      <c r="CAL1894">
        <v>0</v>
      </c>
      <c r="CAM1894" t="s">
        <v>5778</v>
      </c>
      <c r="CAN1894" t="s">
        <v>5778</v>
      </c>
      <c r="CAO1894" t="s">
        <v>5778</v>
      </c>
      <c r="CAP1894" t="s">
        <v>5779</v>
      </c>
      <c r="CAS1894">
        <v>44583</v>
      </c>
      <c r="CAT1894">
        <v>0</v>
      </c>
      <c r="CAU1894" t="s">
        <v>5778</v>
      </c>
      <c r="CAV1894" t="s">
        <v>5778</v>
      </c>
      <c r="CAW1894" t="s">
        <v>5778</v>
      </c>
      <c r="CAX1894" t="s">
        <v>5779</v>
      </c>
      <c r="CBA1894">
        <v>44583</v>
      </c>
      <c r="CBB1894">
        <v>0</v>
      </c>
      <c r="CBC1894" t="s">
        <v>5778</v>
      </c>
      <c r="CBD1894" t="s">
        <v>5778</v>
      </c>
      <c r="CBE1894" t="s">
        <v>5778</v>
      </c>
      <c r="CBF1894" t="s">
        <v>5779</v>
      </c>
      <c r="CBI1894">
        <v>44583</v>
      </c>
      <c r="CBJ1894">
        <v>0</v>
      </c>
      <c r="CBK1894" t="s">
        <v>5778</v>
      </c>
      <c r="CBL1894" t="s">
        <v>5778</v>
      </c>
      <c r="CBM1894" t="s">
        <v>5778</v>
      </c>
      <c r="CBN1894" t="s">
        <v>5779</v>
      </c>
      <c r="CBQ1894">
        <v>44583</v>
      </c>
      <c r="CBR1894">
        <v>0</v>
      </c>
      <c r="CBS1894" t="s">
        <v>5778</v>
      </c>
      <c r="CBT1894" t="s">
        <v>5778</v>
      </c>
      <c r="CBU1894" t="s">
        <v>5778</v>
      </c>
      <c r="CBV1894" t="s">
        <v>5779</v>
      </c>
      <c r="CBY1894">
        <v>44583</v>
      </c>
      <c r="CBZ1894">
        <v>0</v>
      </c>
      <c r="CCA1894" t="s">
        <v>5778</v>
      </c>
      <c r="CCB1894" t="s">
        <v>5778</v>
      </c>
      <c r="CCC1894" t="s">
        <v>5778</v>
      </c>
      <c r="CCD1894" t="s">
        <v>5779</v>
      </c>
      <c r="CCG1894">
        <v>44583</v>
      </c>
      <c r="CCH1894">
        <v>0</v>
      </c>
      <c r="CCI1894" t="s">
        <v>5778</v>
      </c>
      <c r="CCJ1894" t="s">
        <v>5778</v>
      </c>
      <c r="CCK1894" t="s">
        <v>5778</v>
      </c>
      <c r="CCL1894" t="s">
        <v>5779</v>
      </c>
      <c r="CCO1894">
        <v>44583</v>
      </c>
      <c r="CCP1894">
        <v>0</v>
      </c>
      <c r="CCQ1894" t="s">
        <v>5778</v>
      </c>
      <c r="CCR1894" t="s">
        <v>5778</v>
      </c>
      <c r="CCS1894" t="s">
        <v>5778</v>
      </c>
      <c r="CCT1894" t="s">
        <v>5779</v>
      </c>
      <c r="CCW1894">
        <v>44583</v>
      </c>
      <c r="CCX1894">
        <v>0</v>
      </c>
      <c r="CCY1894" t="s">
        <v>5778</v>
      </c>
      <c r="CCZ1894" t="s">
        <v>5778</v>
      </c>
      <c r="CDA1894" t="s">
        <v>5778</v>
      </c>
      <c r="CDB1894" t="s">
        <v>5779</v>
      </c>
      <c r="CDE1894">
        <v>44583</v>
      </c>
      <c r="CDF1894">
        <v>0</v>
      </c>
      <c r="CDG1894" t="s">
        <v>5778</v>
      </c>
      <c r="CDH1894" t="s">
        <v>5778</v>
      </c>
      <c r="CDI1894" t="s">
        <v>5778</v>
      </c>
      <c r="CDJ1894" t="s">
        <v>5779</v>
      </c>
      <c r="CDM1894">
        <v>44583</v>
      </c>
      <c r="CDN1894">
        <v>0</v>
      </c>
      <c r="CDO1894" t="s">
        <v>5778</v>
      </c>
      <c r="CDP1894" t="s">
        <v>5778</v>
      </c>
      <c r="CDQ1894" t="s">
        <v>5778</v>
      </c>
      <c r="CDR1894" t="s">
        <v>5779</v>
      </c>
      <c r="CDU1894">
        <v>44583</v>
      </c>
      <c r="CDV1894">
        <v>0</v>
      </c>
      <c r="CDW1894" t="s">
        <v>5778</v>
      </c>
      <c r="CDX1894" t="s">
        <v>5778</v>
      </c>
      <c r="CDY1894" t="s">
        <v>5778</v>
      </c>
      <c r="CDZ1894" t="s">
        <v>5779</v>
      </c>
      <c r="CEC1894">
        <v>44583</v>
      </c>
      <c r="CED1894">
        <v>0</v>
      </c>
      <c r="CEE1894" t="s">
        <v>5778</v>
      </c>
      <c r="CEF1894" t="s">
        <v>5778</v>
      </c>
      <c r="CEG1894" t="s">
        <v>5778</v>
      </c>
      <c r="CEH1894" t="s">
        <v>5779</v>
      </c>
      <c r="CEK1894">
        <v>44583</v>
      </c>
      <c r="CEL1894">
        <v>0</v>
      </c>
      <c r="CEM1894" t="s">
        <v>5778</v>
      </c>
      <c r="CEN1894" t="s">
        <v>5778</v>
      </c>
      <c r="CEO1894" t="s">
        <v>5778</v>
      </c>
      <c r="CEP1894" t="s">
        <v>5779</v>
      </c>
      <c r="CES1894">
        <v>44583</v>
      </c>
      <c r="CET1894">
        <v>0</v>
      </c>
      <c r="CEU1894" t="s">
        <v>5778</v>
      </c>
      <c r="CEV1894" t="s">
        <v>5778</v>
      </c>
      <c r="CEW1894" t="s">
        <v>5778</v>
      </c>
      <c r="CEX1894" t="s">
        <v>5779</v>
      </c>
      <c r="CFA1894">
        <v>44583</v>
      </c>
      <c r="CFB1894">
        <v>0</v>
      </c>
      <c r="CFC1894" t="s">
        <v>5778</v>
      </c>
      <c r="CFD1894" t="s">
        <v>5778</v>
      </c>
      <c r="CFE1894" t="s">
        <v>5778</v>
      </c>
      <c r="CFF1894" t="s">
        <v>5779</v>
      </c>
      <c r="CFI1894">
        <v>44583</v>
      </c>
      <c r="CFJ1894">
        <v>0</v>
      </c>
      <c r="CFK1894" t="s">
        <v>5778</v>
      </c>
      <c r="CFL1894" t="s">
        <v>5778</v>
      </c>
      <c r="CFM1894" t="s">
        <v>5778</v>
      </c>
      <c r="CFN1894" t="s">
        <v>5779</v>
      </c>
      <c r="CFQ1894">
        <v>44583</v>
      </c>
      <c r="CFR1894">
        <v>0</v>
      </c>
      <c r="CFS1894" t="s">
        <v>5778</v>
      </c>
      <c r="CFT1894" t="s">
        <v>5778</v>
      </c>
      <c r="CFU1894" t="s">
        <v>5778</v>
      </c>
      <c r="CFV1894" t="s">
        <v>5779</v>
      </c>
      <c r="CFY1894">
        <v>44583</v>
      </c>
      <c r="CFZ1894">
        <v>0</v>
      </c>
      <c r="CGA1894" t="s">
        <v>5778</v>
      </c>
      <c r="CGB1894" t="s">
        <v>5778</v>
      </c>
      <c r="CGC1894" t="s">
        <v>5778</v>
      </c>
      <c r="CGD1894" t="s">
        <v>5779</v>
      </c>
      <c r="CGG1894">
        <v>44583</v>
      </c>
      <c r="CGH1894">
        <v>0</v>
      </c>
      <c r="CGI1894" t="s">
        <v>5778</v>
      </c>
      <c r="CGJ1894" t="s">
        <v>5778</v>
      </c>
      <c r="CGK1894" t="s">
        <v>5778</v>
      </c>
      <c r="CGL1894" t="s">
        <v>5779</v>
      </c>
      <c r="CGO1894">
        <v>44583</v>
      </c>
      <c r="CGP1894">
        <v>0</v>
      </c>
      <c r="CGQ1894" t="s">
        <v>5778</v>
      </c>
      <c r="CGR1894" t="s">
        <v>5778</v>
      </c>
      <c r="CGS1894" t="s">
        <v>5778</v>
      </c>
      <c r="CGT1894" t="s">
        <v>5779</v>
      </c>
      <c r="CGW1894">
        <v>44583</v>
      </c>
      <c r="CGX1894">
        <v>0</v>
      </c>
      <c r="CGY1894" t="s">
        <v>5778</v>
      </c>
      <c r="CGZ1894" t="s">
        <v>5778</v>
      </c>
      <c r="CHA1894" t="s">
        <v>5778</v>
      </c>
      <c r="CHB1894" t="s">
        <v>5779</v>
      </c>
      <c r="CHE1894">
        <v>44583</v>
      </c>
      <c r="CHF1894">
        <v>0</v>
      </c>
      <c r="CHG1894" t="s">
        <v>5778</v>
      </c>
      <c r="CHH1894" t="s">
        <v>5778</v>
      </c>
      <c r="CHI1894" t="s">
        <v>5778</v>
      </c>
      <c r="CHJ1894" t="s">
        <v>5779</v>
      </c>
      <c r="CHM1894">
        <v>44583</v>
      </c>
      <c r="CHN1894">
        <v>0</v>
      </c>
      <c r="CHO1894" t="s">
        <v>5778</v>
      </c>
      <c r="CHP1894" t="s">
        <v>5778</v>
      </c>
      <c r="CHQ1894" t="s">
        <v>5778</v>
      </c>
      <c r="CHR1894" t="s">
        <v>5779</v>
      </c>
      <c r="CHU1894">
        <v>44583</v>
      </c>
      <c r="CHV1894">
        <v>0</v>
      </c>
      <c r="CHW1894" t="s">
        <v>5778</v>
      </c>
      <c r="CHX1894" t="s">
        <v>5778</v>
      </c>
      <c r="CHY1894" t="s">
        <v>5778</v>
      </c>
      <c r="CHZ1894" t="s">
        <v>5779</v>
      </c>
      <c r="CIC1894">
        <v>44583</v>
      </c>
      <c r="CID1894">
        <v>0</v>
      </c>
      <c r="CIE1894" t="s">
        <v>5778</v>
      </c>
      <c r="CIF1894" t="s">
        <v>5778</v>
      </c>
      <c r="CIG1894" t="s">
        <v>5778</v>
      </c>
      <c r="CIH1894" t="s">
        <v>5779</v>
      </c>
      <c r="CIK1894">
        <v>44583</v>
      </c>
      <c r="CIL1894">
        <v>0</v>
      </c>
      <c r="CIM1894" t="s">
        <v>5778</v>
      </c>
      <c r="CIN1894" t="s">
        <v>5778</v>
      </c>
      <c r="CIO1894" t="s">
        <v>5778</v>
      </c>
      <c r="CIP1894" t="s">
        <v>5779</v>
      </c>
      <c r="CIS1894">
        <v>44583</v>
      </c>
      <c r="CIT1894">
        <v>0</v>
      </c>
      <c r="CIU1894" t="s">
        <v>5778</v>
      </c>
      <c r="CIV1894" t="s">
        <v>5778</v>
      </c>
      <c r="CIW1894" t="s">
        <v>5778</v>
      </c>
      <c r="CIX1894" t="s">
        <v>5779</v>
      </c>
      <c r="CJA1894">
        <v>44583</v>
      </c>
      <c r="CJB1894">
        <v>0</v>
      </c>
      <c r="CJC1894" t="s">
        <v>5778</v>
      </c>
      <c r="CJD1894" t="s">
        <v>5778</v>
      </c>
      <c r="CJE1894" t="s">
        <v>5778</v>
      </c>
      <c r="CJF1894" t="s">
        <v>5779</v>
      </c>
      <c r="CJI1894">
        <v>44583</v>
      </c>
      <c r="CJJ1894">
        <v>0</v>
      </c>
      <c r="CJK1894" t="s">
        <v>5778</v>
      </c>
      <c r="CJL1894" t="s">
        <v>5778</v>
      </c>
      <c r="CJM1894" t="s">
        <v>5778</v>
      </c>
      <c r="CJN1894" t="s">
        <v>5779</v>
      </c>
      <c r="CJQ1894">
        <v>44583</v>
      </c>
      <c r="CJR1894">
        <v>0</v>
      </c>
      <c r="CJS1894" t="s">
        <v>5778</v>
      </c>
      <c r="CJT1894" t="s">
        <v>5778</v>
      </c>
      <c r="CJU1894" t="s">
        <v>5778</v>
      </c>
      <c r="CJV1894" t="s">
        <v>5779</v>
      </c>
      <c r="CJY1894">
        <v>44583</v>
      </c>
      <c r="CJZ1894">
        <v>0</v>
      </c>
      <c r="CKA1894" t="s">
        <v>5778</v>
      </c>
      <c r="CKB1894" t="s">
        <v>5778</v>
      </c>
      <c r="CKC1894" t="s">
        <v>5778</v>
      </c>
      <c r="CKD1894" t="s">
        <v>5779</v>
      </c>
      <c r="CKG1894">
        <v>44583</v>
      </c>
      <c r="CKH1894">
        <v>0</v>
      </c>
      <c r="CKI1894" t="s">
        <v>5778</v>
      </c>
      <c r="CKJ1894" t="s">
        <v>5778</v>
      </c>
      <c r="CKK1894" t="s">
        <v>5778</v>
      </c>
      <c r="CKL1894" t="s">
        <v>5779</v>
      </c>
      <c r="CKO1894">
        <v>44583</v>
      </c>
      <c r="CKP1894">
        <v>0</v>
      </c>
      <c r="CKQ1894" t="s">
        <v>5778</v>
      </c>
      <c r="CKR1894" t="s">
        <v>5778</v>
      </c>
      <c r="CKS1894" t="s">
        <v>5778</v>
      </c>
      <c r="CKT1894" t="s">
        <v>5779</v>
      </c>
      <c r="CKW1894">
        <v>44583</v>
      </c>
      <c r="CKX1894">
        <v>0</v>
      </c>
      <c r="CKY1894" t="s">
        <v>5778</v>
      </c>
      <c r="CKZ1894" t="s">
        <v>5778</v>
      </c>
      <c r="CLA1894" t="s">
        <v>5778</v>
      </c>
      <c r="CLB1894" t="s">
        <v>5779</v>
      </c>
      <c r="CLE1894">
        <v>44583</v>
      </c>
      <c r="CLF1894">
        <v>0</v>
      </c>
      <c r="CLG1894" t="s">
        <v>5778</v>
      </c>
      <c r="CLH1894" t="s">
        <v>5778</v>
      </c>
      <c r="CLI1894" t="s">
        <v>5778</v>
      </c>
      <c r="CLJ1894" t="s">
        <v>5779</v>
      </c>
      <c r="CLM1894">
        <v>44583</v>
      </c>
      <c r="CLN1894">
        <v>0</v>
      </c>
      <c r="CLO1894" t="s">
        <v>5778</v>
      </c>
      <c r="CLP1894" t="s">
        <v>5778</v>
      </c>
      <c r="CLQ1894" t="s">
        <v>5778</v>
      </c>
      <c r="CLR1894" t="s">
        <v>5779</v>
      </c>
      <c r="CLU1894">
        <v>44583</v>
      </c>
      <c r="CLV1894">
        <v>0</v>
      </c>
      <c r="CLW1894" t="s">
        <v>5778</v>
      </c>
      <c r="CLX1894" t="s">
        <v>5778</v>
      </c>
      <c r="CLY1894" t="s">
        <v>5778</v>
      </c>
      <c r="CLZ1894" t="s">
        <v>5779</v>
      </c>
      <c r="CMC1894">
        <v>44583</v>
      </c>
      <c r="CMD1894">
        <v>0</v>
      </c>
      <c r="CME1894" t="s">
        <v>5778</v>
      </c>
      <c r="CMF1894" t="s">
        <v>5778</v>
      </c>
      <c r="CMG1894" t="s">
        <v>5778</v>
      </c>
      <c r="CMH1894" t="s">
        <v>5779</v>
      </c>
      <c r="CMK1894">
        <v>44583</v>
      </c>
      <c r="CML1894">
        <v>0</v>
      </c>
      <c r="CMM1894" t="s">
        <v>5778</v>
      </c>
      <c r="CMN1894" t="s">
        <v>5778</v>
      </c>
      <c r="CMO1894" t="s">
        <v>5778</v>
      </c>
      <c r="CMP1894" t="s">
        <v>5779</v>
      </c>
      <c r="CMS1894">
        <v>44583</v>
      </c>
      <c r="CMT1894">
        <v>0</v>
      </c>
      <c r="CMU1894" t="s">
        <v>5778</v>
      </c>
      <c r="CMV1894" t="s">
        <v>5778</v>
      </c>
      <c r="CMW1894" t="s">
        <v>5778</v>
      </c>
      <c r="CMX1894" t="s">
        <v>5779</v>
      </c>
      <c r="CNA1894">
        <v>44583</v>
      </c>
      <c r="CNB1894">
        <v>0</v>
      </c>
      <c r="CNC1894" t="s">
        <v>5778</v>
      </c>
      <c r="CND1894" t="s">
        <v>5778</v>
      </c>
      <c r="CNE1894" t="s">
        <v>5778</v>
      </c>
      <c r="CNF1894" t="s">
        <v>5779</v>
      </c>
      <c r="CNI1894">
        <v>44583</v>
      </c>
      <c r="CNJ1894">
        <v>0</v>
      </c>
      <c r="CNK1894" t="s">
        <v>5778</v>
      </c>
      <c r="CNL1894" t="s">
        <v>5778</v>
      </c>
      <c r="CNM1894" t="s">
        <v>5778</v>
      </c>
      <c r="CNN1894" t="s">
        <v>5779</v>
      </c>
      <c r="CNQ1894">
        <v>44583</v>
      </c>
      <c r="CNR1894">
        <v>0</v>
      </c>
      <c r="CNS1894" t="s">
        <v>5778</v>
      </c>
      <c r="CNT1894" t="s">
        <v>5778</v>
      </c>
      <c r="CNU1894" t="s">
        <v>5778</v>
      </c>
      <c r="CNV1894" t="s">
        <v>5779</v>
      </c>
      <c r="CNY1894">
        <v>44583</v>
      </c>
      <c r="CNZ1894">
        <v>0</v>
      </c>
      <c r="COA1894" t="s">
        <v>5778</v>
      </c>
      <c r="COB1894" t="s">
        <v>5778</v>
      </c>
      <c r="COC1894" t="s">
        <v>5778</v>
      </c>
      <c r="COD1894" t="s">
        <v>5779</v>
      </c>
      <c r="COG1894">
        <v>44583</v>
      </c>
      <c r="COH1894">
        <v>0</v>
      </c>
      <c r="COI1894" t="s">
        <v>5778</v>
      </c>
      <c r="COJ1894" t="s">
        <v>5778</v>
      </c>
      <c r="COK1894" t="s">
        <v>5778</v>
      </c>
      <c r="COL1894" t="s">
        <v>5779</v>
      </c>
      <c r="COO1894">
        <v>44583</v>
      </c>
      <c r="COP1894">
        <v>0</v>
      </c>
      <c r="COQ1894" t="s">
        <v>5778</v>
      </c>
      <c r="COR1894" t="s">
        <v>5778</v>
      </c>
      <c r="COS1894" t="s">
        <v>5778</v>
      </c>
      <c r="COT1894" t="s">
        <v>5779</v>
      </c>
      <c r="COW1894">
        <v>44583</v>
      </c>
      <c r="COX1894">
        <v>0</v>
      </c>
      <c r="COY1894" t="s">
        <v>5778</v>
      </c>
      <c r="COZ1894" t="s">
        <v>5778</v>
      </c>
      <c r="CPA1894" t="s">
        <v>5778</v>
      </c>
      <c r="CPB1894" t="s">
        <v>5779</v>
      </c>
      <c r="CPE1894">
        <v>44583</v>
      </c>
      <c r="CPF1894">
        <v>0</v>
      </c>
      <c r="CPG1894" t="s">
        <v>5778</v>
      </c>
      <c r="CPH1894" t="s">
        <v>5778</v>
      </c>
      <c r="CPI1894" t="s">
        <v>5778</v>
      </c>
      <c r="CPJ1894" t="s">
        <v>5779</v>
      </c>
      <c r="CPM1894">
        <v>44583</v>
      </c>
      <c r="CPN1894">
        <v>0</v>
      </c>
      <c r="CPO1894" t="s">
        <v>5778</v>
      </c>
      <c r="CPP1894" t="s">
        <v>5778</v>
      </c>
      <c r="CPQ1894" t="s">
        <v>5778</v>
      </c>
      <c r="CPR1894" t="s">
        <v>5779</v>
      </c>
      <c r="CPU1894">
        <v>44583</v>
      </c>
      <c r="CPV1894">
        <v>0</v>
      </c>
      <c r="CPW1894" t="s">
        <v>5778</v>
      </c>
      <c r="CPX1894" t="s">
        <v>5778</v>
      </c>
      <c r="CPY1894" t="s">
        <v>5778</v>
      </c>
      <c r="CPZ1894" t="s">
        <v>5779</v>
      </c>
      <c r="CQC1894">
        <v>44583</v>
      </c>
      <c r="CQD1894">
        <v>0</v>
      </c>
      <c r="CQE1894" t="s">
        <v>5778</v>
      </c>
      <c r="CQF1894" t="s">
        <v>5778</v>
      </c>
      <c r="CQG1894" t="s">
        <v>5778</v>
      </c>
      <c r="CQH1894" t="s">
        <v>5779</v>
      </c>
      <c r="CQK1894">
        <v>44583</v>
      </c>
      <c r="CQL1894">
        <v>0</v>
      </c>
      <c r="CQM1894" t="s">
        <v>5778</v>
      </c>
      <c r="CQN1894" t="s">
        <v>5778</v>
      </c>
      <c r="CQO1894" t="s">
        <v>5778</v>
      </c>
      <c r="CQP1894" t="s">
        <v>5779</v>
      </c>
      <c r="CQS1894">
        <v>44583</v>
      </c>
      <c r="CQT1894">
        <v>0</v>
      </c>
      <c r="CQU1894" t="s">
        <v>5778</v>
      </c>
      <c r="CQV1894" t="s">
        <v>5778</v>
      </c>
      <c r="CQW1894" t="s">
        <v>5778</v>
      </c>
      <c r="CQX1894" t="s">
        <v>5779</v>
      </c>
      <c r="CRA1894">
        <v>44583</v>
      </c>
      <c r="CRB1894">
        <v>0</v>
      </c>
      <c r="CRC1894" t="s">
        <v>5778</v>
      </c>
      <c r="CRD1894" t="s">
        <v>5778</v>
      </c>
      <c r="CRE1894" t="s">
        <v>5778</v>
      </c>
      <c r="CRF1894" t="s">
        <v>5779</v>
      </c>
      <c r="CRI1894">
        <v>44583</v>
      </c>
      <c r="CRJ1894">
        <v>0</v>
      </c>
      <c r="CRK1894" t="s">
        <v>5778</v>
      </c>
      <c r="CRL1894" t="s">
        <v>5778</v>
      </c>
      <c r="CRM1894" t="s">
        <v>5778</v>
      </c>
      <c r="CRN1894" t="s">
        <v>5779</v>
      </c>
      <c r="CRQ1894">
        <v>44583</v>
      </c>
      <c r="CRR1894">
        <v>0</v>
      </c>
      <c r="CRS1894" t="s">
        <v>5778</v>
      </c>
      <c r="CRT1894" t="s">
        <v>5778</v>
      </c>
      <c r="CRU1894" t="s">
        <v>5778</v>
      </c>
      <c r="CRV1894" t="s">
        <v>5779</v>
      </c>
      <c r="CRY1894">
        <v>44583</v>
      </c>
      <c r="CRZ1894">
        <v>0</v>
      </c>
      <c r="CSA1894" t="s">
        <v>5778</v>
      </c>
      <c r="CSB1894" t="s">
        <v>5778</v>
      </c>
      <c r="CSC1894" t="s">
        <v>5778</v>
      </c>
      <c r="CSD1894" t="s">
        <v>5779</v>
      </c>
      <c r="CSG1894">
        <v>44583</v>
      </c>
      <c r="CSH1894">
        <v>0</v>
      </c>
      <c r="CSI1894" t="s">
        <v>5778</v>
      </c>
      <c r="CSJ1894" t="s">
        <v>5778</v>
      </c>
      <c r="CSK1894" t="s">
        <v>5778</v>
      </c>
      <c r="CSL1894" t="s">
        <v>5779</v>
      </c>
      <c r="CSO1894">
        <v>44583</v>
      </c>
      <c r="CSP1894">
        <v>0</v>
      </c>
      <c r="CSQ1894" t="s">
        <v>5778</v>
      </c>
      <c r="CSR1894" t="s">
        <v>5778</v>
      </c>
      <c r="CSS1894" t="s">
        <v>5778</v>
      </c>
      <c r="CST1894" t="s">
        <v>5779</v>
      </c>
      <c r="CSW1894">
        <v>44583</v>
      </c>
      <c r="CSX1894">
        <v>0</v>
      </c>
      <c r="CSY1894" t="s">
        <v>5778</v>
      </c>
      <c r="CSZ1894" t="s">
        <v>5778</v>
      </c>
      <c r="CTA1894" t="s">
        <v>5778</v>
      </c>
      <c r="CTB1894" t="s">
        <v>5779</v>
      </c>
      <c r="CTE1894">
        <v>44583</v>
      </c>
      <c r="CTF1894">
        <v>0</v>
      </c>
      <c r="CTG1894" t="s">
        <v>5778</v>
      </c>
      <c r="CTH1894" t="s">
        <v>5778</v>
      </c>
      <c r="CTI1894" t="s">
        <v>5778</v>
      </c>
      <c r="CTJ1894" t="s">
        <v>5779</v>
      </c>
      <c r="CTM1894">
        <v>44583</v>
      </c>
      <c r="CTN1894">
        <v>0</v>
      </c>
      <c r="CTO1894" t="s">
        <v>5778</v>
      </c>
      <c r="CTP1894" t="s">
        <v>5778</v>
      </c>
      <c r="CTQ1894" t="s">
        <v>5778</v>
      </c>
      <c r="CTR1894" t="s">
        <v>5779</v>
      </c>
      <c r="CTU1894">
        <v>44583</v>
      </c>
      <c r="CTV1894">
        <v>0</v>
      </c>
      <c r="CTW1894" t="s">
        <v>5778</v>
      </c>
      <c r="CTX1894" t="s">
        <v>5778</v>
      </c>
      <c r="CTY1894" t="s">
        <v>5778</v>
      </c>
      <c r="CTZ1894" t="s">
        <v>5779</v>
      </c>
      <c r="CUC1894">
        <v>44583</v>
      </c>
      <c r="CUD1894">
        <v>0</v>
      </c>
      <c r="CUE1894" t="s">
        <v>5778</v>
      </c>
      <c r="CUF1894" t="s">
        <v>5778</v>
      </c>
      <c r="CUG1894" t="s">
        <v>5778</v>
      </c>
      <c r="CUH1894" t="s">
        <v>5779</v>
      </c>
      <c r="CUK1894">
        <v>44583</v>
      </c>
      <c r="CUL1894">
        <v>0</v>
      </c>
      <c r="CUM1894" t="s">
        <v>5778</v>
      </c>
      <c r="CUN1894" t="s">
        <v>5778</v>
      </c>
      <c r="CUO1894" t="s">
        <v>5778</v>
      </c>
      <c r="CUP1894" t="s">
        <v>5779</v>
      </c>
      <c r="CUS1894">
        <v>44583</v>
      </c>
      <c r="CUT1894">
        <v>0</v>
      </c>
      <c r="CUU1894" t="s">
        <v>5778</v>
      </c>
      <c r="CUV1894" t="s">
        <v>5778</v>
      </c>
      <c r="CUW1894" t="s">
        <v>5778</v>
      </c>
      <c r="CUX1894" t="s">
        <v>5779</v>
      </c>
      <c r="CVA1894">
        <v>44583</v>
      </c>
      <c r="CVB1894">
        <v>0</v>
      </c>
      <c r="CVC1894" t="s">
        <v>5778</v>
      </c>
      <c r="CVD1894" t="s">
        <v>5778</v>
      </c>
      <c r="CVE1894" t="s">
        <v>5778</v>
      </c>
      <c r="CVF1894" t="s">
        <v>5779</v>
      </c>
      <c r="CVI1894">
        <v>44583</v>
      </c>
      <c r="CVJ1894">
        <v>0</v>
      </c>
      <c r="CVK1894" t="s">
        <v>5778</v>
      </c>
      <c r="CVL1894" t="s">
        <v>5778</v>
      </c>
      <c r="CVM1894" t="s">
        <v>5778</v>
      </c>
      <c r="CVN1894" t="s">
        <v>5779</v>
      </c>
      <c r="CVQ1894">
        <v>44583</v>
      </c>
      <c r="CVR1894">
        <v>0</v>
      </c>
      <c r="CVS1894" t="s">
        <v>5778</v>
      </c>
      <c r="CVT1894" t="s">
        <v>5778</v>
      </c>
      <c r="CVU1894" t="s">
        <v>5778</v>
      </c>
      <c r="CVV1894" t="s">
        <v>5779</v>
      </c>
      <c r="CVY1894">
        <v>44583</v>
      </c>
      <c r="CVZ1894">
        <v>0</v>
      </c>
      <c r="CWA1894" t="s">
        <v>5778</v>
      </c>
      <c r="CWB1894" t="s">
        <v>5778</v>
      </c>
      <c r="CWC1894" t="s">
        <v>5778</v>
      </c>
      <c r="CWD1894" t="s">
        <v>5779</v>
      </c>
      <c r="CWG1894">
        <v>44583</v>
      </c>
      <c r="CWH1894">
        <v>0</v>
      </c>
      <c r="CWI1894" t="s">
        <v>5778</v>
      </c>
      <c r="CWJ1894" t="s">
        <v>5778</v>
      </c>
      <c r="CWK1894" t="s">
        <v>5778</v>
      </c>
      <c r="CWL1894" t="s">
        <v>5779</v>
      </c>
      <c r="CWO1894">
        <v>44583</v>
      </c>
      <c r="CWP1894">
        <v>0</v>
      </c>
      <c r="CWQ1894" t="s">
        <v>5778</v>
      </c>
      <c r="CWR1894" t="s">
        <v>5778</v>
      </c>
      <c r="CWS1894" t="s">
        <v>5778</v>
      </c>
      <c r="CWT1894" t="s">
        <v>5779</v>
      </c>
      <c r="CWW1894">
        <v>44583</v>
      </c>
      <c r="CWX1894">
        <v>0</v>
      </c>
      <c r="CWY1894" t="s">
        <v>5778</v>
      </c>
      <c r="CWZ1894" t="s">
        <v>5778</v>
      </c>
      <c r="CXA1894" t="s">
        <v>5778</v>
      </c>
      <c r="CXB1894" t="s">
        <v>5779</v>
      </c>
      <c r="CXE1894">
        <v>44583</v>
      </c>
      <c r="CXF1894">
        <v>0</v>
      </c>
      <c r="CXG1894" t="s">
        <v>5778</v>
      </c>
      <c r="CXH1894" t="s">
        <v>5778</v>
      </c>
      <c r="CXI1894" t="s">
        <v>5778</v>
      </c>
      <c r="CXJ1894" t="s">
        <v>5779</v>
      </c>
      <c r="CXM1894">
        <v>44583</v>
      </c>
      <c r="CXN1894">
        <v>0</v>
      </c>
      <c r="CXO1894" t="s">
        <v>5778</v>
      </c>
      <c r="CXP1894" t="s">
        <v>5778</v>
      </c>
      <c r="CXQ1894" t="s">
        <v>5778</v>
      </c>
      <c r="CXR1894" t="s">
        <v>5779</v>
      </c>
      <c r="CXU1894">
        <v>44583</v>
      </c>
      <c r="CXV1894">
        <v>0</v>
      </c>
      <c r="CXW1894" t="s">
        <v>5778</v>
      </c>
      <c r="CXX1894" t="s">
        <v>5778</v>
      </c>
      <c r="CXY1894" t="s">
        <v>5778</v>
      </c>
      <c r="CXZ1894" t="s">
        <v>5779</v>
      </c>
      <c r="CYC1894">
        <v>44583</v>
      </c>
      <c r="CYD1894">
        <v>0</v>
      </c>
      <c r="CYE1894" t="s">
        <v>5778</v>
      </c>
      <c r="CYF1894" t="s">
        <v>5778</v>
      </c>
      <c r="CYG1894" t="s">
        <v>5778</v>
      </c>
      <c r="CYH1894" t="s">
        <v>5779</v>
      </c>
      <c r="CYK1894">
        <v>44583</v>
      </c>
      <c r="CYL1894">
        <v>0</v>
      </c>
      <c r="CYM1894" t="s">
        <v>5778</v>
      </c>
      <c r="CYN1894" t="s">
        <v>5778</v>
      </c>
      <c r="CYO1894" t="s">
        <v>5778</v>
      </c>
      <c r="CYP1894" t="s">
        <v>5779</v>
      </c>
      <c r="CYS1894">
        <v>44583</v>
      </c>
      <c r="CYT1894">
        <v>0</v>
      </c>
      <c r="CYU1894" t="s">
        <v>5778</v>
      </c>
      <c r="CYV1894" t="s">
        <v>5778</v>
      </c>
      <c r="CYW1894" t="s">
        <v>5778</v>
      </c>
      <c r="CYX1894" t="s">
        <v>5779</v>
      </c>
      <c r="CZA1894">
        <v>44583</v>
      </c>
      <c r="CZB1894">
        <v>0</v>
      </c>
      <c r="CZC1894" t="s">
        <v>5778</v>
      </c>
      <c r="CZD1894" t="s">
        <v>5778</v>
      </c>
      <c r="CZE1894" t="s">
        <v>5778</v>
      </c>
      <c r="CZF1894" t="s">
        <v>5779</v>
      </c>
      <c r="CZI1894">
        <v>44583</v>
      </c>
      <c r="CZJ1894">
        <v>0</v>
      </c>
      <c r="CZK1894" t="s">
        <v>5778</v>
      </c>
      <c r="CZL1894" t="s">
        <v>5778</v>
      </c>
      <c r="CZM1894" t="s">
        <v>5778</v>
      </c>
      <c r="CZN1894" t="s">
        <v>5779</v>
      </c>
      <c r="CZQ1894">
        <v>44583</v>
      </c>
      <c r="CZR1894">
        <v>0</v>
      </c>
      <c r="CZS1894" t="s">
        <v>5778</v>
      </c>
      <c r="CZT1894" t="s">
        <v>5778</v>
      </c>
      <c r="CZU1894" t="s">
        <v>5778</v>
      </c>
      <c r="CZV1894" t="s">
        <v>5779</v>
      </c>
      <c r="CZY1894">
        <v>44583</v>
      </c>
      <c r="CZZ1894">
        <v>0</v>
      </c>
      <c r="DAA1894" t="s">
        <v>5778</v>
      </c>
      <c r="DAB1894" t="s">
        <v>5778</v>
      </c>
      <c r="DAC1894" t="s">
        <v>5778</v>
      </c>
      <c r="DAD1894" t="s">
        <v>5779</v>
      </c>
      <c r="DAG1894">
        <v>44583</v>
      </c>
      <c r="DAH1894">
        <v>0</v>
      </c>
      <c r="DAI1894" t="s">
        <v>5778</v>
      </c>
      <c r="DAJ1894" t="s">
        <v>5778</v>
      </c>
      <c r="DAK1894" t="s">
        <v>5778</v>
      </c>
      <c r="DAL1894" t="s">
        <v>5779</v>
      </c>
      <c r="DAO1894">
        <v>44583</v>
      </c>
      <c r="DAP1894">
        <v>0</v>
      </c>
      <c r="DAQ1894" t="s">
        <v>5778</v>
      </c>
      <c r="DAR1894" t="s">
        <v>5778</v>
      </c>
      <c r="DAS1894" t="s">
        <v>5778</v>
      </c>
      <c r="DAT1894" t="s">
        <v>5779</v>
      </c>
      <c r="DAW1894">
        <v>44583</v>
      </c>
      <c r="DAX1894">
        <v>0</v>
      </c>
      <c r="DAY1894" t="s">
        <v>5778</v>
      </c>
      <c r="DAZ1894" t="s">
        <v>5778</v>
      </c>
      <c r="DBA1894" t="s">
        <v>5778</v>
      </c>
      <c r="DBB1894" t="s">
        <v>5779</v>
      </c>
      <c r="DBE1894">
        <v>44583</v>
      </c>
      <c r="DBF1894">
        <v>0</v>
      </c>
      <c r="DBG1894" t="s">
        <v>5778</v>
      </c>
      <c r="DBH1894" t="s">
        <v>5778</v>
      </c>
      <c r="DBI1894" t="s">
        <v>5778</v>
      </c>
      <c r="DBJ1894" t="s">
        <v>5779</v>
      </c>
      <c r="DBM1894">
        <v>44583</v>
      </c>
      <c r="DBN1894">
        <v>0</v>
      </c>
      <c r="DBO1894" t="s">
        <v>5778</v>
      </c>
      <c r="DBP1894" t="s">
        <v>5778</v>
      </c>
      <c r="DBQ1894" t="s">
        <v>5778</v>
      </c>
      <c r="DBR1894" t="s">
        <v>5779</v>
      </c>
      <c r="DBU1894">
        <v>44583</v>
      </c>
      <c r="DBV1894">
        <v>0</v>
      </c>
      <c r="DBW1894" t="s">
        <v>5778</v>
      </c>
      <c r="DBX1894" t="s">
        <v>5778</v>
      </c>
      <c r="DBY1894" t="s">
        <v>5778</v>
      </c>
      <c r="DBZ1894" t="s">
        <v>5779</v>
      </c>
      <c r="DCC1894">
        <v>44583</v>
      </c>
      <c r="DCD1894">
        <v>0</v>
      </c>
      <c r="DCE1894" t="s">
        <v>5778</v>
      </c>
      <c r="DCF1894" t="s">
        <v>5778</v>
      </c>
      <c r="DCG1894" t="s">
        <v>5778</v>
      </c>
      <c r="DCH1894" t="s">
        <v>5779</v>
      </c>
      <c r="DCK1894">
        <v>44583</v>
      </c>
      <c r="DCL1894">
        <v>0</v>
      </c>
      <c r="DCM1894" t="s">
        <v>5778</v>
      </c>
      <c r="DCN1894" t="s">
        <v>5778</v>
      </c>
      <c r="DCO1894" t="s">
        <v>5778</v>
      </c>
      <c r="DCP1894" t="s">
        <v>5779</v>
      </c>
      <c r="DCS1894">
        <v>44583</v>
      </c>
      <c r="DCT1894">
        <v>0</v>
      </c>
      <c r="DCU1894" t="s">
        <v>5778</v>
      </c>
      <c r="DCV1894" t="s">
        <v>5778</v>
      </c>
      <c r="DCW1894" t="s">
        <v>5778</v>
      </c>
      <c r="DCX1894" t="s">
        <v>5779</v>
      </c>
      <c r="DDA1894">
        <v>44583</v>
      </c>
      <c r="DDB1894">
        <v>0</v>
      </c>
      <c r="DDC1894" t="s">
        <v>5778</v>
      </c>
      <c r="DDD1894" t="s">
        <v>5778</v>
      </c>
      <c r="DDE1894" t="s">
        <v>5778</v>
      </c>
      <c r="DDF1894" t="s">
        <v>5779</v>
      </c>
      <c r="DDI1894">
        <v>44583</v>
      </c>
      <c r="DDJ1894">
        <v>0</v>
      </c>
      <c r="DDK1894" t="s">
        <v>5778</v>
      </c>
      <c r="DDL1894" t="s">
        <v>5778</v>
      </c>
      <c r="DDM1894" t="s">
        <v>5778</v>
      </c>
      <c r="DDN1894" t="s">
        <v>5779</v>
      </c>
      <c r="DDQ1894">
        <v>44583</v>
      </c>
      <c r="DDR1894">
        <v>0</v>
      </c>
      <c r="DDS1894" t="s">
        <v>5778</v>
      </c>
      <c r="DDT1894" t="s">
        <v>5778</v>
      </c>
      <c r="DDU1894" t="s">
        <v>5778</v>
      </c>
      <c r="DDV1894" t="s">
        <v>5779</v>
      </c>
      <c r="DDY1894">
        <v>44583</v>
      </c>
      <c r="DDZ1894">
        <v>0</v>
      </c>
      <c r="DEA1894" t="s">
        <v>5778</v>
      </c>
      <c r="DEB1894" t="s">
        <v>5778</v>
      </c>
      <c r="DEC1894" t="s">
        <v>5778</v>
      </c>
      <c r="DED1894" t="s">
        <v>5779</v>
      </c>
      <c r="DEG1894">
        <v>44583</v>
      </c>
      <c r="DEH1894">
        <v>0</v>
      </c>
      <c r="DEI1894" t="s">
        <v>5778</v>
      </c>
      <c r="DEJ1894" t="s">
        <v>5778</v>
      </c>
      <c r="DEK1894" t="s">
        <v>5778</v>
      </c>
      <c r="DEL1894" t="s">
        <v>5779</v>
      </c>
      <c r="DEO1894">
        <v>44583</v>
      </c>
      <c r="DEP1894">
        <v>0</v>
      </c>
      <c r="DEQ1894" t="s">
        <v>5778</v>
      </c>
      <c r="DER1894" t="s">
        <v>5778</v>
      </c>
      <c r="DES1894" t="s">
        <v>5778</v>
      </c>
      <c r="DET1894" t="s">
        <v>5779</v>
      </c>
      <c r="DEW1894">
        <v>44583</v>
      </c>
      <c r="DEX1894">
        <v>0</v>
      </c>
      <c r="DEY1894" t="s">
        <v>5778</v>
      </c>
      <c r="DEZ1894" t="s">
        <v>5778</v>
      </c>
      <c r="DFA1894" t="s">
        <v>5778</v>
      </c>
      <c r="DFB1894" t="s">
        <v>5779</v>
      </c>
      <c r="DFE1894">
        <v>44583</v>
      </c>
      <c r="DFF1894">
        <v>0</v>
      </c>
      <c r="DFG1894" t="s">
        <v>5778</v>
      </c>
      <c r="DFH1894" t="s">
        <v>5778</v>
      </c>
      <c r="DFI1894" t="s">
        <v>5778</v>
      </c>
      <c r="DFJ1894" t="s">
        <v>5779</v>
      </c>
      <c r="DFM1894">
        <v>44583</v>
      </c>
      <c r="DFN1894">
        <v>0</v>
      </c>
      <c r="DFO1894" t="s">
        <v>5778</v>
      </c>
      <c r="DFP1894" t="s">
        <v>5778</v>
      </c>
      <c r="DFQ1894" t="s">
        <v>5778</v>
      </c>
      <c r="DFR1894" t="s">
        <v>5779</v>
      </c>
      <c r="DFU1894">
        <v>44583</v>
      </c>
      <c r="DFV1894">
        <v>0</v>
      </c>
      <c r="DFW1894" t="s">
        <v>5778</v>
      </c>
      <c r="DFX1894" t="s">
        <v>5778</v>
      </c>
      <c r="DFY1894" t="s">
        <v>5778</v>
      </c>
      <c r="DFZ1894" t="s">
        <v>5779</v>
      </c>
      <c r="DGC1894">
        <v>44583</v>
      </c>
      <c r="DGD1894">
        <v>0</v>
      </c>
      <c r="DGE1894" t="s">
        <v>5778</v>
      </c>
      <c r="DGF1894" t="s">
        <v>5778</v>
      </c>
      <c r="DGG1894" t="s">
        <v>5778</v>
      </c>
      <c r="DGH1894" t="s">
        <v>5779</v>
      </c>
      <c r="DGK1894">
        <v>44583</v>
      </c>
      <c r="DGL1894">
        <v>0</v>
      </c>
      <c r="DGM1894" t="s">
        <v>5778</v>
      </c>
      <c r="DGN1894" t="s">
        <v>5778</v>
      </c>
      <c r="DGO1894" t="s">
        <v>5778</v>
      </c>
      <c r="DGP1894" t="s">
        <v>5779</v>
      </c>
      <c r="DGS1894">
        <v>44583</v>
      </c>
      <c r="DGT1894">
        <v>0</v>
      </c>
      <c r="DGU1894" t="s">
        <v>5778</v>
      </c>
      <c r="DGV1894" t="s">
        <v>5778</v>
      </c>
      <c r="DGW1894" t="s">
        <v>5778</v>
      </c>
      <c r="DGX1894" t="s">
        <v>5779</v>
      </c>
      <c r="DHA1894">
        <v>44583</v>
      </c>
      <c r="DHB1894">
        <v>0</v>
      </c>
      <c r="DHC1894" t="s">
        <v>5778</v>
      </c>
      <c r="DHD1894" t="s">
        <v>5778</v>
      </c>
      <c r="DHE1894" t="s">
        <v>5778</v>
      </c>
      <c r="DHF1894" t="s">
        <v>5779</v>
      </c>
      <c r="DHI1894">
        <v>44583</v>
      </c>
      <c r="DHJ1894">
        <v>0</v>
      </c>
      <c r="DHK1894" t="s">
        <v>5778</v>
      </c>
      <c r="DHL1894" t="s">
        <v>5778</v>
      </c>
      <c r="DHM1894" t="s">
        <v>5778</v>
      </c>
      <c r="DHN1894" t="s">
        <v>5779</v>
      </c>
      <c r="DHQ1894">
        <v>44583</v>
      </c>
      <c r="DHR1894">
        <v>0</v>
      </c>
      <c r="DHS1894" t="s">
        <v>5778</v>
      </c>
      <c r="DHT1894" t="s">
        <v>5778</v>
      </c>
      <c r="DHU1894" t="s">
        <v>5778</v>
      </c>
      <c r="DHV1894" t="s">
        <v>5779</v>
      </c>
      <c r="DHY1894">
        <v>44583</v>
      </c>
      <c r="DHZ1894">
        <v>0</v>
      </c>
      <c r="DIA1894" t="s">
        <v>5778</v>
      </c>
      <c r="DIB1894" t="s">
        <v>5778</v>
      </c>
      <c r="DIC1894" t="s">
        <v>5778</v>
      </c>
      <c r="DID1894" t="s">
        <v>5779</v>
      </c>
      <c r="DIG1894">
        <v>44583</v>
      </c>
      <c r="DIH1894">
        <v>0</v>
      </c>
      <c r="DII1894" t="s">
        <v>5778</v>
      </c>
      <c r="DIJ1894" t="s">
        <v>5778</v>
      </c>
      <c r="DIK1894" t="s">
        <v>5778</v>
      </c>
      <c r="DIL1894" t="s">
        <v>5779</v>
      </c>
      <c r="DIO1894">
        <v>44583</v>
      </c>
      <c r="DIP1894">
        <v>0</v>
      </c>
      <c r="DIQ1894" t="s">
        <v>5778</v>
      </c>
      <c r="DIR1894" t="s">
        <v>5778</v>
      </c>
      <c r="DIS1894" t="s">
        <v>5778</v>
      </c>
      <c r="DIT1894" t="s">
        <v>5779</v>
      </c>
      <c r="DIW1894">
        <v>44583</v>
      </c>
      <c r="DIX1894">
        <v>0</v>
      </c>
      <c r="DIY1894" t="s">
        <v>5778</v>
      </c>
      <c r="DIZ1894" t="s">
        <v>5778</v>
      </c>
      <c r="DJA1894" t="s">
        <v>5778</v>
      </c>
      <c r="DJB1894" t="s">
        <v>5779</v>
      </c>
      <c r="DJE1894">
        <v>44583</v>
      </c>
      <c r="DJF1894">
        <v>0</v>
      </c>
      <c r="DJG1894" t="s">
        <v>5778</v>
      </c>
      <c r="DJH1894" t="s">
        <v>5778</v>
      </c>
      <c r="DJI1894" t="s">
        <v>5778</v>
      </c>
      <c r="DJJ1894" t="s">
        <v>5779</v>
      </c>
      <c r="DJM1894">
        <v>44583</v>
      </c>
      <c r="DJN1894">
        <v>0</v>
      </c>
      <c r="DJO1894" t="s">
        <v>5778</v>
      </c>
      <c r="DJP1894" t="s">
        <v>5778</v>
      </c>
      <c r="DJQ1894" t="s">
        <v>5778</v>
      </c>
      <c r="DJR1894" t="s">
        <v>5779</v>
      </c>
      <c r="DJU1894">
        <v>44583</v>
      </c>
      <c r="DJV1894">
        <v>0</v>
      </c>
      <c r="DJW1894" t="s">
        <v>5778</v>
      </c>
      <c r="DJX1894" t="s">
        <v>5778</v>
      </c>
      <c r="DJY1894" t="s">
        <v>5778</v>
      </c>
      <c r="DJZ1894" t="s">
        <v>5779</v>
      </c>
      <c r="DKC1894">
        <v>44583</v>
      </c>
      <c r="DKD1894">
        <v>0</v>
      </c>
      <c r="DKE1894" t="s">
        <v>5778</v>
      </c>
      <c r="DKF1894" t="s">
        <v>5778</v>
      </c>
      <c r="DKG1894" t="s">
        <v>5778</v>
      </c>
      <c r="DKH1894" t="s">
        <v>5779</v>
      </c>
      <c r="DKK1894">
        <v>44583</v>
      </c>
      <c r="DKL1894">
        <v>0</v>
      </c>
      <c r="DKM1894" t="s">
        <v>5778</v>
      </c>
      <c r="DKN1894" t="s">
        <v>5778</v>
      </c>
      <c r="DKO1894" t="s">
        <v>5778</v>
      </c>
      <c r="DKP1894" t="s">
        <v>5779</v>
      </c>
      <c r="DKS1894">
        <v>44583</v>
      </c>
      <c r="DKT1894">
        <v>0</v>
      </c>
      <c r="DKU1894" t="s">
        <v>5778</v>
      </c>
      <c r="DKV1894" t="s">
        <v>5778</v>
      </c>
      <c r="DKW1894" t="s">
        <v>5778</v>
      </c>
      <c r="DKX1894" t="s">
        <v>5779</v>
      </c>
      <c r="DLA1894">
        <v>44583</v>
      </c>
      <c r="DLB1894">
        <v>0</v>
      </c>
      <c r="DLC1894" t="s">
        <v>5778</v>
      </c>
      <c r="DLD1894" t="s">
        <v>5778</v>
      </c>
      <c r="DLE1894" t="s">
        <v>5778</v>
      </c>
      <c r="DLF1894" t="s">
        <v>5779</v>
      </c>
      <c r="DLI1894">
        <v>44583</v>
      </c>
      <c r="DLJ1894">
        <v>0</v>
      </c>
      <c r="DLK1894" t="s">
        <v>5778</v>
      </c>
      <c r="DLL1894" t="s">
        <v>5778</v>
      </c>
      <c r="DLM1894" t="s">
        <v>5778</v>
      </c>
      <c r="DLN1894" t="s">
        <v>5779</v>
      </c>
      <c r="DLQ1894">
        <v>44583</v>
      </c>
      <c r="DLR1894">
        <v>0</v>
      </c>
      <c r="DLS1894" t="s">
        <v>5778</v>
      </c>
      <c r="DLT1894" t="s">
        <v>5778</v>
      </c>
      <c r="DLU1894" t="s">
        <v>5778</v>
      </c>
      <c r="DLV1894" t="s">
        <v>5779</v>
      </c>
      <c r="DLY1894">
        <v>44583</v>
      </c>
      <c r="DLZ1894">
        <v>0</v>
      </c>
      <c r="DMA1894" t="s">
        <v>5778</v>
      </c>
      <c r="DMB1894" t="s">
        <v>5778</v>
      </c>
      <c r="DMC1894" t="s">
        <v>5778</v>
      </c>
      <c r="DMD1894" t="s">
        <v>5779</v>
      </c>
      <c r="DMG1894">
        <v>44583</v>
      </c>
      <c r="DMH1894">
        <v>0</v>
      </c>
      <c r="DMI1894" t="s">
        <v>5778</v>
      </c>
      <c r="DMJ1894" t="s">
        <v>5778</v>
      </c>
      <c r="DMK1894" t="s">
        <v>5778</v>
      </c>
      <c r="DML1894" t="s">
        <v>5779</v>
      </c>
      <c r="DMO1894">
        <v>44583</v>
      </c>
      <c r="DMP1894">
        <v>0</v>
      </c>
      <c r="DMQ1894" t="s">
        <v>5778</v>
      </c>
      <c r="DMR1894" t="s">
        <v>5778</v>
      </c>
      <c r="DMS1894" t="s">
        <v>5778</v>
      </c>
      <c r="DMT1894" t="s">
        <v>5779</v>
      </c>
      <c r="DMW1894">
        <v>44583</v>
      </c>
      <c r="DMX1894">
        <v>0</v>
      </c>
      <c r="DMY1894" t="s">
        <v>5778</v>
      </c>
      <c r="DMZ1894" t="s">
        <v>5778</v>
      </c>
      <c r="DNA1894" t="s">
        <v>5778</v>
      </c>
      <c r="DNB1894" t="s">
        <v>5779</v>
      </c>
      <c r="DNE1894">
        <v>44583</v>
      </c>
      <c r="DNF1894">
        <v>0</v>
      </c>
      <c r="DNG1894" t="s">
        <v>5778</v>
      </c>
      <c r="DNH1894" t="s">
        <v>5778</v>
      </c>
      <c r="DNI1894" t="s">
        <v>5778</v>
      </c>
      <c r="DNJ1894" t="s">
        <v>5779</v>
      </c>
      <c r="DNM1894">
        <v>44583</v>
      </c>
      <c r="DNN1894">
        <v>0</v>
      </c>
      <c r="DNO1894" t="s">
        <v>5778</v>
      </c>
      <c r="DNP1894" t="s">
        <v>5778</v>
      </c>
      <c r="DNQ1894" t="s">
        <v>5778</v>
      </c>
      <c r="DNR1894" t="s">
        <v>5779</v>
      </c>
      <c r="DNU1894">
        <v>44583</v>
      </c>
      <c r="DNV1894">
        <v>0</v>
      </c>
      <c r="DNW1894" t="s">
        <v>5778</v>
      </c>
      <c r="DNX1894" t="s">
        <v>5778</v>
      </c>
      <c r="DNY1894" t="s">
        <v>5778</v>
      </c>
      <c r="DNZ1894" t="s">
        <v>5779</v>
      </c>
      <c r="DOC1894">
        <v>44583</v>
      </c>
      <c r="DOD1894">
        <v>0</v>
      </c>
      <c r="DOE1894" t="s">
        <v>5778</v>
      </c>
      <c r="DOF1894" t="s">
        <v>5778</v>
      </c>
      <c r="DOG1894" t="s">
        <v>5778</v>
      </c>
      <c r="DOH1894" t="s">
        <v>5779</v>
      </c>
      <c r="DOK1894">
        <v>44583</v>
      </c>
      <c r="DOL1894">
        <v>0</v>
      </c>
      <c r="DOM1894" t="s">
        <v>5778</v>
      </c>
      <c r="DON1894" t="s">
        <v>5778</v>
      </c>
      <c r="DOO1894" t="s">
        <v>5778</v>
      </c>
      <c r="DOP1894" t="s">
        <v>5779</v>
      </c>
      <c r="DOS1894">
        <v>44583</v>
      </c>
      <c r="DOT1894">
        <v>0</v>
      </c>
      <c r="DOU1894" t="s">
        <v>5778</v>
      </c>
      <c r="DOV1894" t="s">
        <v>5778</v>
      </c>
      <c r="DOW1894" t="s">
        <v>5778</v>
      </c>
      <c r="DOX1894" t="s">
        <v>5779</v>
      </c>
      <c r="DPA1894">
        <v>44583</v>
      </c>
      <c r="DPB1894">
        <v>0</v>
      </c>
      <c r="DPC1894" t="s">
        <v>5778</v>
      </c>
      <c r="DPD1894" t="s">
        <v>5778</v>
      </c>
      <c r="DPE1894" t="s">
        <v>5778</v>
      </c>
      <c r="DPF1894" t="s">
        <v>5779</v>
      </c>
      <c r="DPI1894">
        <v>44583</v>
      </c>
      <c r="DPJ1894">
        <v>0</v>
      </c>
      <c r="DPK1894" t="s">
        <v>5778</v>
      </c>
      <c r="DPL1894" t="s">
        <v>5778</v>
      </c>
      <c r="DPM1894" t="s">
        <v>5778</v>
      </c>
      <c r="DPN1894" t="s">
        <v>5779</v>
      </c>
      <c r="DPQ1894">
        <v>44583</v>
      </c>
      <c r="DPR1894">
        <v>0</v>
      </c>
      <c r="DPS1894" t="s">
        <v>5778</v>
      </c>
      <c r="DPT1894" t="s">
        <v>5778</v>
      </c>
      <c r="DPU1894" t="s">
        <v>5778</v>
      </c>
      <c r="DPV1894" t="s">
        <v>5779</v>
      </c>
      <c r="DPY1894">
        <v>44583</v>
      </c>
      <c r="DPZ1894">
        <v>0</v>
      </c>
      <c r="DQA1894" t="s">
        <v>5778</v>
      </c>
      <c r="DQB1894" t="s">
        <v>5778</v>
      </c>
      <c r="DQC1894" t="s">
        <v>5778</v>
      </c>
      <c r="DQD1894" t="s">
        <v>5779</v>
      </c>
      <c r="DQG1894">
        <v>44583</v>
      </c>
      <c r="DQH1894">
        <v>0</v>
      </c>
      <c r="DQI1894" t="s">
        <v>5778</v>
      </c>
      <c r="DQJ1894" t="s">
        <v>5778</v>
      </c>
      <c r="DQK1894" t="s">
        <v>5778</v>
      </c>
      <c r="DQL1894" t="s">
        <v>5779</v>
      </c>
      <c r="DQO1894">
        <v>44583</v>
      </c>
      <c r="DQP1894">
        <v>0</v>
      </c>
      <c r="DQQ1894" t="s">
        <v>5778</v>
      </c>
      <c r="DQR1894" t="s">
        <v>5778</v>
      </c>
      <c r="DQS1894" t="s">
        <v>5778</v>
      </c>
      <c r="DQT1894" t="s">
        <v>5779</v>
      </c>
      <c r="DQW1894">
        <v>44583</v>
      </c>
      <c r="DQX1894">
        <v>0</v>
      </c>
      <c r="DQY1894" t="s">
        <v>5778</v>
      </c>
      <c r="DQZ1894" t="s">
        <v>5778</v>
      </c>
      <c r="DRA1894" t="s">
        <v>5778</v>
      </c>
      <c r="DRB1894" t="s">
        <v>5779</v>
      </c>
      <c r="DRE1894">
        <v>44583</v>
      </c>
      <c r="DRF1894">
        <v>0</v>
      </c>
      <c r="DRG1894" t="s">
        <v>5778</v>
      </c>
      <c r="DRH1894" t="s">
        <v>5778</v>
      </c>
      <c r="DRI1894" t="s">
        <v>5778</v>
      </c>
      <c r="DRJ1894" t="s">
        <v>5779</v>
      </c>
      <c r="DRM1894">
        <v>44583</v>
      </c>
      <c r="DRN1894">
        <v>0</v>
      </c>
      <c r="DRO1894" t="s">
        <v>5778</v>
      </c>
      <c r="DRP1894" t="s">
        <v>5778</v>
      </c>
      <c r="DRQ1894" t="s">
        <v>5778</v>
      </c>
      <c r="DRR1894" t="s">
        <v>5779</v>
      </c>
      <c r="DRU1894">
        <v>44583</v>
      </c>
      <c r="DRV1894">
        <v>0</v>
      </c>
      <c r="DRW1894" t="s">
        <v>5778</v>
      </c>
      <c r="DRX1894" t="s">
        <v>5778</v>
      </c>
      <c r="DRY1894" t="s">
        <v>5778</v>
      </c>
      <c r="DRZ1894" t="s">
        <v>5779</v>
      </c>
      <c r="DSC1894">
        <v>44583</v>
      </c>
      <c r="DSD1894">
        <v>0</v>
      </c>
      <c r="DSE1894" t="s">
        <v>5778</v>
      </c>
      <c r="DSF1894" t="s">
        <v>5778</v>
      </c>
      <c r="DSG1894" t="s">
        <v>5778</v>
      </c>
      <c r="DSH1894" t="s">
        <v>5779</v>
      </c>
      <c r="DSK1894">
        <v>44583</v>
      </c>
      <c r="DSL1894">
        <v>0</v>
      </c>
      <c r="DSM1894" t="s">
        <v>5778</v>
      </c>
      <c r="DSN1894" t="s">
        <v>5778</v>
      </c>
      <c r="DSO1894" t="s">
        <v>5778</v>
      </c>
      <c r="DSP1894" t="s">
        <v>5779</v>
      </c>
      <c r="DSS1894">
        <v>44583</v>
      </c>
      <c r="DST1894">
        <v>0</v>
      </c>
      <c r="DSU1894" t="s">
        <v>5778</v>
      </c>
      <c r="DSV1894" t="s">
        <v>5778</v>
      </c>
      <c r="DSW1894" t="s">
        <v>5778</v>
      </c>
      <c r="DSX1894" t="s">
        <v>5779</v>
      </c>
      <c r="DTA1894">
        <v>44583</v>
      </c>
      <c r="DTB1894">
        <v>0</v>
      </c>
      <c r="DTC1894" t="s">
        <v>5778</v>
      </c>
      <c r="DTD1894" t="s">
        <v>5778</v>
      </c>
      <c r="DTE1894" t="s">
        <v>5778</v>
      </c>
      <c r="DTF1894" t="s">
        <v>5779</v>
      </c>
      <c r="DTI1894">
        <v>44583</v>
      </c>
      <c r="DTJ1894">
        <v>0</v>
      </c>
      <c r="DTK1894" t="s">
        <v>5778</v>
      </c>
      <c r="DTL1894" t="s">
        <v>5778</v>
      </c>
      <c r="DTM1894" t="s">
        <v>5778</v>
      </c>
      <c r="DTN1894" t="s">
        <v>5779</v>
      </c>
      <c r="DTQ1894">
        <v>44583</v>
      </c>
      <c r="DTR1894">
        <v>0</v>
      </c>
      <c r="DTS1894" t="s">
        <v>5778</v>
      </c>
      <c r="DTT1894" t="s">
        <v>5778</v>
      </c>
      <c r="DTU1894" t="s">
        <v>5778</v>
      </c>
      <c r="DTV1894" t="s">
        <v>5779</v>
      </c>
      <c r="DTY1894">
        <v>44583</v>
      </c>
      <c r="DTZ1894">
        <v>0</v>
      </c>
      <c r="DUA1894" t="s">
        <v>5778</v>
      </c>
      <c r="DUB1894" t="s">
        <v>5778</v>
      </c>
      <c r="DUC1894" t="s">
        <v>5778</v>
      </c>
      <c r="DUD1894" t="s">
        <v>5779</v>
      </c>
      <c r="DUG1894">
        <v>44583</v>
      </c>
      <c r="DUH1894">
        <v>0</v>
      </c>
      <c r="DUI1894" t="s">
        <v>5778</v>
      </c>
      <c r="DUJ1894" t="s">
        <v>5778</v>
      </c>
      <c r="DUK1894" t="s">
        <v>5778</v>
      </c>
      <c r="DUL1894" t="s">
        <v>5779</v>
      </c>
      <c r="DUO1894">
        <v>44583</v>
      </c>
      <c r="DUP1894">
        <v>0</v>
      </c>
      <c r="DUQ1894" t="s">
        <v>5778</v>
      </c>
      <c r="DUR1894" t="s">
        <v>5778</v>
      </c>
      <c r="DUS1894" t="s">
        <v>5778</v>
      </c>
      <c r="DUT1894" t="s">
        <v>5779</v>
      </c>
      <c r="DUW1894">
        <v>44583</v>
      </c>
      <c r="DUX1894">
        <v>0</v>
      </c>
      <c r="DUY1894" t="s">
        <v>5778</v>
      </c>
      <c r="DUZ1894" t="s">
        <v>5778</v>
      </c>
      <c r="DVA1894" t="s">
        <v>5778</v>
      </c>
      <c r="DVB1894" t="s">
        <v>5779</v>
      </c>
      <c r="DVE1894">
        <v>44583</v>
      </c>
      <c r="DVF1894">
        <v>0</v>
      </c>
      <c r="DVG1894" t="s">
        <v>5778</v>
      </c>
      <c r="DVH1894" t="s">
        <v>5778</v>
      </c>
      <c r="DVI1894" t="s">
        <v>5778</v>
      </c>
      <c r="DVJ1894" t="s">
        <v>5779</v>
      </c>
      <c r="DVM1894">
        <v>44583</v>
      </c>
      <c r="DVN1894">
        <v>0</v>
      </c>
      <c r="DVO1894" t="s">
        <v>5778</v>
      </c>
      <c r="DVP1894" t="s">
        <v>5778</v>
      </c>
      <c r="DVQ1894" t="s">
        <v>5778</v>
      </c>
      <c r="DVR1894" t="s">
        <v>5779</v>
      </c>
      <c r="DVU1894">
        <v>44583</v>
      </c>
      <c r="DVV1894">
        <v>0</v>
      </c>
      <c r="DVW1894" t="s">
        <v>5778</v>
      </c>
      <c r="DVX1894" t="s">
        <v>5778</v>
      </c>
      <c r="DVY1894" t="s">
        <v>5778</v>
      </c>
      <c r="DVZ1894" t="s">
        <v>5779</v>
      </c>
      <c r="DWC1894">
        <v>44583</v>
      </c>
      <c r="DWD1894">
        <v>0</v>
      </c>
      <c r="DWE1894" t="s">
        <v>5778</v>
      </c>
      <c r="DWF1894" t="s">
        <v>5778</v>
      </c>
      <c r="DWG1894" t="s">
        <v>5778</v>
      </c>
      <c r="DWH1894" t="s">
        <v>5779</v>
      </c>
      <c r="DWK1894">
        <v>44583</v>
      </c>
      <c r="DWL1894">
        <v>0</v>
      </c>
      <c r="DWM1894" t="s">
        <v>5778</v>
      </c>
      <c r="DWN1894" t="s">
        <v>5778</v>
      </c>
      <c r="DWO1894" t="s">
        <v>5778</v>
      </c>
      <c r="DWP1894" t="s">
        <v>5779</v>
      </c>
      <c r="DWS1894">
        <v>44583</v>
      </c>
      <c r="DWT1894">
        <v>0</v>
      </c>
      <c r="DWU1894" t="s">
        <v>5778</v>
      </c>
      <c r="DWV1894" t="s">
        <v>5778</v>
      </c>
      <c r="DWW1894" t="s">
        <v>5778</v>
      </c>
      <c r="DWX1894" t="s">
        <v>5779</v>
      </c>
      <c r="DXA1894">
        <v>44583</v>
      </c>
      <c r="DXB1894">
        <v>0</v>
      </c>
      <c r="DXC1894" t="s">
        <v>5778</v>
      </c>
      <c r="DXD1894" t="s">
        <v>5778</v>
      </c>
      <c r="DXE1894" t="s">
        <v>5778</v>
      </c>
      <c r="DXF1894" t="s">
        <v>5779</v>
      </c>
      <c r="DXI1894">
        <v>44583</v>
      </c>
      <c r="DXJ1894">
        <v>0</v>
      </c>
      <c r="DXK1894" t="s">
        <v>5778</v>
      </c>
      <c r="DXL1894" t="s">
        <v>5778</v>
      </c>
      <c r="DXM1894" t="s">
        <v>5778</v>
      </c>
      <c r="DXN1894" t="s">
        <v>5779</v>
      </c>
      <c r="DXQ1894">
        <v>44583</v>
      </c>
      <c r="DXR1894">
        <v>0</v>
      </c>
      <c r="DXS1894" t="s">
        <v>5778</v>
      </c>
      <c r="DXT1894" t="s">
        <v>5778</v>
      </c>
      <c r="DXU1894" t="s">
        <v>5778</v>
      </c>
      <c r="DXV1894" t="s">
        <v>5779</v>
      </c>
      <c r="DXY1894">
        <v>44583</v>
      </c>
      <c r="DXZ1894">
        <v>0</v>
      </c>
      <c r="DYA1894" t="s">
        <v>5778</v>
      </c>
      <c r="DYB1894" t="s">
        <v>5778</v>
      </c>
      <c r="DYC1894" t="s">
        <v>5778</v>
      </c>
      <c r="DYD1894" t="s">
        <v>5779</v>
      </c>
      <c r="DYG1894">
        <v>44583</v>
      </c>
      <c r="DYH1894">
        <v>0</v>
      </c>
      <c r="DYI1894" t="s">
        <v>5778</v>
      </c>
      <c r="DYJ1894" t="s">
        <v>5778</v>
      </c>
      <c r="DYK1894" t="s">
        <v>5778</v>
      </c>
      <c r="DYL1894" t="s">
        <v>5779</v>
      </c>
      <c r="DYO1894">
        <v>44583</v>
      </c>
      <c r="DYP1894">
        <v>0</v>
      </c>
      <c r="DYQ1894" t="s">
        <v>5778</v>
      </c>
      <c r="DYR1894" t="s">
        <v>5778</v>
      </c>
      <c r="DYS1894" t="s">
        <v>5778</v>
      </c>
      <c r="DYT1894" t="s">
        <v>5779</v>
      </c>
      <c r="DYW1894">
        <v>44583</v>
      </c>
      <c r="DYX1894">
        <v>0</v>
      </c>
      <c r="DYY1894" t="s">
        <v>5778</v>
      </c>
      <c r="DYZ1894" t="s">
        <v>5778</v>
      </c>
      <c r="DZA1894" t="s">
        <v>5778</v>
      </c>
      <c r="DZB1894" t="s">
        <v>5779</v>
      </c>
      <c r="DZE1894">
        <v>44583</v>
      </c>
      <c r="DZF1894">
        <v>0</v>
      </c>
      <c r="DZG1894" t="s">
        <v>5778</v>
      </c>
      <c r="DZH1894" t="s">
        <v>5778</v>
      </c>
      <c r="DZI1894" t="s">
        <v>5778</v>
      </c>
      <c r="DZJ1894" t="s">
        <v>5779</v>
      </c>
      <c r="DZM1894">
        <v>44583</v>
      </c>
      <c r="DZN1894">
        <v>0</v>
      </c>
      <c r="DZO1894" t="s">
        <v>5778</v>
      </c>
      <c r="DZP1894" t="s">
        <v>5778</v>
      </c>
      <c r="DZQ1894" t="s">
        <v>5778</v>
      </c>
      <c r="DZR1894" t="s">
        <v>5779</v>
      </c>
      <c r="DZU1894">
        <v>44583</v>
      </c>
      <c r="DZV1894">
        <v>0</v>
      </c>
      <c r="DZW1894" t="s">
        <v>5778</v>
      </c>
      <c r="DZX1894" t="s">
        <v>5778</v>
      </c>
      <c r="DZY1894" t="s">
        <v>5778</v>
      </c>
      <c r="DZZ1894" t="s">
        <v>5779</v>
      </c>
      <c r="EAC1894">
        <v>44583</v>
      </c>
      <c r="EAD1894">
        <v>0</v>
      </c>
      <c r="EAE1894" t="s">
        <v>5778</v>
      </c>
      <c r="EAF1894" t="s">
        <v>5778</v>
      </c>
      <c r="EAG1894" t="s">
        <v>5778</v>
      </c>
      <c r="EAH1894" t="s">
        <v>5779</v>
      </c>
      <c r="EAK1894">
        <v>44583</v>
      </c>
      <c r="EAL1894">
        <v>0</v>
      </c>
      <c r="EAM1894" t="s">
        <v>5778</v>
      </c>
      <c r="EAN1894" t="s">
        <v>5778</v>
      </c>
      <c r="EAO1894" t="s">
        <v>5778</v>
      </c>
      <c r="EAP1894" t="s">
        <v>5779</v>
      </c>
      <c r="EAS1894">
        <v>44583</v>
      </c>
      <c r="EAT1894">
        <v>0</v>
      </c>
      <c r="EAU1894" t="s">
        <v>5778</v>
      </c>
      <c r="EAV1894" t="s">
        <v>5778</v>
      </c>
      <c r="EAW1894" t="s">
        <v>5778</v>
      </c>
      <c r="EAX1894" t="s">
        <v>5779</v>
      </c>
      <c r="EBA1894">
        <v>44583</v>
      </c>
      <c r="EBB1894">
        <v>0</v>
      </c>
      <c r="EBC1894" t="s">
        <v>5778</v>
      </c>
      <c r="EBD1894" t="s">
        <v>5778</v>
      </c>
      <c r="EBE1894" t="s">
        <v>5778</v>
      </c>
      <c r="EBF1894" t="s">
        <v>5779</v>
      </c>
      <c r="EBI1894">
        <v>44583</v>
      </c>
      <c r="EBJ1894">
        <v>0</v>
      </c>
      <c r="EBK1894" t="s">
        <v>5778</v>
      </c>
      <c r="EBL1894" t="s">
        <v>5778</v>
      </c>
      <c r="EBM1894" t="s">
        <v>5778</v>
      </c>
      <c r="EBN1894" t="s">
        <v>5779</v>
      </c>
      <c r="EBQ1894">
        <v>44583</v>
      </c>
      <c r="EBR1894">
        <v>0</v>
      </c>
      <c r="EBS1894" t="s">
        <v>5778</v>
      </c>
      <c r="EBT1894" t="s">
        <v>5778</v>
      </c>
      <c r="EBU1894" t="s">
        <v>5778</v>
      </c>
      <c r="EBV1894" t="s">
        <v>5779</v>
      </c>
      <c r="EBY1894">
        <v>44583</v>
      </c>
      <c r="EBZ1894">
        <v>0</v>
      </c>
      <c r="ECA1894" t="s">
        <v>5778</v>
      </c>
      <c r="ECB1894" t="s">
        <v>5778</v>
      </c>
      <c r="ECC1894" t="s">
        <v>5778</v>
      </c>
      <c r="ECD1894" t="s">
        <v>5779</v>
      </c>
      <c r="ECG1894">
        <v>44583</v>
      </c>
      <c r="ECH1894">
        <v>0</v>
      </c>
      <c r="ECI1894" t="s">
        <v>5778</v>
      </c>
      <c r="ECJ1894" t="s">
        <v>5778</v>
      </c>
      <c r="ECK1894" t="s">
        <v>5778</v>
      </c>
      <c r="ECL1894" t="s">
        <v>5779</v>
      </c>
      <c r="ECO1894">
        <v>44583</v>
      </c>
      <c r="ECP1894">
        <v>0</v>
      </c>
      <c r="ECQ1894" t="s">
        <v>5778</v>
      </c>
      <c r="ECR1894" t="s">
        <v>5778</v>
      </c>
      <c r="ECS1894" t="s">
        <v>5778</v>
      </c>
      <c r="ECT1894" t="s">
        <v>5779</v>
      </c>
      <c r="ECW1894">
        <v>44583</v>
      </c>
      <c r="ECX1894">
        <v>0</v>
      </c>
      <c r="ECY1894" t="s">
        <v>5778</v>
      </c>
      <c r="ECZ1894" t="s">
        <v>5778</v>
      </c>
      <c r="EDA1894" t="s">
        <v>5778</v>
      </c>
      <c r="EDB1894" t="s">
        <v>5779</v>
      </c>
      <c r="EDE1894">
        <v>44583</v>
      </c>
      <c r="EDF1894">
        <v>0</v>
      </c>
      <c r="EDG1894" t="s">
        <v>5778</v>
      </c>
      <c r="EDH1894" t="s">
        <v>5778</v>
      </c>
      <c r="EDI1894" t="s">
        <v>5778</v>
      </c>
      <c r="EDJ1894" t="s">
        <v>5779</v>
      </c>
      <c r="EDM1894">
        <v>44583</v>
      </c>
      <c r="EDN1894">
        <v>0</v>
      </c>
      <c r="EDO1894" t="s">
        <v>5778</v>
      </c>
      <c r="EDP1894" t="s">
        <v>5778</v>
      </c>
      <c r="EDQ1894" t="s">
        <v>5778</v>
      </c>
      <c r="EDR1894" t="s">
        <v>5779</v>
      </c>
      <c r="EDU1894">
        <v>44583</v>
      </c>
      <c r="EDV1894">
        <v>0</v>
      </c>
      <c r="EDW1894" t="s">
        <v>5778</v>
      </c>
      <c r="EDX1894" t="s">
        <v>5778</v>
      </c>
      <c r="EDY1894" t="s">
        <v>5778</v>
      </c>
      <c r="EDZ1894" t="s">
        <v>5779</v>
      </c>
      <c r="EEC1894">
        <v>44583</v>
      </c>
      <c r="EED1894">
        <v>0</v>
      </c>
      <c r="EEE1894" t="s">
        <v>5778</v>
      </c>
      <c r="EEF1894" t="s">
        <v>5778</v>
      </c>
      <c r="EEG1894" t="s">
        <v>5778</v>
      </c>
      <c r="EEH1894" t="s">
        <v>5779</v>
      </c>
      <c r="EEK1894">
        <v>44583</v>
      </c>
      <c r="EEL1894">
        <v>0</v>
      </c>
      <c r="EEM1894" t="s">
        <v>5778</v>
      </c>
      <c r="EEN1894" t="s">
        <v>5778</v>
      </c>
      <c r="EEO1894" t="s">
        <v>5778</v>
      </c>
      <c r="EEP1894" t="s">
        <v>5779</v>
      </c>
      <c r="EES1894">
        <v>44583</v>
      </c>
      <c r="EET1894">
        <v>0</v>
      </c>
      <c r="EEU1894" t="s">
        <v>5778</v>
      </c>
      <c r="EEV1894" t="s">
        <v>5778</v>
      </c>
      <c r="EEW1894" t="s">
        <v>5778</v>
      </c>
      <c r="EEX1894" t="s">
        <v>5779</v>
      </c>
      <c r="EFA1894">
        <v>44583</v>
      </c>
      <c r="EFB1894">
        <v>0</v>
      </c>
      <c r="EFC1894" t="s">
        <v>5778</v>
      </c>
      <c r="EFD1894" t="s">
        <v>5778</v>
      </c>
      <c r="EFE1894" t="s">
        <v>5778</v>
      </c>
      <c r="EFF1894" t="s">
        <v>5779</v>
      </c>
      <c r="EFI1894">
        <v>44583</v>
      </c>
      <c r="EFJ1894">
        <v>0</v>
      </c>
      <c r="EFK1894" t="s">
        <v>5778</v>
      </c>
      <c r="EFL1894" t="s">
        <v>5778</v>
      </c>
      <c r="EFM1894" t="s">
        <v>5778</v>
      </c>
      <c r="EFN1894" t="s">
        <v>5779</v>
      </c>
      <c r="EFQ1894">
        <v>44583</v>
      </c>
      <c r="EFR1894">
        <v>0</v>
      </c>
      <c r="EFS1894" t="s">
        <v>5778</v>
      </c>
      <c r="EFT1894" t="s">
        <v>5778</v>
      </c>
      <c r="EFU1894" t="s">
        <v>5778</v>
      </c>
      <c r="EFV1894" t="s">
        <v>5779</v>
      </c>
      <c r="EFY1894">
        <v>44583</v>
      </c>
      <c r="EFZ1894">
        <v>0</v>
      </c>
      <c r="EGA1894" t="s">
        <v>5778</v>
      </c>
      <c r="EGB1894" t="s">
        <v>5778</v>
      </c>
      <c r="EGC1894" t="s">
        <v>5778</v>
      </c>
      <c r="EGD1894" t="s">
        <v>5779</v>
      </c>
      <c r="EGG1894">
        <v>44583</v>
      </c>
      <c r="EGH1894">
        <v>0</v>
      </c>
      <c r="EGI1894" t="s">
        <v>5778</v>
      </c>
      <c r="EGJ1894" t="s">
        <v>5778</v>
      </c>
      <c r="EGK1894" t="s">
        <v>5778</v>
      </c>
      <c r="EGL1894" t="s">
        <v>5779</v>
      </c>
      <c r="EGO1894">
        <v>44583</v>
      </c>
      <c r="EGP1894">
        <v>0</v>
      </c>
      <c r="EGQ1894" t="s">
        <v>5778</v>
      </c>
      <c r="EGR1894" t="s">
        <v>5778</v>
      </c>
      <c r="EGS1894" t="s">
        <v>5778</v>
      </c>
      <c r="EGT1894" t="s">
        <v>5779</v>
      </c>
      <c r="EGW1894">
        <v>44583</v>
      </c>
      <c r="EGX1894">
        <v>0</v>
      </c>
      <c r="EGY1894" t="s">
        <v>5778</v>
      </c>
      <c r="EGZ1894" t="s">
        <v>5778</v>
      </c>
      <c r="EHA1894" t="s">
        <v>5778</v>
      </c>
      <c r="EHB1894" t="s">
        <v>5779</v>
      </c>
      <c r="EHE1894">
        <v>44583</v>
      </c>
      <c r="EHF1894">
        <v>0</v>
      </c>
      <c r="EHG1894" t="s">
        <v>5778</v>
      </c>
      <c r="EHH1894" t="s">
        <v>5778</v>
      </c>
      <c r="EHI1894" t="s">
        <v>5778</v>
      </c>
      <c r="EHJ1894" t="s">
        <v>5779</v>
      </c>
      <c r="EHM1894">
        <v>44583</v>
      </c>
      <c r="EHN1894">
        <v>0</v>
      </c>
      <c r="EHO1894" t="s">
        <v>5778</v>
      </c>
      <c r="EHP1894" t="s">
        <v>5778</v>
      </c>
      <c r="EHQ1894" t="s">
        <v>5778</v>
      </c>
      <c r="EHR1894" t="s">
        <v>5779</v>
      </c>
      <c r="EHU1894">
        <v>44583</v>
      </c>
      <c r="EHV1894">
        <v>0</v>
      </c>
      <c r="EHW1894" t="s">
        <v>5778</v>
      </c>
      <c r="EHX1894" t="s">
        <v>5778</v>
      </c>
      <c r="EHY1894" t="s">
        <v>5778</v>
      </c>
      <c r="EHZ1894" t="s">
        <v>5779</v>
      </c>
      <c r="EIC1894">
        <v>44583</v>
      </c>
      <c r="EID1894">
        <v>0</v>
      </c>
      <c r="EIE1894" t="s">
        <v>5778</v>
      </c>
      <c r="EIF1894" t="s">
        <v>5778</v>
      </c>
      <c r="EIG1894" t="s">
        <v>5778</v>
      </c>
      <c r="EIH1894" t="s">
        <v>5779</v>
      </c>
      <c r="EIK1894">
        <v>44583</v>
      </c>
      <c r="EIL1894">
        <v>0</v>
      </c>
      <c r="EIM1894" t="s">
        <v>5778</v>
      </c>
      <c r="EIN1894" t="s">
        <v>5778</v>
      </c>
      <c r="EIO1894" t="s">
        <v>5778</v>
      </c>
      <c r="EIP1894" t="s">
        <v>5779</v>
      </c>
      <c r="EIS1894">
        <v>44583</v>
      </c>
      <c r="EIT1894">
        <v>0</v>
      </c>
      <c r="EIU1894" t="s">
        <v>5778</v>
      </c>
      <c r="EIV1894" t="s">
        <v>5778</v>
      </c>
      <c r="EIW1894" t="s">
        <v>5778</v>
      </c>
      <c r="EIX1894" t="s">
        <v>5779</v>
      </c>
      <c r="EJA1894">
        <v>44583</v>
      </c>
      <c r="EJB1894">
        <v>0</v>
      </c>
      <c r="EJC1894" t="s">
        <v>5778</v>
      </c>
      <c r="EJD1894" t="s">
        <v>5778</v>
      </c>
      <c r="EJE1894" t="s">
        <v>5778</v>
      </c>
      <c r="EJF1894" t="s">
        <v>5779</v>
      </c>
      <c r="EJI1894">
        <v>44583</v>
      </c>
      <c r="EJJ1894">
        <v>0</v>
      </c>
      <c r="EJK1894" t="s">
        <v>5778</v>
      </c>
      <c r="EJL1894" t="s">
        <v>5778</v>
      </c>
      <c r="EJM1894" t="s">
        <v>5778</v>
      </c>
      <c r="EJN1894" t="s">
        <v>5779</v>
      </c>
      <c r="EJQ1894">
        <v>44583</v>
      </c>
      <c r="EJR1894">
        <v>0</v>
      </c>
      <c r="EJS1894" t="s">
        <v>5778</v>
      </c>
      <c r="EJT1894" t="s">
        <v>5778</v>
      </c>
      <c r="EJU1894" t="s">
        <v>5778</v>
      </c>
      <c r="EJV1894" t="s">
        <v>5779</v>
      </c>
      <c r="EJY1894">
        <v>44583</v>
      </c>
      <c r="EJZ1894">
        <v>0</v>
      </c>
      <c r="EKA1894" t="s">
        <v>5778</v>
      </c>
      <c r="EKB1894" t="s">
        <v>5778</v>
      </c>
      <c r="EKC1894" t="s">
        <v>5778</v>
      </c>
      <c r="EKD1894" t="s">
        <v>5779</v>
      </c>
      <c r="EKG1894">
        <v>44583</v>
      </c>
      <c r="EKH1894">
        <v>0</v>
      </c>
      <c r="EKI1894" t="s">
        <v>5778</v>
      </c>
      <c r="EKJ1894" t="s">
        <v>5778</v>
      </c>
      <c r="EKK1894" t="s">
        <v>5778</v>
      </c>
      <c r="EKL1894" t="s">
        <v>5779</v>
      </c>
      <c r="EKO1894">
        <v>44583</v>
      </c>
      <c r="EKP1894">
        <v>0</v>
      </c>
      <c r="EKQ1894" t="s">
        <v>5778</v>
      </c>
      <c r="EKR1894" t="s">
        <v>5778</v>
      </c>
      <c r="EKS1894" t="s">
        <v>5778</v>
      </c>
      <c r="EKT1894" t="s">
        <v>5779</v>
      </c>
      <c r="EKW1894">
        <v>44583</v>
      </c>
      <c r="EKX1894">
        <v>0</v>
      </c>
      <c r="EKY1894" t="s">
        <v>5778</v>
      </c>
      <c r="EKZ1894" t="s">
        <v>5778</v>
      </c>
      <c r="ELA1894" t="s">
        <v>5778</v>
      </c>
      <c r="ELB1894" t="s">
        <v>5779</v>
      </c>
      <c r="ELE1894">
        <v>44583</v>
      </c>
      <c r="ELF1894">
        <v>0</v>
      </c>
      <c r="ELG1894" t="s">
        <v>5778</v>
      </c>
      <c r="ELH1894" t="s">
        <v>5778</v>
      </c>
      <c r="ELI1894" t="s">
        <v>5778</v>
      </c>
      <c r="ELJ1894" t="s">
        <v>5779</v>
      </c>
      <c r="ELM1894">
        <v>44583</v>
      </c>
      <c r="ELN1894">
        <v>0</v>
      </c>
      <c r="ELO1894" t="s">
        <v>5778</v>
      </c>
      <c r="ELP1894" t="s">
        <v>5778</v>
      </c>
      <c r="ELQ1894" t="s">
        <v>5778</v>
      </c>
      <c r="ELR1894" t="s">
        <v>5779</v>
      </c>
      <c r="ELU1894">
        <v>44583</v>
      </c>
      <c r="ELV1894">
        <v>0</v>
      </c>
      <c r="ELW1894" t="s">
        <v>5778</v>
      </c>
      <c r="ELX1894" t="s">
        <v>5778</v>
      </c>
      <c r="ELY1894" t="s">
        <v>5778</v>
      </c>
      <c r="ELZ1894" t="s">
        <v>5779</v>
      </c>
      <c r="EMC1894">
        <v>44583</v>
      </c>
      <c r="EMD1894">
        <v>0</v>
      </c>
      <c r="EME1894" t="s">
        <v>5778</v>
      </c>
      <c r="EMF1894" t="s">
        <v>5778</v>
      </c>
      <c r="EMG1894" t="s">
        <v>5778</v>
      </c>
      <c r="EMH1894" t="s">
        <v>5779</v>
      </c>
      <c r="EMK1894">
        <v>44583</v>
      </c>
      <c r="EML1894">
        <v>0</v>
      </c>
      <c r="EMM1894" t="s">
        <v>5778</v>
      </c>
      <c r="EMN1894" t="s">
        <v>5778</v>
      </c>
      <c r="EMO1894" t="s">
        <v>5778</v>
      </c>
      <c r="EMP1894" t="s">
        <v>5779</v>
      </c>
      <c r="EMS1894">
        <v>44583</v>
      </c>
      <c r="EMT1894">
        <v>0</v>
      </c>
      <c r="EMU1894" t="s">
        <v>5778</v>
      </c>
      <c r="EMV1894" t="s">
        <v>5778</v>
      </c>
      <c r="EMW1894" t="s">
        <v>5778</v>
      </c>
      <c r="EMX1894" t="s">
        <v>5779</v>
      </c>
      <c r="ENA1894">
        <v>44583</v>
      </c>
      <c r="ENB1894">
        <v>0</v>
      </c>
      <c r="ENC1894" t="s">
        <v>5778</v>
      </c>
      <c r="END1894" t="s">
        <v>5778</v>
      </c>
      <c r="ENE1894" t="s">
        <v>5778</v>
      </c>
      <c r="ENF1894" t="s">
        <v>5779</v>
      </c>
      <c r="ENI1894">
        <v>44583</v>
      </c>
      <c r="ENJ1894">
        <v>0</v>
      </c>
      <c r="ENK1894" t="s">
        <v>5778</v>
      </c>
      <c r="ENL1894" t="s">
        <v>5778</v>
      </c>
      <c r="ENM1894" t="s">
        <v>5778</v>
      </c>
      <c r="ENN1894" t="s">
        <v>5779</v>
      </c>
      <c r="ENQ1894">
        <v>44583</v>
      </c>
      <c r="ENR1894">
        <v>0</v>
      </c>
      <c r="ENS1894" t="s">
        <v>5778</v>
      </c>
      <c r="ENT1894" t="s">
        <v>5778</v>
      </c>
      <c r="ENU1894" t="s">
        <v>5778</v>
      </c>
      <c r="ENV1894" t="s">
        <v>5779</v>
      </c>
      <c r="ENY1894">
        <v>44583</v>
      </c>
      <c r="ENZ1894">
        <v>0</v>
      </c>
      <c r="EOA1894" t="s">
        <v>5778</v>
      </c>
      <c r="EOB1894" t="s">
        <v>5778</v>
      </c>
      <c r="EOC1894" t="s">
        <v>5778</v>
      </c>
      <c r="EOD1894" t="s">
        <v>5779</v>
      </c>
      <c r="EOG1894">
        <v>44583</v>
      </c>
      <c r="EOH1894">
        <v>0</v>
      </c>
      <c r="EOI1894" t="s">
        <v>5778</v>
      </c>
      <c r="EOJ1894" t="s">
        <v>5778</v>
      </c>
      <c r="EOK1894" t="s">
        <v>5778</v>
      </c>
      <c r="EOL1894" t="s">
        <v>5779</v>
      </c>
      <c r="EOO1894">
        <v>44583</v>
      </c>
      <c r="EOP1894">
        <v>0</v>
      </c>
      <c r="EOQ1894" t="s">
        <v>5778</v>
      </c>
      <c r="EOR1894" t="s">
        <v>5778</v>
      </c>
      <c r="EOS1894" t="s">
        <v>5778</v>
      </c>
      <c r="EOT1894" t="s">
        <v>5779</v>
      </c>
      <c r="EOW1894">
        <v>44583</v>
      </c>
      <c r="EOX1894">
        <v>0</v>
      </c>
      <c r="EOY1894" t="s">
        <v>5778</v>
      </c>
      <c r="EOZ1894" t="s">
        <v>5778</v>
      </c>
      <c r="EPA1894" t="s">
        <v>5778</v>
      </c>
      <c r="EPB1894" t="s">
        <v>5779</v>
      </c>
      <c r="EPE1894">
        <v>44583</v>
      </c>
      <c r="EPF1894">
        <v>0</v>
      </c>
      <c r="EPG1894" t="s">
        <v>5778</v>
      </c>
      <c r="EPH1894" t="s">
        <v>5778</v>
      </c>
      <c r="EPI1894" t="s">
        <v>5778</v>
      </c>
      <c r="EPJ1894" t="s">
        <v>5779</v>
      </c>
      <c r="EPM1894">
        <v>44583</v>
      </c>
      <c r="EPN1894">
        <v>0</v>
      </c>
      <c r="EPO1894" t="s">
        <v>5778</v>
      </c>
      <c r="EPP1894" t="s">
        <v>5778</v>
      </c>
      <c r="EPQ1894" t="s">
        <v>5778</v>
      </c>
      <c r="EPR1894" t="s">
        <v>5779</v>
      </c>
      <c r="EPU1894">
        <v>44583</v>
      </c>
      <c r="EPV1894">
        <v>0</v>
      </c>
      <c r="EPW1894" t="s">
        <v>5778</v>
      </c>
      <c r="EPX1894" t="s">
        <v>5778</v>
      </c>
      <c r="EPY1894" t="s">
        <v>5778</v>
      </c>
      <c r="EPZ1894" t="s">
        <v>5779</v>
      </c>
      <c r="EQC1894">
        <v>44583</v>
      </c>
      <c r="EQD1894">
        <v>0</v>
      </c>
      <c r="EQE1894" t="s">
        <v>5778</v>
      </c>
      <c r="EQF1894" t="s">
        <v>5778</v>
      </c>
      <c r="EQG1894" t="s">
        <v>5778</v>
      </c>
      <c r="EQH1894" t="s">
        <v>5779</v>
      </c>
      <c r="EQK1894">
        <v>44583</v>
      </c>
      <c r="EQL1894">
        <v>0</v>
      </c>
      <c r="EQM1894" t="s">
        <v>5778</v>
      </c>
      <c r="EQN1894" t="s">
        <v>5778</v>
      </c>
      <c r="EQO1894" t="s">
        <v>5778</v>
      </c>
      <c r="EQP1894" t="s">
        <v>5779</v>
      </c>
      <c r="EQS1894">
        <v>44583</v>
      </c>
      <c r="EQT1894">
        <v>0</v>
      </c>
      <c r="EQU1894" t="s">
        <v>5778</v>
      </c>
      <c r="EQV1894" t="s">
        <v>5778</v>
      </c>
      <c r="EQW1894" t="s">
        <v>5778</v>
      </c>
      <c r="EQX1894" t="s">
        <v>5779</v>
      </c>
      <c r="ERA1894">
        <v>44583</v>
      </c>
      <c r="ERB1894">
        <v>0</v>
      </c>
      <c r="ERC1894" t="s">
        <v>5778</v>
      </c>
      <c r="ERD1894" t="s">
        <v>5778</v>
      </c>
      <c r="ERE1894" t="s">
        <v>5778</v>
      </c>
      <c r="ERF1894" t="s">
        <v>5779</v>
      </c>
      <c r="ERI1894">
        <v>44583</v>
      </c>
      <c r="ERJ1894">
        <v>0</v>
      </c>
      <c r="ERK1894" t="s">
        <v>5778</v>
      </c>
      <c r="ERL1894" t="s">
        <v>5778</v>
      </c>
      <c r="ERM1894" t="s">
        <v>5778</v>
      </c>
      <c r="ERN1894" t="s">
        <v>5779</v>
      </c>
      <c r="ERQ1894">
        <v>44583</v>
      </c>
      <c r="ERR1894">
        <v>0</v>
      </c>
      <c r="ERS1894" t="s">
        <v>5778</v>
      </c>
      <c r="ERT1894" t="s">
        <v>5778</v>
      </c>
      <c r="ERU1894" t="s">
        <v>5778</v>
      </c>
      <c r="ERV1894" t="s">
        <v>5779</v>
      </c>
      <c r="ERY1894">
        <v>44583</v>
      </c>
      <c r="ERZ1894">
        <v>0</v>
      </c>
      <c r="ESA1894" t="s">
        <v>5778</v>
      </c>
      <c r="ESB1894" t="s">
        <v>5778</v>
      </c>
      <c r="ESC1894" t="s">
        <v>5778</v>
      </c>
      <c r="ESD1894" t="s">
        <v>5779</v>
      </c>
      <c r="ESG1894">
        <v>44583</v>
      </c>
      <c r="ESH1894">
        <v>0</v>
      </c>
      <c r="ESI1894" t="s">
        <v>5778</v>
      </c>
      <c r="ESJ1894" t="s">
        <v>5778</v>
      </c>
      <c r="ESK1894" t="s">
        <v>5778</v>
      </c>
      <c r="ESL1894" t="s">
        <v>5779</v>
      </c>
      <c r="ESO1894">
        <v>44583</v>
      </c>
      <c r="ESP1894">
        <v>0</v>
      </c>
      <c r="ESQ1894" t="s">
        <v>5778</v>
      </c>
      <c r="ESR1894" t="s">
        <v>5778</v>
      </c>
      <c r="ESS1894" t="s">
        <v>5778</v>
      </c>
      <c r="EST1894" t="s">
        <v>5779</v>
      </c>
      <c r="ESW1894">
        <v>44583</v>
      </c>
      <c r="ESX1894">
        <v>0</v>
      </c>
      <c r="ESY1894" t="s">
        <v>5778</v>
      </c>
      <c r="ESZ1894" t="s">
        <v>5778</v>
      </c>
      <c r="ETA1894" t="s">
        <v>5778</v>
      </c>
      <c r="ETB1894" t="s">
        <v>5779</v>
      </c>
      <c r="ETE1894">
        <v>44583</v>
      </c>
      <c r="ETF1894">
        <v>0</v>
      </c>
      <c r="ETG1894" t="s">
        <v>5778</v>
      </c>
      <c r="ETH1894" t="s">
        <v>5778</v>
      </c>
      <c r="ETI1894" t="s">
        <v>5778</v>
      </c>
      <c r="ETJ1894" t="s">
        <v>5779</v>
      </c>
      <c r="ETM1894">
        <v>44583</v>
      </c>
      <c r="ETN1894">
        <v>0</v>
      </c>
      <c r="ETO1894" t="s">
        <v>5778</v>
      </c>
      <c r="ETP1894" t="s">
        <v>5778</v>
      </c>
      <c r="ETQ1894" t="s">
        <v>5778</v>
      </c>
      <c r="ETR1894" t="s">
        <v>5779</v>
      </c>
      <c r="ETU1894">
        <v>44583</v>
      </c>
      <c r="ETV1894">
        <v>0</v>
      </c>
      <c r="ETW1894" t="s">
        <v>5778</v>
      </c>
      <c r="ETX1894" t="s">
        <v>5778</v>
      </c>
      <c r="ETY1894" t="s">
        <v>5778</v>
      </c>
      <c r="ETZ1894" t="s">
        <v>5779</v>
      </c>
      <c r="EUC1894">
        <v>44583</v>
      </c>
      <c r="EUD1894">
        <v>0</v>
      </c>
      <c r="EUE1894" t="s">
        <v>5778</v>
      </c>
      <c r="EUF1894" t="s">
        <v>5778</v>
      </c>
      <c r="EUG1894" t="s">
        <v>5778</v>
      </c>
      <c r="EUH1894" t="s">
        <v>5779</v>
      </c>
      <c r="EUK1894">
        <v>44583</v>
      </c>
      <c r="EUL1894">
        <v>0</v>
      </c>
      <c r="EUM1894" t="s">
        <v>5778</v>
      </c>
      <c r="EUN1894" t="s">
        <v>5778</v>
      </c>
      <c r="EUO1894" t="s">
        <v>5778</v>
      </c>
      <c r="EUP1894" t="s">
        <v>5779</v>
      </c>
      <c r="EUS1894">
        <v>44583</v>
      </c>
      <c r="EUT1894">
        <v>0</v>
      </c>
      <c r="EUU1894" t="s">
        <v>5778</v>
      </c>
      <c r="EUV1894" t="s">
        <v>5778</v>
      </c>
      <c r="EUW1894" t="s">
        <v>5778</v>
      </c>
      <c r="EUX1894" t="s">
        <v>5779</v>
      </c>
      <c r="EVA1894">
        <v>44583</v>
      </c>
      <c r="EVB1894">
        <v>0</v>
      </c>
      <c r="EVC1894" t="s">
        <v>5778</v>
      </c>
      <c r="EVD1894" t="s">
        <v>5778</v>
      </c>
      <c r="EVE1894" t="s">
        <v>5778</v>
      </c>
      <c r="EVF1894" t="s">
        <v>5779</v>
      </c>
      <c r="EVI1894">
        <v>44583</v>
      </c>
      <c r="EVJ1894">
        <v>0</v>
      </c>
      <c r="EVK1894" t="s">
        <v>5778</v>
      </c>
      <c r="EVL1894" t="s">
        <v>5778</v>
      </c>
      <c r="EVM1894" t="s">
        <v>5778</v>
      </c>
      <c r="EVN1894" t="s">
        <v>5779</v>
      </c>
      <c r="EVQ1894">
        <v>44583</v>
      </c>
      <c r="EVR1894">
        <v>0</v>
      </c>
      <c r="EVS1894" t="s">
        <v>5778</v>
      </c>
      <c r="EVT1894" t="s">
        <v>5778</v>
      </c>
      <c r="EVU1894" t="s">
        <v>5778</v>
      </c>
      <c r="EVV1894" t="s">
        <v>5779</v>
      </c>
      <c r="EVY1894">
        <v>44583</v>
      </c>
      <c r="EVZ1894">
        <v>0</v>
      </c>
      <c r="EWA1894" t="s">
        <v>5778</v>
      </c>
      <c r="EWB1894" t="s">
        <v>5778</v>
      </c>
      <c r="EWC1894" t="s">
        <v>5778</v>
      </c>
      <c r="EWD1894" t="s">
        <v>5779</v>
      </c>
      <c r="EWG1894">
        <v>44583</v>
      </c>
      <c r="EWH1894">
        <v>0</v>
      </c>
      <c r="EWI1894" t="s">
        <v>5778</v>
      </c>
      <c r="EWJ1894" t="s">
        <v>5778</v>
      </c>
      <c r="EWK1894" t="s">
        <v>5778</v>
      </c>
      <c r="EWL1894" t="s">
        <v>5779</v>
      </c>
      <c r="EWO1894">
        <v>44583</v>
      </c>
      <c r="EWP1894">
        <v>0</v>
      </c>
      <c r="EWQ1894" t="s">
        <v>5778</v>
      </c>
      <c r="EWR1894" t="s">
        <v>5778</v>
      </c>
      <c r="EWS1894" t="s">
        <v>5778</v>
      </c>
      <c r="EWT1894" t="s">
        <v>5779</v>
      </c>
      <c r="EWW1894">
        <v>44583</v>
      </c>
      <c r="EWX1894">
        <v>0</v>
      </c>
      <c r="EWY1894" t="s">
        <v>5778</v>
      </c>
      <c r="EWZ1894" t="s">
        <v>5778</v>
      </c>
      <c r="EXA1894" t="s">
        <v>5778</v>
      </c>
      <c r="EXB1894" t="s">
        <v>5779</v>
      </c>
      <c r="EXE1894">
        <v>44583</v>
      </c>
      <c r="EXF1894">
        <v>0</v>
      </c>
      <c r="EXG1894" t="s">
        <v>5778</v>
      </c>
      <c r="EXH1894" t="s">
        <v>5778</v>
      </c>
      <c r="EXI1894" t="s">
        <v>5778</v>
      </c>
      <c r="EXJ1894" t="s">
        <v>5779</v>
      </c>
      <c r="EXM1894">
        <v>44583</v>
      </c>
      <c r="EXN1894">
        <v>0</v>
      </c>
      <c r="EXO1894" t="s">
        <v>5778</v>
      </c>
      <c r="EXP1894" t="s">
        <v>5778</v>
      </c>
      <c r="EXQ1894" t="s">
        <v>5778</v>
      </c>
      <c r="EXR1894" t="s">
        <v>5779</v>
      </c>
      <c r="EXU1894">
        <v>44583</v>
      </c>
      <c r="EXV1894">
        <v>0</v>
      </c>
      <c r="EXW1894" t="s">
        <v>5778</v>
      </c>
      <c r="EXX1894" t="s">
        <v>5778</v>
      </c>
      <c r="EXY1894" t="s">
        <v>5778</v>
      </c>
      <c r="EXZ1894" t="s">
        <v>5779</v>
      </c>
      <c r="EYC1894">
        <v>44583</v>
      </c>
      <c r="EYD1894">
        <v>0</v>
      </c>
      <c r="EYE1894" t="s">
        <v>5778</v>
      </c>
      <c r="EYF1894" t="s">
        <v>5778</v>
      </c>
      <c r="EYG1894" t="s">
        <v>5778</v>
      </c>
      <c r="EYH1894" t="s">
        <v>5779</v>
      </c>
      <c r="EYK1894">
        <v>44583</v>
      </c>
      <c r="EYL1894">
        <v>0</v>
      </c>
      <c r="EYM1894" t="s">
        <v>5778</v>
      </c>
      <c r="EYN1894" t="s">
        <v>5778</v>
      </c>
      <c r="EYO1894" t="s">
        <v>5778</v>
      </c>
      <c r="EYP1894" t="s">
        <v>5779</v>
      </c>
      <c r="EYS1894">
        <v>44583</v>
      </c>
      <c r="EYT1894">
        <v>0</v>
      </c>
      <c r="EYU1894" t="s">
        <v>5778</v>
      </c>
      <c r="EYV1894" t="s">
        <v>5778</v>
      </c>
      <c r="EYW1894" t="s">
        <v>5778</v>
      </c>
      <c r="EYX1894" t="s">
        <v>5779</v>
      </c>
      <c r="EZA1894">
        <v>44583</v>
      </c>
      <c r="EZB1894">
        <v>0</v>
      </c>
      <c r="EZC1894" t="s">
        <v>5778</v>
      </c>
      <c r="EZD1894" t="s">
        <v>5778</v>
      </c>
      <c r="EZE1894" t="s">
        <v>5778</v>
      </c>
      <c r="EZF1894" t="s">
        <v>5779</v>
      </c>
      <c r="EZI1894">
        <v>44583</v>
      </c>
      <c r="EZJ1894">
        <v>0</v>
      </c>
      <c r="EZK1894" t="s">
        <v>5778</v>
      </c>
      <c r="EZL1894" t="s">
        <v>5778</v>
      </c>
      <c r="EZM1894" t="s">
        <v>5778</v>
      </c>
      <c r="EZN1894" t="s">
        <v>5779</v>
      </c>
      <c r="EZQ1894">
        <v>44583</v>
      </c>
      <c r="EZR1894">
        <v>0</v>
      </c>
      <c r="EZS1894" t="s">
        <v>5778</v>
      </c>
      <c r="EZT1894" t="s">
        <v>5778</v>
      </c>
      <c r="EZU1894" t="s">
        <v>5778</v>
      </c>
      <c r="EZV1894" t="s">
        <v>5779</v>
      </c>
      <c r="EZY1894">
        <v>44583</v>
      </c>
      <c r="EZZ1894">
        <v>0</v>
      </c>
      <c r="FAA1894" t="s">
        <v>5778</v>
      </c>
      <c r="FAB1894" t="s">
        <v>5778</v>
      </c>
      <c r="FAC1894" t="s">
        <v>5778</v>
      </c>
      <c r="FAD1894" t="s">
        <v>5779</v>
      </c>
      <c r="FAG1894">
        <v>44583</v>
      </c>
      <c r="FAH1894">
        <v>0</v>
      </c>
      <c r="FAI1894" t="s">
        <v>5778</v>
      </c>
      <c r="FAJ1894" t="s">
        <v>5778</v>
      </c>
      <c r="FAK1894" t="s">
        <v>5778</v>
      </c>
      <c r="FAL1894" t="s">
        <v>5779</v>
      </c>
      <c r="FAO1894">
        <v>44583</v>
      </c>
      <c r="FAP1894">
        <v>0</v>
      </c>
      <c r="FAQ1894" t="s">
        <v>5778</v>
      </c>
      <c r="FAR1894" t="s">
        <v>5778</v>
      </c>
      <c r="FAS1894" t="s">
        <v>5778</v>
      </c>
      <c r="FAT1894" t="s">
        <v>5779</v>
      </c>
      <c r="FAW1894">
        <v>44583</v>
      </c>
      <c r="FAX1894">
        <v>0</v>
      </c>
      <c r="FAY1894" t="s">
        <v>5778</v>
      </c>
      <c r="FAZ1894" t="s">
        <v>5778</v>
      </c>
      <c r="FBA1894" t="s">
        <v>5778</v>
      </c>
      <c r="FBB1894" t="s">
        <v>5779</v>
      </c>
      <c r="FBE1894">
        <v>44583</v>
      </c>
      <c r="FBF1894">
        <v>0</v>
      </c>
      <c r="FBG1894" t="s">
        <v>5778</v>
      </c>
      <c r="FBH1894" t="s">
        <v>5778</v>
      </c>
      <c r="FBI1894" t="s">
        <v>5778</v>
      </c>
      <c r="FBJ1894" t="s">
        <v>5779</v>
      </c>
      <c r="FBM1894">
        <v>44583</v>
      </c>
      <c r="FBN1894">
        <v>0</v>
      </c>
      <c r="FBO1894" t="s">
        <v>5778</v>
      </c>
      <c r="FBP1894" t="s">
        <v>5778</v>
      </c>
      <c r="FBQ1894" t="s">
        <v>5778</v>
      </c>
      <c r="FBR1894" t="s">
        <v>5779</v>
      </c>
      <c r="FBU1894">
        <v>44583</v>
      </c>
      <c r="FBV1894">
        <v>0</v>
      </c>
      <c r="FBW1894" t="s">
        <v>5778</v>
      </c>
      <c r="FBX1894" t="s">
        <v>5778</v>
      </c>
      <c r="FBY1894" t="s">
        <v>5778</v>
      </c>
      <c r="FBZ1894" t="s">
        <v>5779</v>
      </c>
      <c r="FCC1894">
        <v>44583</v>
      </c>
      <c r="FCD1894">
        <v>0</v>
      </c>
      <c r="FCE1894" t="s">
        <v>5778</v>
      </c>
      <c r="FCF1894" t="s">
        <v>5778</v>
      </c>
      <c r="FCG1894" t="s">
        <v>5778</v>
      </c>
      <c r="FCH1894" t="s">
        <v>5779</v>
      </c>
      <c r="FCK1894">
        <v>44583</v>
      </c>
      <c r="FCL1894">
        <v>0</v>
      </c>
      <c r="FCM1894" t="s">
        <v>5778</v>
      </c>
      <c r="FCN1894" t="s">
        <v>5778</v>
      </c>
      <c r="FCO1894" t="s">
        <v>5778</v>
      </c>
      <c r="FCP1894" t="s">
        <v>5779</v>
      </c>
      <c r="FCS1894">
        <v>44583</v>
      </c>
      <c r="FCT1894">
        <v>0</v>
      </c>
      <c r="FCU1894" t="s">
        <v>5778</v>
      </c>
      <c r="FCV1894" t="s">
        <v>5778</v>
      </c>
      <c r="FCW1894" t="s">
        <v>5778</v>
      </c>
      <c r="FCX1894" t="s">
        <v>5779</v>
      </c>
      <c r="FDA1894">
        <v>44583</v>
      </c>
      <c r="FDB1894">
        <v>0</v>
      </c>
      <c r="FDC1894" t="s">
        <v>5778</v>
      </c>
      <c r="FDD1894" t="s">
        <v>5778</v>
      </c>
      <c r="FDE1894" t="s">
        <v>5778</v>
      </c>
      <c r="FDF1894" t="s">
        <v>5779</v>
      </c>
      <c r="FDI1894">
        <v>44583</v>
      </c>
      <c r="FDJ1894">
        <v>0</v>
      </c>
      <c r="FDK1894" t="s">
        <v>5778</v>
      </c>
      <c r="FDL1894" t="s">
        <v>5778</v>
      </c>
      <c r="FDM1894" t="s">
        <v>5778</v>
      </c>
      <c r="FDN1894" t="s">
        <v>5779</v>
      </c>
      <c r="FDQ1894">
        <v>44583</v>
      </c>
      <c r="FDR1894">
        <v>0</v>
      </c>
      <c r="FDS1894" t="s">
        <v>5778</v>
      </c>
      <c r="FDT1894" t="s">
        <v>5778</v>
      </c>
      <c r="FDU1894" t="s">
        <v>5778</v>
      </c>
      <c r="FDV1894" t="s">
        <v>5779</v>
      </c>
      <c r="FDY1894">
        <v>44583</v>
      </c>
      <c r="FDZ1894">
        <v>0</v>
      </c>
      <c r="FEA1894" t="s">
        <v>5778</v>
      </c>
      <c r="FEB1894" t="s">
        <v>5778</v>
      </c>
      <c r="FEC1894" t="s">
        <v>5778</v>
      </c>
      <c r="FED1894" t="s">
        <v>5779</v>
      </c>
      <c r="FEG1894">
        <v>44583</v>
      </c>
      <c r="FEH1894">
        <v>0</v>
      </c>
      <c r="FEI1894" t="s">
        <v>5778</v>
      </c>
      <c r="FEJ1894" t="s">
        <v>5778</v>
      </c>
      <c r="FEK1894" t="s">
        <v>5778</v>
      </c>
      <c r="FEL1894" t="s">
        <v>5779</v>
      </c>
      <c r="FEO1894">
        <v>44583</v>
      </c>
      <c r="FEP1894">
        <v>0</v>
      </c>
      <c r="FEQ1894" t="s">
        <v>5778</v>
      </c>
      <c r="FER1894" t="s">
        <v>5778</v>
      </c>
      <c r="FES1894" t="s">
        <v>5778</v>
      </c>
      <c r="FET1894" t="s">
        <v>5779</v>
      </c>
      <c r="FEW1894">
        <v>44583</v>
      </c>
      <c r="FEX1894">
        <v>0</v>
      </c>
      <c r="FEY1894" t="s">
        <v>5778</v>
      </c>
      <c r="FEZ1894" t="s">
        <v>5778</v>
      </c>
      <c r="FFA1894" t="s">
        <v>5778</v>
      </c>
      <c r="FFB1894" t="s">
        <v>5779</v>
      </c>
      <c r="FFE1894">
        <v>44583</v>
      </c>
      <c r="FFF1894">
        <v>0</v>
      </c>
      <c r="FFG1894" t="s">
        <v>5778</v>
      </c>
      <c r="FFH1894" t="s">
        <v>5778</v>
      </c>
      <c r="FFI1894" t="s">
        <v>5778</v>
      </c>
      <c r="FFJ1894" t="s">
        <v>5779</v>
      </c>
      <c r="FFM1894">
        <v>44583</v>
      </c>
      <c r="FFN1894">
        <v>0</v>
      </c>
      <c r="FFO1894" t="s">
        <v>5778</v>
      </c>
      <c r="FFP1894" t="s">
        <v>5778</v>
      </c>
      <c r="FFQ1894" t="s">
        <v>5778</v>
      </c>
      <c r="FFR1894" t="s">
        <v>5779</v>
      </c>
      <c r="FFU1894">
        <v>44583</v>
      </c>
      <c r="FFV1894">
        <v>0</v>
      </c>
      <c r="FFW1894" t="s">
        <v>5778</v>
      </c>
      <c r="FFX1894" t="s">
        <v>5778</v>
      </c>
      <c r="FFY1894" t="s">
        <v>5778</v>
      </c>
      <c r="FFZ1894" t="s">
        <v>5779</v>
      </c>
      <c r="FGC1894">
        <v>44583</v>
      </c>
      <c r="FGD1894">
        <v>0</v>
      </c>
      <c r="FGE1894" t="s">
        <v>5778</v>
      </c>
      <c r="FGF1894" t="s">
        <v>5778</v>
      </c>
      <c r="FGG1894" t="s">
        <v>5778</v>
      </c>
      <c r="FGH1894" t="s">
        <v>5779</v>
      </c>
      <c r="FGK1894">
        <v>44583</v>
      </c>
      <c r="FGL1894">
        <v>0</v>
      </c>
      <c r="FGM1894" t="s">
        <v>5778</v>
      </c>
      <c r="FGN1894" t="s">
        <v>5778</v>
      </c>
      <c r="FGO1894" t="s">
        <v>5778</v>
      </c>
      <c r="FGP1894" t="s">
        <v>5779</v>
      </c>
      <c r="FGS1894">
        <v>44583</v>
      </c>
      <c r="FGT1894">
        <v>0</v>
      </c>
      <c r="FGU1894" t="s">
        <v>5778</v>
      </c>
      <c r="FGV1894" t="s">
        <v>5778</v>
      </c>
      <c r="FGW1894" t="s">
        <v>5778</v>
      </c>
      <c r="FGX1894" t="s">
        <v>5779</v>
      </c>
      <c r="FHA1894">
        <v>44583</v>
      </c>
      <c r="FHB1894">
        <v>0</v>
      </c>
      <c r="FHC1894" t="s">
        <v>5778</v>
      </c>
      <c r="FHD1894" t="s">
        <v>5778</v>
      </c>
      <c r="FHE1894" t="s">
        <v>5778</v>
      </c>
      <c r="FHF1894" t="s">
        <v>5779</v>
      </c>
      <c r="FHI1894">
        <v>44583</v>
      </c>
      <c r="FHJ1894">
        <v>0</v>
      </c>
      <c r="FHK1894" t="s">
        <v>5778</v>
      </c>
      <c r="FHL1894" t="s">
        <v>5778</v>
      </c>
      <c r="FHM1894" t="s">
        <v>5778</v>
      </c>
      <c r="FHN1894" t="s">
        <v>5779</v>
      </c>
      <c r="FHQ1894">
        <v>44583</v>
      </c>
      <c r="FHR1894">
        <v>0</v>
      </c>
      <c r="FHS1894" t="s">
        <v>5778</v>
      </c>
      <c r="FHT1894" t="s">
        <v>5778</v>
      </c>
      <c r="FHU1894" t="s">
        <v>5778</v>
      </c>
      <c r="FHV1894" t="s">
        <v>5779</v>
      </c>
      <c r="FHY1894">
        <v>44583</v>
      </c>
      <c r="FHZ1894">
        <v>0</v>
      </c>
      <c r="FIA1894" t="s">
        <v>5778</v>
      </c>
      <c r="FIB1894" t="s">
        <v>5778</v>
      </c>
      <c r="FIC1894" t="s">
        <v>5778</v>
      </c>
      <c r="FID1894" t="s">
        <v>5779</v>
      </c>
      <c r="FIG1894">
        <v>44583</v>
      </c>
      <c r="FIH1894">
        <v>0</v>
      </c>
      <c r="FII1894" t="s">
        <v>5778</v>
      </c>
      <c r="FIJ1894" t="s">
        <v>5778</v>
      </c>
      <c r="FIK1894" t="s">
        <v>5778</v>
      </c>
      <c r="FIL1894" t="s">
        <v>5779</v>
      </c>
      <c r="FIO1894">
        <v>44583</v>
      </c>
      <c r="FIP1894">
        <v>0</v>
      </c>
      <c r="FIQ1894" t="s">
        <v>5778</v>
      </c>
      <c r="FIR1894" t="s">
        <v>5778</v>
      </c>
      <c r="FIS1894" t="s">
        <v>5778</v>
      </c>
      <c r="FIT1894" t="s">
        <v>5779</v>
      </c>
      <c r="FIW1894">
        <v>44583</v>
      </c>
      <c r="FIX1894">
        <v>0</v>
      </c>
      <c r="FIY1894" t="s">
        <v>5778</v>
      </c>
      <c r="FIZ1894" t="s">
        <v>5778</v>
      </c>
      <c r="FJA1894" t="s">
        <v>5778</v>
      </c>
      <c r="FJB1894" t="s">
        <v>5779</v>
      </c>
      <c r="FJE1894">
        <v>44583</v>
      </c>
      <c r="FJF1894">
        <v>0</v>
      </c>
      <c r="FJG1894" t="s">
        <v>5778</v>
      </c>
      <c r="FJH1894" t="s">
        <v>5778</v>
      </c>
      <c r="FJI1894" t="s">
        <v>5778</v>
      </c>
      <c r="FJJ1894" t="s">
        <v>5779</v>
      </c>
      <c r="FJM1894">
        <v>44583</v>
      </c>
      <c r="FJN1894">
        <v>0</v>
      </c>
      <c r="FJO1894" t="s">
        <v>5778</v>
      </c>
      <c r="FJP1894" t="s">
        <v>5778</v>
      </c>
      <c r="FJQ1894" t="s">
        <v>5778</v>
      </c>
      <c r="FJR1894" t="s">
        <v>5779</v>
      </c>
      <c r="FJU1894">
        <v>44583</v>
      </c>
      <c r="FJV1894">
        <v>0</v>
      </c>
      <c r="FJW1894" t="s">
        <v>5778</v>
      </c>
      <c r="FJX1894" t="s">
        <v>5778</v>
      </c>
      <c r="FJY1894" t="s">
        <v>5778</v>
      </c>
      <c r="FJZ1894" t="s">
        <v>5779</v>
      </c>
      <c r="FKC1894">
        <v>44583</v>
      </c>
      <c r="FKD1894">
        <v>0</v>
      </c>
      <c r="FKE1894" t="s">
        <v>5778</v>
      </c>
      <c r="FKF1894" t="s">
        <v>5778</v>
      </c>
      <c r="FKG1894" t="s">
        <v>5778</v>
      </c>
      <c r="FKH1894" t="s">
        <v>5779</v>
      </c>
      <c r="FKK1894">
        <v>44583</v>
      </c>
      <c r="FKL1894">
        <v>0</v>
      </c>
      <c r="FKM1894" t="s">
        <v>5778</v>
      </c>
      <c r="FKN1894" t="s">
        <v>5778</v>
      </c>
      <c r="FKO1894" t="s">
        <v>5778</v>
      </c>
      <c r="FKP1894" t="s">
        <v>5779</v>
      </c>
      <c r="FKS1894">
        <v>44583</v>
      </c>
      <c r="FKT1894">
        <v>0</v>
      </c>
      <c r="FKU1894" t="s">
        <v>5778</v>
      </c>
      <c r="FKV1894" t="s">
        <v>5778</v>
      </c>
      <c r="FKW1894" t="s">
        <v>5778</v>
      </c>
      <c r="FKX1894" t="s">
        <v>5779</v>
      </c>
      <c r="FLA1894">
        <v>44583</v>
      </c>
      <c r="FLB1894">
        <v>0</v>
      </c>
      <c r="FLC1894" t="s">
        <v>5778</v>
      </c>
      <c r="FLD1894" t="s">
        <v>5778</v>
      </c>
      <c r="FLE1894" t="s">
        <v>5778</v>
      </c>
      <c r="FLF1894" t="s">
        <v>5779</v>
      </c>
      <c r="FLI1894">
        <v>44583</v>
      </c>
      <c r="FLJ1894">
        <v>0</v>
      </c>
      <c r="FLK1894" t="s">
        <v>5778</v>
      </c>
      <c r="FLL1894" t="s">
        <v>5778</v>
      </c>
      <c r="FLM1894" t="s">
        <v>5778</v>
      </c>
      <c r="FLN1894" t="s">
        <v>5779</v>
      </c>
      <c r="FLQ1894">
        <v>44583</v>
      </c>
      <c r="FLR1894">
        <v>0</v>
      </c>
      <c r="FLS1894" t="s">
        <v>5778</v>
      </c>
      <c r="FLT1894" t="s">
        <v>5778</v>
      </c>
      <c r="FLU1894" t="s">
        <v>5778</v>
      </c>
      <c r="FLV1894" t="s">
        <v>5779</v>
      </c>
      <c r="FLY1894">
        <v>44583</v>
      </c>
      <c r="FLZ1894">
        <v>0</v>
      </c>
      <c r="FMA1894" t="s">
        <v>5778</v>
      </c>
      <c r="FMB1894" t="s">
        <v>5778</v>
      </c>
      <c r="FMC1894" t="s">
        <v>5778</v>
      </c>
      <c r="FMD1894" t="s">
        <v>5779</v>
      </c>
      <c r="FMG1894">
        <v>44583</v>
      </c>
      <c r="FMH1894">
        <v>0</v>
      </c>
      <c r="FMI1894" t="s">
        <v>5778</v>
      </c>
      <c r="FMJ1894" t="s">
        <v>5778</v>
      </c>
      <c r="FMK1894" t="s">
        <v>5778</v>
      </c>
      <c r="FML1894" t="s">
        <v>5779</v>
      </c>
      <c r="FMO1894">
        <v>44583</v>
      </c>
      <c r="FMP1894">
        <v>0</v>
      </c>
      <c r="FMQ1894" t="s">
        <v>5778</v>
      </c>
      <c r="FMR1894" t="s">
        <v>5778</v>
      </c>
      <c r="FMS1894" t="s">
        <v>5778</v>
      </c>
      <c r="FMT1894" t="s">
        <v>5779</v>
      </c>
      <c r="FMW1894">
        <v>44583</v>
      </c>
      <c r="FMX1894">
        <v>0</v>
      </c>
      <c r="FMY1894" t="s">
        <v>5778</v>
      </c>
      <c r="FMZ1894" t="s">
        <v>5778</v>
      </c>
      <c r="FNA1894" t="s">
        <v>5778</v>
      </c>
      <c r="FNB1894" t="s">
        <v>5779</v>
      </c>
      <c r="FNE1894">
        <v>44583</v>
      </c>
      <c r="FNF1894">
        <v>0</v>
      </c>
      <c r="FNG1894" t="s">
        <v>5778</v>
      </c>
      <c r="FNH1894" t="s">
        <v>5778</v>
      </c>
      <c r="FNI1894" t="s">
        <v>5778</v>
      </c>
      <c r="FNJ1894" t="s">
        <v>5779</v>
      </c>
      <c r="FNM1894">
        <v>44583</v>
      </c>
      <c r="FNN1894">
        <v>0</v>
      </c>
      <c r="FNO1894" t="s">
        <v>5778</v>
      </c>
      <c r="FNP1894" t="s">
        <v>5778</v>
      </c>
      <c r="FNQ1894" t="s">
        <v>5778</v>
      </c>
      <c r="FNR1894" t="s">
        <v>5779</v>
      </c>
      <c r="FNU1894">
        <v>44583</v>
      </c>
      <c r="FNV1894">
        <v>0</v>
      </c>
      <c r="FNW1894" t="s">
        <v>5778</v>
      </c>
      <c r="FNX1894" t="s">
        <v>5778</v>
      </c>
      <c r="FNY1894" t="s">
        <v>5778</v>
      </c>
      <c r="FNZ1894" t="s">
        <v>5779</v>
      </c>
      <c r="FOC1894">
        <v>44583</v>
      </c>
      <c r="FOD1894">
        <v>0</v>
      </c>
      <c r="FOE1894" t="s">
        <v>5778</v>
      </c>
      <c r="FOF1894" t="s">
        <v>5778</v>
      </c>
      <c r="FOG1894" t="s">
        <v>5778</v>
      </c>
      <c r="FOH1894" t="s">
        <v>5779</v>
      </c>
      <c r="FOK1894">
        <v>44583</v>
      </c>
      <c r="FOL1894">
        <v>0</v>
      </c>
      <c r="FOM1894" t="s">
        <v>5778</v>
      </c>
      <c r="FON1894" t="s">
        <v>5778</v>
      </c>
      <c r="FOO1894" t="s">
        <v>5778</v>
      </c>
      <c r="FOP1894" t="s">
        <v>5779</v>
      </c>
      <c r="FOS1894">
        <v>44583</v>
      </c>
      <c r="FOT1894">
        <v>0</v>
      </c>
      <c r="FOU1894" t="s">
        <v>5778</v>
      </c>
      <c r="FOV1894" t="s">
        <v>5778</v>
      </c>
      <c r="FOW1894" t="s">
        <v>5778</v>
      </c>
      <c r="FOX1894" t="s">
        <v>5779</v>
      </c>
      <c r="FPA1894">
        <v>44583</v>
      </c>
      <c r="FPB1894">
        <v>0</v>
      </c>
      <c r="FPC1894" t="s">
        <v>5778</v>
      </c>
      <c r="FPD1894" t="s">
        <v>5778</v>
      </c>
      <c r="FPE1894" t="s">
        <v>5778</v>
      </c>
      <c r="FPF1894" t="s">
        <v>5779</v>
      </c>
      <c r="FPI1894">
        <v>44583</v>
      </c>
      <c r="FPJ1894">
        <v>0</v>
      </c>
      <c r="FPK1894" t="s">
        <v>5778</v>
      </c>
      <c r="FPL1894" t="s">
        <v>5778</v>
      </c>
      <c r="FPM1894" t="s">
        <v>5778</v>
      </c>
      <c r="FPN1894" t="s">
        <v>5779</v>
      </c>
      <c r="FPQ1894">
        <v>44583</v>
      </c>
      <c r="FPR1894">
        <v>0</v>
      </c>
      <c r="FPS1894" t="s">
        <v>5778</v>
      </c>
      <c r="FPT1894" t="s">
        <v>5778</v>
      </c>
      <c r="FPU1894" t="s">
        <v>5778</v>
      </c>
      <c r="FPV1894" t="s">
        <v>5779</v>
      </c>
      <c r="FPY1894">
        <v>44583</v>
      </c>
      <c r="FPZ1894">
        <v>0</v>
      </c>
      <c r="FQA1894" t="s">
        <v>5778</v>
      </c>
      <c r="FQB1894" t="s">
        <v>5778</v>
      </c>
      <c r="FQC1894" t="s">
        <v>5778</v>
      </c>
      <c r="FQD1894" t="s">
        <v>5779</v>
      </c>
      <c r="FQG1894">
        <v>44583</v>
      </c>
      <c r="FQH1894">
        <v>0</v>
      </c>
      <c r="FQI1894" t="s">
        <v>5778</v>
      </c>
      <c r="FQJ1894" t="s">
        <v>5778</v>
      </c>
      <c r="FQK1894" t="s">
        <v>5778</v>
      </c>
      <c r="FQL1894" t="s">
        <v>5779</v>
      </c>
      <c r="FQO1894">
        <v>44583</v>
      </c>
      <c r="FQP1894">
        <v>0</v>
      </c>
      <c r="FQQ1894" t="s">
        <v>5778</v>
      </c>
      <c r="FQR1894" t="s">
        <v>5778</v>
      </c>
      <c r="FQS1894" t="s">
        <v>5778</v>
      </c>
      <c r="FQT1894" t="s">
        <v>5779</v>
      </c>
      <c r="FQW1894">
        <v>44583</v>
      </c>
      <c r="FQX1894">
        <v>0</v>
      </c>
      <c r="FQY1894" t="s">
        <v>5778</v>
      </c>
      <c r="FQZ1894" t="s">
        <v>5778</v>
      </c>
      <c r="FRA1894" t="s">
        <v>5778</v>
      </c>
      <c r="FRB1894" t="s">
        <v>5779</v>
      </c>
      <c r="FRE1894">
        <v>44583</v>
      </c>
      <c r="FRF1894">
        <v>0</v>
      </c>
      <c r="FRG1894" t="s">
        <v>5778</v>
      </c>
      <c r="FRH1894" t="s">
        <v>5778</v>
      </c>
      <c r="FRI1894" t="s">
        <v>5778</v>
      </c>
      <c r="FRJ1894" t="s">
        <v>5779</v>
      </c>
      <c r="FRM1894">
        <v>44583</v>
      </c>
      <c r="FRN1894">
        <v>0</v>
      </c>
      <c r="FRO1894" t="s">
        <v>5778</v>
      </c>
      <c r="FRP1894" t="s">
        <v>5778</v>
      </c>
      <c r="FRQ1894" t="s">
        <v>5778</v>
      </c>
      <c r="FRR1894" t="s">
        <v>5779</v>
      </c>
      <c r="FRU1894">
        <v>44583</v>
      </c>
      <c r="FRV1894">
        <v>0</v>
      </c>
      <c r="FRW1894" t="s">
        <v>5778</v>
      </c>
      <c r="FRX1894" t="s">
        <v>5778</v>
      </c>
      <c r="FRY1894" t="s">
        <v>5778</v>
      </c>
      <c r="FRZ1894" t="s">
        <v>5779</v>
      </c>
      <c r="FSC1894">
        <v>44583</v>
      </c>
      <c r="FSD1894">
        <v>0</v>
      </c>
      <c r="FSE1894" t="s">
        <v>5778</v>
      </c>
      <c r="FSF1894" t="s">
        <v>5778</v>
      </c>
      <c r="FSG1894" t="s">
        <v>5778</v>
      </c>
      <c r="FSH1894" t="s">
        <v>5779</v>
      </c>
      <c r="FSK1894">
        <v>44583</v>
      </c>
      <c r="FSL1894">
        <v>0</v>
      </c>
      <c r="FSM1894" t="s">
        <v>5778</v>
      </c>
      <c r="FSN1894" t="s">
        <v>5778</v>
      </c>
      <c r="FSO1894" t="s">
        <v>5778</v>
      </c>
      <c r="FSP1894" t="s">
        <v>5779</v>
      </c>
      <c r="FSS1894">
        <v>44583</v>
      </c>
      <c r="FST1894">
        <v>0</v>
      </c>
      <c r="FSU1894" t="s">
        <v>5778</v>
      </c>
      <c r="FSV1894" t="s">
        <v>5778</v>
      </c>
      <c r="FSW1894" t="s">
        <v>5778</v>
      </c>
      <c r="FSX1894" t="s">
        <v>5779</v>
      </c>
      <c r="FTA1894">
        <v>44583</v>
      </c>
      <c r="FTB1894">
        <v>0</v>
      </c>
      <c r="FTC1894" t="s">
        <v>5778</v>
      </c>
      <c r="FTD1894" t="s">
        <v>5778</v>
      </c>
      <c r="FTE1894" t="s">
        <v>5778</v>
      </c>
      <c r="FTF1894" t="s">
        <v>5779</v>
      </c>
      <c r="FTI1894">
        <v>44583</v>
      </c>
      <c r="FTJ1894">
        <v>0</v>
      </c>
      <c r="FTK1894" t="s">
        <v>5778</v>
      </c>
      <c r="FTL1894" t="s">
        <v>5778</v>
      </c>
      <c r="FTM1894" t="s">
        <v>5778</v>
      </c>
      <c r="FTN1894" t="s">
        <v>5779</v>
      </c>
      <c r="FTQ1894">
        <v>44583</v>
      </c>
      <c r="FTR1894">
        <v>0</v>
      </c>
      <c r="FTS1894" t="s">
        <v>5778</v>
      </c>
      <c r="FTT1894" t="s">
        <v>5778</v>
      </c>
      <c r="FTU1894" t="s">
        <v>5778</v>
      </c>
      <c r="FTV1894" t="s">
        <v>5779</v>
      </c>
      <c r="FTY1894">
        <v>44583</v>
      </c>
      <c r="FTZ1894">
        <v>0</v>
      </c>
      <c r="FUA1894" t="s">
        <v>5778</v>
      </c>
      <c r="FUB1894" t="s">
        <v>5778</v>
      </c>
      <c r="FUC1894" t="s">
        <v>5778</v>
      </c>
      <c r="FUD1894" t="s">
        <v>5779</v>
      </c>
      <c r="FUG1894">
        <v>44583</v>
      </c>
      <c r="FUH1894">
        <v>0</v>
      </c>
      <c r="FUI1894" t="s">
        <v>5778</v>
      </c>
      <c r="FUJ1894" t="s">
        <v>5778</v>
      </c>
      <c r="FUK1894" t="s">
        <v>5778</v>
      </c>
      <c r="FUL1894" t="s">
        <v>5779</v>
      </c>
      <c r="FUO1894">
        <v>44583</v>
      </c>
      <c r="FUP1894">
        <v>0</v>
      </c>
      <c r="FUQ1894" t="s">
        <v>5778</v>
      </c>
      <c r="FUR1894" t="s">
        <v>5778</v>
      </c>
      <c r="FUS1894" t="s">
        <v>5778</v>
      </c>
      <c r="FUT1894" t="s">
        <v>5779</v>
      </c>
      <c r="FUW1894">
        <v>44583</v>
      </c>
      <c r="FUX1894">
        <v>0</v>
      </c>
      <c r="FUY1894" t="s">
        <v>5778</v>
      </c>
      <c r="FUZ1894" t="s">
        <v>5778</v>
      </c>
      <c r="FVA1894" t="s">
        <v>5778</v>
      </c>
      <c r="FVB1894" t="s">
        <v>5779</v>
      </c>
      <c r="FVE1894">
        <v>44583</v>
      </c>
      <c r="FVF1894">
        <v>0</v>
      </c>
      <c r="FVG1894" t="s">
        <v>5778</v>
      </c>
      <c r="FVH1894" t="s">
        <v>5778</v>
      </c>
      <c r="FVI1894" t="s">
        <v>5778</v>
      </c>
      <c r="FVJ1894" t="s">
        <v>5779</v>
      </c>
      <c r="FVM1894">
        <v>44583</v>
      </c>
      <c r="FVN1894">
        <v>0</v>
      </c>
      <c r="FVO1894" t="s">
        <v>5778</v>
      </c>
      <c r="FVP1894" t="s">
        <v>5778</v>
      </c>
      <c r="FVQ1894" t="s">
        <v>5778</v>
      </c>
      <c r="FVR1894" t="s">
        <v>5779</v>
      </c>
      <c r="FVU1894">
        <v>44583</v>
      </c>
      <c r="FVV1894">
        <v>0</v>
      </c>
      <c r="FVW1894" t="s">
        <v>5778</v>
      </c>
      <c r="FVX1894" t="s">
        <v>5778</v>
      </c>
      <c r="FVY1894" t="s">
        <v>5778</v>
      </c>
      <c r="FVZ1894" t="s">
        <v>5779</v>
      </c>
      <c r="FWC1894">
        <v>44583</v>
      </c>
      <c r="FWD1894">
        <v>0</v>
      </c>
      <c r="FWE1894" t="s">
        <v>5778</v>
      </c>
      <c r="FWF1894" t="s">
        <v>5778</v>
      </c>
      <c r="FWG1894" t="s">
        <v>5778</v>
      </c>
      <c r="FWH1894" t="s">
        <v>5779</v>
      </c>
      <c r="FWK1894">
        <v>44583</v>
      </c>
      <c r="FWL1894">
        <v>0</v>
      </c>
      <c r="FWM1894" t="s">
        <v>5778</v>
      </c>
      <c r="FWN1894" t="s">
        <v>5778</v>
      </c>
      <c r="FWO1894" t="s">
        <v>5778</v>
      </c>
      <c r="FWP1894" t="s">
        <v>5779</v>
      </c>
      <c r="FWS1894">
        <v>44583</v>
      </c>
      <c r="FWT1894">
        <v>0</v>
      </c>
      <c r="FWU1894" t="s">
        <v>5778</v>
      </c>
      <c r="FWV1894" t="s">
        <v>5778</v>
      </c>
      <c r="FWW1894" t="s">
        <v>5778</v>
      </c>
      <c r="FWX1894" t="s">
        <v>5779</v>
      </c>
      <c r="FXA1894">
        <v>44583</v>
      </c>
      <c r="FXB1894">
        <v>0</v>
      </c>
      <c r="FXC1894" t="s">
        <v>5778</v>
      </c>
      <c r="FXD1894" t="s">
        <v>5778</v>
      </c>
      <c r="FXE1894" t="s">
        <v>5778</v>
      </c>
      <c r="FXF1894" t="s">
        <v>5779</v>
      </c>
      <c r="FXI1894">
        <v>44583</v>
      </c>
      <c r="FXJ1894">
        <v>0</v>
      </c>
      <c r="FXK1894" t="s">
        <v>5778</v>
      </c>
      <c r="FXL1894" t="s">
        <v>5778</v>
      </c>
      <c r="FXM1894" t="s">
        <v>5778</v>
      </c>
      <c r="FXN1894" t="s">
        <v>5779</v>
      </c>
      <c r="FXQ1894">
        <v>44583</v>
      </c>
      <c r="FXR1894">
        <v>0</v>
      </c>
      <c r="FXS1894" t="s">
        <v>5778</v>
      </c>
      <c r="FXT1894" t="s">
        <v>5778</v>
      </c>
      <c r="FXU1894" t="s">
        <v>5778</v>
      </c>
      <c r="FXV1894" t="s">
        <v>5779</v>
      </c>
      <c r="FXY1894">
        <v>44583</v>
      </c>
      <c r="FXZ1894">
        <v>0</v>
      </c>
      <c r="FYA1894" t="s">
        <v>5778</v>
      </c>
      <c r="FYB1894" t="s">
        <v>5778</v>
      </c>
      <c r="FYC1894" t="s">
        <v>5778</v>
      </c>
      <c r="FYD1894" t="s">
        <v>5779</v>
      </c>
      <c r="FYG1894">
        <v>44583</v>
      </c>
      <c r="FYH1894">
        <v>0</v>
      </c>
      <c r="FYI1894" t="s">
        <v>5778</v>
      </c>
      <c r="FYJ1894" t="s">
        <v>5778</v>
      </c>
      <c r="FYK1894" t="s">
        <v>5778</v>
      </c>
      <c r="FYL1894" t="s">
        <v>5779</v>
      </c>
      <c r="FYO1894">
        <v>44583</v>
      </c>
      <c r="FYP1894">
        <v>0</v>
      </c>
      <c r="FYQ1894" t="s">
        <v>5778</v>
      </c>
      <c r="FYR1894" t="s">
        <v>5778</v>
      </c>
      <c r="FYS1894" t="s">
        <v>5778</v>
      </c>
      <c r="FYT1894" t="s">
        <v>5779</v>
      </c>
      <c r="FYW1894">
        <v>44583</v>
      </c>
      <c r="FYX1894">
        <v>0</v>
      </c>
      <c r="FYY1894" t="s">
        <v>5778</v>
      </c>
      <c r="FYZ1894" t="s">
        <v>5778</v>
      </c>
      <c r="FZA1894" t="s">
        <v>5778</v>
      </c>
      <c r="FZB1894" t="s">
        <v>5779</v>
      </c>
      <c r="FZE1894">
        <v>44583</v>
      </c>
      <c r="FZF1894">
        <v>0</v>
      </c>
      <c r="FZG1894" t="s">
        <v>5778</v>
      </c>
      <c r="FZH1894" t="s">
        <v>5778</v>
      </c>
      <c r="FZI1894" t="s">
        <v>5778</v>
      </c>
      <c r="FZJ1894" t="s">
        <v>5779</v>
      </c>
      <c r="FZM1894">
        <v>44583</v>
      </c>
      <c r="FZN1894">
        <v>0</v>
      </c>
      <c r="FZO1894" t="s">
        <v>5778</v>
      </c>
      <c r="FZP1894" t="s">
        <v>5778</v>
      </c>
      <c r="FZQ1894" t="s">
        <v>5778</v>
      </c>
      <c r="FZR1894" t="s">
        <v>5779</v>
      </c>
      <c r="FZU1894">
        <v>44583</v>
      </c>
      <c r="FZV1894">
        <v>0</v>
      </c>
      <c r="FZW1894" t="s">
        <v>5778</v>
      </c>
      <c r="FZX1894" t="s">
        <v>5778</v>
      </c>
      <c r="FZY1894" t="s">
        <v>5778</v>
      </c>
      <c r="FZZ1894" t="s">
        <v>5779</v>
      </c>
      <c r="GAC1894">
        <v>44583</v>
      </c>
      <c r="GAD1894">
        <v>0</v>
      </c>
      <c r="GAE1894" t="s">
        <v>5778</v>
      </c>
      <c r="GAF1894" t="s">
        <v>5778</v>
      </c>
      <c r="GAG1894" t="s">
        <v>5778</v>
      </c>
      <c r="GAH1894" t="s">
        <v>5779</v>
      </c>
      <c r="GAK1894">
        <v>44583</v>
      </c>
      <c r="GAL1894">
        <v>0</v>
      </c>
      <c r="GAM1894" t="s">
        <v>5778</v>
      </c>
      <c r="GAN1894" t="s">
        <v>5778</v>
      </c>
      <c r="GAO1894" t="s">
        <v>5778</v>
      </c>
      <c r="GAP1894" t="s">
        <v>5779</v>
      </c>
      <c r="GAS1894">
        <v>44583</v>
      </c>
      <c r="GAT1894">
        <v>0</v>
      </c>
      <c r="GAU1894" t="s">
        <v>5778</v>
      </c>
      <c r="GAV1894" t="s">
        <v>5778</v>
      </c>
      <c r="GAW1894" t="s">
        <v>5778</v>
      </c>
      <c r="GAX1894" t="s">
        <v>5779</v>
      </c>
      <c r="GBA1894">
        <v>44583</v>
      </c>
      <c r="GBB1894">
        <v>0</v>
      </c>
      <c r="GBC1894" t="s">
        <v>5778</v>
      </c>
      <c r="GBD1894" t="s">
        <v>5778</v>
      </c>
      <c r="GBE1894" t="s">
        <v>5778</v>
      </c>
      <c r="GBF1894" t="s">
        <v>5779</v>
      </c>
      <c r="GBI1894">
        <v>44583</v>
      </c>
      <c r="GBJ1894">
        <v>0</v>
      </c>
      <c r="GBK1894" t="s">
        <v>5778</v>
      </c>
      <c r="GBL1894" t="s">
        <v>5778</v>
      </c>
      <c r="GBM1894" t="s">
        <v>5778</v>
      </c>
      <c r="GBN1894" t="s">
        <v>5779</v>
      </c>
      <c r="GBQ1894">
        <v>44583</v>
      </c>
      <c r="GBR1894">
        <v>0</v>
      </c>
      <c r="GBS1894" t="s">
        <v>5778</v>
      </c>
      <c r="GBT1894" t="s">
        <v>5778</v>
      </c>
      <c r="GBU1894" t="s">
        <v>5778</v>
      </c>
      <c r="GBV1894" t="s">
        <v>5779</v>
      </c>
      <c r="GBY1894">
        <v>44583</v>
      </c>
      <c r="GBZ1894">
        <v>0</v>
      </c>
      <c r="GCA1894" t="s">
        <v>5778</v>
      </c>
      <c r="GCB1894" t="s">
        <v>5778</v>
      </c>
      <c r="GCC1894" t="s">
        <v>5778</v>
      </c>
      <c r="GCD1894" t="s">
        <v>5779</v>
      </c>
      <c r="GCG1894">
        <v>44583</v>
      </c>
      <c r="GCH1894">
        <v>0</v>
      </c>
      <c r="GCI1894" t="s">
        <v>5778</v>
      </c>
      <c r="GCJ1894" t="s">
        <v>5778</v>
      </c>
      <c r="GCK1894" t="s">
        <v>5778</v>
      </c>
      <c r="GCL1894" t="s">
        <v>5779</v>
      </c>
      <c r="GCO1894">
        <v>44583</v>
      </c>
      <c r="GCP1894">
        <v>0</v>
      </c>
      <c r="GCQ1894" t="s">
        <v>5778</v>
      </c>
      <c r="GCR1894" t="s">
        <v>5778</v>
      </c>
      <c r="GCS1894" t="s">
        <v>5778</v>
      </c>
      <c r="GCT1894" t="s">
        <v>5779</v>
      </c>
      <c r="GCW1894">
        <v>44583</v>
      </c>
      <c r="GCX1894">
        <v>0</v>
      </c>
      <c r="GCY1894" t="s">
        <v>5778</v>
      </c>
      <c r="GCZ1894" t="s">
        <v>5778</v>
      </c>
      <c r="GDA1894" t="s">
        <v>5778</v>
      </c>
      <c r="GDB1894" t="s">
        <v>5779</v>
      </c>
      <c r="GDE1894">
        <v>44583</v>
      </c>
      <c r="GDF1894">
        <v>0</v>
      </c>
      <c r="GDG1894" t="s">
        <v>5778</v>
      </c>
      <c r="GDH1894" t="s">
        <v>5778</v>
      </c>
      <c r="GDI1894" t="s">
        <v>5778</v>
      </c>
      <c r="GDJ1894" t="s">
        <v>5779</v>
      </c>
      <c r="GDM1894">
        <v>44583</v>
      </c>
      <c r="GDN1894">
        <v>0</v>
      </c>
      <c r="GDO1894" t="s">
        <v>5778</v>
      </c>
      <c r="GDP1894" t="s">
        <v>5778</v>
      </c>
      <c r="GDQ1894" t="s">
        <v>5778</v>
      </c>
      <c r="GDR1894" t="s">
        <v>5779</v>
      </c>
      <c r="GDU1894">
        <v>44583</v>
      </c>
      <c r="GDV1894">
        <v>0</v>
      </c>
      <c r="GDW1894" t="s">
        <v>5778</v>
      </c>
      <c r="GDX1894" t="s">
        <v>5778</v>
      </c>
      <c r="GDY1894" t="s">
        <v>5778</v>
      </c>
      <c r="GDZ1894" t="s">
        <v>5779</v>
      </c>
      <c r="GEC1894">
        <v>44583</v>
      </c>
      <c r="GED1894">
        <v>0</v>
      </c>
      <c r="GEE1894" t="s">
        <v>5778</v>
      </c>
      <c r="GEF1894" t="s">
        <v>5778</v>
      </c>
      <c r="GEG1894" t="s">
        <v>5778</v>
      </c>
      <c r="GEH1894" t="s">
        <v>5779</v>
      </c>
      <c r="GEK1894">
        <v>44583</v>
      </c>
      <c r="GEL1894">
        <v>0</v>
      </c>
      <c r="GEM1894" t="s">
        <v>5778</v>
      </c>
      <c r="GEN1894" t="s">
        <v>5778</v>
      </c>
      <c r="GEO1894" t="s">
        <v>5778</v>
      </c>
      <c r="GEP1894" t="s">
        <v>5779</v>
      </c>
      <c r="GES1894">
        <v>44583</v>
      </c>
      <c r="GET1894">
        <v>0</v>
      </c>
      <c r="GEU1894" t="s">
        <v>5778</v>
      </c>
      <c r="GEV1894" t="s">
        <v>5778</v>
      </c>
      <c r="GEW1894" t="s">
        <v>5778</v>
      </c>
      <c r="GEX1894" t="s">
        <v>5779</v>
      </c>
      <c r="GFA1894">
        <v>44583</v>
      </c>
      <c r="GFB1894">
        <v>0</v>
      </c>
      <c r="GFC1894" t="s">
        <v>5778</v>
      </c>
      <c r="GFD1894" t="s">
        <v>5778</v>
      </c>
      <c r="GFE1894" t="s">
        <v>5778</v>
      </c>
      <c r="GFF1894" t="s">
        <v>5779</v>
      </c>
      <c r="GFI1894">
        <v>44583</v>
      </c>
      <c r="GFJ1894">
        <v>0</v>
      </c>
      <c r="GFK1894" t="s">
        <v>5778</v>
      </c>
      <c r="GFL1894" t="s">
        <v>5778</v>
      </c>
      <c r="GFM1894" t="s">
        <v>5778</v>
      </c>
      <c r="GFN1894" t="s">
        <v>5779</v>
      </c>
      <c r="GFQ1894">
        <v>44583</v>
      </c>
      <c r="GFR1894">
        <v>0</v>
      </c>
      <c r="GFS1894" t="s">
        <v>5778</v>
      </c>
      <c r="GFT1894" t="s">
        <v>5778</v>
      </c>
      <c r="GFU1894" t="s">
        <v>5778</v>
      </c>
      <c r="GFV1894" t="s">
        <v>5779</v>
      </c>
      <c r="GFY1894">
        <v>44583</v>
      </c>
      <c r="GFZ1894">
        <v>0</v>
      </c>
      <c r="GGA1894" t="s">
        <v>5778</v>
      </c>
      <c r="GGB1894" t="s">
        <v>5778</v>
      </c>
      <c r="GGC1894" t="s">
        <v>5778</v>
      </c>
      <c r="GGD1894" t="s">
        <v>5779</v>
      </c>
      <c r="GGG1894">
        <v>44583</v>
      </c>
      <c r="GGH1894">
        <v>0</v>
      </c>
      <c r="GGI1894" t="s">
        <v>5778</v>
      </c>
      <c r="GGJ1894" t="s">
        <v>5778</v>
      </c>
      <c r="GGK1894" t="s">
        <v>5778</v>
      </c>
      <c r="GGL1894" t="s">
        <v>5779</v>
      </c>
      <c r="GGO1894">
        <v>44583</v>
      </c>
      <c r="GGP1894">
        <v>0</v>
      </c>
      <c r="GGQ1894" t="s">
        <v>5778</v>
      </c>
      <c r="GGR1894" t="s">
        <v>5778</v>
      </c>
      <c r="GGS1894" t="s">
        <v>5778</v>
      </c>
      <c r="GGT1894" t="s">
        <v>5779</v>
      </c>
      <c r="GGW1894">
        <v>44583</v>
      </c>
      <c r="GGX1894">
        <v>0</v>
      </c>
      <c r="GGY1894" t="s">
        <v>5778</v>
      </c>
      <c r="GGZ1894" t="s">
        <v>5778</v>
      </c>
      <c r="GHA1894" t="s">
        <v>5778</v>
      </c>
      <c r="GHB1894" t="s">
        <v>5779</v>
      </c>
      <c r="GHE1894">
        <v>44583</v>
      </c>
      <c r="GHF1894">
        <v>0</v>
      </c>
      <c r="GHG1894" t="s">
        <v>5778</v>
      </c>
      <c r="GHH1894" t="s">
        <v>5778</v>
      </c>
      <c r="GHI1894" t="s">
        <v>5778</v>
      </c>
      <c r="GHJ1894" t="s">
        <v>5779</v>
      </c>
      <c r="GHM1894">
        <v>44583</v>
      </c>
      <c r="GHN1894">
        <v>0</v>
      </c>
      <c r="GHO1894" t="s">
        <v>5778</v>
      </c>
      <c r="GHP1894" t="s">
        <v>5778</v>
      </c>
      <c r="GHQ1894" t="s">
        <v>5778</v>
      </c>
      <c r="GHR1894" t="s">
        <v>5779</v>
      </c>
      <c r="GHU1894">
        <v>44583</v>
      </c>
      <c r="GHV1894">
        <v>0</v>
      </c>
      <c r="GHW1894" t="s">
        <v>5778</v>
      </c>
      <c r="GHX1894" t="s">
        <v>5778</v>
      </c>
      <c r="GHY1894" t="s">
        <v>5778</v>
      </c>
      <c r="GHZ1894" t="s">
        <v>5779</v>
      </c>
      <c r="GIC1894">
        <v>44583</v>
      </c>
      <c r="GID1894">
        <v>0</v>
      </c>
      <c r="GIE1894" t="s">
        <v>5778</v>
      </c>
      <c r="GIF1894" t="s">
        <v>5778</v>
      </c>
      <c r="GIG1894" t="s">
        <v>5778</v>
      </c>
      <c r="GIH1894" t="s">
        <v>5779</v>
      </c>
      <c r="GIK1894">
        <v>44583</v>
      </c>
      <c r="GIL1894">
        <v>0</v>
      </c>
      <c r="GIM1894" t="s">
        <v>5778</v>
      </c>
      <c r="GIN1894" t="s">
        <v>5778</v>
      </c>
      <c r="GIO1894" t="s">
        <v>5778</v>
      </c>
      <c r="GIP1894" t="s">
        <v>5779</v>
      </c>
      <c r="GIS1894">
        <v>44583</v>
      </c>
      <c r="GIT1894">
        <v>0</v>
      </c>
      <c r="GIU1894" t="s">
        <v>5778</v>
      </c>
      <c r="GIV1894" t="s">
        <v>5778</v>
      </c>
      <c r="GIW1894" t="s">
        <v>5778</v>
      </c>
      <c r="GIX1894" t="s">
        <v>5779</v>
      </c>
      <c r="GJA1894">
        <v>44583</v>
      </c>
      <c r="GJB1894">
        <v>0</v>
      </c>
      <c r="GJC1894" t="s">
        <v>5778</v>
      </c>
      <c r="GJD1894" t="s">
        <v>5778</v>
      </c>
      <c r="GJE1894" t="s">
        <v>5778</v>
      </c>
      <c r="GJF1894" t="s">
        <v>5779</v>
      </c>
      <c r="GJI1894">
        <v>44583</v>
      </c>
      <c r="GJJ1894">
        <v>0</v>
      </c>
      <c r="GJK1894" t="s">
        <v>5778</v>
      </c>
      <c r="GJL1894" t="s">
        <v>5778</v>
      </c>
      <c r="GJM1894" t="s">
        <v>5778</v>
      </c>
      <c r="GJN1894" t="s">
        <v>5779</v>
      </c>
      <c r="GJQ1894">
        <v>44583</v>
      </c>
      <c r="GJR1894">
        <v>0</v>
      </c>
      <c r="GJS1894" t="s">
        <v>5778</v>
      </c>
      <c r="GJT1894" t="s">
        <v>5778</v>
      </c>
      <c r="GJU1894" t="s">
        <v>5778</v>
      </c>
      <c r="GJV1894" t="s">
        <v>5779</v>
      </c>
      <c r="GJY1894">
        <v>44583</v>
      </c>
      <c r="GJZ1894">
        <v>0</v>
      </c>
      <c r="GKA1894" t="s">
        <v>5778</v>
      </c>
      <c r="GKB1894" t="s">
        <v>5778</v>
      </c>
      <c r="GKC1894" t="s">
        <v>5778</v>
      </c>
      <c r="GKD1894" t="s">
        <v>5779</v>
      </c>
      <c r="GKG1894">
        <v>44583</v>
      </c>
      <c r="GKH1894">
        <v>0</v>
      </c>
      <c r="GKI1894" t="s">
        <v>5778</v>
      </c>
      <c r="GKJ1894" t="s">
        <v>5778</v>
      </c>
      <c r="GKK1894" t="s">
        <v>5778</v>
      </c>
      <c r="GKL1894" t="s">
        <v>5779</v>
      </c>
      <c r="GKO1894">
        <v>44583</v>
      </c>
      <c r="GKP1894">
        <v>0</v>
      </c>
      <c r="GKQ1894" t="s">
        <v>5778</v>
      </c>
      <c r="GKR1894" t="s">
        <v>5778</v>
      </c>
      <c r="GKS1894" t="s">
        <v>5778</v>
      </c>
      <c r="GKT1894" t="s">
        <v>5779</v>
      </c>
      <c r="GKW1894">
        <v>44583</v>
      </c>
      <c r="GKX1894">
        <v>0</v>
      </c>
      <c r="GKY1894" t="s">
        <v>5778</v>
      </c>
      <c r="GKZ1894" t="s">
        <v>5778</v>
      </c>
      <c r="GLA1894" t="s">
        <v>5778</v>
      </c>
      <c r="GLB1894" t="s">
        <v>5779</v>
      </c>
      <c r="GLE1894">
        <v>44583</v>
      </c>
      <c r="GLF1894">
        <v>0</v>
      </c>
      <c r="GLG1894" t="s">
        <v>5778</v>
      </c>
      <c r="GLH1894" t="s">
        <v>5778</v>
      </c>
      <c r="GLI1894" t="s">
        <v>5778</v>
      </c>
      <c r="GLJ1894" t="s">
        <v>5779</v>
      </c>
      <c r="GLM1894">
        <v>44583</v>
      </c>
      <c r="GLN1894">
        <v>0</v>
      </c>
      <c r="GLO1894" t="s">
        <v>5778</v>
      </c>
      <c r="GLP1894" t="s">
        <v>5778</v>
      </c>
      <c r="GLQ1894" t="s">
        <v>5778</v>
      </c>
      <c r="GLR1894" t="s">
        <v>5779</v>
      </c>
      <c r="GLU1894">
        <v>44583</v>
      </c>
      <c r="GLV1894">
        <v>0</v>
      </c>
      <c r="GLW1894" t="s">
        <v>5778</v>
      </c>
      <c r="GLX1894" t="s">
        <v>5778</v>
      </c>
      <c r="GLY1894" t="s">
        <v>5778</v>
      </c>
      <c r="GLZ1894" t="s">
        <v>5779</v>
      </c>
      <c r="GMC1894">
        <v>44583</v>
      </c>
      <c r="GMD1894">
        <v>0</v>
      </c>
      <c r="GME1894" t="s">
        <v>5778</v>
      </c>
      <c r="GMF1894" t="s">
        <v>5778</v>
      </c>
      <c r="GMG1894" t="s">
        <v>5778</v>
      </c>
      <c r="GMH1894" t="s">
        <v>5779</v>
      </c>
      <c r="GMK1894">
        <v>44583</v>
      </c>
      <c r="GML1894">
        <v>0</v>
      </c>
      <c r="GMM1894" t="s">
        <v>5778</v>
      </c>
      <c r="GMN1894" t="s">
        <v>5778</v>
      </c>
      <c r="GMO1894" t="s">
        <v>5778</v>
      </c>
      <c r="GMP1894" t="s">
        <v>5779</v>
      </c>
      <c r="GMS1894">
        <v>44583</v>
      </c>
      <c r="GMT1894">
        <v>0</v>
      </c>
      <c r="GMU1894" t="s">
        <v>5778</v>
      </c>
      <c r="GMV1894" t="s">
        <v>5778</v>
      </c>
      <c r="GMW1894" t="s">
        <v>5778</v>
      </c>
      <c r="GMX1894" t="s">
        <v>5779</v>
      </c>
      <c r="GNA1894">
        <v>44583</v>
      </c>
      <c r="GNB1894">
        <v>0</v>
      </c>
      <c r="GNC1894" t="s">
        <v>5778</v>
      </c>
      <c r="GND1894" t="s">
        <v>5778</v>
      </c>
      <c r="GNE1894" t="s">
        <v>5778</v>
      </c>
      <c r="GNF1894" t="s">
        <v>5779</v>
      </c>
      <c r="GNI1894">
        <v>44583</v>
      </c>
      <c r="GNJ1894">
        <v>0</v>
      </c>
      <c r="GNK1894" t="s">
        <v>5778</v>
      </c>
      <c r="GNL1894" t="s">
        <v>5778</v>
      </c>
      <c r="GNM1894" t="s">
        <v>5778</v>
      </c>
      <c r="GNN1894" t="s">
        <v>5779</v>
      </c>
      <c r="GNQ1894">
        <v>44583</v>
      </c>
      <c r="GNR1894">
        <v>0</v>
      </c>
      <c r="GNS1894" t="s">
        <v>5778</v>
      </c>
      <c r="GNT1894" t="s">
        <v>5778</v>
      </c>
      <c r="GNU1894" t="s">
        <v>5778</v>
      </c>
      <c r="GNV1894" t="s">
        <v>5779</v>
      </c>
      <c r="GNY1894">
        <v>44583</v>
      </c>
      <c r="GNZ1894">
        <v>0</v>
      </c>
      <c r="GOA1894" t="s">
        <v>5778</v>
      </c>
      <c r="GOB1894" t="s">
        <v>5778</v>
      </c>
      <c r="GOC1894" t="s">
        <v>5778</v>
      </c>
      <c r="GOD1894" t="s">
        <v>5779</v>
      </c>
      <c r="GOG1894">
        <v>44583</v>
      </c>
      <c r="GOH1894">
        <v>0</v>
      </c>
      <c r="GOI1894" t="s">
        <v>5778</v>
      </c>
      <c r="GOJ1894" t="s">
        <v>5778</v>
      </c>
      <c r="GOK1894" t="s">
        <v>5778</v>
      </c>
      <c r="GOL1894" t="s">
        <v>5779</v>
      </c>
      <c r="GOO1894">
        <v>44583</v>
      </c>
      <c r="GOP1894">
        <v>0</v>
      </c>
      <c r="GOQ1894" t="s">
        <v>5778</v>
      </c>
      <c r="GOR1894" t="s">
        <v>5778</v>
      </c>
      <c r="GOS1894" t="s">
        <v>5778</v>
      </c>
      <c r="GOT1894" t="s">
        <v>5779</v>
      </c>
      <c r="GOW1894">
        <v>44583</v>
      </c>
      <c r="GOX1894">
        <v>0</v>
      </c>
      <c r="GOY1894" t="s">
        <v>5778</v>
      </c>
      <c r="GOZ1894" t="s">
        <v>5778</v>
      </c>
      <c r="GPA1894" t="s">
        <v>5778</v>
      </c>
      <c r="GPB1894" t="s">
        <v>5779</v>
      </c>
      <c r="GPE1894">
        <v>44583</v>
      </c>
      <c r="GPF1894">
        <v>0</v>
      </c>
      <c r="GPG1894" t="s">
        <v>5778</v>
      </c>
      <c r="GPH1894" t="s">
        <v>5778</v>
      </c>
      <c r="GPI1894" t="s">
        <v>5778</v>
      </c>
      <c r="GPJ1894" t="s">
        <v>5779</v>
      </c>
      <c r="GPM1894">
        <v>44583</v>
      </c>
      <c r="GPN1894">
        <v>0</v>
      </c>
      <c r="GPO1894" t="s">
        <v>5778</v>
      </c>
      <c r="GPP1894" t="s">
        <v>5778</v>
      </c>
      <c r="GPQ1894" t="s">
        <v>5778</v>
      </c>
      <c r="GPR1894" t="s">
        <v>5779</v>
      </c>
      <c r="GPU1894">
        <v>44583</v>
      </c>
      <c r="GPV1894">
        <v>0</v>
      </c>
      <c r="GPW1894" t="s">
        <v>5778</v>
      </c>
      <c r="GPX1894" t="s">
        <v>5778</v>
      </c>
      <c r="GPY1894" t="s">
        <v>5778</v>
      </c>
      <c r="GPZ1894" t="s">
        <v>5779</v>
      </c>
      <c r="GQC1894">
        <v>44583</v>
      </c>
      <c r="GQD1894">
        <v>0</v>
      </c>
      <c r="GQE1894" t="s">
        <v>5778</v>
      </c>
      <c r="GQF1894" t="s">
        <v>5778</v>
      </c>
      <c r="GQG1894" t="s">
        <v>5778</v>
      </c>
      <c r="GQH1894" t="s">
        <v>5779</v>
      </c>
      <c r="GQK1894">
        <v>44583</v>
      </c>
      <c r="GQL1894">
        <v>0</v>
      </c>
      <c r="GQM1894" t="s">
        <v>5778</v>
      </c>
      <c r="GQN1894" t="s">
        <v>5778</v>
      </c>
      <c r="GQO1894" t="s">
        <v>5778</v>
      </c>
      <c r="GQP1894" t="s">
        <v>5779</v>
      </c>
      <c r="GQS1894">
        <v>44583</v>
      </c>
      <c r="GQT1894">
        <v>0</v>
      </c>
      <c r="GQU1894" t="s">
        <v>5778</v>
      </c>
      <c r="GQV1894" t="s">
        <v>5778</v>
      </c>
      <c r="GQW1894" t="s">
        <v>5778</v>
      </c>
      <c r="GQX1894" t="s">
        <v>5779</v>
      </c>
      <c r="GRA1894">
        <v>44583</v>
      </c>
      <c r="GRB1894">
        <v>0</v>
      </c>
      <c r="GRC1894" t="s">
        <v>5778</v>
      </c>
      <c r="GRD1894" t="s">
        <v>5778</v>
      </c>
      <c r="GRE1894" t="s">
        <v>5778</v>
      </c>
      <c r="GRF1894" t="s">
        <v>5779</v>
      </c>
      <c r="GRI1894">
        <v>44583</v>
      </c>
      <c r="GRJ1894">
        <v>0</v>
      </c>
      <c r="GRK1894" t="s">
        <v>5778</v>
      </c>
      <c r="GRL1894" t="s">
        <v>5778</v>
      </c>
      <c r="GRM1894" t="s">
        <v>5778</v>
      </c>
      <c r="GRN1894" t="s">
        <v>5779</v>
      </c>
      <c r="GRQ1894">
        <v>44583</v>
      </c>
      <c r="GRR1894">
        <v>0</v>
      </c>
      <c r="GRS1894" t="s">
        <v>5778</v>
      </c>
      <c r="GRT1894" t="s">
        <v>5778</v>
      </c>
      <c r="GRU1894" t="s">
        <v>5778</v>
      </c>
      <c r="GRV1894" t="s">
        <v>5779</v>
      </c>
      <c r="GRY1894">
        <v>44583</v>
      </c>
      <c r="GRZ1894">
        <v>0</v>
      </c>
      <c r="GSA1894" t="s">
        <v>5778</v>
      </c>
      <c r="GSB1894" t="s">
        <v>5778</v>
      </c>
      <c r="GSC1894" t="s">
        <v>5778</v>
      </c>
      <c r="GSD1894" t="s">
        <v>5779</v>
      </c>
      <c r="GSG1894">
        <v>44583</v>
      </c>
      <c r="GSH1894">
        <v>0</v>
      </c>
      <c r="GSI1894" t="s">
        <v>5778</v>
      </c>
      <c r="GSJ1894" t="s">
        <v>5778</v>
      </c>
      <c r="GSK1894" t="s">
        <v>5778</v>
      </c>
      <c r="GSL1894" t="s">
        <v>5779</v>
      </c>
      <c r="GSO1894">
        <v>44583</v>
      </c>
      <c r="GSP1894">
        <v>0</v>
      </c>
      <c r="GSQ1894" t="s">
        <v>5778</v>
      </c>
      <c r="GSR1894" t="s">
        <v>5778</v>
      </c>
      <c r="GSS1894" t="s">
        <v>5778</v>
      </c>
      <c r="GST1894" t="s">
        <v>5779</v>
      </c>
      <c r="GSW1894">
        <v>44583</v>
      </c>
      <c r="GSX1894">
        <v>0</v>
      </c>
      <c r="GSY1894" t="s">
        <v>5778</v>
      </c>
      <c r="GSZ1894" t="s">
        <v>5778</v>
      </c>
      <c r="GTA1894" t="s">
        <v>5778</v>
      </c>
      <c r="GTB1894" t="s">
        <v>5779</v>
      </c>
      <c r="GTE1894">
        <v>44583</v>
      </c>
      <c r="GTF1894">
        <v>0</v>
      </c>
      <c r="GTG1894" t="s">
        <v>5778</v>
      </c>
      <c r="GTH1894" t="s">
        <v>5778</v>
      </c>
      <c r="GTI1894" t="s">
        <v>5778</v>
      </c>
      <c r="GTJ1894" t="s">
        <v>5779</v>
      </c>
      <c r="GTM1894">
        <v>44583</v>
      </c>
      <c r="GTN1894">
        <v>0</v>
      </c>
      <c r="GTO1894" t="s">
        <v>5778</v>
      </c>
      <c r="GTP1894" t="s">
        <v>5778</v>
      </c>
      <c r="GTQ1894" t="s">
        <v>5778</v>
      </c>
      <c r="GTR1894" t="s">
        <v>5779</v>
      </c>
      <c r="GTU1894">
        <v>44583</v>
      </c>
      <c r="GTV1894">
        <v>0</v>
      </c>
      <c r="GTW1894" t="s">
        <v>5778</v>
      </c>
      <c r="GTX1894" t="s">
        <v>5778</v>
      </c>
      <c r="GTY1894" t="s">
        <v>5778</v>
      </c>
      <c r="GTZ1894" t="s">
        <v>5779</v>
      </c>
      <c r="GUC1894">
        <v>44583</v>
      </c>
      <c r="GUD1894">
        <v>0</v>
      </c>
      <c r="GUE1894" t="s">
        <v>5778</v>
      </c>
      <c r="GUF1894" t="s">
        <v>5778</v>
      </c>
      <c r="GUG1894" t="s">
        <v>5778</v>
      </c>
      <c r="GUH1894" t="s">
        <v>5779</v>
      </c>
      <c r="GUK1894">
        <v>44583</v>
      </c>
      <c r="GUL1894">
        <v>0</v>
      </c>
      <c r="GUM1894" t="s">
        <v>5778</v>
      </c>
      <c r="GUN1894" t="s">
        <v>5778</v>
      </c>
      <c r="GUO1894" t="s">
        <v>5778</v>
      </c>
      <c r="GUP1894" t="s">
        <v>5779</v>
      </c>
      <c r="GUS1894">
        <v>44583</v>
      </c>
      <c r="GUT1894">
        <v>0</v>
      </c>
      <c r="GUU1894" t="s">
        <v>5778</v>
      </c>
      <c r="GUV1894" t="s">
        <v>5778</v>
      </c>
      <c r="GUW1894" t="s">
        <v>5778</v>
      </c>
      <c r="GUX1894" t="s">
        <v>5779</v>
      </c>
      <c r="GVA1894">
        <v>44583</v>
      </c>
      <c r="GVB1894">
        <v>0</v>
      </c>
      <c r="GVC1894" t="s">
        <v>5778</v>
      </c>
      <c r="GVD1894" t="s">
        <v>5778</v>
      </c>
      <c r="GVE1894" t="s">
        <v>5778</v>
      </c>
      <c r="GVF1894" t="s">
        <v>5779</v>
      </c>
      <c r="GVI1894">
        <v>44583</v>
      </c>
      <c r="GVJ1894">
        <v>0</v>
      </c>
      <c r="GVK1894" t="s">
        <v>5778</v>
      </c>
      <c r="GVL1894" t="s">
        <v>5778</v>
      </c>
      <c r="GVM1894" t="s">
        <v>5778</v>
      </c>
      <c r="GVN1894" t="s">
        <v>5779</v>
      </c>
      <c r="GVQ1894">
        <v>44583</v>
      </c>
      <c r="GVR1894">
        <v>0</v>
      </c>
      <c r="GVS1894" t="s">
        <v>5778</v>
      </c>
      <c r="GVT1894" t="s">
        <v>5778</v>
      </c>
      <c r="GVU1894" t="s">
        <v>5778</v>
      </c>
      <c r="GVV1894" t="s">
        <v>5779</v>
      </c>
      <c r="GVY1894">
        <v>44583</v>
      </c>
      <c r="GVZ1894">
        <v>0</v>
      </c>
      <c r="GWA1894" t="s">
        <v>5778</v>
      </c>
      <c r="GWB1894" t="s">
        <v>5778</v>
      </c>
      <c r="GWC1894" t="s">
        <v>5778</v>
      </c>
      <c r="GWD1894" t="s">
        <v>5779</v>
      </c>
      <c r="GWG1894">
        <v>44583</v>
      </c>
      <c r="GWH1894">
        <v>0</v>
      </c>
      <c r="GWI1894" t="s">
        <v>5778</v>
      </c>
      <c r="GWJ1894" t="s">
        <v>5778</v>
      </c>
      <c r="GWK1894" t="s">
        <v>5778</v>
      </c>
      <c r="GWL1894" t="s">
        <v>5779</v>
      </c>
      <c r="GWO1894">
        <v>44583</v>
      </c>
      <c r="GWP1894">
        <v>0</v>
      </c>
      <c r="GWQ1894" t="s">
        <v>5778</v>
      </c>
      <c r="GWR1894" t="s">
        <v>5778</v>
      </c>
      <c r="GWS1894" t="s">
        <v>5778</v>
      </c>
      <c r="GWT1894" t="s">
        <v>5779</v>
      </c>
      <c r="GWW1894">
        <v>44583</v>
      </c>
      <c r="GWX1894">
        <v>0</v>
      </c>
      <c r="GWY1894" t="s">
        <v>5778</v>
      </c>
      <c r="GWZ1894" t="s">
        <v>5778</v>
      </c>
      <c r="GXA1894" t="s">
        <v>5778</v>
      </c>
      <c r="GXB1894" t="s">
        <v>5779</v>
      </c>
      <c r="GXE1894">
        <v>44583</v>
      </c>
      <c r="GXF1894">
        <v>0</v>
      </c>
      <c r="GXG1894" t="s">
        <v>5778</v>
      </c>
      <c r="GXH1894" t="s">
        <v>5778</v>
      </c>
      <c r="GXI1894" t="s">
        <v>5778</v>
      </c>
      <c r="GXJ1894" t="s">
        <v>5779</v>
      </c>
      <c r="GXM1894">
        <v>44583</v>
      </c>
      <c r="GXN1894">
        <v>0</v>
      </c>
      <c r="GXO1894" t="s">
        <v>5778</v>
      </c>
      <c r="GXP1894" t="s">
        <v>5778</v>
      </c>
      <c r="GXQ1894" t="s">
        <v>5778</v>
      </c>
      <c r="GXR1894" t="s">
        <v>5779</v>
      </c>
      <c r="GXU1894">
        <v>44583</v>
      </c>
      <c r="GXV1894">
        <v>0</v>
      </c>
      <c r="GXW1894" t="s">
        <v>5778</v>
      </c>
      <c r="GXX1894" t="s">
        <v>5778</v>
      </c>
      <c r="GXY1894" t="s">
        <v>5778</v>
      </c>
      <c r="GXZ1894" t="s">
        <v>5779</v>
      </c>
      <c r="GYC1894">
        <v>44583</v>
      </c>
      <c r="GYD1894">
        <v>0</v>
      </c>
      <c r="GYE1894" t="s">
        <v>5778</v>
      </c>
      <c r="GYF1894" t="s">
        <v>5778</v>
      </c>
      <c r="GYG1894" t="s">
        <v>5778</v>
      </c>
      <c r="GYH1894" t="s">
        <v>5779</v>
      </c>
      <c r="GYK1894">
        <v>44583</v>
      </c>
      <c r="GYL1894">
        <v>0</v>
      </c>
      <c r="GYM1894" t="s">
        <v>5778</v>
      </c>
      <c r="GYN1894" t="s">
        <v>5778</v>
      </c>
      <c r="GYO1894" t="s">
        <v>5778</v>
      </c>
      <c r="GYP1894" t="s">
        <v>5779</v>
      </c>
      <c r="GYS1894">
        <v>44583</v>
      </c>
      <c r="GYT1894">
        <v>0</v>
      </c>
      <c r="GYU1894" t="s">
        <v>5778</v>
      </c>
      <c r="GYV1894" t="s">
        <v>5778</v>
      </c>
      <c r="GYW1894" t="s">
        <v>5778</v>
      </c>
      <c r="GYX1894" t="s">
        <v>5779</v>
      </c>
      <c r="GZA1894">
        <v>44583</v>
      </c>
      <c r="GZB1894">
        <v>0</v>
      </c>
      <c r="GZC1894" t="s">
        <v>5778</v>
      </c>
      <c r="GZD1894" t="s">
        <v>5778</v>
      </c>
      <c r="GZE1894" t="s">
        <v>5778</v>
      </c>
      <c r="GZF1894" t="s">
        <v>5779</v>
      </c>
      <c r="GZI1894">
        <v>44583</v>
      </c>
      <c r="GZJ1894">
        <v>0</v>
      </c>
      <c r="GZK1894" t="s">
        <v>5778</v>
      </c>
      <c r="GZL1894" t="s">
        <v>5778</v>
      </c>
      <c r="GZM1894" t="s">
        <v>5778</v>
      </c>
      <c r="GZN1894" t="s">
        <v>5779</v>
      </c>
      <c r="GZQ1894">
        <v>44583</v>
      </c>
      <c r="GZR1894">
        <v>0</v>
      </c>
      <c r="GZS1894" t="s">
        <v>5778</v>
      </c>
      <c r="GZT1894" t="s">
        <v>5778</v>
      </c>
      <c r="GZU1894" t="s">
        <v>5778</v>
      </c>
      <c r="GZV1894" t="s">
        <v>5779</v>
      </c>
      <c r="GZY1894">
        <v>44583</v>
      </c>
      <c r="GZZ1894">
        <v>0</v>
      </c>
      <c r="HAA1894" t="s">
        <v>5778</v>
      </c>
      <c r="HAB1894" t="s">
        <v>5778</v>
      </c>
      <c r="HAC1894" t="s">
        <v>5778</v>
      </c>
      <c r="HAD1894" t="s">
        <v>5779</v>
      </c>
      <c r="HAG1894">
        <v>44583</v>
      </c>
      <c r="HAH1894">
        <v>0</v>
      </c>
      <c r="HAI1894" t="s">
        <v>5778</v>
      </c>
      <c r="HAJ1894" t="s">
        <v>5778</v>
      </c>
      <c r="HAK1894" t="s">
        <v>5778</v>
      </c>
      <c r="HAL1894" t="s">
        <v>5779</v>
      </c>
      <c r="HAO1894">
        <v>44583</v>
      </c>
      <c r="HAP1894">
        <v>0</v>
      </c>
      <c r="HAQ1894" t="s">
        <v>5778</v>
      </c>
      <c r="HAR1894" t="s">
        <v>5778</v>
      </c>
      <c r="HAS1894" t="s">
        <v>5778</v>
      </c>
      <c r="HAT1894" t="s">
        <v>5779</v>
      </c>
      <c r="HAW1894">
        <v>44583</v>
      </c>
      <c r="HAX1894">
        <v>0</v>
      </c>
      <c r="HAY1894" t="s">
        <v>5778</v>
      </c>
      <c r="HAZ1894" t="s">
        <v>5778</v>
      </c>
      <c r="HBA1894" t="s">
        <v>5778</v>
      </c>
      <c r="HBB1894" t="s">
        <v>5779</v>
      </c>
      <c r="HBE1894">
        <v>44583</v>
      </c>
      <c r="HBF1894">
        <v>0</v>
      </c>
      <c r="HBG1894" t="s">
        <v>5778</v>
      </c>
      <c r="HBH1894" t="s">
        <v>5778</v>
      </c>
      <c r="HBI1894" t="s">
        <v>5778</v>
      </c>
      <c r="HBJ1894" t="s">
        <v>5779</v>
      </c>
      <c r="HBM1894">
        <v>44583</v>
      </c>
      <c r="HBN1894">
        <v>0</v>
      </c>
      <c r="HBO1894" t="s">
        <v>5778</v>
      </c>
      <c r="HBP1894" t="s">
        <v>5778</v>
      </c>
      <c r="HBQ1894" t="s">
        <v>5778</v>
      </c>
      <c r="HBR1894" t="s">
        <v>5779</v>
      </c>
      <c r="HBU1894">
        <v>44583</v>
      </c>
      <c r="HBV1894">
        <v>0</v>
      </c>
      <c r="HBW1894" t="s">
        <v>5778</v>
      </c>
      <c r="HBX1894" t="s">
        <v>5778</v>
      </c>
      <c r="HBY1894" t="s">
        <v>5778</v>
      </c>
      <c r="HBZ1894" t="s">
        <v>5779</v>
      </c>
      <c r="HCC1894">
        <v>44583</v>
      </c>
      <c r="HCD1894">
        <v>0</v>
      </c>
      <c r="HCE1894" t="s">
        <v>5778</v>
      </c>
      <c r="HCF1894" t="s">
        <v>5778</v>
      </c>
      <c r="HCG1894" t="s">
        <v>5778</v>
      </c>
      <c r="HCH1894" t="s">
        <v>5779</v>
      </c>
      <c r="HCK1894">
        <v>44583</v>
      </c>
      <c r="HCL1894">
        <v>0</v>
      </c>
      <c r="HCM1894" t="s">
        <v>5778</v>
      </c>
      <c r="HCN1894" t="s">
        <v>5778</v>
      </c>
      <c r="HCO1894" t="s">
        <v>5778</v>
      </c>
      <c r="HCP1894" t="s">
        <v>5779</v>
      </c>
      <c r="HCS1894">
        <v>44583</v>
      </c>
      <c r="HCT1894">
        <v>0</v>
      </c>
      <c r="HCU1894" t="s">
        <v>5778</v>
      </c>
      <c r="HCV1894" t="s">
        <v>5778</v>
      </c>
      <c r="HCW1894" t="s">
        <v>5778</v>
      </c>
      <c r="HCX1894" t="s">
        <v>5779</v>
      </c>
      <c r="HDA1894">
        <v>44583</v>
      </c>
      <c r="HDB1894">
        <v>0</v>
      </c>
      <c r="HDC1894" t="s">
        <v>5778</v>
      </c>
      <c r="HDD1894" t="s">
        <v>5778</v>
      </c>
      <c r="HDE1894" t="s">
        <v>5778</v>
      </c>
      <c r="HDF1894" t="s">
        <v>5779</v>
      </c>
      <c r="HDI1894">
        <v>44583</v>
      </c>
      <c r="HDJ1894">
        <v>0</v>
      </c>
      <c r="HDK1894" t="s">
        <v>5778</v>
      </c>
      <c r="HDL1894" t="s">
        <v>5778</v>
      </c>
      <c r="HDM1894" t="s">
        <v>5778</v>
      </c>
      <c r="HDN1894" t="s">
        <v>5779</v>
      </c>
      <c r="HDQ1894">
        <v>44583</v>
      </c>
      <c r="HDR1894">
        <v>0</v>
      </c>
      <c r="HDS1894" t="s">
        <v>5778</v>
      </c>
      <c r="HDT1894" t="s">
        <v>5778</v>
      </c>
      <c r="HDU1894" t="s">
        <v>5778</v>
      </c>
      <c r="HDV1894" t="s">
        <v>5779</v>
      </c>
      <c r="HDY1894">
        <v>44583</v>
      </c>
      <c r="HDZ1894">
        <v>0</v>
      </c>
      <c r="HEA1894" t="s">
        <v>5778</v>
      </c>
      <c r="HEB1894" t="s">
        <v>5778</v>
      </c>
      <c r="HEC1894" t="s">
        <v>5778</v>
      </c>
      <c r="HED1894" t="s">
        <v>5779</v>
      </c>
      <c r="HEG1894">
        <v>44583</v>
      </c>
      <c r="HEH1894">
        <v>0</v>
      </c>
      <c r="HEI1894" t="s">
        <v>5778</v>
      </c>
      <c r="HEJ1894" t="s">
        <v>5778</v>
      </c>
      <c r="HEK1894" t="s">
        <v>5778</v>
      </c>
      <c r="HEL1894" t="s">
        <v>5779</v>
      </c>
      <c r="HEO1894">
        <v>44583</v>
      </c>
      <c r="HEP1894">
        <v>0</v>
      </c>
      <c r="HEQ1894" t="s">
        <v>5778</v>
      </c>
      <c r="HER1894" t="s">
        <v>5778</v>
      </c>
      <c r="HES1894" t="s">
        <v>5778</v>
      </c>
      <c r="HET1894" t="s">
        <v>5779</v>
      </c>
      <c r="HEW1894">
        <v>44583</v>
      </c>
      <c r="HEX1894">
        <v>0</v>
      </c>
      <c r="HEY1894" t="s">
        <v>5778</v>
      </c>
      <c r="HEZ1894" t="s">
        <v>5778</v>
      </c>
      <c r="HFA1894" t="s">
        <v>5778</v>
      </c>
      <c r="HFB1894" t="s">
        <v>5779</v>
      </c>
      <c r="HFE1894">
        <v>44583</v>
      </c>
      <c r="HFF1894">
        <v>0</v>
      </c>
      <c r="HFG1894" t="s">
        <v>5778</v>
      </c>
      <c r="HFH1894" t="s">
        <v>5778</v>
      </c>
      <c r="HFI1894" t="s">
        <v>5778</v>
      </c>
      <c r="HFJ1894" t="s">
        <v>5779</v>
      </c>
      <c r="HFM1894">
        <v>44583</v>
      </c>
      <c r="HFN1894">
        <v>0</v>
      </c>
      <c r="HFO1894" t="s">
        <v>5778</v>
      </c>
      <c r="HFP1894" t="s">
        <v>5778</v>
      </c>
      <c r="HFQ1894" t="s">
        <v>5778</v>
      </c>
      <c r="HFR1894" t="s">
        <v>5779</v>
      </c>
      <c r="HFU1894">
        <v>44583</v>
      </c>
      <c r="HFV1894">
        <v>0</v>
      </c>
      <c r="HFW1894" t="s">
        <v>5778</v>
      </c>
      <c r="HFX1894" t="s">
        <v>5778</v>
      </c>
      <c r="HFY1894" t="s">
        <v>5778</v>
      </c>
      <c r="HFZ1894" t="s">
        <v>5779</v>
      </c>
      <c r="HGC1894">
        <v>44583</v>
      </c>
      <c r="HGD1894">
        <v>0</v>
      </c>
      <c r="HGE1894" t="s">
        <v>5778</v>
      </c>
      <c r="HGF1894" t="s">
        <v>5778</v>
      </c>
      <c r="HGG1894" t="s">
        <v>5778</v>
      </c>
      <c r="HGH1894" t="s">
        <v>5779</v>
      </c>
      <c r="HGK1894">
        <v>44583</v>
      </c>
      <c r="HGL1894">
        <v>0</v>
      </c>
      <c r="HGM1894" t="s">
        <v>5778</v>
      </c>
      <c r="HGN1894" t="s">
        <v>5778</v>
      </c>
      <c r="HGO1894" t="s">
        <v>5778</v>
      </c>
      <c r="HGP1894" t="s">
        <v>5779</v>
      </c>
      <c r="HGS1894">
        <v>44583</v>
      </c>
      <c r="HGT1894">
        <v>0</v>
      </c>
      <c r="HGU1894" t="s">
        <v>5778</v>
      </c>
      <c r="HGV1894" t="s">
        <v>5778</v>
      </c>
      <c r="HGW1894" t="s">
        <v>5778</v>
      </c>
      <c r="HGX1894" t="s">
        <v>5779</v>
      </c>
      <c r="HHA1894">
        <v>44583</v>
      </c>
      <c r="HHB1894">
        <v>0</v>
      </c>
      <c r="HHC1894" t="s">
        <v>5778</v>
      </c>
      <c r="HHD1894" t="s">
        <v>5778</v>
      </c>
      <c r="HHE1894" t="s">
        <v>5778</v>
      </c>
      <c r="HHF1894" t="s">
        <v>5779</v>
      </c>
      <c r="HHI1894">
        <v>44583</v>
      </c>
      <c r="HHJ1894">
        <v>0</v>
      </c>
      <c r="HHK1894" t="s">
        <v>5778</v>
      </c>
      <c r="HHL1894" t="s">
        <v>5778</v>
      </c>
      <c r="HHM1894" t="s">
        <v>5778</v>
      </c>
      <c r="HHN1894" t="s">
        <v>5779</v>
      </c>
      <c r="HHQ1894">
        <v>44583</v>
      </c>
      <c r="HHR1894">
        <v>0</v>
      </c>
      <c r="HHS1894" t="s">
        <v>5778</v>
      </c>
      <c r="HHT1894" t="s">
        <v>5778</v>
      </c>
      <c r="HHU1894" t="s">
        <v>5778</v>
      </c>
      <c r="HHV1894" t="s">
        <v>5779</v>
      </c>
      <c r="HHY1894">
        <v>44583</v>
      </c>
      <c r="HHZ1894">
        <v>0</v>
      </c>
      <c r="HIA1894" t="s">
        <v>5778</v>
      </c>
      <c r="HIB1894" t="s">
        <v>5778</v>
      </c>
      <c r="HIC1894" t="s">
        <v>5778</v>
      </c>
      <c r="HID1894" t="s">
        <v>5779</v>
      </c>
      <c r="HIG1894">
        <v>44583</v>
      </c>
      <c r="HIH1894">
        <v>0</v>
      </c>
      <c r="HII1894" t="s">
        <v>5778</v>
      </c>
      <c r="HIJ1894" t="s">
        <v>5778</v>
      </c>
      <c r="HIK1894" t="s">
        <v>5778</v>
      </c>
      <c r="HIL1894" t="s">
        <v>5779</v>
      </c>
      <c r="HIO1894">
        <v>44583</v>
      </c>
      <c r="HIP1894">
        <v>0</v>
      </c>
      <c r="HIQ1894" t="s">
        <v>5778</v>
      </c>
      <c r="HIR1894" t="s">
        <v>5778</v>
      </c>
      <c r="HIS1894" t="s">
        <v>5778</v>
      </c>
      <c r="HIT1894" t="s">
        <v>5779</v>
      </c>
      <c r="HIW1894">
        <v>44583</v>
      </c>
      <c r="HIX1894">
        <v>0</v>
      </c>
      <c r="HIY1894" t="s">
        <v>5778</v>
      </c>
      <c r="HIZ1894" t="s">
        <v>5778</v>
      </c>
      <c r="HJA1894" t="s">
        <v>5778</v>
      </c>
      <c r="HJB1894" t="s">
        <v>5779</v>
      </c>
      <c r="HJE1894">
        <v>44583</v>
      </c>
      <c r="HJF1894">
        <v>0</v>
      </c>
      <c r="HJG1894" t="s">
        <v>5778</v>
      </c>
      <c r="HJH1894" t="s">
        <v>5778</v>
      </c>
      <c r="HJI1894" t="s">
        <v>5778</v>
      </c>
      <c r="HJJ1894" t="s">
        <v>5779</v>
      </c>
      <c r="HJM1894">
        <v>44583</v>
      </c>
      <c r="HJN1894">
        <v>0</v>
      </c>
      <c r="HJO1894" t="s">
        <v>5778</v>
      </c>
      <c r="HJP1894" t="s">
        <v>5778</v>
      </c>
      <c r="HJQ1894" t="s">
        <v>5778</v>
      </c>
      <c r="HJR1894" t="s">
        <v>5779</v>
      </c>
      <c r="HJU1894">
        <v>44583</v>
      </c>
      <c r="HJV1894">
        <v>0</v>
      </c>
      <c r="HJW1894" t="s">
        <v>5778</v>
      </c>
      <c r="HJX1894" t="s">
        <v>5778</v>
      </c>
      <c r="HJY1894" t="s">
        <v>5778</v>
      </c>
      <c r="HJZ1894" t="s">
        <v>5779</v>
      </c>
      <c r="HKC1894">
        <v>44583</v>
      </c>
      <c r="HKD1894">
        <v>0</v>
      </c>
      <c r="HKE1894" t="s">
        <v>5778</v>
      </c>
      <c r="HKF1894" t="s">
        <v>5778</v>
      </c>
      <c r="HKG1894" t="s">
        <v>5778</v>
      </c>
      <c r="HKH1894" t="s">
        <v>5779</v>
      </c>
      <c r="HKK1894">
        <v>44583</v>
      </c>
      <c r="HKL1894">
        <v>0</v>
      </c>
      <c r="HKM1894" t="s">
        <v>5778</v>
      </c>
      <c r="HKN1894" t="s">
        <v>5778</v>
      </c>
      <c r="HKO1894" t="s">
        <v>5778</v>
      </c>
      <c r="HKP1894" t="s">
        <v>5779</v>
      </c>
      <c r="HKS1894">
        <v>44583</v>
      </c>
      <c r="HKT1894">
        <v>0</v>
      </c>
      <c r="HKU1894" t="s">
        <v>5778</v>
      </c>
      <c r="HKV1894" t="s">
        <v>5778</v>
      </c>
      <c r="HKW1894" t="s">
        <v>5778</v>
      </c>
      <c r="HKX1894" t="s">
        <v>5779</v>
      </c>
      <c r="HLA1894">
        <v>44583</v>
      </c>
      <c r="HLB1894">
        <v>0</v>
      </c>
      <c r="HLC1894" t="s">
        <v>5778</v>
      </c>
      <c r="HLD1894" t="s">
        <v>5778</v>
      </c>
      <c r="HLE1894" t="s">
        <v>5778</v>
      </c>
      <c r="HLF1894" t="s">
        <v>5779</v>
      </c>
      <c r="HLI1894">
        <v>44583</v>
      </c>
      <c r="HLJ1894">
        <v>0</v>
      </c>
      <c r="HLK1894" t="s">
        <v>5778</v>
      </c>
      <c r="HLL1894" t="s">
        <v>5778</v>
      </c>
      <c r="HLM1894" t="s">
        <v>5778</v>
      </c>
      <c r="HLN1894" t="s">
        <v>5779</v>
      </c>
      <c r="HLQ1894">
        <v>44583</v>
      </c>
      <c r="HLR1894">
        <v>0</v>
      </c>
      <c r="HLS1894" t="s">
        <v>5778</v>
      </c>
      <c r="HLT1894" t="s">
        <v>5778</v>
      </c>
      <c r="HLU1894" t="s">
        <v>5778</v>
      </c>
      <c r="HLV1894" t="s">
        <v>5779</v>
      </c>
      <c r="HLY1894">
        <v>44583</v>
      </c>
      <c r="HLZ1894">
        <v>0</v>
      </c>
      <c r="HMA1894" t="s">
        <v>5778</v>
      </c>
      <c r="HMB1894" t="s">
        <v>5778</v>
      </c>
      <c r="HMC1894" t="s">
        <v>5778</v>
      </c>
      <c r="HMD1894" t="s">
        <v>5779</v>
      </c>
      <c r="HMG1894">
        <v>44583</v>
      </c>
      <c r="HMH1894">
        <v>0</v>
      </c>
      <c r="HMI1894" t="s">
        <v>5778</v>
      </c>
      <c r="HMJ1894" t="s">
        <v>5778</v>
      </c>
      <c r="HMK1894" t="s">
        <v>5778</v>
      </c>
      <c r="HML1894" t="s">
        <v>5779</v>
      </c>
      <c r="HMO1894">
        <v>44583</v>
      </c>
      <c r="HMP1894">
        <v>0</v>
      </c>
      <c r="HMQ1894" t="s">
        <v>5778</v>
      </c>
      <c r="HMR1894" t="s">
        <v>5778</v>
      </c>
      <c r="HMS1894" t="s">
        <v>5778</v>
      </c>
      <c r="HMT1894" t="s">
        <v>5779</v>
      </c>
      <c r="HMW1894">
        <v>44583</v>
      </c>
      <c r="HMX1894">
        <v>0</v>
      </c>
      <c r="HMY1894" t="s">
        <v>5778</v>
      </c>
      <c r="HMZ1894" t="s">
        <v>5778</v>
      </c>
      <c r="HNA1894" t="s">
        <v>5778</v>
      </c>
      <c r="HNB1894" t="s">
        <v>5779</v>
      </c>
      <c r="HNE1894">
        <v>44583</v>
      </c>
      <c r="HNF1894">
        <v>0</v>
      </c>
      <c r="HNG1894" t="s">
        <v>5778</v>
      </c>
      <c r="HNH1894" t="s">
        <v>5778</v>
      </c>
      <c r="HNI1894" t="s">
        <v>5778</v>
      </c>
      <c r="HNJ1894" t="s">
        <v>5779</v>
      </c>
      <c r="HNM1894">
        <v>44583</v>
      </c>
      <c r="HNN1894">
        <v>0</v>
      </c>
      <c r="HNO1894" t="s">
        <v>5778</v>
      </c>
      <c r="HNP1894" t="s">
        <v>5778</v>
      </c>
      <c r="HNQ1894" t="s">
        <v>5778</v>
      </c>
      <c r="HNR1894" t="s">
        <v>5779</v>
      </c>
      <c r="HNU1894">
        <v>44583</v>
      </c>
      <c r="HNV1894">
        <v>0</v>
      </c>
      <c r="HNW1894" t="s">
        <v>5778</v>
      </c>
      <c r="HNX1894" t="s">
        <v>5778</v>
      </c>
      <c r="HNY1894" t="s">
        <v>5778</v>
      </c>
      <c r="HNZ1894" t="s">
        <v>5779</v>
      </c>
      <c r="HOC1894">
        <v>44583</v>
      </c>
      <c r="HOD1894">
        <v>0</v>
      </c>
      <c r="HOE1894" t="s">
        <v>5778</v>
      </c>
      <c r="HOF1894" t="s">
        <v>5778</v>
      </c>
      <c r="HOG1894" t="s">
        <v>5778</v>
      </c>
      <c r="HOH1894" t="s">
        <v>5779</v>
      </c>
      <c r="HOK1894">
        <v>44583</v>
      </c>
      <c r="HOL1894">
        <v>0</v>
      </c>
      <c r="HOM1894" t="s">
        <v>5778</v>
      </c>
      <c r="HON1894" t="s">
        <v>5778</v>
      </c>
      <c r="HOO1894" t="s">
        <v>5778</v>
      </c>
      <c r="HOP1894" t="s">
        <v>5779</v>
      </c>
      <c r="HOS1894">
        <v>44583</v>
      </c>
      <c r="HOT1894">
        <v>0</v>
      </c>
      <c r="HOU1894" t="s">
        <v>5778</v>
      </c>
      <c r="HOV1894" t="s">
        <v>5778</v>
      </c>
      <c r="HOW1894" t="s">
        <v>5778</v>
      </c>
      <c r="HOX1894" t="s">
        <v>5779</v>
      </c>
      <c r="HPA1894">
        <v>44583</v>
      </c>
      <c r="HPB1894">
        <v>0</v>
      </c>
      <c r="HPC1894" t="s">
        <v>5778</v>
      </c>
      <c r="HPD1894" t="s">
        <v>5778</v>
      </c>
      <c r="HPE1894" t="s">
        <v>5778</v>
      </c>
      <c r="HPF1894" t="s">
        <v>5779</v>
      </c>
      <c r="HPI1894">
        <v>44583</v>
      </c>
      <c r="HPJ1894">
        <v>0</v>
      </c>
      <c r="HPK1894" t="s">
        <v>5778</v>
      </c>
      <c r="HPL1894" t="s">
        <v>5778</v>
      </c>
      <c r="HPM1894" t="s">
        <v>5778</v>
      </c>
      <c r="HPN1894" t="s">
        <v>5779</v>
      </c>
      <c r="HPQ1894">
        <v>44583</v>
      </c>
      <c r="HPR1894">
        <v>0</v>
      </c>
      <c r="HPS1894" t="s">
        <v>5778</v>
      </c>
      <c r="HPT1894" t="s">
        <v>5778</v>
      </c>
      <c r="HPU1894" t="s">
        <v>5778</v>
      </c>
      <c r="HPV1894" t="s">
        <v>5779</v>
      </c>
      <c r="HPY1894">
        <v>44583</v>
      </c>
      <c r="HPZ1894">
        <v>0</v>
      </c>
      <c r="HQA1894" t="s">
        <v>5778</v>
      </c>
      <c r="HQB1894" t="s">
        <v>5778</v>
      </c>
      <c r="HQC1894" t="s">
        <v>5778</v>
      </c>
      <c r="HQD1894" t="s">
        <v>5779</v>
      </c>
      <c r="HQG1894">
        <v>44583</v>
      </c>
      <c r="HQH1894">
        <v>0</v>
      </c>
      <c r="HQI1894" t="s">
        <v>5778</v>
      </c>
      <c r="HQJ1894" t="s">
        <v>5778</v>
      </c>
      <c r="HQK1894" t="s">
        <v>5778</v>
      </c>
      <c r="HQL1894" t="s">
        <v>5779</v>
      </c>
      <c r="HQO1894">
        <v>44583</v>
      </c>
      <c r="HQP1894">
        <v>0</v>
      </c>
      <c r="HQQ1894" t="s">
        <v>5778</v>
      </c>
      <c r="HQR1894" t="s">
        <v>5778</v>
      </c>
      <c r="HQS1894" t="s">
        <v>5778</v>
      </c>
      <c r="HQT1894" t="s">
        <v>5779</v>
      </c>
      <c r="HQW1894">
        <v>44583</v>
      </c>
      <c r="HQX1894">
        <v>0</v>
      </c>
      <c r="HQY1894" t="s">
        <v>5778</v>
      </c>
      <c r="HQZ1894" t="s">
        <v>5778</v>
      </c>
      <c r="HRA1894" t="s">
        <v>5778</v>
      </c>
      <c r="HRB1894" t="s">
        <v>5779</v>
      </c>
      <c r="HRE1894">
        <v>44583</v>
      </c>
      <c r="HRF1894">
        <v>0</v>
      </c>
      <c r="HRG1894" t="s">
        <v>5778</v>
      </c>
      <c r="HRH1894" t="s">
        <v>5778</v>
      </c>
      <c r="HRI1894" t="s">
        <v>5778</v>
      </c>
      <c r="HRJ1894" t="s">
        <v>5779</v>
      </c>
      <c r="HRM1894">
        <v>44583</v>
      </c>
      <c r="HRN1894">
        <v>0</v>
      </c>
      <c r="HRO1894" t="s">
        <v>5778</v>
      </c>
      <c r="HRP1894" t="s">
        <v>5778</v>
      </c>
      <c r="HRQ1894" t="s">
        <v>5778</v>
      </c>
      <c r="HRR1894" t="s">
        <v>5779</v>
      </c>
      <c r="HRU1894">
        <v>44583</v>
      </c>
      <c r="HRV1894">
        <v>0</v>
      </c>
      <c r="HRW1894" t="s">
        <v>5778</v>
      </c>
      <c r="HRX1894" t="s">
        <v>5778</v>
      </c>
      <c r="HRY1894" t="s">
        <v>5778</v>
      </c>
      <c r="HRZ1894" t="s">
        <v>5779</v>
      </c>
      <c r="HSC1894">
        <v>44583</v>
      </c>
      <c r="HSD1894">
        <v>0</v>
      </c>
      <c r="HSE1894" t="s">
        <v>5778</v>
      </c>
      <c r="HSF1894" t="s">
        <v>5778</v>
      </c>
      <c r="HSG1894" t="s">
        <v>5778</v>
      </c>
      <c r="HSH1894" t="s">
        <v>5779</v>
      </c>
      <c r="HSK1894">
        <v>44583</v>
      </c>
      <c r="HSL1894">
        <v>0</v>
      </c>
      <c r="HSM1894" t="s">
        <v>5778</v>
      </c>
      <c r="HSN1894" t="s">
        <v>5778</v>
      </c>
      <c r="HSO1894" t="s">
        <v>5778</v>
      </c>
      <c r="HSP1894" t="s">
        <v>5779</v>
      </c>
      <c r="HSS1894">
        <v>44583</v>
      </c>
      <c r="HST1894">
        <v>0</v>
      </c>
      <c r="HSU1894" t="s">
        <v>5778</v>
      </c>
      <c r="HSV1894" t="s">
        <v>5778</v>
      </c>
      <c r="HSW1894" t="s">
        <v>5778</v>
      </c>
      <c r="HSX1894" t="s">
        <v>5779</v>
      </c>
      <c r="HTA1894">
        <v>44583</v>
      </c>
      <c r="HTB1894">
        <v>0</v>
      </c>
      <c r="HTC1894" t="s">
        <v>5778</v>
      </c>
      <c r="HTD1894" t="s">
        <v>5778</v>
      </c>
      <c r="HTE1894" t="s">
        <v>5778</v>
      </c>
      <c r="HTF1894" t="s">
        <v>5779</v>
      </c>
      <c r="HTI1894">
        <v>44583</v>
      </c>
      <c r="HTJ1894">
        <v>0</v>
      </c>
      <c r="HTK1894" t="s">
        <v>5778</v>
      </c>
      <c r="HTL1894" t="s">
        <v>5778</v>
      </c>
      <c r="HTM1894" t="s">
        <v>5778</v>
      </c>
      <c r="HTN1894" t="s">
        <v>5779</v>
      </c>
      <c r="HTQ1894">
        <v>44583</v>
      </c>
      <c r="HTR1894">
        <v>0</v>
      </c>
      <c r="HTS1894" t="s">
        <v>5778</v>
      </c>
      <c r="HTT1894" t="s">
        <v>5778</v>
      </c>
      <c r="HTU1894" t="s">
        <v>5778</v>
      </c>
      <c r="HTV1894" t="s">
        <v>5779</v>
      </c>
      <c r="HTY1894">
        <v>44583</v>
      </c>
      <c r="HTZ1894">
        <v>0</v>
      </c>
      <c r="HUA1894" t="s">
        <v>5778</v>
      </c>
      <c r="HUB1894" t="s">
        <v>5778</v>
      </c>
      <c r="HUC1894" t="s">
        <v>5778</v>
      </c>
      <c r="HUD1894" t="s">
        <v>5779</v>
      </c>
      <c r="HUG1894">
        <v>44583</v>
      </c>
      <c r="HUH1894">
        <v>0</v>
      </c>
      <c r="HUI1894" t="s">
        <v>5778</v>
      </c>
      <c r="HUJ1894" t="s">
        <v>5778</v>
      </c>
      <c r="HUK1894" t="s">
        <v>5778</v>
      </c>
      <c r="HUL1894" t="s">
        <v>5779</v>
      </c>
      <c r="HUO1894">
        <v>44583</v>
      </c>
      <c r="HUP1894">
        <v>0</v>
      </c>
      <c r="HUQ1894" t="s">
        <v>5778</v>
      </c>
      <c r="HUR1894" t="s">
        <v>5778</v>
      </c>
      <c r="HUS1894" t="s">
        <v>5778</v>
      </c>
      <c r="HUT1894" t="s">
        <v>5779</v>
      </c>
      <c r="HUW1894">
        <v>44583</v>
      </c>
      <c r="HUX1894">
        <v>0</v>
      </c>
      <c r="HUY1894" t="s">
        <v>5778</v>
      </c>
      <c r="HUZ1894" t="s">
        <v>5778</v>
      </c>
      <c r="HVA1894" t="s">
        <v>5778</v>
      </c>
      <c r="HVB1894" t="s">
        <v>5779</v>
      </c>
      <c r="HVE1894">
        <v>44583</v>
      </c>
      <c r="HVF1894">
        <v>0</v>
      </c>
      <c r="HVG1894" t="s">
        <v>5778</v>
      </c>
      <c r="HVH1894" t="s">
        <v>5778</v>
      </c>
      <c r="HVI1894" t="s">
        <v>5778</v>
      </c>
      <c r="HVJ1894" t="s">
        <v>5779</v>
      </c>
      <c r="HVM1894">
        <v>44583</v>
      </c>
      <c r="HVN1894">
        <v>0</v>
      </c>
      <c r="HVO1894" t="s">
        <v>5778</v>
      </c>
      <c r="HVP1894" t="s">
        <v>5778</v>
      </c>
      <c r="HVQ1894" t="s">
        <v>5778</v>
      </c>
      <c r="HVR1894" t="s">
        <v>5779</v>
      </c>
      <c r="HVU1894">
        <v>44583</v>
      </c>
      <c r="HVV1894">
        <v>0</v>
      </c>
      <c r="HVW1894" t="s">
        <v>5778</v>
      </c>
      <c r="HVX1894" t="s">
        <v>5778</v>
      </c>
      <c r="HVY1894" t="s">
        <v>5778</v>
      </c>
      <c r="HVZ1894" t="s">
        <v>5779</v>
      </c>
      <c r="HWC1894">
        <v>44583</v>
      </c>
      <c r="HWD1894">
        <v>0</v>
      </c>
      <c r="HWE1894" t="s">
        <v>5778</v>
      </c>
      <c r="HWF1894" t="s">
        <v>5778</v>
      </c>
      <c r="HWG1894" t="s">
        <v>5778</v>
      </c>
      <c r="HWH1894" t="s">
        <v>5779</v>
      </c>
      <c r="HWK1894">
        <v>44583</v>
      </c>
      <c r="HWL1894">
        <v>0</v>
      </c>
      <c r="HWM1894" t="s">
        <v>5778</v>
      </c>
      <c r="HWN1894" t="s">
        <v>5778</v>
      </c>
      <c r="HWO1894" t="s">
        <v>5778</v>
      </c>
      <c r="HWP1894" t="s">
        <v>5779</v>
      </c>
      <c r="HWS1894">
        <v>44583</v>
      </c>
      <c r="HWT1894">
        <v>0</v>
      </c>
      <c r="HWU1894" t="s">
        <v>5778</v>
      </c>
      <c r="HWV1894" t="s">
        <v>5778</v>
      </c>
      <c r="HWW1894" t="s">
        <v>5778</v>
      </c>
      <c r="HWX1894" t="s">
        <v>5779</v>
      </c>
      <c r="HXA1894">
        <v>44583</v>
      </c>
      <c r="HXB1894">
        <v>0</v>
      </c>
      <c r="HXC1894" t="s">
        <v>5778</v>
      </c>
      <c r="HXD1894" t="s">
        <v>5778</v>
      </c>
      <c r="HXE1894" t="s">
        <v>5778</v>
      </c>
      <c r="HXF1894" t="s">
        <v>5779</v>
      </c>
      <c r="HXI1894">
        <v>44583</v>
      </c>
      <c r="HXJ1894">
        <v>0</v>
      </c>
      <c r="HXK1894" t="s">
        <v>5778</v>
      </c>
      <c r="HXL1894" t="s">
        <v>5778</v>
      </c>
      <c r="HXM1894" t="s">
        <v>5778</v>
      </c>
      <c r="HXN1894" t="s">
        <v>5779</v>
      </c>
      <c r="HXQ1894">
        <v>44583</v>
      </c>
      <c r="HXR1894">
        <v>0</v>
      </c>
      <c r="HXS1894" t="s">
        <v>5778</v>
      </c>
      <c r="HXT1894" t="s">
        <v>5778</v>
      </c>
      <c r="HXU1894" t="s">
        <v>5778</v>
      </c>
      <c r="HXV1894" t="s">
        <v>5779</v>
      </c>
      <c r="HXY1894">
        <v>44583</v>
      </c>
      <c r="HXZ1894">
        <v>0</v>
      </c>
      <c r="HYA1894" t="s">
        <v>5778</v>
      </c>
      <c r="HYB1894" t="s">
        <v>5778</v>
      </c>
      <c r="HYC1894" t="s">
        <v>5778</v>
      </c>
      <c r="HYD1894" t="s">
        <v>5779</v>
      </c>
      <c r="HYG1894">
        <v>44583</v>
      </c>
      <c r="HYH1894">
        <v>0</v>
      </c>
      <c r="HYI1894" t="s">
        <v>5778</v>
      </c>
      <c r="HYJ1894" t="s">
        <v>5778</v>
      </c>
      <c r="HYK1894" t="s">
        <v>5778</v>
      </c>
      <c r="HYL1894" t="s">
        <v>5779</v>
      </c>
      <c r="HYO1894">
        <v>44583</v>
      </c>
      <c r="HYP1894">
        <v>0</v>
      </c>
      <c r="HYQ1894" t="s">
        <v>5778</v>
      </c>
      <c r="HYR1894" t="s">
        <v>5778</v>
      </c>
      <c r="HYS1894" t="s">
        <v>5778</v>
      </c>
      <c r="HYT1894" t="s">
        <v>5779</v>
      </c>
      <c r="HYW1894">
        <v>44583</v>
      </c>
      <c r="HYX1894">
        <v>0</v>
      </c>
      <c r="HYY1894" t="s">
        <v>5778</v>
      </c>
      <c r="HYZ1894" t="s">
        <v>5778</v>
      </c>
      <c r="HZA1894" t="s">
        <v>5778</v>
      </c>
      <c r="HZB1894" t="s">
        <v>5779</v>
      </c>
      <c r="HZE1894">
        <v>44583</v>
      </c>
      <c r="HZF1894">
        <v>0</v>
      </c>
      <c r="HZG1894" t="s">
        <v>5778</v>
      </c>
      <c r="HZH1894" t="s">
        <v>5778</v>
      </c>
      <c r="HZI1894" t="s">
        <v>5778</v>
      </c>
      <c r="HZJ1894" t="s">
        <v>5779</v>
      </c>
      <c r="HZM1894">
        <v>44583</v>
      </c>
      <c r="HZN1894">
        <v>0</v>
      </c>
      <c r="HZO1894" t="s">
        <v>5778</v>
      </c>
      <c r="HZP1894" t="s">
        <v>5778</v>
      </c>
      <c r="HZQ1894" t="s">
        <v>5778</v>
      </c>
      <c r="HZR1894" t="s">
        <v>5779</v>
      </c>
      <c r="HZU1894">
        <v>44583</v>
      </c>
      <c r="HZV1894">
        <v>0</v>
      </c>
      <c r="HZW1894" t="s">
        <v>5778</v>
      </c>
      <c r="HZX1894" t="s">
        <v>5778</v>
      </c>
      <c r="HZY1894" t="s">
        <v>5778</v>
      </c>
      <c r="HZZ1894" t="s">
        <v>5779</v>
      </c>
      <c r="IAC1894">
        <v>44583</v>
      </c>
      <c r="IAD1894">
        <v>0</v>
      </c>
      <c r="IAE1894" t="s">
        <v>5778</v>
      </c>
      <c r="IAF1894" t="s">
        <v>5778</v>
      </c>
      <c r="IAG1894" t="s">
        <v>5778</v>
      </c>
      <c r="IAH1894" t="s">
        <v>5779</v>
      </c>
      <c r="IAK1894">
        <v>44583</v>
      </c>
      <c r="IAL1894">
        <v>0</v>
      </c>
      <c r="IAM1894" t="s">
        <v>5778</v>
      </c>
      <c r="IAN1894" t="s">
        <v>5778</v>
      </c>
      <c r="IAO1894" t="s">
        <v>5778</v>
      </c>
      <c r="IAP1894" t="s">
        <v>5779</v>
      </c>
      <c r="IAS1894">
        <v>44583</v>
      </c>
      <c r="IAT1894">
        <v>0</v>
      </c>
      <c r="IAU1894" t="s">
        <v>5778</v>
      </c>
      <c r="IAV1894" t="s">
        <v>5778</v>
      </c>
      <c r="IAW1894" t="s">
        <v>5778</v>
      </c>
      <c r="IAX1894" t="s">
        <v>5779</v>
      </c>
      <c r="IBA1894">
        <v>44583</v>
      </c>
      <c r="IBB1894">
        <v>0</v>
      </c>
      <c r="IBC1894" t="s">
        <v>5778</v>
      </c>
      <c r="IBD1894" t="s">
        <v>5778</v>
      </c>
      <c r="IBE1894" t="s">
        <v>5778</v>
      </c>
      <c r="IBF1894" t="s">
        <v>5779</v>
      </c>
      <c r="IBI1894">
        <v>44583</v>
      </c>
      <c r="IBJ1894">
        <v>0</v>
      </c>
      <c r="IBK1894" t="s">
        <v>5778</v>
      </c>
      <c r="IBL1894" t="s">
        <v>5778</v>
      </c>
      <c r="IBM1894" t="s">
        <v>5778</v>
      </c>
      <c r="IBN1894" t="s">
        <v>5779</v>
      </c>
      <c r="IBQ1894">
        <v>44583</v>
      </c>
      <c r="IBR1894">
        <v>0</v>
      </c>
      <c r="IBS1894" t="s">
        <v>5778</v>
      </c>
      <c r="IBT1894" t="s">
        <v>5778</v>
      </c>
      <c r="IBU1894" t="s">
        <v>5778</v>
      </c>
      <c r="IBV1894" t="s">
        <v>5779</v>
      </c>
      <c r="IBY1894">
        <v>44583</v>
      </c>
      <c r="IBZ1894">
        <v>0</v>
      </c>
      <c r="ICA1894" t="s">
        <v>5778</v>
      </c>
      <c r="ICB1894" t="s">
        <v>5778</v>
      </c>
      <c r="ICC1894" t="s">
        <v>5778</v>
      </c>
      <c r="ICD1894" t="s">
        <v>5779</v>
      </c>
      <c r="ICG1894">
        <v>44583</v>
      </c>
      <c r="ICH1894">
        <v>0</v>
      </c>
      <c r="ICI1894" t="s">
        <v>5778</v>
      </c>
      <c r="ICJ1894" t="s">
        <v>5778</v>
      </c>
      <c r="ICK1894" t="s">
        <v>5778</v>
      </c>
      <c r="ICL1894" t="s">
        <v>5779</v>
      </c>
      <c r="ICO1894">
        <v>44583</v>
      </c>
      <c r="ICP1894">
        <v>0</v>
      </c>
      <c r="ICQ1894" t="s">
        <v>5778</v>
      </c>
      <c r="ICR1894" t="s">
        <v>5778</v>
      </c>
      <c r="ICS1894" t="s">
        <v>5778</v>
      </c>
      <c r="ICT1894" t="s">
        <v>5779</v>
      </c>
      <c r="ICW1894">
        <v>44583</v>
      </c>
      <c r="ICX1894">
        <v>0</v>
      </c>
      <c r="ICY1894" t="s">
        <v>5778</v>
      </c>
      <c r="ICZ1894" t="s">
        <v>5778</v>
      </c>
      <c r="IDA1894" t="s">
        <v>5778</v>
      </c>
      <c r="IDB1894" t="s">
        <v>5779</v>
      </c>
      <c r="IDE1894">
        <v>44583</v>
      </c>
      <c r="IDF1894">
        <v>0</v>
      </c>
      <c r="IDG1894" t="s">
        <v>5778</v>
      </c>
      <c r="IDH1894" t="s">
        <v>5778</v>
      </c>
      <c r="IDI1894" t="s">
        <v>5778</v>
      </c>
      <c r="IDJ1894" t="s">
        <v>5779</v>
      </c>
      <c r="IDM1894">
        <v>44583</v>
      </c>
      <c r="IDN1894">
        <v>0</v>
      </c>
      <c r="IDO1894" t="s">
        <v>5778</v>
      </c>
      <c r="IDP1894" t="s">
        <v>5778</v>
      </c>
      <c r="IDQ1894" t="s">
        <v>5778</v>
      </c>
      <c r="IDR1894" t="s">
        <v>5779</v>
      </c>
      <c r="IDU1894">
        <v>44583</v>
      </c>
      <c r="IDV1894">
        <v>0</v>
      </c>
      <c r="IDW1894" t="s">
        <v>5778</v>
      </c>
      <c r="IDX1894" t="s">
        <v>5778</v>
      </c>
      <c r="IDY1894" t="s">
        <v>5778</v>
      </c>
      <c r="IDZ1894" t="s">
        <v>5779</v>
      </c>
      <c r="IEC1894">
        <v>44583</v>
      </c>
      <c r="IED1894">
        <v>0</v>
      </c>
      <c r="IEE1894" t="s">
        <v>5778</v>
      </c>
      <c r="IEF1894" t="s">
        <v>5778</v>
      </c>
      <c r="IEG1894" t="s">
        <v>5778</v>
      </c>
      <c r="IEH1894" t="s">
        <v>5779</v>
      </c>
      <c r="IEK1894">
        <v>44583</v>
      </c>
      <c r="IEL1894">
        <v>0</v>
      </c>
      <c r="IEM1894" t="s">
        <v>5778</v>
      </c>
      <c r="IEN1894" t="s">
        <v>5778</v>
      </c>
      <c r="IEO1894" t="s">
        <v>5778</v>
      </c>
      <c r="IEP1894" t="s">
        <v>5779</v>
      </c>
      <c r="IES1894">
        <v>44583</v>
      </c>
      <c r="IET1894">
        <v>0</v>
      </c>
      <c r="IEU1894" t="s">
        <v>5778</v>
      </c>
      <c r="IEV1894" t="s">
        <v>5778</v>
      </c>
      <c r="IEW1894" t="s">
        <v>5778</v>
      </c>
      <c r="IEX1894" t="s">
        <v>5779</v>
      </c>
      <c r="IFA1894">
        <v>44583</v>
      </c>
      <c r="IFB1894">
        <v>0</v>
      </c>
      <c r="IFC1894" t="s">
        <v>5778</v>
      </c>
      <c r="IFD1894" t="s">
        <v>5778</v>
      </c>
      <c r="IFE1894" t="s">
        <v>5778</v>
      </c>
      <c r="IFF1894" t="s">
        <v>5779</v>
      </c>
      <c r="IFI1894">
        <v>44583</v>
      </c>
      <c r="IFJ1894">
        <v>0</v>
      </c>
      <c r="IFK1894" t="s">
        <v>5778</v>
      </c>
      <c r="IFL1894" t="s">
        <v>5778</v>
      </c>
      <c r="IFM1894" t="s">
        <v>5778</v>
      </c>
      <c r="IFN1894" t="s">
        <v>5779</v>
      </c>
      <c r="IFQ1894">
        <v>44583</v>
      </c>
      <c r="IFR1894">
        <v>0</v>
      </c>
      <c r="IFS1894" t="s">
        <v>5778</v>
      </c>
      <c r="IFT1894" t="s">
        <v>5778</v>
      </c>
      <c r="IFU1894" t="s">
        <v>5778</v>
      </c>
      <c r="IFV1894" t="s">
        <v>5779</v>
      </c>
      <c r="IFY1894">
        <v>44583</v>
      </c>
      <c r="IFZ1894">
        <v>0</v>
      </c>
      <c r="IGA1894" t="s">
        <v>5778</v>
      </c>
      <c r="IGB1894" t="s">
        <v>5778</v>
      </c>
      <c r="IGC1894" t="s">
        <v>5778</v>
      </c>
      <c r="IGD1894" t="s">
        <v>5779</v>
      </c>
      <c r="IGG1894">
        <v>44583</v>
      </c>
      <c r="IGH1894">
        <v>0</v>
      </c>
      <c r="IGI1894" t="s">
        <v>5778</v>
      </c>
      <c r="IGJ1894" t="s">
        <v>5778</v>
      </c>
      <c r="IGK1894" t="s">
        <v>5778</v>
      </c>
      <c r="IGL1894" t="s">
        <v>5779</v>
      </c>
      <c r="IGO1894">
        <v>44583</v>
      </c>
      <c r="IGP1894">
        <v>0</v>
      </c>
      <c r="IGQ1894" t="s">
        <v>5778</v>
      </c>
      <c r="IGR1894" t="s">
        <v>5778</v>
      </c>
      <c r="IGS1894" t="s">
        <v>5778</v>
      </c>
      <c r="IGT1894" t="s">
        <v>5779</v>
      </c>
      <c r="IGW1894">
        <v>44583</v>
      </c>
      <c r="IGX1894">
        <v>0</v>
      </c>
      <c r="IGY1894" t="s">
        <v>5778</v>
      </c>
      <c r="IGZ1894" t="s">
        <v>5778</v>
      </c>
      <c r="IHA1894" t="s">
        <v>5778</v>
      </c>
      <c r="IHB1894" t="s">
        <v>5779</v>
      </c>
      <c r="IHE1894">
        <v>44583</v>
      </c>
      <c r="IHF1894">
        <v>0</v>
      </c>
      <c r="IHG1894" t="s">
        <v>5778</v>
      </c>
      <c r="IHH1894" t="s">
        <v>5778</v>
      </c>
      <c r="IHI1894" t="s">
        <v>5778</v>
      </c>
      <c r="IHJ1894" t="s">
        <v>5779</v>
      </c>
      <c r="IHM1894">
        <v>44583</v>
      </c>
      <c r="IHN1894">
        <v>0</v>
      </c>
      <c r="IHO1894" t="s">
        <v>5778</v>
      </c>
      <c r="IHP1894" t="s">
        <v>5778</v>
      </c>
      <c r="IHQ1894" t="s">
        <v>5778</v>
      </c>
      <c r="IHR1894" t="s">
        <v>5779</v>
      </c>
      <c r="IHU1894">
        <v>44583</v>
      </c>
      <c r="IHV1894">
        <v>0</v>
      </c>
      <c r="IHW1894" t="s">
        <v>5778</v>
      </c>
      <c r="IHX1894" t="s">
        <v>5778</v>
      </c>
      <c r="IHY1894" t="s">
        <v>5778</v>
      </c>
      <c r="IHZ1894" t="s">
        <v>5779</v>
      </c>
      <c r="IIC1894">
        <v>44583</v>
      </c>
      <c r="IID1894">
        <v>0</v>
      </c>
      <c r="IIE1894" t="s">
        <v>5778</v>
      </c>
      <c r="IIF1894" t="s">
        <v>5778</v>
      </c>
      <c r="IIG1894" t="s">
        <v>5778</v>
      </c>
      <c r="IIH1894" t="s">
        <v>5779</v>
      </c>
      <c r="IIK1894">
        <v>44583</v>
      </c>
      <c r="IIL1894">
        <v>0</v>
      </c>
      <c r="IIM1894" t="s">
        <v>5778</v>
      </c>
      <c r="IIN1894" t="s">
        <v>5778</v>
      </c>
      <c r="IIO1894" t="s">
        <v>5778</v>
      </c>
      <c r="IIP1894" t="s">
        <v>5779</v>
      </c>
      <c r="IIS1894">
        <v>44583</v>
      </c>
      <c r="IIT1894">
        <v>0</v>
      </c>
      <c r="IIU1894" t="s">
        <v>5778</v>
      </c>
      <c r="IIV1894" t="s">
        <v>5778</v>
      </c>
      <c r="IIW1894" t="s">
        <v>5778</v>
      </c>
      <c r="IIX1894" t="s">
        <v>5779</v>
      </c>
      <c r="IJA1894">
        <v>44583</v>
      </c>
      <c r="IJB1894">
        <v>0</v>
      </c>
      <c r="IJC1894" t="s">
        <v>5778</v>
      </c>
      <c r="IJD1894" t="s">
        <v>5778</v>
      </c>
      <c r="IJE1894" t="s">
        <v>5778</v>
      </c>
      <c r="IJF1894" t="s">
        <v>5779</v>
      </c>
      <c r="IJI1894">
        <v>44583</v>
      </c>
      <c r="IJJ1894">
        <v>0</v>
      </c>
      <c r="IJK1894" t="s">
        <v>5778</v>
      </c>
      <c r="IJL1894" t="s">
        <v>5778</v>
      </c>
      <c r="IJM1894" t="s">
        <v>5778</v>
      </c>
      <c r="IJN1894" t="s">
        <v>5779</v>
      </c>
      <c r="IJQ1894">
        <v>44583</v>
      </c>
      <c r="IJR1894">
        <v>0</v>
      </c>
      <c r="IJS1894" t="s">
        <v>5778</v>
      </c>
      <c r="IJT1894" t="s">
        <v>5778</v>
      </c>
      <c r="IJU1894" t="s">
        <v>5778</v>
      </c>
      <c r="IJV1894" t="s">
        <v>5779</v>
      </c>
      <c r="IJY1894">
        <v>44583</v>
      </c>
      <c r="IJZ1894">
        <v>0</v>
      </c>
      <c r="IKA1894" t="s">
        <v>5778</v>
      </c>
      <c r="IKB1894" t="s">
        <v>5778</v>
      </c>
      <c r="IKC1894" t="s">
        <v>5778</v>
      </c>
      <c r="IKD1894" t="s">
        <v>5779</v>
      </c>
      <c r="IKG1894">
        <v>44583</v>
      </c>
      <c r="IKH1894">
        <v>0</v>
      </c>
      <c r="IKI1894" t="s">
        <v>5778</v>
      </c>
      <c r="IKJ1894" t="s">
        <v>5778</v>
      </c>
      <c r="IKK1894" t="s">
        <v>5778</v>
      </c>
      <c r="IKL1894" t="s">
        <v>5779</v>
      </c>
      <c r="IKO1894">
        <v>44583</v>
      </c>
      <c r="IKP1894">
        <v>0</v>
      </c>
      <c r="IKQ1894" t="s">
        <v>5778</v>
      </c>
      <c r="IKR1894" t="s">
        <v>5778</v>
      </c>
      <c r="IKS1894" t="s">
        <v>5778</v>
      </c>
      <c r="IKT1894" t="s">
        <v>5779</v>
      </c>
      <c r="IKW1894">
        <v>44583</v>
      </c>
      <c r="IKX1894">
        <v>0</v>
      </c>
      <c r="IKY1894" t="s">
        <v>5778</v>
      </c>
      <c r="IKZ1894" t="s">
        <v>5778</v>
      </c>
      <c r="ILA1894" t="s">
        <v>5778</v>
      </c>
      <c r="ILB1894" t="s">
        <v>5779</v>
      </c>
      <c r="ILE1894">
        <v>44583</v>
      </c>
      <c r="ILF1894">
        <v>0</v>
      </c>
      <c r="ILG1894" t="s">
        <v>5778</v>
      </c>
      <c r="ILH1894" t="s">
        <v>5778</v>
      </c>
      <c r="ILI1894" t="s">
        <v>5778</v>
      </c>
      <c r="ILJ1894" t="s">
        <v>5779</v>
      </c>
      <c r="ILM1894">
        <v>44583</v>
      </c>
      <c r="ILN1894">
        <v>0</v>
      </c>
      <c r="ILO1894" t="s">
        <v>5778</v>
      </c>
      <c r="ILP1894" t="s">
        <v>5778</v>
      </c>
      <c r="ILQ1894" t="s">
        <v>5778</v>
      </c>
      <c r="ILR1894" t="s">
        <v>5779</v>
      </c>
      <c r="ILU1894">
        <v>44583</v>
      </c>
      <c r="ILV1894">
        <v>0</v>
      </c>
      <c r="ILW1894" t="s">
        <v>5778</v>
      </c>
      <c r="ILX1894" t="s">
        <v>5778</v>
      </c>
      <c r="ILY1894" t="s">
        <v>5778</v>
      </c>
      <c r="ILZ1894" t="s">
        <v>5779</v>
      </c>
      <c r="IMC1894">
        <v>44583</v>
      </c>
      <c r="IMD1894">
        <v>0</v>
      </c>
      <c r="IME1894" t="s">
        <v>5778</v>
      </c>
      <c r="IMF1894" t="s">
        <v>5778</v>
      </c>
      <c r="IMG1894" t="s">
        <v>5778</v>
      </c>
      <c r="IMH1894" t="s">
        <v>5779</v>
      </c>
      <c r="IMK1894">
        <v>44583</v>
      </c>
      <c r="IML1894">
        <v>0</v>
      </c>
      <c r="IMM1894" t="s">
        <v>5778</v>
      </c>
      <c r="IMN1894" t="s">
        <v>5778</v>
      </c>
      <c r="IMO1894" t="s">
        <v>5778</v>
      </c>
      <c r="IMP1894" t="s">
        <v>5779</v>
      </c>
      <c r="IMS1894">
        <v>44583</v>
      </c>
      <c r="IMT1894">
        <v>0</v>
      </c>
      <c r="IMU1894" t="s">
        <v>5778</v>
      </c>
      <c r="IMV1894" t="s">
        <v>5778</v>
      </c>
      <c r="IMW1894" t="s">
        <v>5778</v>
      </c>
      <c r="IMX1894" t="s">
        <v>5779</v>
      </c>
      <c r="INA1894">
        <v>44583</v>
      </c>
      <c r="INB1894">
        <v>0</v>
      </c>
      <c r="INC1894" t="s">
        <v>5778</v>
      </c>
      <c r="IND1894" t="s">
        <v>5778</v>
      </c>
      <c r="INE1894" t="s">
        <v>5778</v>
      </c>
      <c r="INF1894" t="s">
        <v>5779</v>
      </c>
      <c r="INI1894">
        <v>44583</v>
      </c>
      <c r="INJ1894">
        <v>0</v>
      </c>
      <c r="INK1894" t="s">
        <v>5778</v>
      </c>
      <c r="INL1894" t="s">
        <v>5778</v>
      </c>
      <c r="INM1894" t="s">
        <v>5778</v>
      </c>
      <c r="INN1894" t="s">
        <v>5779</v>
      </c>
      <c r="INQ1894">
        <v>44583</v>
      </c>
      <c r="INR1894">
        <v>0</v>
      </c>
      <c r="INS1894" t="s">
        <v>5778</v>
      </c>
      <c r="INT1894" t="s">
        <v>5778</v>
      </c>
      <c r="INU1894" t="s">
        <v>5778</v>
      </c>
      <c r="INV1894" t="s">
        <v>5779</v>
      </c>
      <c r="INY1894">
        <v>44583</v>
      </c>
      <c r="INZ1894">
        <v>0</v>
      </c>
      <c r="IOA1894" t="s">
        <v>5778</v>
      </c>
      <c r="IOB1894" t="s">
        <v>5778</v>
      </c>
      <c r="IOC1894" t="s">
        <v>5778</v>
      </c>
      <c r="IOD1894" t="s">
        <v>5779</v>
      </c>
      <c r="IOG1894">
        <v>44583</v>
      </c>
      <c r="IOH1894">
        <v>0</v>
      </c>
      <c r="IOI1894" t="s">
        <v>5778</v>
      </c>
      <c r="IOJ1894" t="s">
        <v>5778</v>
      </c>
      <c r="IOK1894" t="s">
        <v>5778</v>
      </c>
      <c r="IOL1894" t="s">
        <v>5779</v>
      </c>
      <c r="IOO1894">
        <v>44583</v>
      </c>
      <c r="IOP1894">
        <v>0</v>
      </c>
      <c r="IOQ1894" t="s">
        <v>5778</v>
      </c>
      <c r="IOR1894" t="s">
        <v>5778</v>
      </c>
      <c r="IOS1894" t="s">
        <v>5778</v>
      </c>
      <c r="IOT1894" t="s">
        <v>5779</v>
      </c>
      <c r="IOW1894">
        <v>44583</v>
      </c>
      <c r="IOX1894">
        <v>0</v>
      </c>
      <c r="IOY1894" t="s">
        <v>5778</v>
      </c>
      <c r="IOZ1894" t="s">
        <v>5778</v>
      </c>
      <c r="IPA1894" t="s">
        <v>5778</v>
      </c>
      <c r="IPB1894" t="s">
        <v>5779</v>
      </c>
      <c r="IPE1894">
        <v>44583</v>
      </c>
      <c r="IPF1894">
        <v>0</v>
      </c>
      <c r="IPG1894" t="s">
        <v>5778</v>
      </c>
      <c r="IPH1894" t="s">
        <v>5778</v>
      </c>
      <c r="IPI1894" t="s">
        <v>5778</v>
      </c>
      <c r="IPJ1894" t="s">
        <v>5779</v>
      </c>
      <c r="IPM1894">
        <v>44583</v>
      </c>
      <c r="IPN1894">
        <v>0</v>
      </c>
      <c r="IPO1894" t="s">
        <v>5778</v>
      </c>
      <c r="IPP1894" t="s">
        <v>5778</v>
      </c>
      <c r="IPQ1894" t="s">
        <v>5778</v>
      </c>
      <c r="IPR1894" t="s">
        <v>5779</v>
      </c>
      <c r="IPU1894">
        <v>44583</v>
      </c>
      <c r="IPV1894">
        <v>0</v>
      </c>
      <c r="IPW1894" t="s">
        <v>5778</v>
      </c>
      <c r="IPX1894" t="s">
        <v>5778</v>
      </c>
      <c r="IPY1894" t="s">
        <v>5778</v>
      </c>
      <c r="IPZ1894" t="s">
        <v>5779</v>
      </c>
      <c r="IQC1894">
        <v>44583</v>
      </c>
      <c r="IQD1894">
        <v>0</v>
      </c>
      <c r="IQE1894" t="s">
        <v>5778</v>
      </c>
      <c r="IQF1894" t="s">
        <v>5778</v>
      </c>
      <c r="IQG1894" t="s">
        <v>5778</v>
      </c>
      <c r="IQH1894" t="s">
        <v>5779</v>
      </c>
      <c r="IQK1894">
        <v>44583</v>
      </c>
      <c r="IQL1894">
        <v>0</v>
      </c>
      <c r="IQM1894" t="s">
        <v>5778</v>
      </c>
      <c r="IQN1894" t="s">
        <v>5778</v>
      </c>
      <c r="IQO1894" t="s">
        <v>5778</v>
      </c>
      <c r="IQP1894" t="s">
        <v>5779</v>
      </c>
      <c r="IQS1894">
        <v>44583</v>
      </c>
      <c r="IQT1894">
        <v>0</v>
      </c>
      <c r="IQU1894" t="s">
        <v>5778</v>
      </c>
      <c r="IQV1894" t="s">
        <v>5778</v>
      </c>
      <c r="IQW1894" t="s">
        <v>5778</v>
      </c>
      <c r="IQX1894" t="s">
        <v>5779</v>
      </c>
      <c r="IRA1894">
        <v>44583</v>
      </c>
      <c r="IRB1894">
        <v>0</v>
      </c>
      <c r="IRC1894" t="s">
        <v>5778</v>
      </c>
      <c r="IRD1894" t="s">
        <v>5778</v>
      </c>
      <c r="IRE1894" t="s">
        <v>5778</v>
      </c>
      <c r="IRF1894" t="s">
        <v>5779</v>
      </c>
      <c r="IRI1894">
        <v>44583</v>
      </c>
      <c r="IRJ1894">
        <v>0</v>
      </c>
      <c r="IRK1894" t="s">
        <v>5778</v>
      </c>
      <c r="IRL1894" t="s">
        <v>5778</v>
      </c>
      <c r="IRM1894" t="s">
        <v>5778</v>
      </c>
      <c r="IRN1894" t="s">
        <v>5779</v>
      </c>
      <c r="IRQ1894">
        <v>44583</v>
      </c>
      <c r="IRR1894">
        <v>0</v>
      </c>
      <c r="IRS1894" t="s">
        <v>5778</v>
      </c>
      <c r="IRT1894" t="s">
        <v>5778</v>
      </c>
      <c r="IRU1894" t="s">
        <v>5778</v>
      </c>
      <c r="IRV1894" t="s">
        <v>5779</v>
      </c>
      <c r="IRY1894">
        <v>44583</v>
      </c>
      <c r="IRZ1894">
        <v>0</v>
      </c>
      <c r="ISA1894" t="s">
        <v>5778</v>
      </c>
      <c r="ISB1894" t="s">
        <v>5778</v>
      </c>
      <c r="ISC1894" t="s">
        <v>5778</v>
      </c>
      <c r="ISD1894" t="s">
        <v>5779</v>
      </c>
      <c r="ISG1894">
        <v>44583</v>
      </c>
      <c r="ISH1894">
        <v>0</v>
      </c>
      <c r="ISI1894" t="s">
        <v>5778</v>
      </c>
      <c r="ISJ1894" t="s">
        <v>5778</v>
      </c>
      <c r="ISK1894" t="s">
        <v>5778</v>
      </c>
      <c r="ISL1894" t="s">
        <v>5779</v>
      </c>
      <c r="ISO1894">
        <v>44583</v>
      </c>
      <c r="ISP1894">
        <v>0</v>
      </c>
      <c r="ISQ1894" t="s">
        <v>5778</v>
      </c>
      <c r="ISR1894" t="s">
        <v>5778</v>
      </c>
      <c r="ISS1894" t="s">
        <v>5778</v>
      </c>
      <c r="IST1894" t="s">
        <v>5779</v>
      </c>
      <c r="ISW1894">
        <v>44583</v>
      </c>
      <c r="ISX1894">
        <v>0</v>
      </c>
      <c r="ISY1894" t="s">
        <v>5778</v>
      </c>
      <c r="ISZ1894" t="s">
        <v>5778</v>
      </c>
      <c r="ITA1894" t="s">
        <v>5778</v>
      </c>
      <c r="ITB1894" t="s">
        <v>5779</v>
      </c>
      <c r="ITE1894">
        <v>44583</v>
      </c>
      <c r="ITF1894">
        <v>0</v>
      </c>
      <c r="ITG1894" t="s">
        <v>5778</v>
      </c>
      <c r="ITH1894" t="s">
        <v>5778</v>
      </c>
      <c r="ITI1894" t="s">
        <v>5778</v>
      </c>
      <c r="ITJ1894" t="s">
        <v>5779</v>
      </c>
      <c r="ITM1894">
        <v>44583</v>
      </c>
      <c r="ITN1894">
        <v>0</v>
      </c>
      <c r="ITO1894" t="s">
        <v>5778</v>
      </c>
      <c r="ITP1894" t="s">
        <v>5778</v>
      </c>
      <c r="ITQ1894" t="s">
        <v>5778</v>
      </c>
      <c r="ITR1894" t="s">
        <v>5779</v>
      </c>
      <c r="ITU1894">
        <v>44583</v>
      </c>
      <c r="ITV1894">
        <v>0</v>
      </c>
      <c r="ITW1894" t="s">
        <v>5778</v>
      </c>
      <c r="ITX1894" t="s">
        <v>5778</v>
      </c>
      <c r="ITY1894" t="s">
        <v>5778</v>
      </c>
      <c r="ITZ1894" t="s">
        <v>5779</v>
      </c>
      <c r="IUC1894">
        <v>44583</v>
      </c>
      <c r="IUD1894">
        <v>0</v>
      </c>
      <c r="IUE1894" t="s">
        <v>5778</v>
      </c>
      <c r="IUF1894" t="s">
        <v>5778</v>
      </c>
      <c r="IUG1894" t="s">
        <v>5778</v>
      </c>
      <c r="IUH1894" t="s">
        <v>5779</v>
      </c>
      <c r="IUK1894">
        <v>44583</v>
      </c>
      <c r="IUL1894">
        <v>0</v>
      </c>
      <c r="IUM1894" t="s">
        <v>5778</v>
      </c>
      <c r="IUN1894" t="s">
        <v>5778</v>
      </c>
      <c r="IUO1894" t="s">
        <v>5778</v>
      </c>
      <c r="IUP1894" t="s">
        <v>5779</v>
      </c>
      <c r="IUS1894">
        <v>44583</v>
      </c>
      <c r="IUT1894">
        <v>0</v>
      </c>
      <c r="IUU1894" t="s">
        <v>5778</v>
      </c>
      <c r="IUV1894" t="s">
        <v>5778</v>
      </c>
      <c r="IUW1894" t="s">
        <v>5778</v>
      </c>
      <c r="IUX1894" t="s">
        <v>5779</v>
      </c>
      <c r="IVA1894">
        <v>44583</v>
      </c>
      <c r="IVB1894">
        <v>0</v>
      </c>
      <c r="IVC1894" t="s">
        <v>5778</v>
      </c>
      <c r="IVD1894" t="s">
        <v>5778</v>
      </c>
      <c r="IVE1894" t="s">
        <v>5778</v>
      </c>
      <c r="IVF1894" t="s">
        <v>5779</v>
      </c>
      <c r="IVI1894">
        <v>44583</v>
      </c>
      <c r="IVJ1894">
        <v>0</v>
      </c>
      <c r="IVK1894" t="s">
        <v>5778</v>
      </c>
      <c r="IVL1894" t="s">
        <v>5778</v>
      </c>
      <c r="IVM1894" t="s">
        <v>5778</v>
      </c>
      <c r="IVN1894" t="s">
        <v>5779</v>
      </c>
      <c r="IVQ1894">
        <v>44583</v>
      </c>
      <c r="IVR1894">
        <v>0</v>
      </c>
      <c r="IVS1894" t="s">
        <v>5778</v>
      </c>
      <c r="IVT1894" t="s">
        <v>5778</v>
      </c>
      <c r="IVU1894" t="s">
        <v>5778</v>
      </c>
      <c r="IVV1894" t="s">
        <v>5779</v>
      </c>
      <c r="IVY1894">
        <v>44583</v>
      </c>
      <c r="IVZ1894">
        <v>0</v>
      </c>
      <c r="IWA1894" t="s">
        <v>5778</v>
      </c>
      <c r="IWB1894" t="s">
        <v>5778</v>
      </c>
      <c r="IWC1894" t="s">
        <v>5778</v>
      </c>
      <c r="IWD1894" t="s">
        <v>5779</v>
      </c>
      <c r="IWG1894">
        <v>44583</v>
      </c>
      <c r="IWH1894">
        <v>0</v>
      </c>
      <c r="IWI1894" t="s">
        <v>5778</v>
      </c>
      <c r="IWJ1894" t="s">
        <v>5778</v>
      </c>
      <c r="IWK1894" t="s">
        <v>5778</v>
      </c>
      <c r="IWL1894" t="s">
        <v>5779</v>
      </c>
      <c r="IWO1894">
        <v>44583</v>
      </c>
      <c r="IWP1894">
        <v>0</v>
      </c>
      <c r="IWQ1894" t="s">
        <v>5778</v>
      </c>
      <c r="IWR1894" t="s">
        <v>5778</v>
      </c>
      <c r="IWS1894" t="s">
        <v>5778</v>
      </c>
      <c r="IWT1894" t="s">
        <v>5779</v>
      </c>
      <c r="IWW1894">
        <v>44583</v>
      </c>
      <c r="IWX1894">
        <v>0</v>
      </c>
      <c r="IWY1894" t="s">
        <v>5778</v>
      </c>
      <c r="IWZ1894" t="s">
        <v>5778</v>
      </c>
      <c r="IXA1894" t="s">
        <v>5778</v>
      </c>
      <c r="IXB1894" t="s">
        <v>5779</v>
      </c>
      <c r="IXE1894">
        <v>44583</v>
      </c>
      <c r="IXF1894">
        <v>0</v>
      </c>
      <c r="IXG1894" t="s">
        <v>5778</v>
      </c>
      <c r="IXH1894" t="s">
        <v>5778</v>
      </c>
      <c r="IXI1894" t="s">
        <v>5778</v>
      </c>
      <c r="IXJ1894" t="s">
        <v>5779</v>
      </c>
      <c r="IXM1894">
        <v>44583</v>
      </c>
      <c r="IXN1894">
        <v>0</v>
      </c>
      <c r="IXO1894" t="s">
        <v>5778</v>
      </c>
      <c r="IXP1894" t="s">
        <v>5778</v>
      </c>
      <c r="IXQ1894" t="s">
        <v>5778</v>
      </c>
      <c r="IXR1894" t="s">
        <v>5779</v>
      </c>
      <c r="IXU1894">
        <v>44583</v>
      </c>
      <c r="IXV1894">
        <v>0</v>
      </c>
      <c r="IXW1894" t="s">
        <v>5778</v>
      </c>
      <c r="IXX1894" t="s">
        <v>5778</v>
      </c>
      <c r="IXY1894" t="s">
        <v>5778</v>
      </c>
      <c r="IXZ1894" t="s">
        <v>5779</v>
      </c>
      <c r="IYC1894">
        <v>44583</v>
      </c>
      <c r="IYD1894">
        <v>0</v>
      </c>
      <c r="IYE1894" t="s">
        <v>5778</v>
      </c>
      <c r="IYF1894" t="s">
        <v>5778</v>
      </c>
      <c r="IYG1894" t="s">
        <v>5778</v>
      </c>
      <c r="IYH1894" t="s">
        <v>5779</v>
      </c>
      <c r="IYK1894">
        <v>44583</v>
      </c>
      <c r="IYL1894">
        <v>0</v>
      </c>
      <c r="IYM1894" t="s">
        <v>5778</v>
      </c>
      <c r="IYN1894" t="s">
        <v>5778</v>
      </c>
      <c r="IYO1894" t="s">
        <v>5778</v>
      </c>
      <c r="IYP1894" t="s">
        <v>5779</v>
      </c>
      <c r="IYS1894">
        <v>44583</v>
      </c>
      <c r="IYT1894">
        <v>0</v>
      </c>
      <c r="IYU1894" t="s">
        <v>5778</v>
      </c>
      <c r="IYV1894" t="s">
        <v>5778</v>
      </c>
      <c r="IYW1894" t="s">
        <v>5778</v>
      </c>
      <c r="IYX1894" t="s">
        <v>5779</v>
      </c>
      <c r="IZA1894">
        <v>44583</v>
      </c>
      <c r="IZB1894">
        <v>0</v>
      </c>
      <c r="IZC1894" t="s">
        <v>5778</v>
      </c>
      <c r="IZD1894" t="s">
        <v>5778</v>
      </c>
      <c r="IZE1894" t="s">
        <v>5778</v>
      </c>
      <c r="IZF1894" t="s">
        <v>5779</v>
      </c>
      <c r="IZI1894">
        <v>44583</v>
      </c>
      <c r="IZJ1894">
        <v>0</v>
      </c>
      <c r="IZK1894" t="s">
        <v>5778</v>
      </c>
      <c r="IZL1894" t="s">
        <v>5778</v>
      </c>
      <c r="IZM1894" t="s">
        <v>5778</v>
      </c>
      <c r="IZN1894" t="s">
        <v>5779</v>
      </c>
      <c r="IZQ1894">
        <v>44583</v>
      </c>
      <c r="IZR1894">
        <v>0</v>
      </c>
      <c r="IZS1894" t="s">
        <v>5778</v>
      </c>
      <c r="IZT1894" t="s">
        <v>5778</v>
      </c>
      <c r="IZU1894" t="s">
        <v>5778</v>
      </c>
      <c r="IZV1894" t="s">
        <v>5779</v>
      </c>
      <c r="IZY1894">
        <v>44583</v>
      </c>
      <c r="IZZ1894">
        <v>0</v>
      </c>
      <c r="JAA1894" t="s">
        <v>5778</v>
      </c>
      <c r="JAB1894" t="s">
        <v>5778</v>
      </c>
      <c r="JAC1894" t="s">
        <v>5778</v>
      </c>
      <c r="JAD1894" t="s">
        <v>5779</v>
      </c>
      <c r="JAG1894">
        <v>44583</v>
      </c>
      <c r="JAH1894">
        <v>0</v>
      </c>
      <c r="JAI1894" t="s">
        <v>5778</v>
      </c>
      <c r="JAJ1894" t="s">
        <v>5778</v>
      </c>
      <c r="JAK1894" t="s">
        <v>5778</v>
      </c>
      <c r="JAL1894" t="s">
        <v>5779</v>
      </c>
      <c r="JAO1894">
        <v>44583</v>
      </c>
      <c r="JAP1894">
        <v>0</v>
      </c>
      <c r="JAQ1894" t="s">
        <v>5778</v>
      </c>
      <c r="JAR1894" t="s">
        <v>5778</v>
      </c>
      <c r="JAS1894" t="s">
        <v>5778</v>
      </c>
      <c r="JAT1894" t="s">
        <v>5779</v>
      </c>
      <c r="JAW1894">
        <v>44583</v>
      </c>
      <c r="JAX1894">
        <v>0</v>
      </c>
      <c r="JAY1894" t="s">
        <v>5778</v>
      </c>
      <c r="JAZ1894" t="s">
        <v>5778</v>
      </c>
      <c r="JBA1894" t="s">
        <v>5778</v>
      </c>
      <c r="JBB1894" t="s">
        <v>5779</v>
      </c>
      <c r="JBE1894">
        <v>44583</v>
      </c>
      <c r="JBF1894">
        <v>0</v>
      </c>
      <c r="JBG1894" t="s">
        <v>5778</v>
      </c>
      <c r="JBH1894" t="s">
        <v>5778</v>
      </c>
      <c r="JBI1894" t="s">
        <v>5778</v>
      </c>
      <c r="JBJ1894" t="s">
        <v>5779</v>
      </c>
      <c r="JBM1894">
        <v>44583</v>
      </c>
      <c r="JBN1894">
        <v>0</v>
      </c>
      <c r="JBO1894" t="s">
        <v>5778</v>
      </c>
      <c r="JBP1894" t="s">
        <v>5778</v>
      </c>
      <c r="JBQ1894" t="s">
        <v>5778</v>
      </c>
      <c r="JBR1894" t="s">
        <v>5779</v>
      </c>
      <c r="JBU1894">
        <v>44583</v>
      </c>
      <c r="JBV1894">
        <v>0</v>
      </c>
      <c r="JBW1894" t="s">
        <v>5778</v>
      </c>
      <c r="JBX1894" t="s">
        <v>5778</v>
      </c>
      <c r="JBY1894" t="s">
        <v>5778</v>
      </c>
      <c r="JBZ1894" t="s">
        <v>5779</v>
      </c>
      <c r="JCC1894">
        <v>44583</v>
      </c>
      <c r="JCD1894">
        <v>0</v>
      </c>
      <c r="JCE1894" t="s">
        <v>5778</v>
      </c>
      <c r="JCF1894" t="s">
        <v>5778</v>
      </c>
      <c r="JCG1894" t="s">
        <v>5778</v>
      </c>
      <c r="JCH1894" t="s">
        <v>5779</v>
      </c>
      <c r="JCK1894">
        <v>44583</v>
      </c>
      <c r="JCL1894">
        <v>0</v>
      </c>
      <c r="JCM1894" t="s">
        <v>5778</v>
      </c>
      <c r="JCN1894" t="s">
        <v>5778</v>
      </c>
      <c r="JCO1894" t="s">
        <v>5778</v>
      </c>
      <c r="JCP1894" t="s">
        <v>5779</v>
      </c>
      <c r="JCS1894">
        <v>44583</v>
      </c>
      <c r="JCT1894">
        <v>0</v>
      </c>
      <c r="JCU1894" t="s">
        <v>5778</v>
      </c>
      <c r="JCV1894" t="s">
        <v>5778</v>
      </c>
      <c r="JCW1894" t="s">
        <v>5778</v>
      </c>
      <c r="JCX1894" t="s">
        <v>5779</v>
      </c>
      <c r="JDA1894">
        <v>44583</v>
      </c>
      <c r="JDB1894">
        <v>0</v>
      </c>
      <c r="JDC1894" t="s">
        <v>5778</v>
      </c>
      <c r="JDD1894" t="s">
        <v>5778</v>
      </c>
      <c r="JDE1894" t="s">
        <v>5778</v>
      </c>
      <c r="JDF1894" t="s">
        <v>5779</v>
      </c>
      <c r="JDI1894">
        <v>44583</v>
      </c>
      <c r="JDJ1894">
        <v>0</v>
      </c>
      <c r="JDK1894" t="s">
        <v>5778</v>
      </c>
      <c r="JDL1894" t="s">
        <v>5778</v>
      </c>
      <c r="JDM1894" t="s">
        <v>5778</v>
      </c>
      <c r="JDN1894" t="s">
        <v>5779</v>
      </c>
      <c r="JDQ1894">
        <v>44583</v>
      </c>
      <c r="JDR1894">
        <v>0</v>
      </c>
      <c r="JDS1894" t="s">
        <v>5778</v>
      </c>
      <c r="JDT1894" t="s">
        <v>5778</v>
      </c>
      <c r="JDU1894" t="s">
        <v>5778</v>
      </c>
      <c r="JDV1894" t="s">
        <v>5779</v>
      </c>
      <c r="JDY1894">
        <v>44583</v>
      </c>
      <c r="JDZ1894">
        <v>0</v>
      </c>
      <c r="JEA1894" t="s">
        <v>5778</v>
      </c>
      <c r="JEB1894" t="s">
        <v>5778</v>
      </c>
      <c r="JEC1894" t="s">
        <v>5778</v>
      </c>
      <c r="JED1894" t="s">
        <v>5779</v>
      </c>
      <c r="JEG1894">
        <v>44583</v>
      </c>
      <c r="JEH1894">
        <v>0</v>
      </c>
      <c r="JEI1894" t="s">
        <v>5778</v>
      </c>
      <c r="JEJ1894" t="s">
        <v>5778</v>
      </c>
      <c r="JEK1894" t="s">
        <v>5778</v>
      </c>
      <c r="JEL1894" t="s">
        <v>5779</v>
      </c>
      <c r="JEO1894">
        <v>44583</v>
      </c>
      <c r="JEP1894">
        <v>0</v>
      </c>
      <c r="JEQ1894" t="s">
        <v>5778</v>
      </c>
      <c r="JER1894" t="s">
        <v>5778</v>
      </c>
      <c r="JES1894" t="s">
        <v>5778</v>
      </c>
      <c r="JET1894" t="s">
        <v>5779</v>
      </c>
      <c r="JEW1894">
        <v>44583</v>
      </c>
      <c r="JEX1894">
        <v>0</v>
      </c>
      <c r="JEY1894" t="s">
        <v>5778</v>
      </c>
      <c r="JEZ1894" t="s">
        <v>5778</v>
      </c>
      <c r="JFA1894" t="s">
        <v>5778</v>
      </c>
      <c r="JFB1894" t="s">
        <v>5779</v>
      </c>
      <c r="JFE1894">
        <v>44583</v>
      </c>
      <c r="JFF1894">
        <v>0</v>
      </c>
      <c r="JFG1894" t="s">
        <v>5778</v>
      </c>
      <c r="JFH1894" t="s">
        <v>5778</v>
      </c>
      <c r="JFI1894" t="s">
        <v>5778</v>
      </c>
      <c r="JFJ1894" t="s">
        <v>5779</v>
      </c>
      <c r="JFM1894">
        <v>44583</v>
      </c>
      <c r="JFN1894">
        <v>0</v>
      </c>
      <c r="JFO1894" t="s">
        <v>5778</v>
      </c>
      <c r="JFP1894" t="s">
        <v>5778</v>
      </c>
      <c r="JFQ1894" t="s">
        <v>5778</v>
      </c>
      <c r="JFR1894" t="s">
        <v>5779</v>
      </c>
      <c r="JFU1894">
        <v>44583</v>
      </c>
      <c r="JFV1894">
        <v>0</v>
      </c>
      <c r="JFW1894" t="s">
        <v>5778</v>
      </c>
      <c r="JFX1894" t="s">
        <v>5778</v>
      </c>
      <c r="JFY1894" t="s">
        <v>5778</v>
      </c>
      <c r="JFZ1894" t="s">
        <v>5779</v>
      </c>
      <c r="JGC1894">
        <v>44583</v>
      </c>
      <c r="JGD1894">
        <v>0</v>
      </c>
      <c r="JGE1894" t="s">
        <v>5778</v>
      </c>
      <c r="JGF1894" t="s">
        <v>5778</v>
      </c>
      <c r="JGG1894" t="s">
        <v>5778</v>
      </c>
      <c r="JGH1894" t="s">
        <v>5779</v>
      </c>
      <c r="JGK1894">
        <v>44583</v>
      </c>
      <c r="JGL1894">
        <v>0</v>
      </c>
      <c r="JGM1894" t="s">
        <v>5778</v>
      </c>
      <c r="JGN1894" t="s">
        <v>5778</v>
      </c>
      <c r="JGO1894" t="s">
        <v>5778</v>
      </c>
      <c r="JGP1894" t="s">
        <v>5779</v>
      </c>
      <c r="JGS1894">
        <v>44583</v>
      </c>
      <c r="JGT1894">
        <v>0</v>
      </c>
      <c r="JGU1894" t="s">
        <v>5778</v>
      </c>
      <c r="JGV1894" t="s">
        <v>5778</v>
      </c>
      <c r="JGW1894" t="s">
        <v>5778</v>
      </c>
      <c r="JGX1894" t="s">
        <v>5779</v>
      </c>
      <c r="JHA1894">
        <v>44583</v>
      </c>
      <c r="JHB1894">
        <v>0</v>
      </c>
      <c r="JHC1894" t="s">
        <v>5778</v>
      </c>
      <c r="JHD1894" t="s">
        <v>5778</v>
      </c>
      <c r="JHE1894" t="s">
        <v>5778</v>
      </c>
      <c r="JHF1894" t="s">
        <v>5779</v>
      </c>
      <c r="JHI1894">
        <v>44583</v>
      </c>
      <c r="JHJ1894">
        <v>0</v>
      </c>
      <c r="JHK1894" t="s">
        <v>5778</v>
      </c>
      <c r="JHL1894" t="s">
        <v>5778</v>
      </c>
      <c r="JHM1894" t="s">
        <v>5778</v>
      </c>
      <c r="JHN1894" t="s">
        <v>5779</v>
      </c>
      <c r="JHQ1894">
        <v>44583</v>
      </c>
      <c r="JHR1894">
        <v>0</v>
      </c>
      <c r="JHS1894" t="s">
        <v>5778</v>
      </c>
      <c r="JHT1894" t="s">
        <v>5778</v>
      </c>
      <c r="JHU1894" t="s">
        <v>5778</v>
      </c>
      <c r="JHV1894" t="s">
        <v>5779</v>
      </c>
      <c r="JHY1894">
        <v>44583</v>
      </c>
      <c r="JHZ1894">
        <v>0</v>
      </c>
      <c r="JIA1894" t="s">
        <v>5778</v>
      </c>
      <c r="JIB1894" t="s">
        <v>5778</v>
      </c>
      <c r="JIC1894" t="s">
        <v>5778</v>
      </c>
      <c r="JID1894" t="s">
        <v>5779</v>
      </c>
      <c r="JIG1894">
        <v>44583</v>
      </c>
      <c r="JIH1894">
        <v>0</v>
      </c>
      <c r="JII1894" t="s">
        <v>5778</v>
      </c>
      <c r="JIJ1894" t="s">
        <v>5778</v>
      </c>
      <c r="JIK1894" t="s">
        <v>5778</v>
      </c>
      <c r="JIL1894" t="s">
        <v>5779</v>
      </c>
      <c r="JIO1894">
        <v>44583</v>
      </c>
      <c r="JIP1894">
        <v>0</v>
      </c>
      <c r="JIQ1894" t="s">
        <v>5778</v>
      </c>
      <c r="JIR1894" t="s">
        <v>5778</v>
      </c>
      <c r="JIS1894" t="s">
        <v>5778</v>
      </c>
      <c r="JIT1894" t="s">
        <v>5779</v>
      </c>
      <c r="JIW1894">
        <v>44583</v>
      </c>
      <c r="JIX1894">
        <v>0</v>
      </c>
      <c r="JIY1894" t="s">
        <v>5778</v>
      </c>
      <c r="JIZ1894" t="s">
        <v>5778</v>
      </c>
      <c r="JJA1894" t="s">
        <v>5778</v>
      </c>
      <c r="JJB1894" t="s">
        <v>5779</v>
      </c>
      <c r="JJE1894">
        <v>44583</v>
      </c>
      <c r="JJF1894">
        <v>0</v>
      </c>
      <c r="JJG1894" t="s">
        <v>5778</v>
      </c>
      <c r="JJH1894" t="s">
        <v>5778</v>
      </c>
      <c r="JJI1894" t="s">
        <v>5778</v>
      </c>
      <c r="JJJ1894" t="s">
        <v>5779</v>
      </c>
      <c r="JJM1894">
        <v>44583</v>
      </c>
      <c r="JJN1894">
        <v>0</v>
      </c>
      <c r="JJO1894" t="s">
        <v>5778</v>
      </c>
      <c r="JJP1894" t="s">
        <v>5778</v>
      </c>
      <c r="JJQ1894" t="s">
        <v>5778</v>
      </c>
      <c r="JJR1894" t="s">
        <v>5779</v>
      </c>
      <c r="JJU1894">
        <v>44583</v>
      </c>
      <c r="JJV1894">
        <v>0</v>
      </c>
      <c r="JJW1894" t="s">
        <v>5778</v>
      </c>
      <c r="JJX1894" t="s">
        <v>5778</v>
      </c>
      <c r="JJY1894" t="s">
        <v>5778</v>
      </c>
      <c r="JJZ1894" t="s">
        <v>5779</v>
      </c>
      <c r="JKC1894">
        <v>44583</v>
      </c>
      <c r="JKD1894">
        <v>0</v>
      </c>
      <c r="JKE1894" t="s">
        <v>5778</v>
      </c>
      <c r="JKF1894" t="s">
        <v>5778</v>
      </c>
      <c r="JKG1894" t="s">
        <v>5778</v>
      </c>
      <c r="JKH1894" t="s">
        <v>5779</v>
      </c>
      <c r="JKK1894">
        <v>44583</v>
      </c>
      <c r="JKL1894">
        <v>0</v>
      </c>
      <c r="JKM1894" t="s">
        <v>5778</v>
      </c>
      <c r="JKN1894" t="s">
        <v>5778</v>
      </c>
      <c r="JKO1894" t="s">
        <v>5778</v>
      </c>
      <c r="JKP1894" t="s">
        <v>5779</v>
      </c>
      <c r="JKS1894">
        <v>44583</v>
      </c>
      <c r="JKT1894">
        <v>0</v>
      </c>
      <c r="JKU1894" t="s">
        <v>5778</v>
      </c>
      <c r="JKV1894" t="s">
        <v>5778</v>
      </c>
      <c r="JKW1894" t="s">
        <v>5778</v>
      </c>
      <c r="JKX1894" t="s">
        <v>5779</v>
      </c>
      <c r="JLA1894">
        <v>44583</v>
      </c>
      <c r="JLB1894">
        <v>0</v>
      </c>
      <c r="JLC1894" t="s">
        <v>5778</v>
      </c>
      <c r="JLD1894" t="s">
        <v>5778</v>
      </c>
      <c r="JLE1894" t="s">
        <v>5778</v>
      </c>
      <c r="JLF1894" t="s">
        <v>5779</v>
      </c>
      <c r="JLI1894">
        <v>44583</v>
      </c>
      <c r="JLJ1894">
        <v>0</v>
      </c>
      <c r="JLK1894" t="s">
        <v>5778</v>
      </c>
      <c r="JLL1894" t="s">
        <v>5778</v>
      </c>
      <c r="JLM1894" t="s">
        <v>5778</v>
      </c>
      <c r="JLN1894" t="s">
        <v>5779</v>
      </c>
      <c r="JLQ1894">
        <v>44583</v>
      </c>
      <c r="JLR1894">
        <v>0</v>
      </c>
      <c r="JLS1894" t="s">
        <v>5778</v>
      </c>
      <c r="JLT1894" t="s">
        <v>5778</v>
      </c>
      <c r="JLU1894" t="s">
        <v>5778</v>
      </c>
      <c r="JLV1894" t="s">
        <v>5779</v>
      </c>
      <c r="JLY1894">
        <v>44583</v>
      </c>
      <c r="JLZ1894">
        <v>0</v>
      </c>
      <c r="JMA1894" t="s">
        <v>5778</v>
      </c>
      <c r="JMB1894" t="s">
        <v>5778</v>
      </c>
      <c r="JMC1894" t="s">
        <v>5778</v>
      </c>
      <c r="JMD1894" t="s">
        <v>5779</v>
      </c>
      <c r="JMG1894">
        <v>44583</v>
      </c>
      <c r="JMH1894">
        <v>0</v>
      </c>
      <c r="JMI1894" t="s">
        <v>5778</v>
      </c>
      <c r="JMJ1894" t="s">
        <v>5778</v>
      </c>
      <c r="JMK1894" t="s">
        <v>5778</v>
      </c>
      <c r="JML1894" t="s">
        <v>5779</v>
      </c>
      <c r="JMO1894">
        <v>44583</v>
      </c>
      <c r="JMP1894">
        <v>0</v>
      </c>
      <c r="JMQ1894" t="s">
        <v>5778</v>
      </c>
      <c r="JMR1894" t="s">
        <v>5778</v>
      </c>
      <c r="JMS1894" t="s">
        <v>5778</v>
      </c>
      <c r="JMT1894" t="s">
        <v>5779</v>
      </c>
      <c r="JMW1894">
        <v>44583</v>
      </c>
      <c r="JMX1894">
        <v>0</v>
      </c>
      <c r="JMY1894" t="s">
        <v>5778</v>
      </c>
      <c r="JMZ1894" t="s">
        <v>5778</v>
      </c>
      <c r="JNA1894" t="s">
        <v>5778</v>
      </c>
      <c r="JNB1894" t="s">
        <v>5779</v>
      </c>
      <c r="JNE1894">
        <v>44583</v>
      </c>
      <c r="JNF1894">
        <v>0</v>
      </c>
      <c r="JNG1894" t="s">
        <v>5778</v>
      </c>
      <c r="JNH1894" t="s">
        <v>5778</v>
      </c>
      <c r="JNI1894" t="s">
        <v>5778</v>
      </c>
      <c r="JNJ1894" t="s">
        <v>5779</v>
      </c>
      <c r="JNM1894">
        <v>44583</v>
      </c>
      <c r="JNN1894">
        <v>0</v>
      </c>
      <c r="JNO1894" t="s">
        <v>5778</v>
      </c>
      <c r="JNP1894" t="s">
        <v>5778</v>
      </c>
      <c r="JNQ1894" t="s">
        <v>5778</v>
      </c>
      <c r="JNR1894" t="s">
        <v>5779</v>
      </c>
      <c r="JNU1894">
        <v>44583</v>
      </c>
      <c r="JNV1894">
        <v>0</v>
      </c>
      <c r="JNW1894" t="s">
        <v>5778</v>
      </c>
      <c r="JNX1894" t="s">
        <v>5778</v>
      </c>
      <c r="JNY1894" t="s">
        <v>5778</v>
      </c>
      <c r="JNZ1894" t="s">
        <v>5779</v>
      </c>
      <c r="JOC1894">
        <v>44583</v>
      </c>
      <c r="JOD1894">
        <v>0</v>
      </c>
      <c r="JOE1894" t="s">
        <v>5778</v>
      </c>
      <c r="JOF1894" t="s">
        <v>5778</v>
      </c>
      <c r="JOG1894" t="s">
        <v>5778</v>
      </c>
      <c r="JOH1894" t="s">
        <v>5779</v>
      </c>
      <c r="JOK1894">
        <v>44583</v>
      </c>
      <c r="JOL1894">
        <v>0</v>
      </c>
      <c r="JOM1894" t="s">
        <v>5778</v>
      </c>
      <c r="JON1894" t="s">
        <v>5778</v>
      </c>
      <c r="JOO1894" t="s">
        <v>5778</v>
      </c>
      <c r="JOP1894" t="s">
        <v>5779</v>
      </c>
      <c r="JOS1894">
        <v>44583</v>
      </c>
      <c r="JOT1894">
        <v>0</v>
      </c>
      <c r="JOU1894" t="s">
        <v>5778</v>
      </c>
      <c r="JOV1894" t="s">
        <v>5778</v>
      </c>
      <c r="JOW1894" t="s">
        <v>5778</v>
      </c>
      <c r="JOX1894" t="s">
        <v>5779</v>
      </c>
      <c r="JPA1894">
        <v>44583</v>
      </c>
      <c r="JPB1894">
        <v>0</v>
      </c>
      <c r="JPC1894" t="s">
        <v>5778</v>
      </c>
      <c r="JPD1894" t="s">
        <v>5778</v>
      </c>
      <c r="JPE1894" t="s">
        <v>5778</v>
      </c>
      <c r="JPF1894" t="s">
        <v>5779</v>
      </c>
      <c r="JPI1894">
        <v>44583</v>
      </c>
      <c r="JPJ1894">
        <v>0</v>
      </c>
      <c r="JPK1894" t="s">
        <v>5778</v>
      </c>
      <c r="JPL1894" t="s">
        <v>5778</v>
      </c>
      <c r="JPM1894" t="s">
        <v>5778</v>
      </c>
      <c r="JPN1894" t="s">
        <v>5779</v>
      </c>
      <c r="JPQ1894">
        <v>44583</v>
      </c>
      <c r="JPR1894">
        <v>0</v>
      </c>
      <c r="JPS1894" t="s">
        <v>5778</v>
      </c>
      <c r="JPT1894" t="s">
        <v>5778</v>
      </c>
      <c r="JPU1894" t="s">
        <v>5778</v>
      </c>
      <c r="JPV1894" t="s">
        <v>5779</v>
      </c>
      <c r="JPY1894">
        <v>44583</v>
      </c>
      <c r="JPZ1894">
        <v>0</v>
      </c>
      <c r="JQA1894" t="s">
        <v>5778</v>
      </c>
      <c r="JQB1894" t="s">
        <v>5778</v>
      </c>
      <c r="JQC1894" t="s">
        <v>5778</v>
      </c>
      <c r="JQD1894" t="s">
        <v>5779</v>
      </c>
      <c r="JQG1894">
        <v>44583</v>
      </c>
      <c r="JQH1894">
        <v>0</v>
      </c>
      <c r="JQI1894" t="s">
        <v>5778</v>
      </c>
      <c r="JQJ1894" t="s">
        <v>5778</v>
      </c>
      <c r="JQK1894" t="s">
        <v>5778</v>
      </c>
      <c r="JQL1894" t="s">
        <v>5779</v>
      </c>
      <c r="JQO1894">
        <v>44583</v>
      </c>
      <c r="JQP1894">
        <v>0</v>
      </c>
      <c r="JQQ1894" t="s">
        <v>5778</v>
      </c>
      <c r="JQR1894" t="s">
        <v>5778</v>
      </c>
      <c r="JQS1894" t="s">
        <v>5778</v>
      </c>
      <c r="JQT1894" t="s">
        <v>5779</v>
      </c>
      <c r="JQW1894">
        <v>44583</v>
      </c>
      <c r="JQX1894">
        <v>0</v>
      </c>
      <c r="JQY1894" t="s">
        <v>5778</v>
      </c>
      <c r="JQZ1894" t="s">
        <v>5778</v>
      </c>
      <c r="JRA1894" t="s">
        <v>5778</v>
      </c>
      <c r="JRB1894" t="s">
        <v>5779</v>
      </c>
      <c r="JRE1894">
        <v>44583</v>
      </c>
      <c r="JRF1894">
        <v>0</v>
      </c>
      <c r="JRG1894" t="s">
        <v>5778</v>
      </c>
      <c r="JRH1894" t="s">
        <v>5778</v>
      </c>
      <c r="JRI1894" t="s">
        <v>5778</v>
      </c>
      <c r="JRJ1894" t="s">
        <v>5779</v>
      </c>
      <c r="JRM1894">
        <v>44583</v>
      </c>
      <c r="JRN1894">
        <v>0</v>
      </c>
      <c r="JRO1894" t="s">
        <v>5778</v>
      </c>
      <c r="JRP1894" t="s">
        <v>5778</v>
      </c>
      <c r="JRQ1894" t="s">
        <v>5778</v>
      </c>
      <c r="JRR1894" t="s">
        <v>5779</v>
      </c>
      <c r="JRU1894">
        <v>44583</v>
      </c>
      <c r="JRV1894">
        <v>0</v>
      </c>
      <c r="JRW1894" t="s">
        <v>5778</v>
      </c>
      <c r="JRX1894" t="s">
        <v>5778</v>
      </c>
      <c r="JRY1894" t="s">
        <v>5778</v>
      </c>
      <c r="JRZ1894" t="s">
        <v>5779</v>
      </c>
      <c r="JSC1894">
        <v>44583</v>
      </c>
      <c r="JSD1894">
        <v>0</v>
      </c>
      <c r="JSE1894" t="s">
        <v>5778</v>
      </c>
      <c r="JSF1894" t="s">
        <v>5778</v>
      </c>
      <c r="JSG1894" t="s">
        <v>5778</v>
      </c>
      <c r="JSH1894" t="s">
        <v>5779</v>
      </c>
      <c r="JSK1894">
        <v>44583</v>
      </c>
      <c r="JSL1894">
        <v>0</v>
      </c>
      <c r="JSM1894" t="s">
        <v>5778</v>
      </c>
      <c r="JSN1894" t="s">
        <v>5778</v>
      </c>
      <c r="JSO1894" t="s">
        <v>5778</v>
      </c>
      <c r="JSP1894" t="s">
        <v>5779</v>
      </c>
      <c r="JSS1894">
        <v>44583</v>
      </c>
      <c r="JST1894">
        <v>0</v>
      </c>
      <c r="JSU1894" t="s">
        <v>5778</v>
      </c>
      <c r="JSV1894" t="s">
        <v>5778</v>
      </c>
      <c r="JSW1894" t="s">
        <v>5778</v>
      </c>
      <c r="JSX1894" t="s">
        <v>5779</v>
      </c>
      <c r="JTA1894">
        <v>44583</v>
      </c>
      <c r="JTB1894">
        <v>0</v>
      </c>
      <c r="JTC1894" t="s">
        <v>5778</v>
      </c>
      <c r="JTD1894" t="s">
        <v>5778</v>
      </c>
      <c r="JTE1894" t="s">
        <v>5778</v>
      </c>
      <c r="JTF1894" t="s">
        <v>5779</v>
      </c>
      <c r="JTI1894">
        <v>44583</v>
      </c>
      <c r="JTJ1894">
        <v>0</v>
      </c>
      <c r="JTK1894" t="s">
        <v>5778</v>
      </c>
      <c r="JTL1894" t="s">
        <v>5778</v>
      </c>
      <c r="JTM1894" t="s">
        <v>5778</v>
      </c>
      <c r="JTN1894" t="s">
        <v>5779</v>
      </c>
      <c r="JTQ1894">
        <v>44583</v>
      </c>
      <c r="JTR1894">
        <v>0</v>
      </c>
      <c r="JTS1894" t="s">
        <v>5778</v>
      </c>
      <c r="JTT1894" t="s">
        <v>5778</v>
      </c>
      <c r="JTU1894" t="s">
        <v>5778</v>
      </c>
      <c r="JTV1894" t="s">
        <v>5779</v>
      </c>
      <c r="JTY1894">
        <v>44583</v>
      </c>
      <c r="JTZ1894">
        <v>0</v>
      </c>
      <c r="JUA1894" t="s">
        <v>5778</v>
      </c>
      <c r="JUB1894" t="s">
        <v>5778</v>
      </c>
      <c r="JUC1894" t="s">
        <v>5778</v>
      </c>
      <c r="JUD1894" t="s">
        <v>5779</v>
      </c>
      <c r="JUG1894">
        <v>44583</v>
      </c>
      <c r="JUH1894">
        <v>0</v>
      </c>
      <c r="JUI1894" t="s">
        <v>5778</v>
      </c>
      <c r="JUJ1894" t="s">
        <v>5778</v>
      </c>
      <c r="JUK1894" t="s">
        <v>5778</v>
      </c>
      <c r="JUL1894" t="s">
        <v>5779</v>
      </c>
      <c r="JUO1894">
        <v>44583</v>
      </c>
      <c r="JUP1894">
        <v>0</v>
      </c>
      <c r="JUQ1894" t="s">
        <v>5778</v>
      </c>
      <c r="JUR1894" t="s">
        <v>5778</v>
      </c>
      <c r="JUS1894" t="s">
        <v>5778</v>
      </c>
      <c r="JUT1894" t="s">
        <v>5779</v>
      </c>
      <c r="JUW1894">
        <v>44583</v>
      </c>
      <c r="JUX1894">
        <v>0</v>
      </c>
      <c r="JUY1894" t="s">
        <v>5778</v>
      </c>
      <c r="JUZ1894" t="s">
        <v>5778</v>
      </c>
      <c r="JVA1894" t="s">
        <v>5778</v>
      </c>
      <c r="JVB1894" t="s">
        <v>5779</v>
      </c>
      <c r="JVE1894">
        <v>44583</v>
      </c>
      <c r="JVF1894">
        <v>0</v>
      </c>
      <c r="JVG1894" t="s">
        <v>5778</v>
      </c>
      <c r="JVH1894" t="s">
        <v>5778</v>
      </c>
      <c r="JVI1894" t="s">
        <v>5778</v>
      </c>
      <c r="JVJ1894" t="s">
        <v>5779</v>
      </c>
      <c r="JVM1894">
        <v>44583</v>
      </c>
      <c r="JVN1894">
        <v>0</v>
      </c>
      <c r="JVO1894" t="s">
        <v>5778</v>
      </c>
      <c r="JVP1894" t="s">
        <v>5778</v>
      </c>
      <c r="JVQ1894" t="s">
        <v>5778</v>
      </c>
      <c r="JVR1894" t="s">
        <v>5779</v>
      </c>
      <c r="JVU1894">
        <v>44583</v>
      </c>
      <c r="JVV1894">
        <v>0</v>
      </c>
      <c r="JVW1894" t="s">
        <v>5778</v>
      </c>
      <c r="JVX1894" t="s">
        <v>5778</v>
      </c>
      <c r="JVY1894" t="s">
        <v>5778</v>
      </c>
      <c r="JVZ1894" t="s">
        <v>5779</v>
      </c>
      <c r="JWC1894">
        <v>44583</v>
      </c>
      <c r="JWD1894">
        <v>0</v>
      </c>
      <c r="JWE1894" t="s">
        <v>5778</v>
      </c>
      <c r="JWF1894" t="s">
        <v>5778</v>
      </c>
      <c r="JWG1894" t="s">
        <v>5778</v>
      </c>
      <c r="JWH1894" t="s">
        <v>5779</v>
      </c>
      <c r="JWK1894">
        <v>44583</v>
      </c>
      <c r="JWL1894">
        <v>0</v>
      </c>
      <c r="JWM1894" t="s">
        <v>5778</v>
      </c>
      <c r="JWN1894" t="s">
        <v>5778</v>
      </c>
      <c r="JWO1894" t="s">
        <v>5778</v>
      </c>
      <c r="JWP1894" t="s">
        <v>5779</v>
      </c>
      <c r="JWS1894">
        <v>44583</v>
      </c>
      <c r="JWT1894">
        <v>0</v>
      </c>
      <c r="JWU1894" t="s">
        <v>5778</v>
      </c>
      <c r="JWV1894" t="s">
        <v>5778</v>
      </c>
      <c r="JWW1894" t="s">
        <v>5778</v>
      </c>
      <c r="JWX1894" t="s">
        <v>5779</v>
      </c>
      <c r="JXA1894">
        <v>44583</v>
      </c>
      <c r="JXB1894">
        <v>0</v>
      </c>
      <c r="JXC1894" t="s">
        <v>5778</v>
      </c>
      <c r="JXD1894" t="s">
        <v>5778</v>
      </c>
      <c r="JXE1894" t="s">
        <v>5778</v>
      </c>
      <c r="JXF1894" t="s">
        <v>5779</v>
      </c>
      <c r="JXI1894">
        <v>44583</v>
      </c>
      <c r="JXJ1894">
        <v>0</v>
      </c>
      <c r="JXK1894" t="s">
        <v>5778</v>
      </c>
      <c r="JXL1894" t="s">
        <v>5778</v>
      </c>
      <c r="JXM1894" t="s">
        <v>5778</v>
      </c>
      <c r="JXN1894" t="s">
        <v>5779</v>
      </c>
      <c r="JXQ1894">
        <v>44583</v>
      </c>
      <c r="JXR1894">
        <v>0</v>
      </c>
      <c r="JXS1894" t="s">
        <v>5778</v>
      </c>
      <c r="JXT1894" t="s">
        <v>5778</v>
      </c>
      <c r="JXU1894" t="s">
        <v>5778</v>
      </c>
      <c r="JXV1894" t="s">
        <v>5779</v>
      </c>
      <c r="JXY1894">
        <v>44583</v>
      </c>
      <c r="JXZ1894">
        <v>0</v>
      </c>
      <c r="JYA1894" t="s">
        <v>5778</v>
      </c>
      <c r="JYB1894" t="s">
        <v>5778</v>
      </c>
      <c r="JYC1894" t="s">
        <v>5778</v>
      </c>
      <c r="JYD1894" t="s">
        <v>5779</v>
      </c>
      <c r="JYG1894">
        <v>44583</v>
      </c>
      <c r="JYH1894">
        <v>0</v>
      </c>
      <c r="JYI1894" t="s">
        <v>5778</v>
      </c>
      <c r="JYJ1894" t="s">
        <v>5778</v>
      </c>
      <c r="JYK1894" t="s">
        <v>5778</v>
      </c>
      <c r="JYL1894" t="s">
        <v>5779</v>
      </c>
      <c r="JYO1894">
        <v>44583</v>
      </c>
      <c r="JYP1894">
        <v>0</v>
      </c>
      <c r="JYQ1894" t="s">
        <v>5778</v>
      </c>
      <c r="JYR1894" t="s">
        <v>5778</v>
      </c>
      <c r="JYS1894" t="s">
        <v>5778</v>
      </c>
      <c r="JYT1894" t="s">
        <v>5779</v>
      </c>
      <c r="JYW1894">
        <v>44583</v>
      </c>
      <c r="JYX1894">
        <v>0</v>
      </c>
      <c r="JYY1894" t="s">
        <v>5778</v>
      </c>
      <c r="JYZ1894" t="s">
        <v>5778</v>
      </c>
      <c r="JZA1894" t="s">
        <v>5778</v>
      </c>
      <c r="JZB1894" t="s">
        <v>5779</v>
      </c>
      <c r="JZE1894">
        <v>44583</v>
      </c>
      <c r="JZF1894">
        <v>0</v>
      </c>
      <c r="JZG1894" t="s">
        <v>5778</v>
      </c>
      <c r="JZH1894" t="s">
        <v>5778</v>
      </c>
      <c r="JZI1894" t="s">
        <v>5778</v>
      </c>
      <c r="JZJ1894" t="s">
        <v>5779</v>
      </c>
      <c r="JZM1894">
        <v>44583</v>
      </c>
      <c r="JZN1894">
        <v>0</v>
      </c>
      <c r="JZO1894" t="s">
        <v>5778</v>
      </c>
      <c r="JZP1894" t="s">
        <v>5778</v>
      </c>
      <c r="JZQ1894" t="s">
        <v>5778</v>
      </c>
      <c r="JZR1894" t="s">
        <v>5779</v>
      </c>
      <c r="JZU1894">
        <v>44583</v>
      </c>
      <c r="JZV1894">
        <v>0</v>
      </c>
      <c r="JZW1894" t="s">
        <v>5778</v>
      </c>
      <c r="JZX1894" t="s">
        <v>5778</v>
      </c>
      <c r="JZY1894" t="s">
        <v>5778</v>
      </c>
      <c r="JZZ1894" t="s">
        <v>5779</v>
      </c>
      <c r="KAC1894">
        <v>44583</v>
      </c>
      <c r="KAD1894">
        <v>0</v>
      </c>
      <c r="KAE1894" t="s">
        <v>5778</v>
      </c>
      <c r="KAF1894" t="s">
        <v>5778</v>
      </c>
      <c r="KAG1894" t="s">
        <v>5778</v>
      </c>
      <c r="KAH1894" t="s">
        <v>5779</v>
      </c>
      <c r="KAK1894">
        <v>44583</v>
      </c>
      <c r="KAL1894">
        <v>0</v>
      </c>
      <c r="KAM1894" t="s">
        <v>5778</v>
      </c>
      <c r="KAN1894" t="s">
        <v>5778</v>
      </c>
      <c r="KAO1894" t="s">
        <v>5778</v>
      </c>
      <c r="KAP1894" t="s">
        <v>5779</v>
      </c>
      <c r="KAS1894">
        <v>44583</v>
      </c>
      <c r="KAT1894">
        <v>0</v>
      </c>
      <c r="KAU1894" t="s">
        <v>5778</v>
      </c>
      <c r="KAV1894" t="s">
        <v>5778</v>
      </c>
      <c r="KAW1894" t="s">
        <v>5778</v>
      </c>
      <c r="KAX1894" t="s">
        <v>5779</v>
      </c>
      <c r="KBA1894">
        <v>44583</v>
      </c>
      <c r="KBB1894">
        <v>0</v>
      </c>
      <c r="KBC1894" t="s">
        <v>5778</v>
      </c>
      <c r="KBD1894" t="s">
        <v>5778</v>
      </c>
      <c r="KBE1894" t="s">
        <v>5778</v>
      </c>
      <c r="KBF1894" t="s">
        <v>5779</v>
      </c>
      <c r="KBI1894">
        <v>44583</v>
      </c>
      <c r="KBJ1894">
        <v>0</v>
      </c>
      <c r="KBK1894" t="s">
        <v>5778</v>
      </c>
      <c r="KBL1894" t="s">
        <v>5778</v>
      </c>
      <c r="KBM1894" t="s">
        <v>5778</v>
      </c>
      <c r="KBN1894" t="s">
        <v>5779</v>
      </c>
      <c r="KBQ1894">
        <v>44583</v>
      </c>
      <c r="KBR1894">
        <v>0</v>
      </c>
      <c r="KBS1894" t="s">
        <v>5778</v>
      </c>
      <c r="KBT1894" t="s">
        <v>5778</v>
      </c>
      <c r="KBU1894" t="s">
        <v>5778</v>
      </c>
      <c r="KBV1894" t="s">
        <v>5779</v>
      </c>
      <c r="KBY1894">
        <v>44583</v>
      </c>
      <c r="KBZ1894">
        <v>0</v>
      </c>
      <c r="KCA1894" t="s">
        <v>5778</v>
      </c>
      <c r="KCB1894" t="s">
        <v>5778</v>
      </c>
      <c r="KCC1894" t="s">
        <v>5778</v>
      </c>
      <c r="KCD1894" t="s">
        <v>5779</v>
      </c>
      <c r="KCG1894">
        <v>44583</v>
      </c>
      <c r="KCH1894">
        <v>0</v>
      </c>
      <c r="KCI1894" t="s">
        <v>5778</v>
      </c>
      <c r="KCJ1894" t="s">
        <v>5778</v>
      </c>
      <c r="KCK1894" t="s">
        <v>5778</v>
      </c>
      <c r="KCL1894" t="s">
        <v>5779</v>
      </c>
      <c r="KCO1894">
        <v>44583</v>
      </c>
      <c r="KCP1894">
        <v>0</v>
      </c>
      <c r="KCQ1894" t="s">
        <v>5778</v>
      </c>
      <c r="KCR1894" t="s">
        <v>5778</v>
      </c>
      <c r="KCS1894" t="s">
        <v>5778</v>
      </c>
      <c r="KCT1894" t="s">
        <v>5779</v>
      </c>
      <c r="KCW1894">
        <v>44583</v>
      </c>
      <c r="KCX1894">
        <v>0</v>
      </c>
      <c r="KCY1894" t="s">
        <v>5778</v>
      </c>
      <c r="KCZ1894" t="s">
        <v>5778</v>
      </c>
      <c r="KDA1894" t="s">
        <v>5778</v>
      </c>
      <c r="KDB1894" t="s">
        <v>5779</v>
      </c>
      <c r="KDE1894">
        <v>44583</v>
      </c>
      <c r="KDF1894">
        <v>0</v>
      </c>
      <c r="KDG1894" t="s">
        <v>5778</v>
      </c>
      <c r="KDH1894" t="s">
        <v>5778</v>
      </c>
      <c r="KDI1894" t="s">
        <v>5778</v>
      </c>
      <c r="KDJ1894" t="s">
        <v>5779</v>
      </c>
      <c r="KDM1894">
        <v>44583</v>
      </c>
      <c r="KDN1894">
        <v>0</v>
      </c>
      <c r="KDO1894" t="s">
        <v>5778</v>
      </c>
      <c r="KDP1894" t="s">
        <v>5778</v>
      </c>
      <c r="KDQ1894" t="s">
        <v>5778</v>
      </c>
      <c r="KDR1894" t="s">
        <v>5779</v>
      </c>
      <c r="KDU1894">
        <v>44583</v>
      </c>
      <c r="KDV1894">
        <v>0</v>
      </c>
      <c r="KDW1894" t="s">
        <v>5778</v>
      </c>
      <c r="KDX1894" t="s">
        <v>5778</v>
      </c>
      <c r="KDY1894" t="s">
        <v>5778</v>
      </c>
      <c r="KDZ1894" t="s">
        <v>5779</v>
      </c>
      <c r="KEC1894">
        <v>44583</v>
      </c>
      <c r="KED1894">
        <v>0</v>
      </c>
      <c r="KEE1894" t="s">
        <v>5778</v>
      </c>
      <c r="KEF1894" t="s">
        <v>5778</v>
      </c>
      <c r="KEG1894" t="s">
        <v>5778</v>
      </c>
      <c r="KEH1894" t="s">
        <v>5779</v>
      </c>
      <c r="KEK1894">
        <v>44583</v>
      </c>
      <c r="KEL1894">
        <v>0</v>
      </c>
      <c r="KEM1894" t="s">
        <v>5778</v>
      </c>
      <c r="KEN1894" t="s">
        <v>5778</v>
      </c>
      <c r="KEO1894" t="s">
        <v>5778</v>
      </c>
      <c r="KEP1894" t="s">
        <v>5779</v>
      </c>
      <c r="KES1894">
        <v>44583</v>
      </c>
      <c r="KET1894">
        <v>0</v>
      </c>
      <c r="KEU1894" t="s">
        <v>5778</v>
      </c>
      <c r="KEV1894" t="s">
        <v>5778</v>
      </c>
      <c r="KEW1894" t="s">
        <v>5778</v>
      </c>
      <c r="KEX1894" t="s">
        <v>5779</v>
      </c>
      <c r="KFA1894">
        <v>44583</v>
      </c>
      <c r="KFB1894">
        <v>0</v>
      </c>
      <c r="KFC1894" t="s">
        <v>5778</v>
      </c>
      <c r="KFD1894" t="s">
        <v>5778</v>
      </c>
      <c r="KFE1894" t="s">
        <v>5778</v>
      </c>
      <c r="KFF1894" t="s">
        <v>5779</v>
      </c>
      <c r="KFI1894">
        <v>44583</v>
      </c>
      <c r="KFJ1894">
        <v>0</v>
      </c>
      <c r="KFK1894" t="s">
        <v>5778</v>
      </c>
      <c r="KFL1894" t="s">
        <v>5778</v>
      </c>
      <c r="KFM1894" t="s">
        <v>5778</v>
      </c>
      <c r="KFN1894" t="s">
        <v>5779</v>
      </c>
      <c r="KFQ1894">
        <v>44583</v>
      </c>
      <c r="KFR1894">
        <v>0</v>
      </c>
      <c r="KFS1894" t="s">
        <v>5778</v>
      </c>
      <c r="KFT1894" t="s">
        <v>5778</v>
      </c>
      <c r="KFU1894" t="s">
        <v>5778</v>
      </c>
      <c r="KFV1894" t="s">
        <v>5779</v>
      </c>
      <c r="KFY1894">
        <v>44583</v>
      </c>
      <c r="KFZ1894">
        <v>0</v>
      </c>
      <c r="KGA1894" t="s">
        <v>5778</v>
      </c>
      <c r="KGB1894" t="s">
        <v>5778</v>
      </c>
      <c r="KGC1894" t="s">
        <v>5778</v>
      </c>
      <c r="KGD1894" t="s">
        <v>5779</v>
      </c>
      <c r="KGG1894">
        <v>44583</v>
      </c>
      <c r="KGH1894">
        <v>0</v>
      </c>
      <c r="KGI1894" t="s">
        <v>5778</v>
      </c>
      <c r="KGJ1894" t="s">
        <v>5778</v>
      </c>
      <c r="KGK1894" t="s">
        <v>5778</v>
      </c>
      <c r="KGL1894" t="s">
        <v>5779</v>
      </c>
      <c r="KGO1894">
        <v>44583</v>
      </c>
      <c r="KGP1894">
        <v>0</v>
      </c>
      <c r="KGQ1894" t="s">
        <v>5778</v>
      </c>
      <c r="KGR1894" t="s">
        <v>5778</v>
      </c>
      <c r="KGS1894" t="s">
        <v>5778</v>
      </c>
      <c r="KGT1894" t="s">
        <v>5779</v>
      </c>
      <c r="KGW1894">
        <v>44583</v>
      </c>
      <c r="KGX1894">
        <v>0</v>
      </c>
      <c r="KGY1894" t="s">
        <v>5778</v>
      </c>
      <c r="KGZ1894" t="s">
        <v>5778</v>
      </c>
      <c r="KHA1894" t="s">
        <v>5778</v>
      </c>
      <c r="KHB1894" t="s">
        <v>5779</v>
      </c>
      <c r="KHE1894">
        <v>44583</v>
      </c>
      <c r="KHF1894">
        <v>0</v>
      </c>
      <c r="KHG1894" t="s">
        <v>5778</v>
      </c>
      <c r="KHH1894" t="s">
        <v>5778</v>
      </c>
      <c r="KHI1894" t="s">
        <v>5778</v>
      </c>
      <c r="KHJ1894" t="s">
        <v>5779</v>
      </c>
      <c r="KHM1894">
        <v>44583</v>
      </c>
      <c r="KHN1894">
        <v>0</v>
      </c>
      <c r="KHO1894" t="s">
        <v>5778</v>
      </c>
      <c r="KHP1894" t="s">
        <v>5778</v>
      </c>
      <c r="KHQ1894" t="s">
        <v>5778</v>
      </c>
      <c r="KHR1894" t="s">
        <v>5779</v>
      </c>
      <c r="KHU1894">
        <v>44583</v>
      </c>
      <c r="KHV1894">
        <v>0</v>
      </c>
      <c r="KHW1894" t="s">
        <v>5778</v>
      </c>
      <c r="KHX1894" t="s">
        <v>5778</v>
      </c>
      <c r="KHY1894" t="s">
        <v>5778</v>
      </c>
      <c r="KHZ1894" t="s">
        <v>5779</v>
      </c>
      <c r="KIC1894">
        <v>44583</v>
      </c>
      <c r="KID1894">
        <v>0</v>
      </c>
      <c r="KIE1894" t="s">
        <v>5778</v>
      </c>
      <c r="KIF1894" t="s">
        <v>5778</v>
      </c>
      <c r="KIG1894" t="s">
        <v>5778</v>
      </c>
      <c r="KIH1894" t="s">
        <v>5779</v>
      </c>
      <c r="KIK1894">
        <v>44583</v>
      </c>
      <c r="KIL1894">
        <v>0</v>
      </c>
      <c r="KIM1894" t="s">
        <v>5778</v>
      </c>
      <c r="KIN1894" t="s">
        <v>5778</v>
      </c>
      <c r="KIO1894" t="s">
        <v>5778</v>
      </c>
      <c r="KIP1894" t="s">
        <v>5779</v>
      </c>
      <c r="KIS1894">
        <v>44583</v>
      </c>
      <c r="KIT1894">
        <v>0</v>
      </c>
      <c r="KIU1894" t="s">
        <v>5778</v>
      </c>
      <c r="KIV1894" t="s">
        <v>5778</v>
      </c>
      <c r="KIW1894" t="s">
        <v>5778</v>
      </c>
      <c r="KIX1894" t="s">
        <v>5779</v>
      </c>
      <c r="KJA1894">
        <v>44583</v>
      </c>
      <c r="KJB1894">
        <v>0</v>
      </c>
      <c r="KJC1894" t="s">
        <v>5778</v>
      </c>
      <c r="KJD1894" t="s">
        <v>5778</v>
      </c>
      <c r="KJE1894" t="s">
        <v>5778</v>
      </c>
      <c r="KJF1894" t="s">
        <v>5779</v>
      </c>
      <c r="KJI1894">
        <v>44583</v>
      </c>
      <c r="KJJ1894">
        <v>0</v>
      </c>
      <c r="KJK1894" t="s">
        <v>5778</v>
      </c>
      <c r="KJL1894" t="s">
        <v>5778</v>
      </c>
      <c r="KJM1894" t="s">
        <v>5778</v>
      </c>
      <c r="KJN1894" t="s">
        <v>5779</v>
      </c>
      <c r="KJQ1894">
        <v>44583</v>
      </c>
      <c r="KJR1894">
        <v>0</v>
      </c>
      <c r="KJS1894" t="s">
        <v>5778</v>
      </c>
      <c r="KJT1894" t="s">
        <v>5778</v>
      </c>
      <c r="KJU1894" t="s">
        <v>5778</v>
      </c>
      <c r="KJV1894" t="s">
        <v>5779</v>
      </c>
      <c r="KJY1894">
        <v>44583</v>
      </c>
      <c r="KJZ1894">
        <v>0</v>
      </c>
      <c r="KKA1894" t="s">
        <v>5778</v>
      </c>
      <c r="KKB1894" t="s">
        <v>5778</v>
      </c>
      <c r="KKC1894" t="s">
        <v>5778</v>
      </c>
      <c r="KKD1894" t="s">
        <v>5779</v>
      </c>
      <c r="KKG1894">
        <v>44583</v>
      </c>
      <c r="KKH1894">
        <v>0</v>
      </c>
      <c r="KKI1894" t="s">
        <v>5778</v>
      </c>
      <c r="KKJ1894" t="s">
        <v>5778</v>
      </c>
      <c r="KKK1894" t="s">
        <v>5778</v>
      </c>
      <c r="KKL1894" t="s">
        <v>5779</v>
      </c>
      <c r="KKO1894">
        <v>44583</v>
      </c>
      <c r="KKP1894">
        <v>0</v>
      </c>
      <c r="KKQ1894" t="s">
        <v>5778</v>
      </c>
      <c r="KKR1894" t="s">
        <v>5778</v>
      </c>
      <c r="KKS1894" t="s">
        <v>5778</v>
      </c>
      <c r="KKT1894" t="s">
        <v>5779</v>
      </c>
      <c r="KKW1894">
        <v>44583</v>
      </c>
      <c r="KKX1894">
        <v>0</v>
      </c>
      <c r="KKY1894" t="s">
        <v>5778</v>
      </c>
      <c r="KKZ1894" t="s">
        <v>5778</v>
      </c>
      <c r="KLA1894" t="s">
        <v>5778</v>
      </c>
      <c r="KLB1894" t="s">
        <v>5779</v>
      </c>
      <c r="KLE1894">
        <v>44583</v>
      </c>
      <c r="KLF1894">
        <v>0</v>
      </c>
      <c r="KLG1894" t="s">
        <v>5778</v>
      </c>
      <c r="KLH1894" t="s">
        <v>5778</v>
      </c>
      <c r="KLI1894" t="s">
        <v>5778</v>
      </c>
      <c r="KLJ1894" t="s">
        <v>5779</v>
      </c>
      <c r="KLM1894">
        <v>44583</v>
      </c>
      <c r="KLN1894">
        <v>0</v>
      </c>
      <c r="KLO1894" t="s">
        <v>5778</v>
      </c>
      <c r="KLP1894" t="s">
        <v>5778</v>
      </c>
      <c r="KLQ1894" t="s">
        <v>5778</v>
      </c>
      <c r="KLR1894" t="s">
        <v>5779</v>
      </c>
      <c r="KLU1894">
        <v>44583</v>
      </c>
      <c r="KLV1894">
        <v>0</v>
      </c>
      <c r="KLW1894" t="s">
        <v>5778</v>
      </c>
      <c r="KLX1894" t="s">
        <v>5778</v>
      </c>
      <c r="KLY1894" t="s">
        <v>5778</v>
      </c>
      <c r="KLZ1894" t="s">
        <v>5779</v>
      </c>
      <c r="KMC1894">
        <v>44583</v>
      </c>
      <c r="KMD1894">
        <v>0</v>
      </c>
      <c r="KME1894" t="s">
        <v>5778</v>
      </c>
      <c r="KMF1894" t="s">
        <v>5778</v>
      </c>
      <c r="KMG1894" t="s">
        <v>5778</v>
      </c>
      <c r="KMH1894" t="s">
        <v>5779</v>
      </c>
      <c r="KMK1894">
        <v>44583</v>
      </c>
      <c r="KML1894">
        <v>0</v>
      </c>
      <c r="KMM1894" t="s">
        <v>5778</v>
      </c>
      <c r="KMN1894" t="s">
        <v>5778</v>
      </c>
      <c r="KMO1894" t="s">
        <v>5778</v>
      </c>
      <c r="KMP1894" t="s">
        <v>5779</v>
      </c>
      <c r="KMS1894">
        <v>44583</v>
      </c>
      <c r="KMT1894">
        <v>0</v>
      </c>
      <c r="KMU1894" t="s">
        <v>5778</v>
      </c>
      <c r="KMV1894" t="s">
        <v>5778</v>
      </c>
      <c r="KMW1894" t="s">
        <v>5778</v>
      </c>
      <c r="KMX1894" t="s">
        <v>5779</v>
      </c>
      <c r="KNA1894">
        <v>44583</v>
      </c>
      <c r="KNB1894">
        <v>0</v>
      </c>
      <c r="KNC1894" t="s">
        <v>5778</v>
      </c>
      <c r="KND1894" t="s">
        <v>5778</v>
      </c>
      <c r="KNE1894" t="s">
        <v>5778</v>
      </c>
      <c r="KNF1894" t="s">
        <v>5779</v>
      </c>
      <c r="KNI1894">
        <v>44583</v>
      </c>
      <c r="KNJ1894">
        <v>0</v>
      </c>
      <c r="KNK1894" t="s">
        <v>5778</v>
      </c>
      <c r="KNL1894" t="s">
        <v>5778</v>
      </c>
      <c r="KNM1894" t="s">
        <v>5778</v>
      </c>
      <c r="KNN1894" t="s">
        <v>5779</v>
      </c>
      <c r="KNQ1894">
        <v>44583</v>
      </c>
      <c r="KNR1894">
        <v>0</v>
      </c>
      <c r="KNS1894" t="s">
        <v>5778</v>
      </c>
      <c r="KNT1894" t="s">
        <v>5778</v>
      </c>
      <c r="KNU1894" t="s">
        <v>5778</v>
      </c>
      <c r="KNV1894" t="s">
        <v>5779</v>
      </c>
      <c r="KNY1894">
        <v>44583</v>
      </c>
      <c r="KNZ1894">
        <v>0</v>
      </c>
      <c r="KOA1894" t="s">
        <v>5778</v>
      </c>
      <c r="KOB1894" t="s">
        <v>5778</v>
      </c>
      <c r="KOC1894" t="s">
        <v>5778</v>
      </c>
      <c r="KOD1894" t="s">
        <v>5779</v>
      </c>
      <c r="KOG1894">
        <v>44583</v>
      </c>
      <c r="KOH1894">
        <v>0</v>
      </c>
      <c r="KOI1894" t="s">
        <v>5778</v>
      </c>
      <c r="KOJ1894" t="s">
        <v>5778</v>
      </c>
      <c r="KOK1894" t="s">
        <v>5778</v>
      </c>
      <c r="KOL1894" t="s">
        <v>5779</v>
      </c>
      <c r="KOO1894">
        <v>44583</v>
      </c>
      <c r="KOP1894">
        <v>0</v>
      </c>
      <c r="KOQ1894" t="s">
        <v>5778</v>
      </c>
      <c r="KOR1894" t="s">
        <v>5778</v>
      </c>
      <c r="KOS1894" t="s">
        <v>5778</v>
      </c>
      <c r="KOT1894" t="s">
        <v>5779</v>
      </c>
      <c r="KOW1894">
        <v>44583</v>
      </c>
      <c r="KOX1894">
        <v>0</v>
      </c>
      <c r="KOY1894" t="s">
        <v>5778</v>
      </c>
      <c r="KOZ1894" t="s">
        <v>5778</v>
      </c>
      <c r="KPA1894" t="s">
        <v>5778</v>
      </c>
      <c r="KPB1894" t="s">
        <v>5779</v>
      </c>
      <c r="KPE1894">
        <v>44583</v>
      </c>
      <c r="KPF1894">
        <v>0</v>
      </c>
      <c r="KPG1894" t="s">
        <v>5778</v>
      </c>
      <c r="KPH1894" t="s">
        <v>5778</v>
      </c>
      <c r="KPI1894" t="s">
        <v>5778</v>
      </c>
      <c r="KPJ1894" t="s">
        <v>5779</v>
      </c>
      <c r="KPM1894">
        <v>44583</v>
      </c>
      <c r="KPN1894">
        <v>0</v>
      </c>
      <c r="KPO1894" t="s">
        <v>5778</v>
      </c>
      <c r="KPP1894" t="s">
        <v>5778</v>
      </c>
      <c r="KPQ1894" t="s">
        <v>5778</v>
      </c>
      <c r="KPR1894" t="s">
        <v>5779</v>
      </c>
      <c r="KPU1894">
        <v>44583</v>
      </c>
      <c r="KPV1894">
        <v>0</v>
      </c>
      <c r="KPW1894" t="s">
        <v>5778</v>
      </c>
      <c r="KPX1894" t="s">
        <v>5778</v>
      </c>
      <c r="KPY1894" t="s">
        <v>5778</v>
      </c>
      <c r="KPZ1894" t="s">
        <v>5779</v>
      </c>
      <c r="KQC1894">
        <v>44583</v>
      </c>
      <c r="KQD1894">
        <v>0</v>
      </c>
      <c r="KQE1894" t="s">
        <v>5778</v>
      </c>
      <c r="KQF1894" t="s">
        <v>5778</v>
      </c>
      <c r="KQG1894" t="s">
        <v>5778</v>
      </c>
      <c r="KQH1894" t="s">
        <v>5779</v>
      </c>
      <c r="KQK1894">
        <v>44583</v>
      </c>
      <c r="KQL1894">
        <v>0</v>
      </c>
      <c r="KQM1894" t="s">
        <v>5778</v>
      </c>
      <c r="KQN1894" t="s">
        <v>5778</v>
      </c>
      <c r="KQO1894" t="s">
        <v>5778</v>
      </c>
      <c r="KQP1894" t="s">
        <v>5779</v>
      </c>
      <c r="KQS1894">
        <v>44583</v>
      </c>
      <c r="KQT1894">
        <v>0</v>
      </c>
      <c r="KQU1894" t="s">
        <v>5778</v>
      </c>
      <c r="KQV1894" t="s">
        <v>5778</v>
      </c>
      <c r="KQW1894" t="s">
        <v>5778</v>
      </c>
      <c r="KQX1894" t="s">
        <v>5779</v>
      </c>
      <c r="KRA1894">
        <v>44583</v>
      </c>
      <c r="KRB1894">
        <v>0</v>
      </c>
      <c r="KRC1894" t="s">
        <v>5778</v>
      </c>
      <c r="KRD1894" t="s">
        <v>5778</v>
      </c>
      <c r="KRE1894" t="s">
        <v>5778</v>
      </c>
      <c r="KRF1894" t="s">
        <v>5779</v>
      </c>
      <c r="KRI1894">
        <v>44583</v>
      </c>
      <c r="KRJ1894">
        <v>0</v>
      </c>
      <c r="KRK1894" t="s">
        <v>5778</v>
      </c>
      <c r="KRL1894" t="s">
        <v>5778</v>
      </c>
      <c r="KRM1894" t="s">
        <v>5778</v>
      </c>
      <c r="KRN1894" t="s">
        <v>5779</v>
      </c>
      <c r="KRQ1894">
        <v>44583</v>
      </c>
      <c r="KRR1894">
        <v>0</v>
      </c>
      <c r="KRS1894" t="s">
        <v>5778</v>
      </c>
      <c r="KRT1894" t="s">
        <v>5778</v>
      </c>
      <c r="KRU1894" t="s">
        <v>5778</v>
      </c>
      <c r="KRV1894" t="s">
        <v>5779</v>
      </c>
      <c r="KRY1894">
        <v>44583</v>
      </c>
      <c r="KRZ1894">
        <v>0</v>
      </c>
      <c r="KSA1894" t="s">
        <v>5778</v>
      </c>
      <c r="KSB1894" t="s">
        <v>5778</v>
      </c>
      <c r="KSC1894" t="s">
        <v>5778</v>
      </c>
      <c r="KSD1894" t="s">
        <v>5779</v>
      </c>
      <c r="KSG1894">
        <v>44583</v>
      </c>
      <c r="KSH1894">
        <v>0</v>
      </c>
      <c r="KSI1894" t="s">
        <v>5778</v>
      </c>
      <c r="KSJ1894" t="s">
        <v>5778</v>
      </c>
      <c r="KSK1894" t="s">
        <v>5778</v>
      </c>
      <c r="KSL1894" t="s">
        <v>5779</v>
      </c>
      <c r="KSO1894">
        <v>44583</v>
      </c>
      <c r="KSP1894">
        <v>0</v>
      </c>
      <c r="KSQ1894" t="s">
        <v>5778</v>
      </c>
      <c r="KSR1894" t="s">
        <v>5778</v>
      </c>
      <c r="KSS1894" t="s">
        <v>5778</v>
      </c>
      <c r="KST1894" t="s">
        <v>5779</v>
      </c>
      <c r="KSW1894">
        <v>44583</v>
      </c>
      <c r="KSX1894">
        <v>0</v>
      </c>
      <c r="KSY1894" t="s">
        <v>5778</v>
      </c>
      <c r="KSZ1894" t="s">
        <v>5778</v>
      </c>
      <c r="KTA1894" t="s">
        <v>5778</v>
      </c>
      <c r="KTB1894" t="s">
        <v>5779</v>
      </c>
      <c r="KTE1894">
        <v>44583</v>
      </c>
      <c r="KTF1894">
        <v>0</v>
      </c>
      <c r="KTG1894" t="s">
        <v>5778</v>
      </c>
      <c r="KTH1894" t="s">
        <v>5778</v>
      </c>
      <c r="KTI1894" t="s">
        <v>5778</v>
      </c>
      <c r="KTJ1894" t="s">
        <v>5779</v>
      </c>
      <c r="KTM1894">
        <v>44583</v>
      </c>
      <c r="KTN1894">
        <v>0</v>
      </c>
      <c r="KTO1894" t="s">
        <v>5778</v>
      </c>
      <c r="KTP1894" t="s">
        <v>5778</v>
      </c>
      <c r="KTQ1894" t="s">
        <v>5778</v>
      </c>
      <c r="KTR1894" t="s">
        <v>5779</v>
      </c>
      <c r="KTU1894">
        <v>44583</v>
      </c>
      <c r="KTV1894">
        <v>0</v>
      </c>
      <c r="KTW1894" t="s">
        <v>5778</v>
      </c>
      <c r="KTX1894" t="s">
        <v>5778</v>
      </c>
      <c r="KTY1894" t="s">
        <v>5778</v>
      </c>
      <c r="KTZ1894" t="s">
        <v>5779</v>
      </c>
      <c r="KUC1894">
        <v>44583</v>
      </c>
      <c r="KUD1894">
        <v>0</v>
      </c>
      <c r="KUE1894" t="s">
        <v>5778</v>
      </c>
      <c r="KUF1894" t="s">
        <v>5778</v>
      </c>
      <c r="KUG1894" t="s">
        <v>5778</v>
      </c>
      <c r="KUH1894" t="s">
        <v>5779</v>
      </c>
      <c r="KUK1894">
        <v>44583</v>
      </c>
      <c r="KUL1894">
        <v>0</v>
      </c>
      <c r="KUM1894" t="s">
        <v>5778</v>
      </c>
      <c r="KUN1894" t="s">
        <v>5778</v>
      </c>
      <c r="KUO1894" t="s">
        <v>5778</v>
      </c>
      <c r="KUP1894" t="s">
        <v>5779</v>
      </c>
      <c r="KUS1894">
        <v>44583</v>
      </c>
      <c r="KUT1894">
        <v>0</v>
      </c>
      <c r="KUU1894" t="s">
        <v>5778</v>
      </c>
      <c r="KUV1894" t="s">
        <v>5778</v>
      </c>
      <c r="KUW1894" t="s">
        <v>5778</v>
      </c>
      <c r="KUX1894" t="s">
        <v>5779</v>
      </c>
      <c r="KVA1894">
        <v>44583</v>
      </c>
      <c r="KVB1894">
        <v>0</v>
      </c>
      <c r="KVC1894" t="s">
        <v>5778</v>
      </c>
      <c r="KVD1894" t="s">
        <v>5778</v>
      </c>
      <c r="KVE1894" t="s">
        <v>5778</v>
      </c>
      <c r="KVF1894" t="s">
        <v>5779</v>
      </c>
      <c r="KVI1894">
        <v>44583</v>
      </c>
      <c r="KVJ1894">
        <v>0</v>
      </c>
      <c r="KVK1894" t="s">
        <v>5778</v>
      </c>
      <c r="KVL1894" t="s">
        <v>5778</v>
      </c>
      <c r="KVM1894" t="s">
        <v>5778</v>
      </c>
      <c r="KVN1894" t="s">
        <v>5779</v>
      </c>
      <c r="KVQ1894">
        <v>44583</v>
      </c>
      <c r="KVR1894">
        <v>0</v>
      </c>
      <c r="KVS1894" t="s">
        <v>5778</v>
      </c>
      <c r="KVT1894" t="s">
        <v>5778</v>
      </c>
      <c r="KVU1894" t="s">
        <v>5778</v>
      </c>
      <c r="KVV1894" t="s">
        <v>5779</v>
      </c>
      <c r="KVY1894">
        <v>44583</v>
      </c>
      <c r="KVZ1894">
        <v>0</v>
      </c>
      <c r="KWA1894" t="s">
        <v>5778</v>
      </c>
      <c r="KWB1894" t="s">
        <v>5778</v>
      </c>
      <c r="KWC1894" t="s">
        <v>5778</v>
      </c>
      <c r="KWD1894" t="s">
        <v>5779</v>
      </c>
      <c r="KWG1894">
        <v>44583</v>
      </c>
      <c r="KWH1894">
        <v>0</v>
      </c>
      <c r="KWI1894" t="s">
        <v>5778</v>
      </c>
      <c r="KWJ1894" t="s">
        <v>5778</v>
      </c>
      <c r="KWK1894" t="s">
        <v>5778</v>
      </c>
      <c r="KWL1894" t="s">
        <v>5779</v>
      </c>
      <c r="KWO1894">
        <v>44583</v>
      </c>
      <c r="KWP1894">
        <v>0</v>
      </c>
      <c r="KWQ1894" t="s">
        <v>5778</v>
      </c>
      <c r="KWR1894" t="s">
        <v>5778</v>
      </c>
      <c r="KWS1894" t="s">
        <v>5778</v>
      </c>
      <c r="KWT1894" t="s">
        <v>5779</v>
      </c>
      <c r="KWW1894">
        <v>44583</v>
      </c>
      <c r="KWX1894">
        <v>0</v>
      </c>
      <c r="KWY1894" t="s">
        <v>5778</v>
      </c>
      <c r="KWZ1894" t="s">
        <v>5778</v>
      </c>
      <c r="KXA1894" t="s">
        <v>5778</v>
      </c>
      <c r="KXB1894" t="s">
        <v>5779</v>
      </c>
      <c r="KXE1894">
        <v>44583</v>
      </c>
      <c r="KXF1894">
        <v>0</v>
      </c>
      <c r="KXG1894" t="s">
        <v>5778</v>
      </c>
      <c r="KXH1894" t="s">
        <v>5778</v>
      </c>
      <c r="KXI1894" t="s">
        <v>5778</v>
      </c>
      <c r="KXJ1894" t="s">
        <v>5779</v>
      </c>
      <c r="KXM1894">
        <v>44583</v>
      </c>
      <c r="KXN1894">
        <v>0</v>
      </c>
      <c r="KXO1894" t="s">
        <v>5778</v>
      </c>
      <c r="KXP1894" t="s">
        <v>5778</v>
      </c>
      <c r="KXQ1894" t="s">
        <v>5778</v>
      </c>
      <c r="KXR1894" t="s">
        <v>5779</v>
      </c>
      <c r="KXU1894">
        <v>44583</v>
      </c>
      <c r="KXV1894">
        <v>0</v>
      </c>
      <c r="KXW1894" t="s">
        <v>5778</v>
      </c>
      <c r="KXX1894" t="s">
        <v>5778</v>
      </c>
      <c r="KXY1894" t="s">
        <v>5778</v>
      </c>
      <c r="KXZ1894" t="s">
        <v>5779</v>
      </c>
      <c r="KYC1894">
        <v>44583</v>
      </c>
      <c r="KYD1894">
        <v>0</v>
      </c>
      <c r="KYE1894" t="s">
        <v>5778</v>
      </c>
      <c r="KYF1894" t="s">
        <v>5778</v>
      </c>
      <c r="KYG1894" t="s">
        <v>5778</v>
      </c>
      <c r="KYH1894" t="s">
        <v>5779</v>
      </c>
      <c r="KYK1894">
        <v>44583</v>
      </c>
      <c r="KYL1894">
        <v>0</v>
      </c>
      <c r="KYM1894" t="s">
        <v>5778</v>
      </c>
      <c r="KYN1894" t="s">
        <v>5778</v>
      </c>
      <c r="KYO1894" t="s">
        <v>5778</v>
      </c>
      <c r="KYP1894" t="s">
        <v>5779</v>
      </c>
      <c r="KYS1894">
        <v>44583</v>
      </c>
      <c r="KYT1894">
        <v>0</v>
      </c>
      <c r="KYU1894" t="s">
        <v>5778</v>
      </c>
      <c r="KYV1894" t="s">
        <v>5778</v>
      </c>
      <c r="KYW1894" t="s">
        <v>5778</v>
      </c>
      <c r="KYX1894" t="s">
        <v>5779</v>
      </c>
      <c r="KZA1894">
        <v>44583</v>
      </c>
      <c r="KZB1894">
        <v>0</v>
      </c>
      <c r="KZC1894" t="s">
        <v>5778</v>
      </c>
      <c r="KZD1894" t="s">
        <v>5778</v>
      </c>
      <c r="KZE1894" t="s">
        <v>5778</v>
      </c>
      <c r="KZF1894" t="s">
        <v>5779</v>
      </c>
      <c r="KZI1894">
        <v>44583</v>
      </c>
      <c r="KZJ1894">
        <v>0</v>
      </c>
      <c r="KZK1894" t="s">
        <v>5778</v>
      </c>
      <c r="KZL1894" t="s">
        <v>5778</v>
      </c>
      <c r="KZM1894" t="s">
        <v>5778</v>
      </c>
      <c r="KZN1894" t="s">
        <v>5779</v>
      </c>
      <c r="KZQ1894">
        <v>44583</v>
      </c>
      <c r="KZR1894">
        <v>0</v>
      </c>
      <c r="KZS1894" t="s">
        <v>5778</v>
      </c>
      <c r="KZT1894" t="s">
        <v>5778</v>
      </c>
      <c r="KZU1894" t="s">
        <v>5778</v>
      </c>
      <c r="KZV1894" t="s">
        <v>5779</v>
      </c>
      <c r="KZY1894">
        <v>44583</v>
      </c>
      <c r="KZZ1894">
        <v>0</v>
      </c>
      <c r="LAA1894" t="s">
        <v>5778</v>
      </c>
      <c r="LAB1894" t="s">
        <v>5778</v>
      </c>
      <c r="LAC1894" t="s">
        <v>5778</v>
      </c>
      <c r="LAD1894" t="s">
        <v>5779</v>
      </c>
      <c r="LAG1894">
        <v>44583</v>
      </c>
      <c r="LAH1894">
        <v>0</v>
      </c>
      <c r="LAI1894" t="s">
        <v>5778</v>
      </c>
      <c r="LAJ1894" t="s">
        <v>5778</v>
      </c>
      <c r="LAK1894" t="s">
        <v>5778</v>
      </c>
      <c r="LAL1894" t="s">
        <v>5779</v>
      </c>
      <c r="LAO1894">
        <v>44583</v>
      </c>
      <c r="LAP1894">
        <v>0</v>
      </c>
      <c r="LAQ1894" t="s">
        <v>5778</v>
      </c>
      <c r="LAR1894" t="s">
        <v>5778</v>
      </c>
      <c r="LAS1894" t="s">
        <v>5778</v>
      </c>
      <c r="LAT1894" t="s">
        <v>5779</v>
      </c>
      <c r="LAW1894">
        <v>44583</v>
      </c>
      <c r="LAX1894">
        <v>0</v>
      </c>
      <c r="LAY1894" t="s">
        <v>5778</v>
      </c>
      <c r="LAZ1894" t="s">
        <v>5778</v>
      </c>
      <c r="LBA1894" t="s">
        <v>5778</v>
      </c>
      <c r="LBB1894" t="s">
        <v>5779</v>
      </c>
      <c r="LBE1894">
        <v>44583</v>
      </c>
      <c r="LBF1894">
        <v>0</v>
      </c>
      <c r="LBG1894" t="s">
        <v>5778</v>
      </c>
      <c r="LBH1894" t="s">
        <v>5778</v>
      </c>
      <c r="LBI1894" t="s">
        <v>5778</v>
      </c>
      <c r="LBJ1894" t="s">
        <v>5779</v>
      </c>
      <c r="LBM1894">
        <v>44583</v>
      </c>
      <c r="LBN1894">
        <v>0</v>
      </c>
      <c r="LBO1894" t="s">
        <v>5778</v>
      </c>
      <c r="LBP1894" t="s">
        <v>5778</v>
      </c>
      <c r="LBQ1894" t="s">
        <v>5778</v>
      </c>
      <c r="LBR1894" t="s">
        <v>5779</v>
      </c>
      <c r="LBU1894">
        <v>44583</v>
      </c>
      <c r="LBV1894">
        <v>0</v>
      </c>
      <c r="LBW1894" t="s">
        <v>5778</v>
      </c>
      <c r="LBX1894" t="s">
        <v>5778</v>
      </c>
      <c r="LBY1894" t="s">
        <v>5778</v>
      </c>
      <c r="LBZ1894" t="s">
        <v>5779</v>
      </c>
      <c r="LCC1894">
        <v>44583</v>
      </c>
      <c r="LCD1894">
        <v>0</v>
      </c>
      <c r="LCE1894" t="s">
        <v>5778</v>
      </c>
      <c r="LCF1894" t="s">
        <v>5778</v>
      </c>
      <c r="LCG1894" t="s">
        <v>5778</v>
      </c>
      <c r="LCH1894" t="s">
        <v>5779</v>
      </c>
      <c r="LCK1894">
        <v>44583</v>
      </c>
      <c r="LCL1894">
        <v>0</v>
      </c>
      <c r="LCM1894" t="s">
        <v>5778</v>
      </c>
      <c r="LCN1894" t="s">
        <v>5778</v>
      </c>
      <c r="LCO1894" t="s">
        <v>5778</v>
      </c>
      <c r="LCP1894" t="s">
        <v>5779</v>
      </c>
      <c r="LCS1894">
        <v>44583</v>
      </c>
      <c r="LCT1894">
        <v>0</v>
      </c>
      <c r="LCU1894" t="s">
        <v>5778</v>
      </c>
      <c r="LCV1894" t="s">
        <v>5778</v>
      </c>
      <c r="LCW1894" t="s">
        <v>5778</v>
      </c>
      <c r="LCX1894" t="s">
        <v>5779</v>
      </c>
      <c r="LDA1894">
        <v>44583</v>
      </c>
      <c r="LDB1894">
        <v>0</v>
      </c>
      <c r="LDC1894" t="s">
        <v>5778</v>
      </c>
      <c r="LDD1894" t="s">
        <v>5778</v>
      </c>
      <c r="LDE1894" t="s">
        <v>5778</v>
      </c>
      <c r="LDF1894" t="s">
        <v>5779</v>
      </c>
      <c r="LDI1894">
        <v>44583</v>
      </c>
      <c r="LDJ1894">
        <v>0</v>
      </c>
      <c r="LDK1894" t="s">
        <v>5778</v>
      </c>
      <c r="LDL1894" t="s">
        <v>5778</v>
      </c>
      <c r="LDM1894" t="s">
        <v>5778</v>
      </c>
      <c r="LDN1894" t="s">
        <v>5779</v>
      </c>
      <c r="LDQ1894">
        <v>44583</v>
      </c>
      <c r="LDR1894">
        <v>0</v>
      </c>
      <c r="LDS1894" t="s">
        <v>5778</v>
      </c>
      <c r="LDT1894" t="s">
        <v>5778</v>
      </c>
      <c r="LDU1894" t="s">
        <v>5778</v>
      </c>
      <c r="LDV1894" t="s">
        <v>5779</v>
      </c>
      <c r="LDY1894">
        <v>44583</v>
      </c>
      <c r="LDZ1894">
        <v>0</v>
      </c>
      <c r="LEA1894" t="s">
        <v>5778</v>
      </c>
      <c r="LEB1894" t="s">
        <v>5778</v>
      </c>
      <c r="LEC1894" t="s">
        <v>5778</v>
      </c>
      <c r="LED1894" t="s">
        <v>5779</v>
      </c>
      <c r="LEG1894">
        <v>44583</v>
      </c>
      <c r="LEH1894">
        <v>0</v>
      </c>
      <c r="LEI1894" t="s">
        <v>5778</v>
      </c>
      <c r="LEJ1894" t="s">
        <v>5778</v>
      </c>
      <c r="LEK1894" t="s">
        <v>5778</v>
      </c>
      <c r="LEL1894" t="s">
        <v>5779</v>
      </c>
      <c r="LEO1894">
        <v>44583</v>
      </c>
      <c r="LEP1894">
        <v>0</v>
      </c>
      <c r="LEQ1894" t="s">
        <v>5778</v>
      </c>
      <c r="LER1894" t="s">
        <v>5778</v>
      </c>
      <c r="LES1894" t="s">
        <v>5778</v>
      </c>
      <c r="LET1894" t="s">
        <v>5779</v>
      </c>
      <c r="LEW1894">
        <v>44583</v>
      </c>
      <c r="LEX1894">
        <v>0</v>
      </c>
      <c r="LEY1894" t="s">
        <v>5778</v>
      </c>
      <c r="LEZ1894" t="s">
        <v>5778</v>
      </c>
      <c r="LFA1894" t="s">
        <v>5778</v>
      </c>
      <c r="LFB1894" t="s">
        <v>5779</v>
      </c>
      <c r="LFE1894">
        <v>44583</v>
      </c>
      <c r="LFF1894">
        <v>0</v>
      </c>
      <c r="LFG1894" t="s">
        <v>5778</v>
      </c>
      <c r="LFH1894" t="s">
        <v>5778</v>
      </c>
      <c r="LFI1894" t="s">
        <v>5778</v>
      </c>
      <c r="LFJ1894" t="s">
        <v>5779</v>
      </c>
      <c r="LFM1894">
        <v>44583</v>
      </c>
      <c r="LFN1894">
        <v>0</v>
      </c>
      <c r="LFO1894" t="s">
        <v>5778</v>
      </c>
      <c r="LFP1894" t="s">
        <v>5778</v>
      </c>
      <c r="LFQ1894" t="s">
        <v>5778</v>
      </c>
      <c r="LFR1894" t="s">
        <v>5779</v>
      </c>
      <c r="LFU1894">
        <v>44583</v>
      </c>
      <c r="LFV1894">
        <v>0</v>
      </c>
      <c r="LFW1894" t="s">
        <v>5778</v>
      </c>
      <c r="LFX1894" t="s">
        <v>5778</v>
      </c>
      <c r="LFY1894" t="s">
        <v>5778</v>
      </c>
      <c r="LFZ1894" t="s">
        <v>5779</v>
      </c>
      <c r="LGC1894">
        <v>44583</v>
      </c>
      <c r="LGD1894">
        <v>0</v>
      </c>
      <c r="LGE1894" t="s">
        <v>5778</v>
      </c>
      <c r="LGF1894" t="s">
        <v>5778</v>
      </c>
      <c r="LGG1894" t="s">
        <v>5778</v>
      </c>
      <c r="LGH1894" t="s">
        <v>5779</v>
      </c>
      <c r="LGK1894">
        <v>44583</v>
      </c>
      <c r="LGL1894">
        <v>0</v>
      </c>
      <c r="LGM1894" t="s">
        <v>5778</v>
      </c>
      <c r="LGN1894" t="s">
        <v>5778</v>
      </c>
      <c r="LGO1894" t="s">
        <v>5778</v>
      </c>
      <c r="LGP1894" t="s">
        <v>5779</v>
      </c>
      <c r="LGS1894">
        <v>44583</v>
      </c>
      <c r="LGT1894">
        <v>0</v>
      </c>
      <c r="LGU1894" t="s">
        <v>5778</v>
      </c>
      <c r="LGV1894" t="s">
        <v>5778</v>
      </c>
      <c r="LGW1894" t="s">
        <v>5778</v>
      </c>
      <c r="LGX1894" t="s">
        <v>5779</v>
      </c>
      <c r="LHA1894">
        <v>44583</v>
      </c>
      <c r="LHB1894">
        <v>0</v>
      </c>
      <c r="LHC1894" t="s">
        <v>5778</v>
      </c>
      <c r="LHD1894" t="s">
        <v>5778</v>
      </c>
      <c r="LHE1894" t="s">
        <v>5778</v>
      </c>
      <c r="LHF1894" t="s">
        <v>5779</v>
      </c>
      <c r="LHI1894">
        <v>44583</v>
      </c>
      <c r="LHJ1894">
        <v>0</v>
      </c>
      <c r="LHK1894" t="s">
        <v>5778</v>
      </c>
      <c r="LHL1894" t="s">
        <v>5778</v>
      </c>
      <c r="LHM1894" t="s">
        <v>5778</v>
      </c>
      <c r="LHN1894" t="s">
        <v>5779</v>
      </c>
      <c r="LHQ1894">
        <v>44583</v>
      </c>
      <c r="LHR1894">
        <v>0</v>
      </c>
      <c r="LHS1894" t="s">
        <v>5778</v>
      </c>
      <c r="LHT1894" t="s">
        <v>5778</v>
      </c>
      <c r="LHU1894" t="s">
        <v>5778</v>
      </c>
      <c r="LHV1894" t="s">
        <v>5779</v>
      </c>
      <c r="LHY1894">
        <v>44583</v>
      </c>
      <c r="LHZ1894">
        <v>0</v>
      </c>
      <c r="LIA1894" t="s">
        <v>5778</v>
      </c>
      <c r="LIB1894" t="s">
        <v>5778</v>
      </c>
      <c r="LIC1894" t="s">
        <v>5778</v>
      </c>
      <c r="LID1894" t="s">
        <v>5779</v>
      </c>
      <c r="LIG1894">
        <v>44583</v>
      </c>
      <c r="LIH1894">
        <v>0</v>
      </c>
      <c r="LII1894" t="s">
        <v>5778</v>
      </c>
      <c r="LIJ1894" t="s">
        <v>5778</v>
      </c>
      <c r="LIK1894" t="s">
        <v>5778</v>
      </c>
      <c r="LIL1894" t="s">
        <v>5779</v>
      </c>
      <c r="LIO1894">
        <v>44583</v>
      </c>
      <c r="LIP1894">
        <v>0</v>
      </c>
      <c r="LIQ1894" t="s">
        <v>5778</v>
      </c>
      <c r="LIR1894" t="s">
        <v>5778</v>
      </c>
      <c r="LIS1894" t="s">
        <v>5778</v>
      </c>
      <c r="LIT1894" t="s">
        <v>5779</v>
      </c>
      <c r="LIW1894">
        <v>44583</v>
      </c>
      <c r="LIX1894">
        <v>0</v>
      </c>
      <c r="LIY1894" t="s">
        <v>5778</v>
      </c>
      <c r="LIZ1894" t="s">
        <v>5778</v>
      </c>
      <c r="LJA1894" t="s">
        <v>5778</v>
      </c>
      <c r="LJB1894" t="s">
        <v>5779</v>
      </c>
      <c r="LJE1894">
        <v>44583</v>
      </c>
      <c r="LJF1894">
        <v>0</v>
      </c>
      <c r="LJG1894" t="s">
        <v>5778</v>
      </c>
      <c r="LJH1894" t="s">
        <v>5778</v>
      </c>
      <c r="LJI1894" t="s">
        <v>5778</v>
      </c>
      <c r="LJJ1894" t="s">
        <v>5779</v>
      </c>
      <c r="LJM1894">
        <v>44583</v>
      </c>
      <c r="LJN1894">
        <v>0</v>
      </c>
      <c r="LJO1894" t="s">
        <v>5778</v>
      </c>
      <c r="LJP1894" t="s">
        <v>5778</v>
      </c>
      <c r="LJQ1894" t="s">
        <v>5778</v>
      </c>
      <c r="LJR1894" t="s">
        <v>5779</v>
      </c>
      <c r="LJU1894">
        <v>44583</v>
      </c>
      <c r="LJV1894">
        <v>0</v>
      </c>
      <c r="LJW1894" t="s">
        <v>5778</v>
      </c>
      <c r="LJX1894" t="s">
        <v>5778</v>
      </c>
      <c r="LJY1894" t="s">
        <v>5778</v>
      </c>
      <c r="LJZ1894" t="s">
        <v>5779</v>
      </c>
      <c r="LKC1894">
        <v>44583</v>
      </c>
      <c r="LKD1894">
        <v>0</v>
      </c>
      <c r="LKE1894" t="s">
        <v>5778</v>
      </c>
      <c r="LKF1894" t="s">
        <v>5778</v>
      </c>
      <c r="LKG1894" t="s">
        <v>5778</v>
      </c>
      <c r="LKH1894" t="s">
        <v>5779</v>
      </c>
      <c r="LKK1894">
        <v>44583</v>
      </c>
      <c r="LKL1894">
        <v>0</v>
      </c>
      <c r="LKM1894" t="s">
        <v>5778</v>
      </c>
      <c r="LKN1894" t="s">
        <v>5778</v>
      </c>
      <c r="LKO1894" t="s">
        <v>5778</v>
      </c>
      <c r="LKP1894" t="s">
        <v>5779</v>
      </c>
      <c r="LKS1894">
        <v>44583</v>
      </c>
      <c r="LKT1894">
        <v>0</v>
      </c>
      <c r="LKU1894" t="s">
        <v>5778</v>
      </c>
      <c r="LKV1894" t="s">
        <v>5778</v>
      </c>
      <c r="LKW1894" t="s">
        <v>5778</v>
      </c>
      <c r="LKX1894" t="s">
        <v>5779</v>
      </c>
      <c r="LLA1894">
        <v>44583</v>
      </c>
      <c r="LLB1894">
        <v>0</v>
      </c>
      <c r="LLC1894" t="s">
        <v>5778</v>
      </c>
      <c r="LLD1894" t="s">
        <v>5778</v>
      </c>
      <c r="LLE1894" t="s">
        <v>5778</v>
      </c>
      <c r="LLF1894" t="s">
        <v>5779</v>
      </c>
      <c r="LLI1894">
        <v>44583</v>
      </c>
      <c r="LLJ1894">
        <v>0</v>
      </c>
      <c r="LLK1894" t="s">
        <v>5778</v>
      </c>
      <c r="LLL1894" t="s">
        <v>5778</v>
      </c>
      <c r="LLM1894" t="s">
        <v>5778</v>
      </c>
      <c r="LLN1894" t="s">
        <v>5779</v>
      </c>
      <c r="LLQ1894">
        <v>44583</v>
      </c>
      <c r="LLR1894">
        <v>0</v>
      </c>
      <c r="LLS1894" t="s">
        <v>5778</v>
      </c>
      <c r="LLT1894" t="s">
        <v>5778</v>
      </c>
      <c r="LLU1894" t="s">
        <v>5778</v>
      </c>
      <c r="LLV1894" t="s">
        <v>5779</v>
      </c>
      <c r="LLY1894">
        <v>44583</v>
      </c>
      <c r="LLZ1894">
        <v>0</v>
      </c>
      <c r="LMA1894" t="s">
        <v>5778</v>
      </c>
      <c r="LMB1894" t="s">
        <v>5778</v>
      </c>
      <c r="LMC1894" t="s">
        <v>5778</v>
      </c>
      <c r="LMD1894" t="s">
        <v>5779</v>
      </c>
      <c r="LMG1894">
        <v>44583</v>
      </c>
      <c r="LMH1894">
        <v>0</v>
      </c>
      <c r="LMI1894" t="s">
        <v>5778</v>
      </c>
      <c r="LMJ1894" t="s">
        <v>5778</v>
      </c>
      <c r="LMK1894" t="s">
        <v>5778</v>
      </c>
      <c r="LML1894" t="s">
        <v>5779</v>
      </c>
      <c r="LMO1894">
        <v>44583</v>
      </c>
      <c r="LMP1894">
        <v>0</v>
      </c>
      <c r="LMQ1894" t="s">
        <v>5778</v>
      </c>
      <c r="LMR1894" t="s">
        <v>5778</v>
      </c>
      <c r="LMS1894" t="s">
        <v>5778</v>
      </c>
      <c r="LMT1894" t="s">
        <v>5779</v>
      </c>
      <c r="LMW1894">
        <v>44583</v>
      </c>
      <c r="LMX1894">
        <v>0</v>
      </c>
      <c r="LMY1894" t="s">
        <v>5778</v>
      </c>
      <c r="LMZ1894" t="s">
        <v>5778</v>
      </c>
      <c r="LNA1894" t="s">
        <v>5778</v>
      </c>
      <c r="LNB1894" t="s">
        <v>5779</v>
      </c>
      <c r="LNE1894">
        <v>44583</v>
      </c>
      <c r="LNF1894">
        <v>0</v>
      </c>
      <c r="LNG1894" t="s">
        <v>5778</v>
      </c>
      <c r="LNH1894" t="s">
        <v>5778</v>
      </c>
      <c r="LNI1894" t="s">
        <v>5778</v>
      </c>
      <c r="LNJ1894" t="s">
        <v>5779</v>
      </c>
      <c r="LNM1894">
        <v>44583</v>
      </c>
      <c r="LNN1894">
        <v>0</v>
      </c>
      <c r="LNO1894" t="s">
        <v>5778</v>
      </c>
      <c r="LNP1894" t="s">
        <v>5778</v>
      </c>
      <c r="LNQ1894" t="s">
        <v>5778</v>
      </c>
      <c r="LNR1894" t="s">
        <v>5779</v>
      </c>
      <c r="LNU1894">
        <v>44583</v>
      </c>
      <c r="LNV1894">
        <v>0</v>
      </c>
      <c r="LNW1894" t="s">
        <v>5778</v>
      </c>
      <c r="LNX1894" t="s">
        <v>5778</v>
      </c>
      <c r="LNY1894" t="s">
        <v>5778</v>
      </c>
      <c r="LNZ1894" t="s">
        <v>5779</v>
      </c>
      <c r="LOC1894">
        <v>44583</v>
      </c>
      <c r="LOD1894">
        <v>0</v>
      </c>
      <c r="LOE1894" t="s">
        <v>5778</v>
      </c>
      <c r="LOF1894" t="s">
        <v>5778</v>
      </c>
      <c r="LOG1894" t="s">
        <v>5778</v>
      </c>
      <c r="LOH1894" t="s">
        <v>5779</v>
      </c>
      <c r="LOK1894">
        <v>44583</v>
      </c>
      <c r="LOL1894">
        <v>0</v>
      </c>
      <c r="LOM1894" t="s">
        <v>5778</v>
      </c>
      <c r="LON1894" t="s">
        <v>5778</v>
      </c>
      <c r="LOO1894" t="s">
        <v>5778</v>
      </c>
      <c r="LOP1894" t="s">
        <v>5779</v>
      </c>
      <c r="LOS1894">
        <v>44583</v>
      </c>
      <c r="LOT1894">
        <v>0</v>
      </c>
      <c r="LOU1894" t="s">
        <v>5778</v>
      </c>
      <c r="LOV1894" t="s">
        <v>5778</v>
      </c>
      <c r="LOW1894" t="s">
        <v>5778</v>
      </c>
      <c r="LOX1894" t="s">
        <v>5779</v>
      </c>
      <c r="LPA1894">
        <v>44583</v>
      </c>
      <c r="LPB1894">
        <v>0</v>
      </c>
      <c r="LPC1894" t="s">
        <v>5778</v>
      </c>
      <c r="LPD1894" t="s">
        <v>5778</v>
      </c>
      <c r="LPE1894" t="s">
        <v>5778</v>
      </c>
      <c r="LPF1894" t="s">
        <v>5779</v>
      </c>
      <c r="LPI1894">
        <v>44583</v>
      </c>
      <c r="LPJ1894">
        <v>0</v>
      </c>
      <c r="LPK1894" t="s">
        <v>5778</v>
      </c>
      <c r="LPL1894" t="s">
        <v>5778</v>
      </c>
      <c r="LPM1894" t="s">
        <v>5778</v>
      </c>
      <c r="LPN1894" t="s">
        <v>5779</v>
      </c>
      <c r="LPQ1894">
        <v>44583</v>
      </c>
      <c r="LPR1894">
        <v>0</v>
      </c>
      <c r="LPS1894" t="s">
        <v>5778</v>
      </c>
      <c r="LPT1894" t="s">
        <v>5778</v>
      </c>
      <c r="LPU1894" t="s">
        <v>5778</v>
      </c>
      <c r="LPV1894" t="s">
        <v>5779</v>
      </c>
      <c r="LPY1894">
        <v>44583</v>
      </c>
      <c r="LPZ1894">
        <v>0</v>
      </c>
      <c r="LQA1894" t="s">
        <v>5778</v>
      </c>
      <c r="LQB1894" t="s">
        <v>5778</v>
      </c>
      <c r="LQC1894" t="s">
        <v>5778</v>
      </c>
      <c r="LQD1894" t="s">
        <v>5779</v>
      </c>
      <c r="LQG1894">
        <v>44583</v>
      </c>
      <c r="LQH1894">
        <v>0</v>
      </c>
      <c r="LQI1894" t="s">
        <v>5778</v>
      </c>
      <c r="LQJ1894" t="s">
        <v>5778</v>
      </c>
      <c r="LQK1894" t="s">
        <v>5778</v>
      </c>
      <c r="LQL1894" t="s">
        <v>5779</v>
      </c>
      <c r="LQO1894">
        <v>44583</v>
      </c>
      <c r="LQP1894">
        <v>0</v>
      </c>
      <c r="LQQ1894" t="s">
        <v>5778</v>
      </c>
      <c r="LQR1894" t="s">
        <v>5778</v>
      </c>
      <c r="LQS1894" t="s">
        <v>5778</v>
      </c>
      <c r="LQT1894" t="s">
        <v>5779</v>
      </c>
      <c r="LQW1894">
        <v>44583</v>
      </c>
      <c r="LQX1894">
        <v>0</v>
      </c>
      <c r="LQY1894" t="s">
        <v>5778</v>
      </c>
      <c r="LQZ1894" t="s">
        <v>5778</v>
      </c>
      <c r="LRA1894" t="s">
        <v>5778</v>
      </c>
      <c r="LRB1894" t="s">
        <v>5779</v>
      </c>
      <c r="LRE1894">
        <v>44583</v>
      </c>
      <c r="LRF1894">
        <v>0</v>
      </c>
      <c r="LRG1894" t="s">
        <v>5778</v>
      </c>
      <c r="LRH1894" t="s">
        <v>5778</v>
      </c>
      <c r="LRI1894" t="s">
        <v>5778</v>
      </c>
      <c r="LRJ1894" t="s">
        <v>5779</v>
      </c>
      <c r="LRM1894">
        <v>44583</v>
      </c>
      <c r="LRN1894">
        <v>0</v>
      </c>
      <c r="LRO1894" t="s">
        <v>5778</v>
      </c>
      <c r="LRP1894" t="s">
        <v>5778</v>
      </c>
      <c r="LRQ1894" t="s">
        <v>5778</v>
      </c>
      <c r="LRR1894" t="s">
        <v>5779</v>
      </c>
      <c r="LRU1894">
        <v>44583</v>
      </c>
      <c r="LRV1894">
        <v>0</v>
      </c>
      <c r="LRW1894" t="s">
        <v>5778</v>
      </c>
      <c r="LRX1894" t="s">
        <v>5778</v>
      </c>
      <c r="LRY1894" t="s">
        <v>5778</v>
      </c>
      <c r="LRZ1894" t="s">
        <v>5779</v>
      </c>
      <c r="LSC1894">
        <v>44583</v>
      </c>
      <c r="LSD1894">
        <v>0</v>
      </c>
      <c r="LSE1894" t="s">
        <v>5778</v>
      </c>
      <c r="LSF1894" t="s">
        <v>5778</v>
      </c>
      <c r="LSG1894" t="s">
        <v>5778</v>
      </c>
      <c r="LSH1894" t="s">
        <v>5779</v>
      </c>
      <c r="LSK1894">
        <v>44583</v>
      </c>
      <c r="LSL1894">
        <v>0</v>
      </c>
      <c r="LSM1894" t="s">
        <v>5778</v>
      </c>
      <c r="LSN1894" t="s">
        <v>5778</v>
      </c>
      <c r="LSO1894" t="s">
        <v>5778</v>
      </c>
      <c r="LSP1894" t="s">
        <v>5779</v>
      </c>
      <c r="LSS1894">
        <v>44583</v>
      </c>
      <c r="LST1894">
        <v>0</v>
      </c>
      <c r="LSU1894" t="s">
        <v>5778</v>
      </c>
      <c r="LSV1894" t="s">
        <v>5778</v>
      </c>
      <c r="LSW1894" t="s">
        <v>5778</v>
      </c>
      <c r="LSX1894" t="s">
        <v>5779</v>
      </c>
      <c r="LTA1894">
        <v>44583</v>
      </c>
      <c r="LTB1894">
        <v>0</v>
      </c>
      <c r="LTC1894" t="s">
        <v>5778</v>
      </c>
      <c r="LTD1894" t="s">
        <v>5778</v>
      </c>
      <c r="LTE1894" t="s">
        <v>5778</v>
      </c>
      <c r="LTF1894" t="s">
        <v>5779</v>
      </c>
      <c r="LTI1894">
        <v>44583</v>
      </c>
      <c r="LTJ1894">
        <v>0</v>
      </c>
      <c r="LTK1894" t="s">
        <v>5778</v>
      </c>
      <c r="LTL1894" t="s">
        <v>5778</v>
      </c>
      <c r="LTM1894" t="s">
        <v>5778</v>
      </c>
      <c r="LTN1894" t="s">
        <v>5779</v>
      </c>
      <c r="LTQ1894">
        <v>44583</v>
      </c>
      <c r="LTR1894">
        <v>0</v>
      </c>
      <c r="LTS1894" t="s">
        <v>5778</v>
      </c>
      <c r="LTT1894" t="s">
        <v>5778</v>
      </c>
      <c r="LTU1894" t="s">
        <v>5778</v>
      </c>
      <c r="LTV1894" t="s">
        <v>5779</v>
      </c>
      <c r="LTY1894">
        <v>44583</v>
      </c>
      <c r="LTZ1894">
        <v>0</v>
      </c>
      <c r="LUA1894" t="s">
        <v>5778</v>
      </c>
      <c r="LUB1894" t="s">
        <v>5778</v>
      </c>
      <c r="LUC1894" t="s">
        <v>5778</v>
      </c>
      <c r="LUD1894" t="s">
        <v>5779</v>
      </c>
      <c r="LUG1894">
        <v>44583</v>
      </c>
      <c r="LUH1894">
        <v>0</v>
      </c>
      <c r="LUI1894" t="s">
        <v>5778</v>
      </c>
      <c r="LUJ1894" t="s">
        <v>5778</v>
      </c>
      <c r="LUK1894" t="s">
        <v>5778</v>
      </c>
      <c r="LUL1894" t="s">
        <v>5779</v>
      </c>
      <c r="LUO1894">
        <v>44583</v>
      </c>
      <c r="LUP1894">
        <v>0</v>
      </c>
      <c r="LUQ1894" t="s">
        <v>5778</v>
      </c>
      <c r="LUR1894" t="s">
        <v>5778</v>
      </c>
      <c r="LUS1894" t="s">
        <v>5778</v>
      </c>
      <c r="LUT1894" t="s">
        <v>5779</v>
      </c>
      <c r="LUW1894">
        <v>44583</v>
      </c>
      <c r="LUX1894">
        <v>0</v>
      </c>
      <c r="LUY1894" t="s">
        <v>5778</v>
      </c>
      <c r="LUZ1894" t="s">
        <v>5778</v>
      </c>
      <c r="LVA1894" t="s">
        <v>5778</v>
      </c>
      <c r="LVB1894" t="s">
        <v>5779</v>
      </c>
      <c r="LVE1894">
        <v>44583</v>
      </c>
      <c r="LVF1894">
        <v>0</v>
      </c>
      <c r="LVG1894" t="s">
        <v>5778</v>
      </c>
      <c r="LVH1894" t="s">
        <v>5778</v>
      </c>
      <c r="LVI1894" t="s">
        <v>5778</v>
      </c>
      <c r="LVJ1894" t="s">
        <v>5779</v>
      </c>
      <c r="LVM1894">
        <v>44583</v>
      </c>
      <c r="LVN1894">
        <v>0</v>
      </c>
      <c r="LVO1894" t="s">
        <v>5778</v>
      </c>
      <c r="LVP1894" t="s">
        <v>5778</v>
      </c>
      <c r="LVQ1894" t="s">
        <v>5778</v>
      </c>
      <c r="LVR1894" t="s">
        <v>5779</v>
      </c>
      <c r="LVU1894">
        <v>44583</v>
      </c>
      <c r="LVV1894">
        <v>0</v>
      </c>
      <c r="LVW1894" t="s">
        <v>5778</v>
      </c>
      <c r="LVX1894" t="s">
        <v>5778</v>
      </c>
      <c r="LVY1894" t="s">
        <v>5778</v>
      </c>
      <c r="LVZ1894" t="s">
        <v>5779</v>
      </c>
      <c r="LWC1894">
        <v>44583</v>
      </c>
      <c r="LWD1894">
        <v>0</v>
      </c>
      <c r="LWE1894" t="s">
        <v>5778</v>
      </c>
      <c r="LWF1894" t="s">
        <v>5778</v>
      </c>
      <c r="LWG1894" t="s">
        <v>5778</v>
      </c>
      <c r="LWH1894" t="s">
        <v>5779</v>
      </c>
      <c r="LWK1894">
        <v>44583</v>
      </c>
      <c r="LWL1894">
        <v>0</v>
      </c>
      <c r="LWM1894" t="s">
        <v>5778</v>
      </c>
      <c r="LWN1894" t="s">
        <v>5778</v>
      </c>
      <c r="LWO1894" t="s">
        <v>5778</v>
      </c>
      <c r="LWP1894" t="s">
        <v>5779</v>
      </c>
      <c r="LWS1894">
        <v>44583</v>
      </c>
      <c r="LWT1894">
        <v>0</v>
      </c>
      <c r="LWU1894" t="s">
        <v>5778</v>
      </c>
      <c r="LWV1894" t="s">
        <v>5778</v>
      </c>
      <c r="LWW1894" t="s">
        <v>5778</v>
      </c>
      <c r="LWX1894" t="s">
        <v>5779</v>
      </c>
      <c r="LXA1894">
        <v>44583</v>
      </c>
      <c r="LXB1894">
        <v>0</v>
      </c>
      <c r="LXC1894" t="s">
        <v>5778</v>
      </c>
      <c r="LXD1894" t="s">
        <v>5778</v>
      </c>
      <c r="LXE1894" t="s">
        <v>5778</v>
      </c>
      <c r="LXF1894" t="s">
        <v>5779</v>
      </c>
      <c r="LXI1894">
        <v>44583</v>
      </c>
      <c r="LXJ1894">
        <v>0</v>
      </c>
      <c r="LXK1894" t="s">
        <v>5778</v>
      </c>
      <c r="LXL1894" t="s">
        <v>5778</v>
      </c>
      <c r="LXM1894" t="s">
        <v>5778</v>
      </c>
      <c r="LXN1894" t="s">
        <v>5779</v>
      </c>
      <c r="LXQ1894">
        <v>44583</v>
      </c>
      <c r="LXR1894">
        <v>0</v>
      </c>
      <c r="LXS1894" t="s">
        <v>5778</v>
      </c>
      <c r="LXT1894" t="s">
        <v>5778</v>
      </c>
      <c r="LXU1894" t="s">
        <v>5778</v>
      </c>
      <c r="LXV1894" t="s">
        <v>5779</v>
      </c>
      <c r="LXY1894">
        <v>44583</v>
      </c>
      <c r="LXZ1894">
        <v>0</v>
      </c>
      <c r="LYA1894" t="s">
        <v>5778</v>
      </c>
      <c r="LYB1894" t="s">
        <v>5778</v>
      </c>
      <c r="LYC1894" t="s">
        <v>5778</v>
      </c>
      <c r="LYD1894" t="s">
        <v>5779</v>
      </c>
      <c r="LYG1894">
        <v>44583</v>
      </c>
      <c r="LYH1894">
        <v>0</v>
      </c>
      <c r="LYI1894" t="s">
        <v>5778</v>
      </c>
      <c r="LYJ1894" t="s">
        <v>5778</v>
      </c>
      <c r="LYK1894" t="s">
        <v>5778</v>
      </c>
      <c r="LYL1894" t="s">
        <v>5779</v>
      </c>
      <c r="LYO1894">
        <v>44583</v>
      </c>
      <c r="LYP1894">
        <v>0</v>
      </c>
      <c r="LYQ1894" t="s">
        <v>5778</v>
      </c>
      <c r="LYR1894" t="s">
        <v>5778</v>
      </c>
      <c r="LYS1894" t="s">
        <v>5778</v>
      </c>
      <c r="LYT1894" t="s">
        <v>5779</v>
      </c>
      <c r="LYW1894">
        <v>44583</v>
      </c>
      <c r="LYX1894">
        <v>0</v>
      </c>
      <c r="LYY1894" t="s">
        <v>5778</v>
      </c>
      <c r="LYZ1894" t="s">
        <v>5778</v>
      </c>
      <c r="LZA1894" t="s">
        <v>5778</v>
      </c>
      <c r="LZB1894" t="s">
        <v>5779</v>
      </c>
      <c r="LZE1894">
        <v>44583</v>
      </c>
      <c r="LZF1894">
        <v>0</v>
      </c>
      <c r="LZG1894" t="s">
        <v>5778</v>
      </c>
      <c r="LZH1894" t="s">
        <v>5778</v>
      </c>
      <c r="LZI1894" t="s">
        <v>5778</v>
      </c>
      <c r="LZJ1894" t="s">
        <v>5779</v>
      </c>
      <c r="LZM1894">
        <v>44583</v>
      </c>
      <c r="LZN1894">
        <v>0</v>
      </c>
      <c r="LZO1894" t="s">
        <v>5778</v>
      </c>
      <c r="LZP1894" t="s">
        <v>5778</v>
      </c>
      <c r="LZQ1894" t="s">
        <v>5778</v>
      </c>
      <c r="LZR1894" t="s">
        <v>5779</v>
      </c>
      <c r="LZU1894">
        <v>44583</v>
      </c>
      <c r="LZV1894">
        <v>0</v>
      </c>
      <c r="LZW1894" t="s">
        <v>5778</v>
      </c>
      <c r="LZX1894" t="s">
        <v>5778</v>
      </c>
      <c r="LZY1894" t="s">
        <v>5778</v>
      </c>
      <c r="LZZ1894" t="s">
        <v>5779</v>
      </c>
      <c r="MAC1894">
        <v>44583</v>
      </c>
      <c r="MAD1894">
        <v>0</v>
      </c>
      <c r="MAE1894" t="s">
        <v>5778</v>
      </c>
      <c r="MAF1894" t="s">
        <v>5778</v>
      </c>
      <c r="MAG1894" t="s">
        <v>5778</v>
      </c>
      <c r="MAH1894" t="s">
        <v>5779</v>
      </c>
      <c r="MAK1894">
        <v>44583</v>
      </c>
      <c r="MAL1894">
        <v>0</v>
      </c>
      <c r="MAM1894" t="s">
        <v>5778</v>
      </c>
      <c r="MAN1894" t="s">
        <v>5778</v>
      </c>
      <c r="MAO1894" t="s">
        <v>5778</v>
      </c>
      <c r="MAP1894" t="s">
        <v>5779</v>
      </c>
      <c r="MAS1894">
        <v>44583</v>
      </c>
      <c r="MAT1894">
        <v>0</v>
      </c>
      <c r="MAU1894" t="s">
        <v>5778</v>
      </c>
      <c r="MAV1894" t="s">
        <v>5778</v>
      </c>
      <c r="MAW1894" t="s">
        <v>5778</v>
      </c>
      <c r="MAX1894" t="s">
        <v>5779</v>
      </c>
      <c r="MBA1894">
        <v>44583</v>
      </c>
      <c r="MBB1894">
        <v>0</v>
      </c>
      <c r="MBC1894" t="s">
        <v>5778</v>
      </c>
      <c r="MBD1894" t="s">
        <v>5778</v>
      </c>
      <c r="MBE1894" t="s">
        <v>5778</v>
      </c>
      <c r="MBF1894" t="s">
        <v>5779</v>
      </c>
      <c r="MBI1894">
        <v>44583</v>
      </c>
      <c r="MBJ1894">
        <v>0</v>
      </c>
      <c r="MBK1894" t="s">
        <v>5778</v>
      </c>
      <c r="MBL1894" t="s">
        <v>5778</v>
      </c>
      <c r="MBM1894" t="s">
        <v>5778</v>
      </c>
      <c r="MBN1894" t="s">
        <v>5779</v>
      </c>
      <c r="MBQ1894">
        <v>44583</v>
      </c>
      <c r="MBR1894">
        <v>0</v>
      </c>
      <c r="MBS1894" t="s">
        <v>5778</v>
      </c>
      <c r="MBT1894" t="s">
        <v>5778</v>
      </c>
      <c r="MBU1894" t="s">
        <v>5778</v>
      </c>
      <c r="MBV1894" t="s">
        <v>5779</v>
      </c>
      <c r="MBY1894">
        <v>44583</v>
      </c>
      <c r="MBZ1894">
        <v>0</v>
      </c>
      <c r="MCA1894" t="s">
        <v>5778</v>
      </c>
      <c r="MCB1894" t="s">
        <v>5778</v>
      </c>
      <c r="MCC1894" t="s">
        <v>5778</v>
      </c>
      <c r="MCD1894" t="s">
        <v>5779</v>
      </c>
      <c r="MCG1894">
        <v>44583</v>
      </c>
      <c r="MCH1894">
        <v>0</v>
      </c>
      <c r="MCI1894" t="s">
        <v>5778</v>
      </c>
      <c r="MCJ1894" t="s">
        <v>5778</v>
      </c>
      <c r="MCK1894" t="s">
        <v>5778</v>
      </c>
      <c r="MCL1894" t="s">
        <v>5779</v>
      </c>
      <c r="MCO1894">
        <v>44583</v>
      </c>
      <c r="MCP1894">
        <v>0</v>
      </c>
      <c r="MCQ1894" t="s">
        <v>5778</v>
      </c>
      <c r="MCR1894" t="s">
        <v>5778</v>
      </c>
      <c r="MCS1894" t="s">
        <v>5778</v>
      </c>
      <c r="MCT1894" t="s">
        <v>5779</v>
      </c>
      <c r="MCW1894">
        <v>44583</v>
      </c>
      <c r="MCX1894">
        <v>0</v>
      </c>
      <c r="MCY1894" t="s">
        <v>5778</v>
      </c>
      <c r="MCZ1894" t="s">
        <v>5778</v>
      </c>
      <c r="MDA1894" t="s">
        <v>5778</v>
      </c>
      <c r="MDB1894" t="s">
        <v>5779</v>
      </c>
      <c r="MDE1894">
        <v>44583</v>
      </c>
      <c r="MDF1894">
        <v>0</v>
      </c>
      <c r="MDG1894" t="s">
        <v>5778</v>
      </c>
      <c r="MDH1894" t="s">
        <v>5778</v>
      </c>
      <c r="MDI1894" t="s">
        <v>5778</v>
      </c>
      <c r="MDJ1894" t="s">
        <v>5779</v>
      </c>
      <c r="MDM1894">
        <v>44583</v>
      </c>
      <c r="MDN1894">
        <v>0</v>
      </c>
      <c r="MDO1894" t="s">
        <v>5778</v>
      </c>
      <c r="MDP1894" t="s">
        <v>5778</v>
      </c>
      <c r="MDQ1894" t="s">
        <v>5778</v>
      </c>
      <c r="MDR1894" t="s">
        <v>5779</v>
      </c>
      <c r="MDU1894">
        <v>44583</v>
      </c>
      <c r="MDV1894">
        <v>0</v>
      </c>
      <c r="MDW1894" t="s">
        <v>5778</v>
      </c>
      <c r="MDX1894" t="s">
        <v>5778</v>
      </c>
      <c r="MDY1894" t="s">
        <v>5778</v>
      </c>
      <c r="MDZ1894" t="s">
        <v>5779</v>
      </c>
      <c r="MEC1894">
        <v>44583</v>
      </c>
      <c r="MED1894">
        <v>0</v>
      </c>
      <c r="MEE1894" t="s">
        <v>5778</v>
      </c>
      <c r="MEF1894" t="s">
        <v>5778</v>
      </c>
      <c r="MEG1894" t="s">
        <v>5778</v>
      </c>
      <c r="MEH1894" t="s">
        <v>5779</v>
      </c>
      <c r="MEK1894">
        <v>44583</v>
      </c>
      <c r="MEL1894">
        <v>0</v>
      </c>
      <c r="MEM1894" t="s">
        <v>5778</v>
      </c>
      <c r="MEN1894" t="s">
        <v>5778</v>
      </c>
      <c r="MEO1894" t="s">
        <v>5778</v>
      </c>
      <c r="MEP1894" t="s">
        <v>5779</v>
      </c>
      <c r="MES1894">
        <v>44583</v>
      </c>
      <c r="MET1894">
        <v>0</v>
      </c>
      <c r="MEU1894" t="s">
        <v>5778</v>
      </c>
      <c r="MEV1894" t="s">
        <v>5778</v>
      </c>
      <c r="MEW1894" t="s">
        <v>5778</v>
      </c>
      <c r="MEX1894" t="s">
        <v>5779</v>
      </c>
      <c r="MFA1894">
        <v>44583</v>
      </c>
      <c r="MFB1894">
        <v>0</v>
      </c>
      <c r="MFC1894" t="s">
        <v>5778</v>
      </c>
      <c r="MFD1894" t="s">
        <v>5778</v>
      </c>
      <c r="MFE1894" t="s">
        <v>5778</v>
      </c>
      <c r="MFF1894" t="s">
        <v>5779</v>
      </c>
      <c r="MFI1894">
        <v>44583</v>
      </c>
      <c r="MFJ1894">
        <v>0</v>
      </c>
      <c r="MFK1894" t="s">
        <v>5778</v>
      </c>
      <c r="MFL1894" t="s">
        <v>5778</v>
      </c>
      <c r="MFM1894" t="s">
        <v>5778</v>
      </c>
      <c r="MFN1894" t="s">
        <v>5779</v>
      </c>
      <c r="MFQ1894">
        <v>44583</v>
      </c>
      <c r="MFR1894">
        <v>0</v>
      </c>
      <c r="MFS1894" t="s">
        <v>5778</v>
      </c>
      <c r="MFT1894" t="s">
        <v>5778</v>
      </c>
      <c r="MFU1894" t="s">
        <v>5778</v>
      </c>
      <c r="MFV1894" t="s">
        <v>5779</v>
      </c>
      <c r="MFY1894">
        <v>44583</v>
      </c>
      <c r="MFZ1894">
        <v>0</v>
      </c>
      <c r="MGA1894" t="s">
        <v>5778</v>
      </c>
      <c r="MGB1894" t="s">
        <v>5778</v>
      </c>
      <c r="MGC1894" t="s">
        <v>5778</v>
      </c>
      <c r="MGD1894" t="s">
        <v>5779</v>
      </c>
      <c r="MGG1894">
        <v>44583</v>
      </c>
      <c r="MGH1894">
        <v>0</v>
      </c>
      <c r="MGI1894" t="s">
        <v>5778</v>
      </c>
      <c r="MGJ1894" t="s">
        <v>5778</v>
      </c>
      <c r="MGK1894" t="s">
        <v>5778</v>
      </c>
      <c r="MGL1894" t="s">
        <v>5779</v>
      </c>
      <c r="MGO1894">
        <v>44583</v>
      </c>
      <c r="MGP1894">
        <v>0</v>
      </c>
      <c r="MGQ1894" t="s">
        <v>5778</v>
      </c>
      <c r="MGR1894" t="s">
        <v>5778</v>
      </c>
      <c r="MGS1894" t="s">
        <v>5778</v>
      </c>
      <c r="MGT1894" t="s">
        <v>5779</v>
      </c>
      <c r="MGW1894">
        <v>44583</v>
      </c>
      <c r="MGX1894">
        <v>0</v>
      </c>
      <c r="MGY1894" t="s">
        <v>5778</v>
      </c>
      <c r="MGZ1894" t="s">
        <v>5778</v>
      </c>
      <c r="MHA1894" t="s">
        <v>5778</v>
      </c>
      <c r="MHB1894" t="s">
        <v>5779</v>
      </c>
      <c r="MHE1894">
        <v>44583</v>
      </c>
      <c r="MHF1894">
        <v>0</v>
      </c>
      <c r="MHG1894" t="s">
        <v>5778</v>
      </c>
      <c r="MHH1894" t="s">
        <v>5778</v>
      </c>
      <c r="MHI1894" t="s">
        <v>5778</v>
      </c>
      <c r="MHJ1894" t="s">
        <v>5779</v>
      </c>
      <c r="MHM1894">
        <v>44583</v>
      </c>
      <c r="MHN1894">
        <v>0</v>
      </c>
      <c r="MHO1894" t="s">
        <v>5778</v>
      </c>
      <c r="MHP1894" t="s">
        <v>5778</v>
      </c>
      <c r="MHQ1894" t="s">
        <v>5778</v>
      </c>
      <c r="MHR1894" t="s">
        <v>5779</v>
      </c>
      <c r="MHU1894">
        <v>44583</v>
      </c>
      <c r="MHV1894">
        <v>0</v>
      </c>
      <c r="MHW1894" t="s">
        <v>5778</v>
      </c>
      <c r="MHX1894" t="s">
        <v>5778</v>
      </c>
      <c r="MHY1894" t="s">
        <v>5778</v>
      </c>
      <c r="MHZ1894" t="s">
        <v>5779</v>
      </c>
      <c r="MIC1894">
        <v>44583</v>
      </c>
      <c r="MID1894">
        <v>0</v>
      </c>
      <c r="MIE1894" t="s">
        <v>5778</v>
      </c>
      <c r="MIF1894" t="s">
        <v>5778</v>
      </c>
      <c r="MIG1894" t="s">
        <v>5778</v>
      </c>
      <c r="MIH1894" t="s">
        <v>5779</v>
      </c>
      <c r="MIK1894">
        <v>44583</v>
      </c>
      <c r="MIL1894">
        <v>0</v>
      </c>
      <c r="MIM1894" t="s">
        <v>5778</v>
      </c>
      <c r="MIN1894" t="s">
        <v>5778</v>
      </c>
      <c r="MIO1894" t="s">
        <v>5778</v>
      </c>
      <c r="MIP1894" t="s">
        <v>5779</v>
      </c>
      <c r="MIS1894">
        <v>44583</v>
      </c>
      <c r="MIT1894">
        <v>0</v>
      </c>
      <c r="MIU1894" t="s">
        <v>5778</v>
      </c>
      <c r="MIV1894" t="s">
        <v>5778</v>
      </c>
      <c r="MIW1894" t="s">
        <v>5778</v>
      </c>
      <c r="MIX1894" t="s">
        <v>5779</v>
      </c>
      <c r="MJA1894">
        <v>44583</v>
      </c>
      <c r="MJB1894">
        <v>0</v>
      </c>
      <c r="MJC1894" t="s">
        <v>5778</v>
      </c>
      <c r="MJD1894" t="s">
        <v>5778</v>
      </c>
      <c r="MJE1894" t="s">
        <v>5778</v>
      </c>
      <c r="MJF1894" t="s">
        <v>5779</v>
      </c>
      <c r="MJI1894">
        <v>44583</v>
      </c>
      <c r="MJJ1894">
        <v>0</v>
      </c>
      <c r="MJK1894" t="s">
        <v>5778</v>
      </c>
      <c r="MJL1894" t="s">
        <v>5778</v>
      </c>
      <c r="MJM1894" t="s">
        <v>5778</v>
      </c>
      <c r="MJN1894" t="s">
        <v>5779</v>
      </c>
      <c r="MJQ1894">
        <v>44583</v>
      </c>
      <c r="MJR1894">
        <v>0</v>
      </c>
      <c r="MJS1894" t="s">
        <v>5778</v>
      </c>
      <c r="MJT1894" t="s">
        <v>5778</v>
      </c>
      <c r="MJU1894" t="s">
        <v>5778</v>
      </c>
      <c r="MJV1894" t="s">
        <v>5779</v>
      </c>
      <c r="MJY1894">
        <v>44583</v>
      </c>
      <c r="MJZ1894">
        <v>0</v>
      </c>
      <c r="MKA1894" t="s">
        <v>5778</v>
      </c>
      <c r="MKB1894" t="s">
        <v>5778</v>
      </c>
      <c r="MKC1894" t="s">
        <v>5778</v>
      </c>
      <c r="MKD1894" t="s">
        <v>5779</v>
      </c>
      <c r="MKG1894">
        <v>44583</v>
      </c>
      <c r="MKH1894">
        <v>0</v>
      </c>
      <c r="MKI1894" t="s">
        <v>5778</v>
      </c>
      <c r="MKJ1894" t="s">
        <v>5778</v>
      </c>
      <c r="MKK1894" t="s">
        <v>5778</v>
      </c>
      <c r="MKL1894" t="s">
        <v>5779</v>
      </c>
      <c r="MKO1894">
        <v>44583</v>
      </c>
      <c r="MKP1894">
        <v>0</v>
      </c>
      <c r="MKQ1894" t="s">
        <v>5778</v>
      </c>
      <c r="MKR1894" t="s">
        <v>5778</v>
      </c>
      <c r="MKS1894" t="s">
        <v>5778</v>
      </c>
      <c r="MKT1894" t="s">
        <v>5779</v>
      </c>
      <c r="MKW1894">
        <v>44583</v>
      </c>
      <c r="MKX1894">
        <v>0</v>
      </c>
      <c r="MKY1894" t="s">
        <v>5778</v>
      </c>
      <c r="MKZ1894" t="s">
        <v>5778</v>
      </c>
      <c r="MLA1894" t="s">
        <v>5778</v>
      </c>
      <c r="MLB1894" t="s">
        <v>5779</v>
      </c>
      <c r="MLE1894">
        <v>44583</v>
      </c>
      <c r="MLF1894">
        <v>0</v>
      </c>
      <c r="MLG1894" t="s">
        <v>5778</v>
      </c>
      <c r="MLH1894" t="s">
        <v>5778</v>
      </c>
      <c r="MLI1894" t="s">
        <v>5778</v>
      </c>
      <c r="MLJ1894" t="s">
        <v>5779</v>
      </c>
      <c r="MLM1894">
        <v>44583</v>
      </c>
      <c r="MLN1894">
        <v>0</v>
      </c>
      <c r="MLO1894" t="s">
        <v>5778</v>
      </c>
      <c r="MLP1894" t="s">
        <v>5778</v>
      </c>
      <c r="MLQ1894" t="s">
        <v>5778</v>
      </c>
      <c r="MLR1894" t="s">
        <v>5779</v>
      </c>
      <c r="MLU1894">
        <v>44583</v>
      </c>
      <c r="MLV1894">
        <v>0</v>
      </c>
      <c r="MLW1894" t="s">
        <v>5778</v>
      </c>
      <c r="MLX1894" t="s">
        <v>5778</v>
      </c>
      <c r="MLY1894" t="s">
        <v>5778</v>
      </c>
      <c r="MLZ1894" t="s">
        <v>5779</v>
      </c>
      <c r="MMC1894">
        <v>44583</v>
      </c>
      <c r="MMD1894">
        <v>0</v>
      </c>
      <c r="MME1894" t="s">
        <v>5778</v>
      </c>
      <c r="MMF1894" t="s">
        <v>5778</v>
      </c>
      <c r="MMG1894" t="s">
        <v>5778</v>
      </c>
      <c r="MMH1894" t="s">
        <v>5779</v>
      </c>
      <c r="MMK1894">
        <v>44583</v>
      </c>
      <c r="MML1894">
        <v>0</v>
      </c>
      <c r="MMM1894" t="s">
        <v>5778</v>
      </c>
      <c r="MMN1894" t="s">
        <v>5778</v>
      </c>
      <c r="MMO1894" t="s">
        <v>5778</v>
      </c>
      <c r="MMP1894" t="s">
        <v>5779</v>
      </c>
      <c r="MMS1894">
        <v>44583</v>
      </c>
      <c r="MMT1894">
        <v>0</v>
      </c>
      <c r="MMU1894" t="s">
        <v>5778</v>
      </c>
      <c r="MMV1894" t="s">
        <v>5778</v>
      </c>
      <c r="MMW1894" t="s">
        <v>5778</v>
      </c>
      <c r="MMX1894" t="s">
        <v>5779</v>
      </c>
      <c r="MNA1894">
        <v>44583</v>
      </c>
      <c r="MNB1894">
        <v>0</v>
      </c>
      <c r="MNC1894" t="s">
        <v>5778</v>
      </c>
      <c r="MND1894" t="s">
        <v>5778</v>
      </c>
      <c r="MNE1894" t="s">
        <v>5778</v>
      </c>
      <c r="MNF1894" t="s">
        <v>5779</v>
      </c>
      <c r="MNI1894">
        <v>44583</v>
      </c>
      <c r="MNJ1894">
        <v>0</v>
      </c>
      <c r="MNK1894" t="s">
        <v>5778</v>
      </c>
      <c r="MNL1894" t="s">
        <v>5778</v>
      </c>
      <c r="MNM1894" t="s">
        <v>5778</v>
      </c>
      <c r="MNN1894" t="s">
        <v>5779</v>
      </c>
      <c r="MNQ1894">
        <v>44583</v>
      </c>
      <c r="MNR1894">
        <v>0</v>
      </c>
      <c r="MNS1894" t="s">
        <v>5778</v>
      </c>
      <c r="MNT1894" t="s">
        <v>5778</v>
      </c>
      <c r="MNU1894" t="s">
        <v>5778</v>
      </c>
      <c r="MNV1894" t="s">
        <v>5779</v>
      </c>
      <c r="MNY1894">
        <v>44583</v>
      </c>
      <c r="MNZ1894">
        <v>0</v>
      </c>
      <c r="MOA1894" t="s">
        <v>5778</v>
      </c>
      <c r="MOB1894" t="s">
        <v>5778</v>
      </c>
      <c r="MOC1894" t="s">
        <v>5778</v>
      </c>
      <c r="MOD1894" t="s">
        <v>5779</v>
      </c>
      <c r="MOG1894">
        <v>44583</v>
      </c>
      <c r="MOH1894">
        <v>0</v>
      </c>
      <c r="MOI1894" t="s">
        <v>5778</v>
      </c>
      <c r="MOJ1894" t="s">
        <v>5778</v>
      </c>
      <c r="MOK1894" t="s">
        <v>5778</v>
      </c>
      <c r="MOL1894" t="s">
        <v>5779</v>
      </c>
      <c r="MOO1894">
        <v>44583</v>
      </c>
      <c r="MOP1894">
        <v>0</v>
      </c>
      <c r="MOQ1894" t="s">
        <v>5778</v>
      </c>
      <c r="MOR1894" t="s">
        <v>5778</v>
      </c>
      <c r="MOS1894" t="s">
        <v>5778</v>
      </c>
      <c r="MOT1894" t="s">
        <v>5779</v>
      </c>
      <c r="MOW1894">
        <v>44583</v>
      </c>
      <c r="MOX1894">
        <v>0</v>
      </c>
      <c r="MOY1894" t="s">
        <v>5778</v>
      </c>
      <c r="MOZ1894" t="s">
        <v>5778</v>
      </c>
      <c r="MPA1894" t="s">
        <v>5778</v>
      </c>
      <c r="MPB1894" t="s">
        <v>5779</v>
      </c>
      <c r="MPE1894">
        <v>44583</v>
      </c>
      <c r="MPF1894">
        <v>0</v>
      </c>
      <c r="MPG1894" t="s">
        <v>5778</v>
      </c>
      <c r="MPH1894" t="s">
        <v>5778</v>
      </c>
      <c r="MPI1894" t="s">
        <v>5778</v>
      </c>
      <c r="MPJ1894" t="s">
        <v>5779</v>
      </c>
      <c r="MPM1894">
        <v>44583</v>
      </c>
      <c r="MPN1894">
        <v>0</v>
      </c>
      <c r="MPO1894" t="s">
        <v>5778</v>
      </c>
      <c r="MPP1894" t="s">
        <v>5778</v>
      </c>
      <c r="MPQ1894" t="s">
        <v>5778</v>
      </c>
      <c r="MPR1894" t="s">
        <v>5779</v>
      </c>
      <c r="MPU1894">
        <v>44583</v>
      </c>
      <c r="MPV1894">
        <v>0</v>
      </c>
      <c r="MPW1894" t="s">
        <v>5778</v>
      </c>
      <c r="MPX1894" t="s">
        <v>5778</v>
      </c>
      <c r="MPY1894" t="s">
        <v>5778</v>
      </c>
      <c r="MPZ1894" t="s">
        <v>5779</v>
      </c>
      <c r="MQC1894">
        <v>44583</v>
      </c>
      <c r="MQD1894">
        <v>0</v>
      </c>
      <c r="MQE1894" t="s">
        <v>5778</v>
      </c>
      <c r="MQF1894" t="s">
        <v>5778</v>
      </c>
      <c r="MQG1894" t="s">
        <v>5778</v>
      </c>
      <c r="MQH1894" t="s">
        <v>5779</v>
      </c>
      <c r="MQK1894">
        <v>44583</v>
      </c>
      <c r="MQL1894">
        <v>0</v>
      </c>
      <c r="MQM1894" t="s">
        <v>5778</v>
      </c>
      <c r="MQN1894" t="s">
        <v>5778</v>
      </c>
      <c r="MQO1894" t="s">
        <v>5778</v>
      </c>
      <c r="MQP1894" t="s">
        <v>5779</v>
      </c>
      <c r="MQS1894">
        <v>44583</v>
      </c>
      <c r="MQT1894">
        <v>0</v>
      </c>
      <c r="MQU1894" t="s">
        <v>5778</v>
      </c>
      <c r="MQV1894" t="s">
        <v>5778</v>
      </c>
      <c r="MQW1894" t="s">
        <v>5778</v>
      </c>
      <c r="MQX1894" t="s">
        <v>5779</v>
      </c>
      <c r="MRA1894">
        <v>44583</v>
      </c>
      <c r="MRB1894">
        <v>0</v>
      </c>
      <c r="MRC1894" t="s">
        <v>5778</v>
      </c>
      <c r="MRD1894" t="s">
        <v>5778</v>
      </c>
      <c r="MRE1894" t="s">
        <v>5778</v>
      </c>
      <c r="MRF1894" t="s">
        <v>5779</v>
      </c>
      <c r="MRI1894">
        <v>44583</v>
      </c>
      <c r="MRJ1894">
        <v>0</v>
      </c>
      <c r="MRK1894" t="s">
        <v>5778</v>
      </c>
      <c r="MRL1894" t="s">
        <v>5778</v>
      </c>
      <c r="MRM1894" t="s">
        <v>5778</v>
      </c>
      <c r="MRN1894" t="s">
        <v>5779</v>
      </c>
      <c r="MRQ1894">
        <v>44583</v>
      </c>
      <c r="MRR1894">
        <v>0</v>
      </c>
      <c r="MRS1894" t="s">
        <v>5778</v>
      </c>
      <c r="MRT1894" t="s">
        <v>5778</v>
      </c>
      <c r="MRU1894" t="s">
        <v>5778</v>
      </c>
      <c r="MRV1894" t="s">
        <v>5779</v>
      </c>
      <c r="MRY1894">
        <v>44583</v>
      </c>
      <c r="MRZ1894">
        <v>0</v>
      </c>
      <c r="MSA1894" t="s">
        <v>5778</v>
      </c>
      <c r="MSB1894" t="s">
        <v>5778</v>
      </c>
      <c r="MSC1894" t="s">
        <v>5778</v>
      </c>
      <c r="MSD1894" t="s">
        <v>5779</v>
      </c>
      <c r="MSG1894">
        <v>44583</v>
      </c>
      <c r="MSH1894">
        <v>0</v>
      </c>
      <c r="MSI1894" t="s">
        <v>5778</v>
      </c>
      <c r="MSJ1894" t="s">
        <v>5778</v>
      </c>
      <c r="MSK1894" t="s">
        <v>5778</v>
      </c>
      <c r="MSL1894" t="s">
        <v>5779</v>
      </c>
      <c r="MSO1894">
        <v>44583</v>
      </c>
      <c r="MSP1894">
        <v>0</v>
      </c>
      <c r="MSQ1894" t="s">
        <v>5778</v>
      </c>
      <c r="MSR1894" t="s">
        <v>5778</v>
      </c>
      <c r="MSS1894" t="s">
        <v>5778</v>
      </c>
      <c r="MST1894" t="s">
        <v>5779</v>
      </c>
      <c r="MSW1894">
        <v>44583</v>
      </c>
      <c r="MSX1894">
        <v>0</v>
      </c>
      <c r="MSY1894" t="s">
        <v>5778</v>
      </c>
      <c r="MSZ1894" t="s">
        <v>5778</v>
      </c>
      <c r="MTA1894" t="s">
        <v>5778</v>
      </c>
      <c r="MTB1894" t="s">
        <v>5779</v>
      </c>
      <c r="MTE1894">
        <v>44583</v>
      </c>
      <c r="MTF1894">
        <v>0</v>
      </c>
      <c r="MTG1894" t="s">
        <v>5778</v>
      </c>
      <c r="MTH1894" t="s">
        <v>5778</v>
      </c>
      <c r="MTI1894" t="s">
        <v>5778</v>
      </c>
      <c r="MTJ1894" t="s">
        <v>5779</v>
      </c>
      <c r="MTM1894">
        <v>44583</v>
      </c>
      <c r="MTN1894">
        <v>0</v>
      </c>
      <c r="MTO1894" t="s">
        <v>5778</v>
      </c>
      <c r="MTP1894" t="s">
        <v>5778</v>
      </c>
      <c r="MTQ1894" t="s">
        <v>5778</v>
      </c>
      <c r="MTR1894" t="s">
        <v>5779</v>
      </c>
      <c r="MTU1894">
        <v>44583</v>
      </c>
      <c r="MTV1894">
        <v>0</v>
      </c>
      <c r="MTW1894" t="s">
        <v>5778</v>
      </c>
      <c r="MTX1894" t="s">
        <v>5778</v>
      </c>
      <c r="MTY1894" t="s">
        <v>5778</v>
      </c>
      <c r="MTZ1894" t="s">
        <v>5779</v>
      </c>
      <c r="MUC1894">
        <v>44583</v>
      </c>
      <c r="MUD1894">
        <v>0</v>
      </c>
      <c r="MUE1894" t="s">
        <v>5778</v>
      </c>
      <c r="MUF1894" t="s">
        <v>5778</v>
      </c>
      <c r="MUG1894" t="s">
        <v>5778</v>
      </c>
      <c r="MUH1894" t="s">
        <v>5779</v>
      </c>
      <c r="MUK1894">
        <v>44583</v>
      </c>
      <c r="MUL1894">
        <v>0</v>
      </c>
      <c r="MUM1894" t="s">
        <v>5778</v>
      </c>
      <c r="MUN1894" t="s">
        <v>5778</v>
      </c>
      <c r="MUO1894" t="s">
        <v>5778</v>
      </c>
      <c r="MUP1894" t="s">
        <v>5779</v>
      </c>
      <c r="MUS1894">
        <v>44583</v>
      </c>
      <c r="MUT1894">
        <v>0</v>
      </c>
      <c r="MUU1894" t="s">
        <v>5778</v>
      </c>
      <c r="MUV1894" t="s">
        <v>5778</v>
      </c>
      <c r="MUW1894" t="s">
        <v>5778</v>
      </c>
      <c r="MUX1894" t="s">
        <v>5779</v>
      </c>
      <c r="MVA1894">
        <v>44583</v>
      </c>
      <c r="MVB1894">
        <v>0</v>
      </c>
      <c r="MVC1894" t="s">
        <v>5778</v>
      </c>
      <c r="MVD1894" t="s">
        <v>5778</v>
      </c>
      <c r="MVE1894" t="s">
        <v>5778</v>
      </c>
      <c r="MVF1894" t="s">
        <v>5779</v>
      </c>
      <c r="MVI1894">
        <v>44583</v>
      </c>
      <c r="MVJ1894">
        <v>0</v>
      </c>
      <c r="MVK1894" t="s">
        <v>5778</v>
      </c>
      <c r="MVL1894" t="s">
        <v>5778</v>
      </c>
      <c r="MVM1894" t="s">
        <v>5778</v>
      </c>
      <c r="MVN1894" t="s">
        <v>5779</v>
      </c>
      <c r="MVQ1894">
        <v>44583</v>
      </c>
      <c r="MVR1894">
        <v>0</v>
      </c>
      <c r="MVS1894" t="s">
        <v>5778</v>
      </c>
      <c r="MVT1894" t="s">
        <v>5778</v>
      </c>
      <c r="MVU1894" t="s">
        <v>5778</v>
      </c>
      <c r="MVV1894" t="s">
        <v>5779</v>
      </c>
      <c r="MVY1894">
        <v>44583</v>
      </c>
      <c r="MVZ1894">
        <v>0</v>
      </c>
      <c r="MWA1894" t="s">
        <v>5778</v>
      </c>
      <c r="MWB1894" t="s">
        <v>5778</v>
      </c>
      <c r="MWC1894" t="s">
        <v>5778</v>
      </c>
      <c r="MWD1894" t="s">
        <v>5779</v>
      </c>
      <c r="MWG1894">
        <v>44583</v>
      </c>
      <c r="MWH1894">
        <v>0</v>
      </c>
      <c r="MWI1894" t="s">
        <v>5778</v>
      </c>
      <c r="MWJ1894" t="s">
        <v>5778</v>
      </c>
      <c r="MWK1894" t="s">
        <v>5778</v>
      </c>
      <c r="MWL1894" t="s">
        <v>5779</v>
      </c>
      <c r="MWO1894">
        <v>44583</v>
      </c>
      <c r="MWP1894">
        <v>0</v>
      </c>
      <c r="MWQ1894" t="s">
        <v>5778</v>
      </c>
      <c r="MWR1894" t="s">
        <v>5778</v>
      </c>
      <c r="MWS1894" t="s">
        <v>5778</v>
      </c>
      <c r="MWT1894" t="s">
        <v>5779</v>
      </c>
      <c r="MWW1894">
        <v>44583</v>
      </c>
      <c r="MWX1894">
        <v>0</v>
      </c>
      <c r="MWY1894" t="s">
        <v>5778</v>
      </c>
      <c r="MWZ1894" t="s">
        <v>5778</v>
      </c>
      <c r="MXA1894" t="s">
        <v>5778</v>
      </c>
      <c r="MXB1894" t="s">
        <v>5779</v>
      </c>
      <c r="MXE1894">
        <v>44583</v>
      </c>
      <c r="MXF1894">
        <v>0</v>
      </c>
      <c r="MXG1894" t="s">
        <v>5778</v>
      </c>
      <c r="MXH1894" t="s">
        <v>5778</v>
      </c>
      <c r="MXI1894" t="s">
        <v>5778</v>
      </c>
      <c r="MXJ1894" t="s">
        <v>5779</v>
      </c>
      <c r="MXM1894">
        <v>44583</v>
      </c>
      <c r="MXN1894">
        <v>0</v>
      </c>
      <c r="MXO1894" t="s">
        <v>5778</v>
      </c>
      <c r="MXP1894" t="s">
        <v>5778</v>
      </c>
      <c r="MXQ1894" t="s">
        <v>5778</v>
      </c>
      <c r="MXR1894" t="s">
        <v>5779</v>
      </c>
      <c r="MXU1894">
        <v>44583</v>
      </c>
      <c r="MXV1894">
        <v>0</v>
      </c>
      <c r="MXW1894" t="s">
        <v>5778</v>
      </c>
      <c r="MXX1894" t="s">
        <v>5778</v>
      </c>
      <c r="MXY1894" t="s">
        <v>5778</v>
      </c>
      <c r="MXZ1894" t="s">
        <v>5779</v>
      </c>
      <c r="MYC1894">
        <v>44583</v>
      </c>
      <c r="MYD1894">
        <v>0</v>
      </c>
      <c r="MYE1894" t="s">
        <v>5778</v>
      </c>
      <c r="MYF1894" t="s">
        <v>5778</v>
      </c>
      <c r="MYG1894" t="s">
        <v>5778</v>
      </c>
      <c r="MYH1894" t="s">
        <v>5779</v>
      </c>
      <c r="MYK1894">
        <v>44583</v>
      </c>
      <c r="MYL1894">
        <v>0</v>
      </c>
      <c r="MYM1894" t="s">
        <v>5778</v>
      </c>
      <c r="MYN1894" t="s">
        <v>5778</v>
      </c>
      <c r="MYO1894" t="s">
        <v>5778</v>
      </c>
      <c r="MYP1894" t="s">
        <v>5779</v>
      </c>
      <c r="MYS1894">
        <v>44583</v>
      </c>
      <c r="MYT1894">
        <v>0</v>
      </c>
      <c r="MYU1894" t="s">
        <v>5778</v>
      </c>
      <c r="MYV1894" t="s">
        <v>5778</v>
      </c>
      <c r="MYW1894" t="s">
        <v>5778</v>
      </c>
      <c r="MYX1894" t="s">
        <v>5779</v>
      </c>
      <c r="MZA1894">
        <v>44583</v>
      </c>
      <c r="MZB1894">
        <v>0</v>
      </c>
      <c r="MZC1894" t="s">
        <v>5778</v>
      </c>
      <c r="MZD1894" t="s">
        <v>5778</v>
      </c>
      <c r="MZE1894" t="s">
        <v>5778</v>
      </c>
      <c r="MZF1894" t="s">
        <v>5779</v>
      </c>
      <c r="MZI1894">
        <v>44583</v>
      </c>
      <c r="MZJ1894">
        <v>0</v>
      </c>
      <c r="MZK1894" t="s">
        <v>5778</v>
      </c>
      <c r="MZL1894" t="s">
        <v>5778</v>
      </c>
      <c r="MZM1894" t="s">
        <v>5778</v>
      </c>
      <c r="MZN1894" t="s">
        <v>5779</v>
      </c>
      <c r="MZQ1894">
        <v>44583</v>
      </c>
      <c r="MZR1894">
        <v>0</v>
      </c>
      <c r="MZS1894" t="s">
        <v>5778</v>
      </c>
      <c r="MZT1894" t="s">
        <v>5778</v>
      </c>
      <c r="MZU1894" t="s">
        <v>5778</v>
      </c>
      <c r="MZV1894" t="s">
        <v>5779</v>
      </c>
      <c r="MZY1894">
        <v>44583</v>
      </c>
      <c r="MZZ1894">
        <v>0</v>
      </c>
      <c r="NAA1894" t="s">
        <v>5778</v>
      </c>
      <c r="NAB1894" t="s">
        <v>5778</v>
      </c>
      <c r="NAC1894" t="s">
        <v>5778</v>
      </c>
      <c r="NAD1894" t="s">
        <v>5779</v>
      </c>
      <c r="NAG1894">
        <v>44583</v>
      </c>
      <c r="NAH1894">
        <v>0</v>
      </c>
      <c r="NAI1894" t="s">
        <v>5778</v>
      </c>
      <c r="NAJ1894" t="s">
        <v>5778</v>
      </c>
      <c r="NAK1894" t="s">
        <v>5778</v>
      </c>
      <c r="NAL1894" t="s">
        <v>5779</v>
      </c>
      <c r="NAO1894">
        <v>44583</v>
      </c>
      <c r="NAP1894">
        <v>0</v>
      </c>
      <c r="NAQ1894" t="s">
        <v>5778</v>
      </c>
      <c r="NAR1894" t="s">
        <v>5778</v>
      </c>
      <c r="NAS1894" t="s">
        <v>5778</v>
      </c>
      <c r="NAT1894" t="s">
        <v>5779</v>
      </c>
      <c r="NAW1894">
        <v>44583</v>
      </c>
      <c r="NAX1894">
        <v>0</v>
      </c>
      <c r="NAY1894" t="s">
        <v>5778</v>
      </c>
      <c r="NAZ1894" t="s">
        <v>5778</v>
      </c>
      <c r="NBA1894" t="s">
        <v>5778</v>
      </c>
      <c r="NBB1894" t="s">
        <v>5779</v>
      </c>
      <c r="NBE1894">
        <v>44583</v>
      </c>
      <c r="NBF1894">
        <v>0</v>
      </c>
      <c r="NBG1894" t="s">
        <v>5778</v>
      </c>
      <c r="NBH1894" t="s">
        <v>5778</v>
      </c>
      <c r="NBI1894" t="s">
        <v>5778</v>
      </c>
      <c r="NBJ1894" t="s">
        <v>5779</v>
      </c>
      <c r="NBM1894">
        <v>44583</v>
      </c>
      <c r="NBN1894">
        <v>0</v>
      </c>
      <c r="NBO1894" t="s">
        <v>5778</v>
      </c>
      <c r="NBP1894" t="s">
        <v>5778</v>
      </c>
      <c r="NBQ1894" t="s">
        <v>5778</v>
      </c>
      <c r="NBR1894" t="s">
        <v>5779</v>
      </c>
      <c r="NBU1894">
        <v>44583</v>
      </c>
      <c r="NBV1894">
        <v>0</v>
      </c>
      <c r="NBW1894" t="s">
        <v>5778</v>
      </c>
      <c r="NBX1894" t="s">
        <v>5778</v>
      </c>
      <c r="NBY1894" t="s">
        <v>5778</v>
      </c>
      <c r="NBZ1894" t="s">
        <v>5779</v>
      </c>
      <c r="NCC1894">
        <v>44583</v>
      </c>
      <c r="NCD1894">
        <v>0</v>
      </c>
      <c r="NCE1894" t="s">
        <v>5778</v>
      </c>
      <c r="NCF1894" t="s">
        <v>5778</v>
      </c>
      <c r="NCG1894" t="s">
        <v>5778</v>
      </c>
      <c r="NCH1894" t="s">
        <v>5779</v>
      </c>
      <c r="NCK1894">
        <v>44583</v>
      </c>
      <c r="NCL1894">
        <v>0</v>
      </c>
      <c r="NCM1894" t="s">
        <v>5778</v>
      </c>
      <c r="NCN1894" t="s">
        <v>5778</v>
      </c>
      <c r="NCO1894" t="s">
        <v>5778</v>
      </c>
      <c r="NCP1894" t="s">
        <v>5779</v>
      </c>
      <c r="NCS1894">
        <v>44583</v>
      </c>
      <c r="NCT1894">
        <v>0</v>
      </c>
      <c r="NCU1894" t="s">
        <v>5778</v>
      </c>
      <c r="NCV1894" t="s">
        <v>5778</v>
      </c>
      <c r="NCW1894" t="s">
        <v>5778</v>
      </c>
      <c r="NCX1894" t="s">
        <v>5779</v>
      </c>
      <c r="NDA1894">
        <v>44583</v>
      </c>
      <c r="NDB1894">
        <v>0</v>
      </c>
      <c r="NDC1894" t="s">
        <v>5778</v>
      </c>
      <c r="NDD1894" t="s">
        <v>5778</v>
      </c>
      <c r="NDE1894" t="s">
        <v>5778</v>
      </c>
      <c r="NDF1894" t="s">
        <v>5779</v>
      </c>
      <c r="NDI1894">
        <v>44583</v>
      </c>
      <c r="NDJ1894">
        <v>0</v>
      </c>
      <c r="NDK1894" t="s">
        <v>5778</v>
      </c>
      <c r="NDL1894" t="s">
        <v>5778</v>
      </c>
      <c r="NDM1894" t="s">
        <v>5778</v>
      </c>
      <c r="NDN1894" t="s">
        <v>5779</v>
      </c>
      <c r="NDQ1894">
        <v>44583</v>
      </c>
      <c r="NDR1894">
        <v>0</v>
      </c>
      <c r="NDS1894" t="s">
        <v>5778</v>
      </c>
      <c r="NDT1894" t="s">
        <v>5778</v>
      </c>
      <c r="NDU1894" t="s">
        <v>5778</v>
      </c>
      <c r="NDV1894" t="s">
        <v>5779</v>
      </c>
      <c r="NDY1894">
        <v>44583</v>
      </c>
      <c r="NDZ1894">
        <v>0</v>
      </c>
      <c r="NEA1894" t="s">
        <v>5778</v>
      </c>
      <c r="NEB1894" t="s">
        <v>5778</v>
      </c>
      <c r="NEC1894" t="s">
        <v>5778</v>
      </c>
      <c r="NED1894" t="s">
        <v>5779</v>
      </c>
      <c r="NEG1894">
        <v>44583</v>
      </c>
      <c r="NEH1894">
        <v>0</v>
      </c>
      <c r="NEI1894" t="s">
        <v>5778</v>
      </c>
      <c r="NEJ1894" t="s">
        <v>5778</v>
      </c>
      <c r="NEK1894" t="s">
        <v>5778</v>
      </c>
      <c r="NEL1894" t="s">
        <v>5779</v>
      </c>
      <c r="NEO1894">
        <v>44583</v>
      </c>
      <c r="NEP1894">
        <v>0</v>
      </c>
      <c r="NEQ1894" t="s">
        <v>5778</v>
      </c>
      <c r="NER1894" t="s">
        <v>5778</v>
      </c>
      <c r="NES1894" t="s">
        <v>5778</v>
      </c>
      <c r="NET1894" t="s">
        <v>5779</v>
      </c>
      <c r="NEW1894">
        <v>44583</v>
      </c>
      <c r="NEX1894">
        <v>0</v>
      </c>
      <c r="NEY1894" t="s">
        <v>5778</v>
      </c>
      <c r="NEZ1894" t="s">
        <v>5778</v>
      </c>
      <c r="NFA1894" t="s">
        <v>5778</v>
      </c>
      <c r="NFB1894" t="s">
        <v>5779</v>
      </c>
      <c r="NFE1894">
        <v>44583</v>
      </c>
      <c r="NFF1894">
        <v>0</v>
      </c>
      <c r="NFG1894" t="s">
        <v>5778</v>
      </c>
      <c r="NFH1894" t="s">
        <v>5778</v>
      </c>
      <c r="NFI1894" t="s">
        <v>5778</v>
      </c>
      <c r="NFJ1894" t="s">
        <v>5779</v>
      </c>
      <c r="NFM1894">
        <v>44583</v>
      </c>
      <c r="NFN1894">
        <v>0</v>
      </c>
      <c r="NFO1894" t="s">
        <v>5778</v>
      </c>
      <c r="NFP1894" t="s">
        <v>5778</v>
      </c>
      <c r="NFQ1894" t="s">
        <v>5778</v>
      </c>
      <c r="NFR1894" t="s">
        <v>5779</v>
      </c>
      <c r="NFU1894">
        <v>44583</v>
      </c>
      <c r="NFV1894">
        <v>0</v>
      </c>
      <c r="NFW1894" t="s">
        <v>5778</v>
      </c>
      <c r="NFX1894" t="s">
        <v>5778</v>
      </c>
      <c r="NFY1894" t="s">
        <v>5778</v>
      </c>
      <c r="NFZ1894" t="s">
        <v>5779</v>
      </c>
      <c r="NGC1894">
        <v>44583</v>
      </c>
      <c r="NGD1894">
        <v>0</v>
      </c>
      <c r="NGE1894" t="s">
        <v>5778</v>
      </c>
      <c r="NGF1894" t="s">
        <v>5778</v>
      </c>
      <c r="NGG1894" t="s">
        <v>5778</v>
      </c>
      <c r="NGH1894" t="s">
        <v>5779</v>
      </c>
      <c r="NGK1894">
        <v>44583</v>
      </c>
      <c r="NGL1894">
        <v>0</v>
      </c>
      <c r="NGM1894" t="s">
        <v>5778</v>
      </c>
      <c r="NGN1894" t="s">
        <v>5778</v>
      </c>
      <c r="NGO1894" t="s">
        <v>5778</v>
      </c>
      <c r="NGP1894" t="s">
        <v>5779</v>
      </c>
      <c r="NGS1894">
        <v>44583</v>
      </c>
      <c r="NGT1894">
        <v>0</v>
      </c>
      <c r="NGU1894" t="s">
        <v>5778</v>
      </c>
      <c r="NGV1894" t="s">
        <v>5778</v>
      </c>
      <c r="NGW1894" t="s">
        <v>5778</v>
      </c>
      <c r="NGX1894" t="s">
        <v>5779</v>
      </c>
      <c r="NHA1894">
        <v>44583</v>
      </c>
      <c r="NHB1894">
        <v>0</v>
      </c>
      <c r="NHC1894" t="s">
        <v>5778</v>
      </c>
      <c r="NHD1894" t="s">
        <v>5778</v>
      </c>
      <c r="NHE1894" t="s">
        <v>5778</v>
      </c>
      <c r="NHF1894" t="s">
        <v>5779</v>
      </c>
      <c r="NHI1894">
        <v>44583</v>
      </c>
      <c r="NHJ1894">
        <v>0</v>
      </c>
      <c r="NHK1894" t="s">
        <v>5778</v>
      </c>
      <c r="NHL1894" t="s">
        <v>5778</v>
      </c>
      <c r="NHM1894" t="s">
        <v>5778</v>
      </c>
      <c r="NHN1894" t="s">
        <v>5779</v>
      </c>
      <c r="NHQ1894">
        <v>44583</v>
      </c>
      <c r="NHR1894">
        <v>0</v>
      </c>
      <c r="NHS1894" t="s">
        <v>5778</v>
      </c>
      <c r="NHT1894" t="s">
        <v>5778</v>
      </c>
      <c r="NHU1894" t="s">
        <v>5778</v>
      </c>
      <c r="NHV1894" t="s">
        <v>5779</v>
      </c>
      <c r="NHY1894">
        <v>44583</v>
      </c>
      <c r="NHZ1894">
        <v>0</v>
      </c>
      <c r="NIA1894" t="s">
        <v>5778</v>
      </c>
      <c r="NIB1894" t="s">
        <v>5778</v>
      </c>
      <c r="NIC1894" t="s">
        <v>5778</v>
      </c>
      <c r="NID1894" t="s">
        <v>5779</v>
      </c>
      <c r="NIG1894">
        <v>44583</v>
      </c>
      <c r="NIH1894">
        <v>0</v>
      </c>
      <c r="NII1894" t="s">
        <v>5778</v>
      </c>
      <c r="NIJ1894" t="s">
        <v>5778</v>
      </c>
      <c r="NIK1894" t="s">
        <v>5778</v>
      </c>
      <c r="NIL1894" t="s">
        <v>5779</v>
      </c>
      <c r="NIO1894">
        <v>44583</v>
      </c>
      <c r="NIP1894">
        <v>0</v>
      </c>
      <c r="NIQ1894" t="s">
        <v>5778</v>
      </c>
      <c r="NIR1894" t="s">
        <v>5778</v>
      </c>
      <c r="NIS1894" t="s">
        <v>5778</v>
      </c>
      <c r="NIT1894" t="s">
        <v>5779</v>
      </c>
      <c r="NIW1894">
        <v>44583</v>
      </c>
      <c r="NIX1894">
        <v>0</v>
      </c>
      <c r="NIY1894" t="s">
        <v>5778</v>
      </c>
      <c r="NIZ1894" t="s">
        <v>5778</v>
      </c>
      <c r="NJA1894" t="s">
        <v>5778</v>
      </c>
      <c r="NJB1894" t="s">
        <v>5779</v>
      </c>
      <c r="NJE1894">
        <v>44583</v>
      </c>
      <c r="NJF1894">
        <v>0</v>
      </c>
      <c r="NJG1894" t="s">
        <v>5778</v>
      </c>
      <c r="NJH1894" t="s">
        <v>5778</v>
      </c>
      <c r="NJI1894" t="s">
        <v>5778</v>
      </c>
      <c r="NJJ1894" t="s">
        <v>5779</v>
      </c>
      <c r="NJM1894">
        <v>44583</v>
      </c>
      <c r="NJN1894">
        <v>0</v>
      </c>
      <c r="NJO1894" t="s">
        <v>5778</v>
      </c>
      <c r="NJP1894" t="s">
        <v>5778</v>
      </c>
      <c r="NJQ1894" t="s">
        <v>5778</v>
      </c>
      <c r="NJR1894" t="s">
        <v>5779</v>
      </c>
      <c r="NJU1894">
        <v>44583</v>
      </c>
      <c r="NJV1894">
        <v>0</v>
      </c>
      <c r="NJW1894" t="s">
        <v>5778</v>
      </c>
      <c r="NJX1894" t="s">
        <v>5778</v>
      </c>
      <c r="NJY1894" t="s">
        <v>5778</v>
      </c>
      <c r="NJZ1894" t="s">
        <v>5779</v>
      </c>
      <c r="NKC1894">
        <v>44583</v>
      </c>
      <c r="NKD1894">
        <v>0</v>
      </c>
      <c r="NKE1894" t="s">
        <v>5778</v>
      </c>
      <c r="NKF1894" t="s">
        <v>5778</v>
      </c>
      <c r="NKG1894" t="s">
        <v>5778</v>
      </c>
      <c r="NKH1894" t="s">
        <v>5779</v>
      </c>
      <c r="NKK1894">
        <v>44583</v>
      </c>
      <c r="NKL1894">
        <v>0</v>
      </c>
      <c r="NKM1894" t="s">
        <v>5778</v>
      </c>
      <c r="NKN1894" t="s">
        <v>5778</v>
      </c>
      <c r="NKO1894" t="s">
        <v>5778</v>
      </c>
      <c r="NKP1894" t="s">
        <v>5779</v>
      </c>
      <c r="NKS1894">
        <v>44583</v>
      </c>
      <c r="NKT1894">
        <v>0</v>
      </c>
      <c r="NKU1894" t="s">
        <v>5778</v>
      </c>
      <c r="NKV1894" t="s">
        <v>5778</v>
      </c>
      <c r="NKW1894" t="s">
        <v>5778</v>
      </c>
      <c r="NKX1894" t="s">
        <v>5779</v>
      </c>
      <c r="NLA1894">
        <v>44583</v>
      </c>
      <c r="NLB1894">
        <v>0</v>
      </c>
      <c r="NLC1894" t="s">
        <v>5778</v>
      </c>
      <c r="NLD1894" t="s">
        <v>5778</v>
      </c>
      <c r="NLE1894" t="s">
        <v>5778</v>
      </c>
      <c r="NLF1894" t="s">
        <v>5779</v>
      </c>
      <c r="NLI1894">
        <v>44583</v>
      </c>
      <c r="NLJ1894">
        <v>0</v>
      </c>
      <c r="NLK1894" t="s">
        <v>5778</v>
      </c>
      <c r="NLL1894" t="s">
        <v>5778</v>
      </c>
      <c r="NLM1894" t="s">
        <v>5778</v>
      </c>
      <c r="NLN1894" t="s">
        <v>5779</v>
      </c>
      <c r="NLQ1894">
        <v>44583</v>
      </c>
      <c r="NLR1894">
        <v>0</v>
      </c>
      <c r="NLS1894" t="s">
        <v>5778</v>
      </c>
      <c r="NLT1894" t="s">
        <v>5778</v>
      </c>
      <c r="NLU1894" t="s">
        <v>5778</v>
      </c>
      <c r="NLV1894" t="s">
        <v>5779</v>
      </c>
      <c r="NLY1894">
        <v>44583</v>
      </c>
      <c r="NLZ1894">
        <v>0</v>
      </c>
      <c r="NMA1894" t="s">
        <v>5778</v>
      </c>
      <c r="NMB1894" t="s">
        <v>5778</v>
      </c>
      <c r="NMC1894" t="s">
        <v>5778</v>
      </c>
      <c r="NMD1894" t="s">
        <v>5779</v>
      </c>
      <c r="NMG1894">
        <v>44583</v>
      </c>
      <c r="NMH1894">
        <v>0</v>
      </c>
      <c r="NMI1894" t="s">
        <v>5778</v>
      </c>
      <c r="NMJ1894" t="s">
        <v>5778</v>
      </c>
      <c r="NMK1894" t="s">
        <v>5778</v>
      </c>
      <c r="NML1894" t="s">
        <v>5779</v>
      </c>
      <c r="NMO1894">
        <v>44583</v>
      </c>
      <c r="NMP1894">
        <v>0</v>
      </c>
      <c r="NMQ1894" t="s">
        <v>5778</v>
      </c>
      <c r="NMR1894" t="s">
        <v>5778</v>
      </c>
      <c r="NMS1894" t="s">
        <v>5778</v>
      </c>
      <c r="NMT1894" t="s">
        <v>5779</v>
      </c>
      <c r="NMW1894">
        <v>44583</v>
      </c>
      <c r="NMX1894">
        <v>0</v>
      </c>
      <c r="NMY1894" t="s">
        <v>5778</v>
      </c>
      <c r="NMZ1894" t="s">
        <v>5778</v>
      </c>
      <c r="NNA1894" t="s">
        <v>5778</v>
      </c>
      <c r="NNB1894" t="s">
        <v>5779</v>
      </c>
      <c r="NNE1894">
        <v>44583</v>
      </c>
      <c r="NNF1894">
        <v>0</v>
      </c>
      <c r="NNG1894" t="s">
        <v>5778</v>
      </c>
      <c r="NNH1894" t="s">
        <v>5778</v>
      </c>
      <c r="NNI1894" t="s">
        <v>5778</v>
      </c>
      <c r="NNJ1894" t="s">
        <v>5779</v>
      </c>
      <c r="NNM1894">
        <v>44583</v>
      </c>
      <c r="NNN1894">
        <v>0</v>
      </c>
      <c r="NNO1894" t="s">
        <v>5778</v>
      </c>
      <c r="NNP1894" t="s">
        <v>5778</v>
      </c>
      <c r="NNQ1894" t="s">
        <v>5778</v>
      </c>
      <c r="NNR1894" t="s">
        <v>5779</v>
      </c>
      <c r="NNU1894">
        <v>44583</v>
      </c>
      <c r="NNV1894">
        <v>0</v>
      </c>
      <c r="NNW1894" t="s">
        <v>5778</v>
      </c>
      <c r="NNX1894" t="s">
        <v>5778</v>
      </c>
      <c r="NNY1894" t="s">
        <v>5778</v>
      </c>
      <c r="NNZ1894" t="s">
        <v>5779</v>
      </c>
      <c r="NOC1894">
        <v>44583</v>
      </c>
      <c r="NOD1894">
        <v>0</v>
      </c>
      <c r="NOE1894" t="s">
        <v>5778</v>
      </c>
      <c r="NOF1894" t="s">
        <v>5778</v>
      </c>
      <c r="NOG1894" t="s">
        <v>5778</v>
      </c>
      <c r="NOH1894" t="s">
        <v>5779</v>
      </c>
      <c r="NOK1894">
        <v>44583</v>
      </c>
      <c r="NOL1894">
        <v>0</v>
      </c>
      <c r="NOM1894" t="s">
        <v>5778</v>
      </c>
      <c r="NON1894" t="s">
        <v>5778</v>
      </c>
      <c r="NOO1894" t="s">
        <v>5778</v>
      </c>
      <c r="NOP1894" t="s">
        <v>5779</v>
      </c>
      <c r="NOS1894">
        <v>44583</v>
      </c>
      <c r="NOT1894">
        <v>0</v>
      </c>
      <c r="NOU1894" t="s">
        <v>5778</v>
      </c>
      <c r="NOV1894" t="s">
        <v>5778</v>
      </c>
      <c r="NOW1894" t="s">
        <v>5778</v>
      </c>
      <c r="NOX1894" t="s">
        <v>5779</v>
      </c>
      <c r="NPA1894">
        <v>44583</v>
      </c>
      <c r="NPB1894">
        <v>0</v>
      </c>
      <c r="NPC1894" t="s">
        <v>5778</v>
      </c>
      <c r="NPD1894" t="s">
        <v>5778</v>
      </c>
      <c r="NPE1894" t="s">
        <v>5778</v>
      </c>
      <c r="NPF1894" t="s">
        <v>5779</v>
      </c>
      <c r="NPI1894">
        <v>44583</v>
      </c>
      <c r="NPJ1894">
        <v>0</v>
      </c>
      <c r="NPK1894" t="s">
        <v>5778</v>
      </c>
      <c r="NPL1894" t="s">
        <v>5778</v>
      </c>
      <c r="NPM1894" t="s">
        <v>5778</v>
      </c>
      <c r="NPN1894" t="s">
        <v>5779</v>
      </c>
      <c r="NPQ1894">
        <v>44583</v>
      </c>
      <c r="NPR1894">
        <v>0</v>
      </c>
      <c r="NPS1894" t="s">
        <v>5778</v>
      </c>
      <c r="NPT1894" t="s">
        <v>5778</v>
      </c>
      <c r="NPU1894" t="s">
        <v>5778</v>
      </c>
      <c r="NPV1894" t="s">
        <v>5779</v>
      </c>
      <c r="NPY1894">
        <v>44583</v>
      </c>
      <c r="NPZ1894">
        <v>0</v>
      </c>
      <c r="NQA1894" t="s">
        <v>5778</v>
      </c>
      <c r="NQB1894" t="s">
        <v>5778</v>
      </c>
      <c r="NQC1894" t="s">
        <v>5778</v>
      </c>
      <c r="NQD1894" t="s">
        <v>5779</v>
      </c>
      <c r="NQG1894">
        <v>44583</v>
      </c>
      <c r="NQH1894">
        <v>0</v>
      </c>
      <c r="NQI1894" t="s">
        <v>5778</v>
      </c>
      <c r="NQJ1894" t="s">
        <v>5778</v>
      </c>
      <c r="NQK1894" t="s">
        <v>5778</v>
      </c>
      <c r="NQL1894" t="s">
        <v>5779</v>
      </c>
      <c r="NQO1894">
        <v>44583</v>
      </c>
      <c r="NQP1894">
        <v>0</v>
      </c>
      <c r="NQQ1894" t="s">
        <v>5778</v>
      </c>
      <c r="NQR1894" t="s">
        <v>5778</v>
      </c>
      <c r="NQS1894" t="s">
        <v>5778</v>
      </c>
      <c r="NQT1894" t="s">
        <v>5779</v>
      </c>
      <c r="NQW1894">
        <v>44583</v>
      </c>
      <c r="NQX1894">
        <v>0</v>
      </c>
      <c r="NQY1894" t="s">
        <v>5778</v>
      </c>
      <c r="NQZ1894" t="s">
        <v>5778</v>
      </c>
      <c r="NRA1894" t="s">
        <v>5778</v>
      </c>
      <c r="NRB1894" t="s">
        <v>5779</v>
      </c>
      <c r="NRE1894">
        <v>44583</v>
      </c>
      <c r="NRF1894">
        <v>0</v>
      </c>
      <c r="NRG1894" t="s">
        <v>5778</v>
      </c>
      <c r="NRH1894" t="s">
        <v>5778</v>
      </c>
      <c r="NRI1894" t="s">
        <v>5778</v>
      </c>
      <c r="NRJ1894" t="s">
        <v>5779</v>
      </c>
      <c r="NRM1894">
        <v>44583</v>
      </c>
      <c r="NRN1894">
        <v>0</v>
      </c>
      <c r="NRO1894" t="s">
        <v>5778</v>
      </c>
      <c r="NRP1894" t="s">
        <v>5778</v>
      </c>
      <c r="NRQ1894" t="s">
        <v>5778</v>
      </c>
      <c r="NRR1894" t="s">
        <v>5779</v>
      </c>
      <c r="NRU1894">
        <v>44583</v>
      </c>
      <c r="NRV1894">
        <v>0</v>
      </c>
      <c r="NRW1894" t="s">
        <v>5778</v>
      </c>
      <c r="NRX1894" t="s">
        <v>5778</v>
      </c>
      <c r="NRY1894" t="s">
        <v>5778</v>
      </c>
      <c r="NRZ1894" t="s">
        <v>5779</v>
      </c>
      <c r="NSC1894">
        <v>44583</v>
      </c>
      <c r="NSD1894">
        <v>0</v>
      </c>
      <c r="NSE1894" t="s">
        <v>5778</v>
      </c>
      <c r="NSF1894" t="s">
        <v>5778</v>
      </c>
      <c r="NSG1894" t="s">
        <v>5778</v>
      </c>
      <c r="NSH1894" t="s">
        <v>5779</v>
      </c>
      <c r="NSK1894">
        <v>44583</v>
      </c>
      <c r="NSL1894">
        <v>0</v>
      </c>
      <c r="NSM1894" t="s">
        <v>5778</v>
      </c>
      <c r="NSN1894" t="s">
        <v>5778</v>
      </c>
      <c r="NSO1894" t="s">
        <v>5778</v>
      </c>
      <c r="NSP1894" t="s">
        <v>5779</v>
      </c>
      <c r="NSS1894">
        <v>44583</v>
      </c>
      <c r="NST1894">
        <v>0</v>
      </c>
      <c r="NSU1894" t="s">
        <v>5778</v>
      </c>
      <c r="NSV1894" t="s">
        <v>5778</v>
      </c>
      <c r="NSW1894" t="s">
        <v>5778</v>
      </c>
      <c r="NSX1894" t="s">
        <v>5779</v>
      </c>
      <c r="NTA1894">
        <v>44583</v>
      </c>
      <c r="NTB1894">
        <v>0</v>
      </c>
      <c r="NTC1894" t="s">
        <v>5778</v>
      </c>
      <c r="NTD1894" t="s">
        <v>5778</v>
      </c>
      <c r="NTE1894" t="s">
        <v>5778</v>
      </c>
      <c r="NTF1894" t="s">
        <v>5779</v>
      </c>
      <c r="NTI1894">
        <v>44583</v>
      </c>
      <c r="NTJ1894">
        <v>0</v>
      </c>
      <c r="NTK1894" t="s">
        <v>5778</v>
      </c>
      <c r="NTL1894" t="s">
        <v>5778</v>
      </c>
      <c r="NTM1894" t="s">
        <v>5778</v>
      </c>
      <c r="NTN1894" t="s">
        <v>5779</v>
      </c>
      <c r="NTQ1894">
        <v>44583</v>
      </c>
      <c r="NTR1894">
        <v>0</v>
      </c>
      <c r="NTS1894" t="s">
        <v>5778</v>
      </c>
      <c r="NTT1894" t="s">
        <v>5778</v>
      </c>
      <c r="NTU1894" t="s">
        <v>5778</v>
      </c>
      <c r="NTV1894" t="s">
        <v>5779</v>
      </c>
      <c r="NTY1894">
        <v>44583</v>
      </c>
      <c r="NTZ1894">
        <v>0</v>
      </c>
      <c r="NUA1894" t="s">
        <v>5778</v>
      </c>
      <c r="NUB1894" t="s">
        <v>5778</v>
      </c>
      <c r="NUC1894" t="s">
        <v>5778</v>
      </c>
      <c r="NUD1894" t="s">
        <v>5779</v>
      </c>
      <c r="NUG1894">
        <v>44583</v>
      </c>
      <c r="NUH1894">
        <v>0</v>
      </c>
      <c r="NUI1894" t="s">
        <v>5778</v>
      </c>
      <c r="NUJ1894" t="s">
        <v>5778</v>
      </c>
      <c r="NUK1894" t="s">
        <v>5778</v>
      </c>
      <c r="NUL1894" t="s">
        <v>5779</v>
      </c>
      <c r="NUO1894">
        <v>44583</v>
      </c>
      <c r="NUP1894">
        <v>0</v>
      </c>
      <c r="NUQ1894" t="s">
        <v>5778</v>
      </c>
      <c r="NUR1894" t="s">
        <v>5778</v>
      </c>
      <c r="NUS1894" t="s">
        <v>5778</v>
      </c>
      <c r="NUT1894" t="s">
        <v>5779</v>
      </c>
      <c r="NUW1894">
        <v>44583</v>
      </c>
      <c r="NUX1894">
        <v>0</v>
      </c>
      <c r="NUY1894" t="s">
        <v>5778</v>
      </c>
      <c r="NUZ1894" t="s">
        <v>5778</v>
      </c>
      <c r="NVA1894" t="s">
        <v>5778</v>
      </c>
      <c r="NVB1894" t="s">
        <v>5779</v>
      </c>
      <c r="NVE1894">
        <v>44583</v>
      </c>
      <c r="NVF1894">
        <v>0</v>
      </c>
      <c r="NVG1894" t="s">
        <v>5778</v>
      </c>
      <c r="NVH1894" t="s">
        <v>5778</v>
      </c>
      <c r="NVI1894" t="s">
        <v>5778</v>
      </c>
      <c r="NVJ1894" t="s">
        <v>5779</v>
      </c>
      <c r="NVM1894">
        <v>44583</v>
      </c>
      <c r="NVN1894">
        <v>0</v>
      </c>
      <c r="NVO1894" t="s">
        <v>5778</v>
      </c>
      <c r="NVP1894" t="s">
        <v>5778</v>
      </c>
      <c r="NVQ1894" t="s">
        <v>5778</v>
      </c>
      <c r="NVR1894" t="s">
        <v>5779</v>
      </c>
      <c r="NVU1894">
        <v>44583</v>
      </c>
      <c r="NVV1894">
        <v>0</v>
      </c>
      <c r="NVW1894" t="s">
        <v>5778</v>
      </c>
      <c r="NVX1894" t="s">
        <v>5778</v>
      </c>
      <c r="NVY1894" t="s">
        <v>5778</v>
      </c>
      <c r="NVZ1894" t="s">
        <v>5779</v>
      </c>
      <c r="NWC1894">
        <v>44583</v>
      </c>
      <c r="NWD1894">
        <v>0</v>
      </c>
      <c r="NWE1894" t="s">
        <v>5778</v>
      </c>
      <c r="NWF1894" t="s">
        <v>5778</v>
      </c>
      <c r="NWG1894" t="s">
        <v>5778</v>
      </c>
      <c r="NWH1894" t="s">
        <v>5779</v>
      </c>
      <c r="NWK1894">
        <v>44583</v>
      </c>
      <c r="NWL1894">
        <v>0</v>
      </c>
      <c r="NWM1894" t="s">
        <v>5778</v>
      </c>
      <c r="NWN1894" t="s">
        <v>5778</v>
      </c>
      <c r="NWO1894" t="s">
        <v>5778</v>
      </c>
      <c r="NWP1894" t="s">
        <v>5779</v>
      </c>
      <c r="NWS1894">
        <v>44583</v>
      </c>
      <c r="NWT1894">
        <v>0</v>
      </c>
      <c r="NWU1894" t="s">
        <v>5778</v>
      </c>
      <c r="NWV1894" t="s">
        <v>5778</v>
      </c>
      <c r="NWW1894" t="s">
        <v>5778</v>
      </c>
      <c r="NWX1894" t="s">
        <v>5779</v>
      </c>
      <c r="NXA1894">
        <v>44583</v>
      </c>
      <c r="NXB1894">
        <v>0</v>
      </c>
      <c r="NXC1894" t="s">
        <v>5778</v>
      </c>
      <c r="NXD1894" t="s">
        <v>5778</v>
      </c>
      <c r="NXE1894" t="s">
        <v>5778</v>
      </c>
      <c r="NXF1894" t="s">
        <v>5779</v>
      </c>
      <c r="NXI1894">
        <v>44583</v>
      </c>
      <c r="NXJ1894">
        <v>0</v>
      </c>
      <c r="NXK1894" t="s">
        <v>5778</v>
      </c>
      <c r="NXL1894" t="s">
        <v>5778</v>
      </c>
      <c r="NXM1894" t="s">
        <v>5778</v>
      </c>
      <c r="NXN1894" t="s">
        <v>5779</v>
      </c>
      <c r="NXQ1894">
        <v>44583</v>
      </c>
      <c r="NXR1894">
        <v>0</v>
      </c>
      <c r="NXS1894" t="s">
        <v>5778</v>
      </c>
      <c r="NXT1894" t="s">
        <v>5778</v>
      </c>
      <c r="NXU1894" t="s">
        <v>5778</v>
      </c>
      <c r="NXV1894" t="s">
        <v>5779</v>
      </c>
      <c r="NXY1894">
        <v>44583</v>
      </c>
      <c r="NXZ1894">
        <v>0</v>
      </c>
      <c r="NYA1894" t="s">
        <v>5778</v>
      </c>
      <c r="NYB1894" t="s">
        <v>5778</v>
      </c>
      <c r="NYC1894" t="s">
        <v>5778</v>
      </c>
      <c r="NYD1894" t="s">
        <v>5779</v>
      </c>
      <c r="NYG1894">
        <v>44583</v>
      </c>
      <c r="NYH1894">
        <v>0</v>
      </c>
      <c r="NYI1894" t="s">
        <v>5778</v>
      </c>
      <c r="NYJ1894" t="s">
        <v>5778</v>
      </c>
      <c r="NYK1894" t="s">
        <v>5778</v>
      </c>
      <c r="NYL1894" t="s">
        <v>5779</v>
      </c>
      <c r="NYO1894">
        <v>44583</v>
      </c>
      <c r="NYP1894">
        <v>0</v>
      </c>
      <c r="NYQ1894" t="s">
        <v>5778</v>
      </c>
      <c r="NYR1894" t="s">
        <v>5778</v>
      </c>
      <c r="NYS1894" t="s">
        <v>5778</v>
      </c>
      <c r="NYT1894" t="s">
        <v>5779</v>
      </c>
      <c r="NYW1894">
        <v>44583</v>
      </c>
      <c r="NYX1894">
        <v>0</v>
      </c>
      <c r="NYY1894" t="s">
        <v>5778</v>
      </c>
      <c r="NYZ1894" t="s">
        <v>5778</v>
      </c>
      <c r="NZA1894" t="s">
        <v>5778</v>
      </c>
      <c r="NZB1894" t="s">
        <v>5779</v>
      </c>
      <c r="NZE1894">
        <v>44583</v>
      </c>
      <c r="NZF1894">
        <v>0</v>
      </c>
      <c r="NZG1894" t="s">
        <v>5778</v>
      </c>
      <c r="NZH1894" t="s">
        <v>5778</v>
      </c>
      <c r="NZI1894" t="s">
        <v>5778</v>
      </c>
      <c r="NZJ1894" t="s">
        <v>5779</v>
      </c>
      <c r="NZM1894">
        <v>44583</v>
      </c>
      <c r="NZN1894">
        <v>0</v>
      </c>
      <c r="NZO1894" t="s">
        <v>5778</v>
      </c>
      <c r="NZP1894" t="s">
        <v>5778</v>
      </c>
      <c r="NZQ1894" t="s">
        <v>5778</v>
      </c>
      <c r="NZR1894" t="s">
        <v>5779</v>
      </c>
      <c r="NZU1894">
        <v>44583</v>
      </c>
      <c r="NZV1894">
        <v>0</v>
      </c>
      <c r="NZW1894" t="s">
        <v>5778</v>
      </c>
      <c r="NZX1894" t="s">
        <v>5778</v>
      </c>
      <c r="NZY1894" t="s">
        <v>5778</v>
      </c>
      <c r="NZZ1894" t="s">
        <v>5779</v>
      </c>
      <c r="OAC1894">
        <v>44583</v>
      </c>
      <c r="OAD1894">
        <v>0</v>
      </c>
      <c r="OAE1894" t="s">
        <v>5778</v>
      </c>
      <c r="OAF1894" t="s">
        <v>5778</v>
      </c>
      <c r="OAG1894" t="s">
        <v>5778</v>
      </c>
      <c r="OAH1894" t="s">
        <v>5779</v>
      </c>
      <c r="OAK1894">
        <v>44583</v>
      </c>
      <c r="OAL1894">
        <v>0</v>
      </c>
      <c r="OAM1894" t="s">
        <v>5778</v>
      </c>
      <c r="OAN1894" t="s">
        <v>5778</v>
      </c>
      <c r="OAO1894" t="s">
        <v>5778</v>
      </c>
      <c r="OAP1894" t="s">
        <v>5779</v>
      </c>
      <c r="OAS1894">
        <v>44583</v>
      </c>
      <c r="OAT1894">
        <v>0</v>
      </c>
      <c r="OAU1894" t="s">
        <v>5778</v>
      </c>
      <c r="OAV1894" t="s">
        <v>5778</v>
      </c>
      <c r="OAW1894" t="s">
        <v>5778</v>
      </c>
      <c r="OAX1894" t="s">
        <v>5779</v>
      </c>
      <c r="OBA1894">
        <v>44583</v>
      </c>
      <c r="OBB1894">
        <v>0</v>
      </c>
      <c r="OBC1894" t="s">
        <v>5778</v>
      </c>
      <c r="OBD1894" t="s">
        <v>5778</v>
      </c>
      <c r="OBE1894" t="s">
        <v>5778</v>
      </c>
      <c r="OBF1894" t="s">
        <v>5779</v>
      </c>
      <c r="OBI1894">
        <v>44583</v>
      </c>
      <c r="OBJ1894">
        <v>0</v>
      </c>
      <c r="OBK1894" t="s">
        <v>5778</v>
      </c>
      <c r="OBL1894" t="s">
        <v>5778</v>
      </c>
      <c r="OBM1894" t="s">
        <v>5778</v>
      </c>
      <c r="OBN1894" t="s">
        <v>5779</v>
      </c>
      <c r="OBQ1894">
        <v>44583</v>
      </c>
      <c r="OBR1894">
        <v>0</v>
      </c>
      <c r="OBS1894" t="s">
        <v>5778</v>
      </c>
      <c r="OBT1894" t="s">
        <v>5778</v>
      </c>
      <c r="OBU1894" t="s">
        <v>5778</v>
      </c>
      <c r="OBV1894" t="s">
        <v>5779</v>
      </c>
      <c r="OBY1894">
        <v>44583</v>
      </c>
      <c r="OBZ1894">
        <v>0</v>
      </c>
      <c r="OCA1894" t="s">
        <v>5778</v>
      </c>
      <c r="OCB1894" t="s">
        <v>5778</v>
      </c>
      <c r="OCC1894" t="s">
        <v>5778</v>
      </c>
      <c r="OCD1894" t="s">
        <v>5779</v>
      </c>
      <c r="OCG1894">
        <v>44583</v>
      </c>
      <c r="OCH1894">
        <v>0</v>
      </c>
      <c r="OCI1894" t="s">
        <v>5778</v>
      </c>
      <c r="OCJ1894" t="s">
        <v>5778</v>
      </c>
      <c r="OCK1894" t="s">
        <v>5778</v>
      </c>
      <c r="OCL1894" t="s">
        <v>5779</v>
      </c>
      <c r="OCO1894">
        <v>44583</v>
      </c>
      <c r="OCP1894">
        <v>0</v>
      </c>
      <c r="OCQ1894" t="s">
        <v>5778</v>
      </c>
      <c r="OCR1894" t="s">
        <v>5778</v>
      </c>
      <c r="OCS1894" t="s">
        <v>5778</v>
      </c>
      <c r="OCT1894" t="s">
        <v>5779</v>
      </c>
      <c r="OCW1894">
        <v>44583</v>
      </c>
      <c r="OCX1894">
        <v>0</v>
      </c>
      <c r="OCY1894" t="s">
        <v>5778</v>
      </c>
      <c r="OCZ1894" t="s">
        <v>5778</v>
      </c>
      <c r="ODA1894" t="s">
        <v>5778</v>
      </c>
      <c r="ODB1894" t="s">
        <v>5779</v>
      </c>
      <c r="ODE1894">
        <v>44583</v>
      </c>
      <c r="ODF1894">
        <v>0</v>
      </c>
      <c r="ODG1894" t="s">
        <v>5778</v>
      </c>
      <c r="ODH1894" t="s">
        <v>5778</v>
      </c>
      <c r="ODI1894" t="s">
        <v>5778</v>
      </c>
      <c r="ODJ1894" t="s">
        <v>5779</v>
      </c>
      <c r="ODM1894">
        <v>44583</v>
      </c>
      <c r="ODN1894">
        <v>0</v>
      </c>
      <c r="ODO1894" t="s">
        <v>5778</v>
      </c>
      <c r="ODP1894" t="s">
        <v>5778</v>
      </c>
      <c r="ODQ1894" t="s">
        <v>5778</v>
      </c>
      <c r="ODR1894" t="s">
        <v>5779</v>
      </c>
      <c r="ODU1894">
        <v>44583</v>
      </c>
      <c r="ODV1894">
        <v>0</v>
      </c>
      <c r="ODW1894" t="s">
        <v>5778</v>
      </c>
      <c r="ODX1894" t="s">
        <v>5778</v>
      </c>
      <c r="ODY1894" t="s">
        <v>5778</v>
      </c>
      <c r="ODZ1894" t="s">
        <v>5779</v>
      </c>
      <c r="OEC1894">
        <v>44583</v>
      </c>
      <c r="OED1894">
        <v>0</v>
      </c>
      <c r="OEE1894" t="s">
        <v>5778</v>
      </c>
      <c r="OEF1894" t="s">
        <v>5778</v>
      </c>
      <c r="OEG1894" t="s">
        <v>5778</v>
      </c>
      <c r="OEH1894" t="s">
        <v>5779</v>
      </c>
      <c r="OEK1894">
        <v>44583</v>
      </c>
      <c r="OEL1894">
        <v>0</v>
      </c>
      <c r="OEM1894" t="s">
        <v>5778</v>
      </c>
      <c r="OEN1894" t="s">
        <v>5778</v>
      </c>
      <c r="OEO1894" t="s">
        <v>5778</v>
      </c>
      <c r="OEP1894" t="s">
        <v>5779</v>
      </c>
      <c r="OES1894">
        <v>44583</v>
      </c>
      <c r="OET1894">
        <v>0</v>
      </c>
      <c r="OEU1894" t="s">
        <v>5778</v>
      </c>
      <c r="OEV1894" t="s">
        <v>5778</v>
      </c>
      <c r="OEW1894" t="s">
        <v>5778</v>
      </c>
      <c r="OEX1894" t="s">
        <v>5779</v>
      </c>
      <c r="OFA1894">
        <v>44583</v>
      </c>
      <c r="OFB1894">
        <v>0</v>
      </c>
      <c r="OFC1894" t="s">
        <v>5778</v>
      </c>
      <c r="OFD1894" t="s">
        <v>5778</v>
      </c>
      <c r="OFE1894" t="s">
        <v>5778</v>
      </c>
      <c r="OFF1894" t="s">
        <v>5779</v>
      </c>
      <c r="OFI1894">
        <v>44583</v>
      </c>
      <c r="OFJ1894">
        <v>0</v>
      </c>
      <c r="OFK1894" t="s">
        <v>5778</v>
      </c>
      <c r="OFL1894" t="s">
        <v>5778</v>
      </c>
      <c r="OFM1894" t="s">
        <v>5778</v>
      </c>
      <c r="OFN1894" t="s">
        <v>5779</v>
      </c>
      <c r="OFQ1894">
        <v>44583</v>
      </c>
      <c r="OFR1894">
        <v>0</v>
      </c>
      <c r="OFS1894" t="s">
        <v>5778</v>
      </c>
      <c r="OFT1894" t="s">
        <v>5778</v>
      </c>
      <c r="OFU1894" t="s">
        <v>5778</v>
      </c>
      <c r="OFV1894" t="s">
        <v>5779</v>
      </c>
      <c r="OFY1894">
        <v>44583</v>
      </c>
      <c r="OFZ1894">
        <v>0</v>
      </c>
      <c r="OGA1894" t="s">
        <v>5778</v>
      </c>
      <c r="OGB1894" t="s">
        <v>5778</v>
      </c>
      <c r="OGC1894" t="s">
        <v>5778</v>
      </c>
      <c r="OGD1894" t="s">
        <v>5779</v>
      </c>
      <c r="OGG1894">
        <v>44583</v>
      </c>
      <c r="OGH1894">
        <v>0</v>
      </c>
      <c r="OGI1894" t="s">
        <v>5778</v>
      </c>
      <c r="OGJ1894" t="s">
        <v>5778</v>
      </c>
      <c r="OGK1894" t="s">
        <v>5778</v>
      </c>
      <c r="OGL1894" t="s">
        <v>5779</v>
      </c>
      <c r="OGO1894">
        <v>44583</v>
      </c>
      <c r="OGP1894">
        <v>0</v>
      </c>
      <c r="OGQ1894" t="s">
        <v>5778</v>
      </c>
      <c r="OGR1894" t="s">
        <v>5778</v>
      </c>
      <c r="OGS1894" t="s">
        <v>5778</v>
      </c>
      <c r="OGT1894" t="s">
        <v>5779</v>
      </c>
      <c r="OGW1894">
        <v>44583</v>
      </c>
      <c r="OGX1894">
        <v>0</v>
      </c>
      <c r="OGY1894" t="s">
        <v>5778</v>
      </c>
      <c r="OGZ1894" t="s">
        <v>5778</v>
      </c>
      <c r="OHA1894" t="s">
        <v>5778</v>
      </c>
      <c r="OHB1894" t="s">
        <v>5779</v>
      </c>
      <c r="OHE1894">
        <v>44583</v>
      </c>
      <c r="OHF1894">
        <v>0</v>
      </c>
      <c r="OHG1894" t="s">
        <v>5778</v>
      </c>
      <c r="OHH1894" t="s">
        <v>5778</v>
      </c>
      <c r="OHI1894" t="s">
        <v>5778</v>
      </c>
      <c r="OHJ1894" t="s">
        <v>5779</v>
      </c>
      <c r="OHM1894">
        <v>44583</v>
      </c>
      <c r="OHN1894">
        <v>0</v>
      </c>
      <c r="OHO1894" t="s">
        <v>5778</v>
      </c>
      <c r="OHP1894" t="s">
        <v>5778</v>
      </c>
      <c r="OHQ1894" t="s">
        <v>5778</v>
      </c>
      <c r="OHR1894" t="s">
        <v>5779</v>
      </c>
      <c r="OHU1894">
        <v>44583</v>
      </c>
      <c r="OHV1894">
        <v>0</v>
      </c>
      <c r="OHW1894" t="s">
        <v>5778</v>
      </c>
      <c r="OHX1894" t="s">
        <v>5778</v>
      </c>
      <c r="OHY1894" t="s">
        <v>5778</v>
      </c>
      <c r="OHZ1894" t="s">
        <v>5779</v>
      </c>
      <c r="OIC1894">
        <v>44583</v>
      </c>
      <c r="OID1894">
        <v>0</v>
      </c>
      <c r="OIE1894" t="s">
        <v>5778</v>
      </c>
      <c r="OIF1894" t="s">
        <v>5778</v>
      </c>
      <c r="OIG1894" t="s">
        <v>5778</v>
      </c>
      <c r="OIH1894" t="s">
        <v>5779</v>
      </c>
      <c r="OIK1894">
        <v>44583</v>
      </c>
      <c r="OIL1894">
        <v>0</v>
      </c>
      <c r="OIM1894" t="s">
        <v>5778</v>
      </c>
      <c r="OIN1894" t="s">
        <v>5778</v>
      </c>
      <c r="OIO1894" t="s">
        <v>5778</v>
      </c>
      <c r="OIP1894" t="s">
        <v>5779</v>
      </c>
      <c r="OIS1894">
        <v>44583</v>
      </c>
      <c r="OIT1894">
        <v>0</v>
      </c>
      <c r="OIU1894" t="s">
        <v>5778</v>
      </c>
      <c r="OIV1894" t="s">
        <v>5778</v>
      </c>
      <c r="OIW1894" t="s">
        <v>5778</v>
      </c>
      <c r="OIX1894" t="s">
        <v>5779</v>
      </c>
      <c r="OJA1894">
        <v>44583</v>
      </c>
      <c r="OJB1894">
        <v>0</v>
      </c>
      <c r="OJC1894" t="s">
        <v>5778</v>
      </c>
      <c r="OJD1894" t="s">
        <v>5778</v>
      </c>
      <c r="OJE1894" t="s">
        <v>5778</v>
      </c>
      <c r="OJF1894" t="s">
        <v>5779</v>
      </c>
      <c r="OJI1894">
        <v>44583</v>
      </c>
      <c r="OJJ1894">
        <v>0</v>
      </c>
      <c r="OJK1894" t="s">
        <v>5778</v>
      </c>
      <c r="OJL1894" t="s">
        <v>5778</v>
      </c>
      <c r="OJM1894" t="s">
        <v>5778</v>
      </c>
      <c r="OJN1894" t="s">
        <v>5779</v>
      </c>
      <c r="OJQ1894">
        <v>44583</v>
      </c>
      <c r="OJR1894">
        <v>0</v>
      </c>
      <c r="OJS1894" t="s">
        <v>5778</v>
      </c>
      <c r="OJT1894" t="s">
        <v>5778</v>
      </c>
      <c r="OJU1894" t="s">
        <v>5778</v>
      </c>
      <c r="OJV1894" t="s">
        <v>5779</v>
      </c>
      <c r="OJY1894">
        <v>44583</v>
      </c>
      <c r="OJZ1894">
        <v>0</v>
      </c>
      <c r="OKA1894" t="s">
        <v>5778</v>
      </c>
      <c r="OKB1894" t="s">
        <v>5778</v>
      </c>
      <c r="OKC1894" t="s">
        <v>5778</v>
      </c>
      <c r="OKD1894" t="s">
        <v>5779</v>
      </c>
      <c r="OKG1894">
        <v>44583</v>
      </c>
      <c r="OKH1894">
        <v>0</v>
      </c>
      <c r="OKI1894" t="s">
        <v>5778</v>
      </c>
      <c r="OKJ1894" t="s">
        <v>5778</v>
      </c>
      <c r="OKK1894" t="s">
        <v>5778</v>
      </c>
      <c r="OKL1894" t="s">
        <v>5779</v>
      </c>
      <c r="OKO1894">
        <v>44583</v>
      </c>
      <c r="OKP1894">
        <v>0</v>
      </c>
      <c r="OKQ1894" t="s">
        <v>5778</v>
      </c>
      <c r="OKR1894" t="s">
        <v>5778</v>
      </c>
      <c r="OKS1894" t="s">
        <v>5778</v>
      </c>
      <c r="OKT1894" t="s">
        <v>5779</v>
      </c>
      <c r="OKW1894">
        <v>44583</v>
      </c>
      <c r="OKX1894">
        <v>0</v>
      </c>
      <c r="OKY1894" t="s">
        <v>5778</v>
      </c>
      <c r="OKZ1894" t="s">
        <v>5778</v>
      </c>
      <c r="OLA1894" t="s">
        <v>5778</v>
      </c>
      <c r="OLB1894" t="s">
        <v>5779</v>
      </c>
      <c r="OLE1894">
        <v>44583</v>
      </c>
      <c r="OLF1894">
        <v>0</v>
      </c>
      <c r="OLG1894" t="s">
        <v>5778</v>
      </c>
      <c r="OLH1894" t="s">
        <v>5778</v>
      </c>
      <c r="OLI1894" t="s">
        <v>5778</v>
      </c>
      <c r="OLJ1894" t="s">
        <v>5779</v>
      </c>
      <c r="OLM1894">
        <v>44583</v>
      </c>
      <c r="OLN1894">
        <v>0</v>
      </c>
      <c r="OLO1894" t="s">
        <v>5778</v>
      </c>
      <c r="OLP1894" t="s">
        <v>5778</v>
      </c>
      <c r="OLQ1894" t="s">
        <v>5778</v>
      </c>
      <c r="OLR1894" t="s">
        <v>5779</v>
      </c>
      <c r="OLU1894">
        <v>44583</v>
      </c>
      <c r="OLV1894">
        <v>0</v>
      </c>
      <c r="OLW1894" t="s">
        <v>5778</v>
      </c>
      <c r="OLX1894" t="s">
        <v>5778</v>
      </c>
      <c r="OLY1894" t="s">
        <v>5778</v>
      </c>
      <c r="OLZ1894" t="s">
        <v>5779</v>
      </c>
      <c r="OMC1894">
        <v>44583</v>
      </c>
      <c r="OMD1894">
        <v>0</v>
      </c>
      <c r="OME1894" t="s">
        <v>5778</v>
      </c>
      <c r="OMF1894" t="s">
        <v>5778</v>
      </c>
      <c r="OMG1894" t="s">
        <v>5778</v>
      </c>
      <c r="OMH1894" t="s">
        <v>5779</v>
      </c>
      <c r="OMK1894">
        <v>44583</v>
      </c>
      <c r="OML1894">
        <v>0</v>
      </c>
      <c r="OMM1894" t="s">
        <v>5778</v>
      </c>
      <c r="OMN1894" t="s">
        <v>5778</v>
      </c>
      <c r="OMO1894" t="s">
        <v>5778</v>
      </c>
      <c r="OMP1894" t="s">
        <v>5779</v>
      </c>
      <c r="OMS1894">
        <v>44583</v>
      </c>
      <c r="OMT1894">
        <v>0</v>
      </c>
      <c r="OMU1894" t="s">
        <v>5778</v>
      </c>
      <c r="OMV1894" t="s">
        <v>5778</v>
      </c>
      <c r="OMW1894" t="s">
        <v>5778</v>
      </c>
      <c r="OMX1894" t="s">
        <v>5779</v>
      </c>
      <c r="ONA1894">
        <v>44583</v>
      </c>
      <c r="ONB1894">
        <v>0</v>
      </c>
      <c r="ONC1894" t="s">
        <v>5778</v>
      </c>
      <c r="OND1894" t="s">
        <v>5778</v>
      </c>
      <c r="ONE1894" t="s">
        <v>5778</v>
      </c>
      <c r="ONF1894" t="s">
        <v>5779</v>
      </c>
      <c r="ONI1894">
        <v>44583</v>
      </c>
      <c r="ONJ1894">
        <v>0</v>
      </c>
      <c r="ONK1894" t="s">
        <v>5778</v>
      </c>
      <c r="ONL1894" t="s">
        <v>5778</v>
      </c>
      <c r="ONM1894" t="s">
        <v>5778</v>
      </c>
      <c r="ONN1894" t="s">
        <v>5779</v>
      </c>
      <c r="ONQ1894">
        <v>44583</v>
      </c>
      <c r="ONR1894">
        <v>0</v>
      </c>
      <c r="ONS1894" t="s">
        <v>5778</v>
      </c>
      <c r="ONT1894" t="s">
        <v>5778</v>
      </c>
      <c r="ONU1894" t="s">
        <v>5778</v>
      </c>
      <c r="ONV1894" t="s">
        <v>5779</v>
      </c>
      <c r="ONY1894">
        <v>44583</v>
      </c>
      <c r="ONZ1894">
        <v>0</v>
      </c>
      <c r="OOA1894" t="s">
        <v>5778</v>
      </c>
      <c r="OOB1894" t="s">
        <v>5778</v>
      </c>
      <c r="OOC1894" t="s">
        <v>5778</v>
      </c>
      <c r="OOD1894" t="s">
        <v>5779</v>
      </c>
      <c r="OOG1894">
        <v>44583</v>
      </c>
      <c r="OOH1894">
        <v>0</v>
      </c>
      <c r="OOI1894" t="s">
        <v>5778</v>
      </c>
      <c r="OOJ1894" t="s">
        <v>5778</v>
      </c>
      <c r="OOK1894" t="s">
        <v>5778</v>
      </c>
      <c r="OOL1894" t="s">
        <v>5779</v>
      </c>
      <c r="OOO1894">
        <v>44583</v>
      </c>
      <c r="OOP1894">
        <v>0</v>
      </c>
      <c r="OOQ1894" t="s">
        <v>5778</v>
      </c>
      <c r="OOR1894" t="s">
        <v>5778</v>
      </c>
      <c r="OOS1894" t="s">
        <v>5778</v>
      </c>
      <c r="OOT1894" t="s">
        <v>5779</v>
      </c>
      <c r="OOW1894">
        <v>44583</v>
      </c>
      <c r="OOX1894">
        <v>0</v>
      </c>
      <c r="OOY1894" t="s">
        <v>5778</v>
      </c>
      <c r="OOZ1894" t="s">
        <v>5778</v>
      </c>
      <c r="OPA1894" t="s">
        <v>5778</v>
      </c>
      <c r="OPB1894" t="s">
        <v>5779</v>
      </c>
      <c r="OPE1894">
        <v>44583</v>
      </c>
      <c r="OPF1894">
        <v>0</v>
      </c>
      <c r="OPG1894" t="s">
        <v>5778</v>
      </c>
      <c r="OPH1894" t="s">
        <v>5778</v>
      </c>
      <c r="OPI1894" t="s">
        <v>5778</v>
      </c>
      <c r="OPJ1894" t="s">
        <v>5779</v>
      </c>
      <c r="OPM1894">
        <v>44583</v>
      </c>
      <c r="OPN1894">
        <v>0</v>
      </c>
      <c r="OPO1894" t="s">
        <v>5778</v>
      </c>
      <c r="OPP1894" t="s">
        <v>5778</v>
      </c>
      <c r="OPQ1894" t="s">
        <v>5778</v>
      </c>
      <c r="OPR1894" t="s">
        <v>5779</v>
      </c>
      <c r="OPU1894">
        <v>44583</v>
      </c>
      <c r="OPV1894">
        <v>0</v>
      </c>
      <c r="OPW1894" t="s">
        <v>5778</v>
      </c>
      <c r="OPX1894" t="s">
        <v>5778</v>
      </c>
      <c r="OPY1894" t="s">
        <v>5778</v>
      </c>
      <c r="OPZ1894" t="s">
        <v>5779</v>
      </c>
      <c r="OQC1894">
        <v>44583</v>
      </c>
      <c r="OQD1894">
        <v>0</v>
      </c>
      <c r="OQE1894" t="s">
        <v>5778</v>
      </c>
      <c r="OQF1894" t="s">
        <v>5778</v>
      </c>
      <c r="OQG1894" t="s">
        <v>5778</v>
      </c>
      <c r="OQH1894" t="s">
        <v>5779</v>
      </c>
      <c r="OQK1894">
        <v>44583</v>
      </c>
      <c r="OQL1894">
        <v>0</v>
      </c>
      <c r="OQM1894" t="s">
        <v>5778</v>
      </c>
      <c r="OQN1894" t="s">
        <v>5778</v>
      </c>
      <c r="OQO1894" t="s">
        <v>5778</v>
      </c>
      <c r="OQP1894" t="s">
        <v>5779</v>
      </c>
      <c r="OQS1894">
        <v>44583</v>
      </c>
      <c r="OQT1894">
        <v>0</v>
      </c>
      <c r="OQU1894" t="s">
        <v>5778</v>
      </c>
      <c r="OQV1894" t="s">
        <v>5778</v>
      </c>
      <c r="OQW1894" t="s">
        <v>5778</v>
      </c>
      <c r="OQX1894" t="s">
        <v>5779</v>
      </c>
      <c r="ORA1894">
        <v>44583</v>
      </c>
      <c r="ORB1894">
        <v>0</v>
      </c>
      <c r="ORC1894" t="s">
        <v>5778</v>
      </c>
      <c r="ORD1894" t="s">
        <v>5778</v>
      </c>
      <c r="ORE1894" t="s">
        <v>5778</v>
      </c>
      <c r="ORF1894" t="s">
        <v>5779</v>
      </c>
      <c r="ORI1894">
        <v>44583</v>
      </c>
      <c r="ORJ1894">
        <v>0</v>
      </c>
      <c r="ORK1894" t="s">
        <v>5778</v>
      </c>
      <c r="ORL1894" t="s">
        <v>5778</v>
      </c>
      <c r="ORM1894" t="s">
        <v>5778</v>
      </c>
      <c r="ORN1894" t="s">
        <v>5779</v>
      </c>
      <c r="ORQ1894">
        <v>44583</v>
      </c>
      <c r="ORR1894">
        <v>0</v>
      </c>
      <c r="ORS1894" t="s">
        <v>5778</v>
      </c>
      <c r="ORT1894" t="s">
        <v>5778</v>
      </c>
      <c r="ORU1894" t="s">
        <v>5778</v>
      </c>
      <c r="ORV1894" t="s">
        <v>5779</v>
      </c>
      <c r="ORY1894">
        <v>44583</v>
      </c>
      <c r="ORZ1894">
        <v>0</v>
      </c>
      <c r="OSA1894" t="s">
        <v>5778</v>
      </c>
      <c r="OSB1894" t="s">
        <v>5778</v>
      </c>
      <c r="OSC1894" t="s">
        <v>5778</v>
      </c>
      <c r="OSD1894" t="s">
        <v>5779</v>
      </c>
      <c r="OSG1894">
        <v>44583</v>
      </c>
      <c r="OSH1894">
        <v>0</v>
      </c>
      <c r="OSI1894" t="s">
        <v>5778</v>
      </c>
      <c r="OSJ1894" t="s">
        <v>5778</v>
      </c>
      <c r="OSK1894" t="s">
        <v>5778</v>
      </c>
      <c r="OSL1894" t="s">
        <v>5779</v>
      </c>
      <c r="OSO1894">
        <v>44583</v>
      </c>
      <c r="OSP1894">
        <v>0</v>
      </c>
      <c r="OSQ1894" t="s">
        <v>5778</v>
      </c>
      <c r="OSR1894" t="s">
        <v>5778</v>
      </c>
      <c r="OSS1894" t="s">
        <v>5778</v>
      </c>
      <c r="OST1894" t="s">
        <v>5779</v>
      </c>
      <c r="OSW1894">
        <v>44583</v>
      </c>
      <c r="OSX1894">
        <v>0</v>
      </c>
      <c r="OSY1894" t="s">
        <v>5778</v>
      </c>
      <c r="OSZ1894" t="s">
        <v>5778</v>
      </c>
      <c r="OTA1894" t="s">
        <v>5778</v>
      </c>
      <c r="OTB1894" t="s">
        <v>5779</v>
      </c>
      <c r="OTE1894">
        <v>44583</v>
      </c>
      <c r="OTF1894">
        <v>0</v>
      </c>
      <c r="OTG1894" t="s">
        <v>5778</v>
      </c>
      <c r="OTH1894" t="s">
        <v>5778</v>
      </c>
      <c r="OTI1894" t="s">
        <v>5778</v>
      </c>
      <c r="OTJ1894" t="s">
        <v>5779</v>
      </c>
      <c r="OTM1894">
        <v>44583</v>
      </c>
      <c r="OTN1894">
        <v>0</v>
      </c>
      <c r="OTO1894" t="s">
        <v>5778</v>
      </c>
      <c r="OTP1894" t="s">
        <v>5778</v>
      </c>
      <c r="OTQ1894" t="s">
        <v>5778</v>
      </c>
      <c r="OTR1894" t="s">
        <v>5779</v>
      </c>
      <c r="OTU1894">
        <v>44583</v>
      </c>
      <c r="OTV1894">
        <v>0</v>
      </c>
      <c r="OTW1894" t="s">
        <v>5778</v>
      </c>
      <c r="OTX1894" t="s">
        <v>5778</v>
      </c>
      <c r="OTY1894" t="s">
        <v>5778</v>
      </c>
      <c r="OTZ1894" t="s">
        <v>5779</v>
      </c>
      <c r="OUC1894">
        <v>44583</v>
      </c>
      <c r="OUD1894">
        <v>0</v>
      </c>
      <c r="OUE1894" t="s">
        <v>5778</v>
      </c>
      <c r="OUF1894" t="s">
        <v>5778</v>
      </c>
      <c r="OUG1894" t="s">
        <v>5778</v>
      </c>
      <c r="OUH1894" t="s">
        <v>5779</v>
      </c>
      <c r="OUK1894">
        <v>44583</v>
      </c>
      <c r="OUL1894">
        <v>0</v>
      </c>
      <c r="OUM1894" t="s">
        <v>5778</v>
      </c>
      <c r="OUN1894" t="s">
        <v>5778</v>
      </c>
      <c r="OUO1894" t="s">
        <v>5778</v>
      </c>
      <c r="OUP1894" t="s">
        <v>5779</v>
      </c>
      <c r="OUS1894">
        <v>44583</v>
      </c>
      <c r="OUT1894">
        <v>0</v>
      </c>
      <c r="OUU1894" t="s">
        <v>5778</v>
      </c>
      <c r="OUV1894" t="s">
        <v>5778</v>
      </c>
      <c r="OUW1894" t="s">
        <v>5778</v>
      </c>
      <c r="OUX1894" t="s">
        <v>5779</v>
      </c>
      <c r="OVA1894">
        <v>44583</v>
      </c>
      <c r="OVB1894">
        <v>0</v>
      </c>
      <c r="OVC1894" t="s">
        <v>5778</v>
      </c>
      <c r="OVD1894" t="s">
        <v>5778</v>
      </c>
      <c r="OVE1894" t="s">
        <v>5778</v>
      </c>
      <c r="OVF1894" t="s">
        <v>5779</v>
      </c>
      <c r="OVI1894">
        <v>44583</v>
      </c>
      <c r="OVJ1894">
        <v>0</v>
      </c>
      <c r="OVK1894" t="s">
        <v>5778</v>
      </c>
      <c r="OVL1894" t="s">
        <v>5778</v>
      </c>
      <c r="OVM1894" t="s">
        <v>5778</v>
      </c>
      <c r="OVN1894" t="s">
        <v>5779</v>
      </c>
      <c r="OVQ1894">
        <v>44583</v>
      </c>
      <c r="OVR1894">
        <v>0</v>
      </c>
      <c r="OVS1894" t="s">
        <v>5778</v>
      </c>
      <c r="OVT1894" t="s">
        <v>5778</v>
      </c>
      <c r="OVU1894" t="s">
        <v>5778</v>
      </c>
      <c r="OVV1894" t="s">
        <v>5779</v>
      </c>
      <c r="OVY1894">
        <v>44583</v>
      </c>
      <c r="OVZ1894">
        <v>0</v>
      </c>
      <c r="OWA1894" t="s">
        <v>5778</v>
      </c>
      <c r="OWB1894" t="s">
        <v>5778</v>
      </c>
      <c r="OWC1894" t="s">
        <v>5778</v>
      </c>
      <c r="OWD1894" t="s">
        <v>5779</v>
      </c>
      <c r="OWG1894">
        <v>44583</v>
      </c>
      <c r="OWH1894">
        <v>0</v>
      </c>
      <c r="OWI1894" t="s">
        <v>5778</v>
      </c>
      <c r="OWJ1894" t="s">
        <v>5778</v>
      </c>
      <c r="OWK1894" t="s">
        <v>5778</v>
      </c>
      <c r="OWL1894" t="s">
        <v>5779</v>
      </c>
      <c r="OWO1894">
        <v>44583</v>
      </c>
      <c r="OWP1894">
        <v>0</v>
      </c>
      <c r="OWQ1894" t="s">
        <v>5778</v>
      </c>
      <c r="OWR1894" t="s">
        <v>5778</v>
      </c>
      <c r="OWS1894" t="s">
        <v>5778</v>
      </c>
      <c r="OWT1894" t="s">
        <v>5779</v>
      </c>
      <c r="OWW1894">
        <v>44583</v>
      </c>
      <c r="OWX1894">
        <v>0</v>
      </c>
      <c r="OWY1894" t="s">
        <v>5778</v>
      </c>
      <c r="OWZ1894" t="s">
        <v>5778</v>
      </c>
      <c r="OXA1894" t="s">
        <v>5778</v>
      </c>
      <c r="OXB1894" t="s">
        <v>5779</v>
      </c>
      <c r="OXE1894">
        <v>44583</v>
      </c>
      <c r="OXF1894">
        <v>0</v>
      </c>
      <c r="OXG1894" t="s">
        <v>5778</v>
      </c>
      <c r="OXH1894" t="s">
        <v>5778</v>
      </c>
      <c r="OXI1894" t="s">
        <v>5778</v>
      </c>
      <c r="OXJ1894" t="s">
        <v>5779</v>
      </c>
      <c r="OXM1894">
        <v>44583</v>
      </c>
      <c r="OXN1894">
        <v>0</v>
      </c>
      <c r="OXO1894" t="s">
        <v>5778</v>
      </c>
      <c r="OXP1894" t="s">
        <v>5778</v>
      </c>
      <c r="OXQ1894" t="s">
        <v>5778</v>
      </c>
      <c r="OXR1894" t="s">
        <v>5779</v>
      </c>
      <c r="OXU1894">
        <v>44583</v>
      </c>
      <c r="OXV1894">
        <v>0</v>
      </c>
      <c r="OXW1894" t="s">
        <v>5778</v>
      </c>
      <c r="OXX1894" t="s">
        <v>5778</v>
      </c>
      <c r="OXY1894" t="s">
        <v>5778</v>
      </c>
      <c r="OXZ1894" t="s">
        <v>5779</v>
      </c>
      <c r="OYC1894">
        <v>44583</v>
      </c>
      <c r="OYD1894">
        <v>0</v>
      </c>
      <c r="OYE1894" t="s">
        <v>5778</v>
      </c>
      <c r="OYF1894" t="s">
        <v>5778</v>
      </c>
      <c r="OYG1894" t="s">
        <v>5778</v>
      </c>
      <c r="OYH1894" t="s">
        <v>5779</v>
      </c>
      <c r="OYK1894">
        <v>44583</v>
      </c>
      <c r="OYL1894">
        <v>0</v>
      </c>
      <c r="OYM1894" t="s">
        <v>5778</v>
      </c>
      <c r="OYN1894" t="s">
        <v>5778</v>
      </c>
      <c r="OYO1894" t="s">
        <v>5778</v>
      </c>
      <c r="OYP1894" t="s">
        <v>5779</v>
      </c>
      <c r="OYS1894">
        <v>44583</v>
      </c>
      <c r="OYT1894">
        <v>0</v>
      </c>
      <c r="OYU1894" t="s">
        <v>5778</v>
      </c>
      <c r="OYV1894" t="s">
        <v>5778</v>
      </c>
      <c r="OYW1894" t="s">
        <v>5778</v>
      </c>
      <c r="OYX1894" t="s">
        <v>5779</v>
      </c>
      <c r="OZA1894">
        <v>44583</v>
      </c>
      <c r="OZB1894">
        <v>0</v>
      </c>
      <c r="OZC1894" t="s">
        <v>5778</v>
      </c>
      <c r="OZD1894" t="s">
        <v>5778</v>
      </c>
      <c r="OZE1894" t="s">
        <v>5778</v>
      </c>
      <c r="OZF1894" t="s">
        <v>5779</v>
      </c>
      <c r="OZI1894">
        <v>44583</v>
      </c>
      <c r="OZJ1894">
        <v>0</v>
      </c>
      <c r="OZK1894" t="s">
        <v>5778</v>
      </c>
      <c r="OZL1894" t="s">
        <v>5778</v>
      </c>
      <c r="OZM1894" t="s">
        <v>5778</v>
      </c>
      <c r="OZN1894" t="s">
        <v>5779</v>
      </c>
      <c r="OZQ1894">
        <v>44583</v>
      </c>
      <c r="OZR1894">
        <v>0</v>
      </c>
      <c r="OZS1894" t="s">
        <v>5778</v>
      </c>
      <c r="OZT1894" t="s">
        <v>5778</v>
      </c>
      <c r="OZU1894" t="s">
        <v>5778</v>
      </c>
      <c r="OZV1894" t="s">
        <v>5779</v>
      </c>
      <c r="OZY1894">
        <v>44583</v>
      </c>
      <c r="OZZ1894">
        <v>0</v>
      </c>
      <c r="PAA1894" t="s">
        <v>5778</v>
      </c>
      <c r="PAB1894" t="s">
        <v>5778</v>
      </c>
      <c r="PAC1894" t="s">
        <v>5778</v>
      </c>
      <c r="PAD1894" t="s">
        <v>5779</v>
      </c>
      <c r="PAG1894">
        <v>44583</v>
      </c>
      <c r="PAH1894">
        <v>0</v>
      </c>
      <c r="PAI1894" t="s">
        <v>5778</v>
      </c>
      <c r="PAJ1894" t="s">
        <v>5778</v>
      </c>
      <c r="PAK1894" t="s">
        <v>5778</v>
      </c>
      <c r="PAL1894" t="s">
        <v>5779</v>
      </c>
      <c r="PAO1894">
        <v>44583</v>
      </c>
      <c r="PAP1894">
        <v>0</v>
      </c>
      <c r="PAQ1894" t="s">
        <v>5778</v>
      </c>
      <c r="PAR1894" t="s">
        <v>5778</v>
      </c>
      <c r="PAS1894" t="s">
        <v>5778</v>
      </c>
      <c r="PAT1894" t="s">
        <v>5779</v>
      </c>
      <c r="PAW1894">
        <v>44583</v>
      </c>
      <c r="PAX1894">
        <v>0</v>
      </c>
      <c r="PAY1894" t="s">
        <v>5778</v>
      </c>
      <c r="PAZ1894" t="s">
        <v>5778</v>
      </c>
      <c r="PBA1894" t="s">
        <v>5778</v>
      </c>
      <c r="PBB1894" t="s">
        <v>5779</v>
      </c>
      <c r="PBE1894">
        <v>44583</v>
      </c>
      <c r="PBF1894">
        <v>0</v>
      </c>
      <c r="PBG1894" t="s">
        <v>5778</v>
      </c>
      <c r="PBH1894" t="s">
        <v>5778</v>
      </c>
      <c r="PBI1894" t="s">
        <v>5778</v>
      </c>
      <c r="PBJ1894" t="s">
        <v>5779</v>
      </c>
      <c r="PBM1894">
        <v>44583</v>
      </c>
      <c r="PBN1894">
        <v>0</v>
      </c>
      <c r="PBO1894" t="s">
        <v>5778</v>
      </c>
      <c r="PBP1894" t="s">
        <v>5778</v>
      </c>
      <c r="PBQ1894" t="s">
        <v>5778</v>
      </c>
      <c r="PBR1894" t="s">
        <v>5779</v>
      </c>
      <c r="PBU1894">
        <v>44583</v>
      </c>
      <c r="PBV1894">
        <v>0</v>
      </c>
      <c r="PBW1894" t="s">
        <v>5778</v>
      </c>
      <c r="PBX1894" t="s">
        <v>5778</v>
      </c>
      <c r="PBY1894" t="s">
        <v>5778</v>
      </c>
      <c r="PBZ1894" t="s">
        <v>5779</v>
      </c>
      <c r="PCC1894">
        <v>44583</v>
      </c>
      <c r="PCD1894">
        <v>0</v>
      </c>
      <c r="PCE1894" t="s">
        <v>5778</v>
      </c>
      <c r="PCF1894" t="s">
        <v>5778</v>
      </c>
      <c r="PCG1894" t="s">
        <v>5778</v>
      </c>
      <c r="PCH1894" t="s">
        <v>5779</v>
      </c>
      <c r="PCK1894">
        <v>44583</v>
      </c>
      <c r="PCL1894">
        <v>0</v>
      </c>
      <c r="PCM1894" t="s">
        <v>5778</v>
      </c>
      <c r="PCN1894" t="s">
        <v>5778</v>
      </c>
      <c r="PCO1894" t="s">
        <v>5778</v>
      </c>
      <c r="PCP1894" t="s">
        <v>5779</v>
      </c>
      <c r="PCS1894">
        <v>44583</v>
      </c>
      <c r="PCT1894">
        <v>0</v>
      </c>
      <c r="PCU1894" t="s">
        <v>5778</v>
      </c>
      <c r="PCV1894" t="s">
        <v>5778</v>
      </c>
      <c r="PCW1894" t="s">
        <v>5778</v>
      </c>
      <c r="PCX1894" t="s">
        <v>5779</v>
      </c>
      <c r="PDA1894">
        <v>44583</v>
      </c>
      <c r="PDB1894">
        <v>0</v>
      </c>
      <c r="PDC1894" t="s">
        <v>5778</v>
      </c>
      <c r="PDD1894" t="s">
        <v>5778</v>
      </c>
      <c r="PDE1894" t="s">
        <v>5778</v>
      </c>
      <c r="PDF1894" t="s">
        <v>5779</v>
      </c>
      <c r="PDI1894">
        <v>44583</v>
      </c>
      <c r="PDJ1894">
        <v>0</v>
      </c>
      <c r="PDK1894" t="s">
        <v>5778</v>
      </c>
      <c r="PDL1894" t="s">
        <v>5778</v>
      </c>
      <c r="PDM1894" t="s">
        <v>5778</v>
      </c>
      <c r="PDN1894" t="s">
        <v>5779</v>
      </c>
      <c r="PDQ1894">
        <v>44583</v>
      </c>
      <c r="PDR1894">
        <v>0</v>
      </c>
      <c r="PDS1894" t="s">
        <v>5778</v>
      </c>
      <c r="PDT1894" t="s">
        <v>5778</v>
      </c>
      <c r="PDU1894" t="s">
        <v>5778</v>
      </c>
      <c r="PDV1894" t="s">
        <v>5779</v>
      </c>
      <c r="PDY1894">
        <v>44583</v>
      </c>
      <c r="PDZ1894">
        <v>0</v>
      </c>
      <c r="PEA1894" t="s">
        <v>5778</v>
      </c>
      <c r="PEB1894" t="s">
        <v>5778</v>
      </c>
      <c r="PEC1894" t="s">
        <v>5778</v>
      </c>
      <c r="PED1894" t="s">
        <v>5779</v>
      </c>
      <c r="PEG1894">
        <v>44583</v>
      </c>
      <c r="PEH1894">
        <v>0</v>
      </c>
      <c r="PEI1894" t="s">
        <v>5778</v>
      </c>
      <c r="PEJ1894" t="s">
        <v>5778</v>
      </c>
      <c r="PEK1894" t="s">
        <v>5778</v>
      </c>
      <c r="PEL1894" t="s">
        <v>5779</v>
      </c>
      <c r="PEO1894">
        <v>44583</v>
      </c>
      <c r="PEP1894">
        <v>0</v>
      </c>
      <c r="PEQ1894" t="s">
        <v>5778</v>
      </c>
      <c r="PER1894" t="s">
        <v>5778</v>
      </c>
      <c r="PES1894" t="s">
        <v>5778</v>
      </c>
      <c r="PET1894" t="s">
        <v>5779</v>
      </c>
      <c r="PEW1894">
        <v>44583</v>
      </c>
      <c r="PEX1894">
        <v>0</v>
      </c>
      <c r="PEY1894" t="s">
        <v>5778</v>
      </c>
      <c r="PEZ1894" t="s">
        <v>5778</v>
      </c>
      <c r="PFA1894" t="s">
        <v>5778</v>
      </c>
      <c r="PFB1894" t="s">
        <v>5779</v>
      </c>
      <c r="PFE1894">
        <v>44583</v>
      </c>
      <c r="PFF1894">
        <v>0</v>
      </c>
      <c r="PFG1894" t="s">
        <v>5778</v>
      </c>
      <c r="PFH1894" t="s">
        <v>5778</v>
      </c>
      <c r="PFI1894" t="s">
        <v>5778</v>
      </c>
      <c r="PFJ1894" t="s">
        <v>5779</v>
      </c>
      <c r="PFM1894">
        <v>44583</v>
      </c>
      <c r="PFN1894">
        <v>0</v>
      </c>
      <c r="PFO1894" t="s">
        <v>5778</v>
      </c>
      <c r="PFP1894" t="s">
        <v>5778</v>
      </c>
      <c r="PFQ1894" t="s">
        <v>5778</v>
      </c>
      <c r="PFR1894" t="s">
        <v>5779</v>
      </c>
      <c r="PFU1894">
        <v>44583</v>
      </c>
      <c r="PFV1894">
        <v>0</v>
      </c>
      <c r="PFW1894" t="s">
        <v>5778</v>
      </c>
      <c r="PFX1894" t="s">
        <v>5778</v>
      </c>
      <c r="PFY1894" t="s">
        <v>5778</v>
      </c>
      <c r="PFZ1894" t="s">
        <v>5779</v>
      </c>
      <c r="PGC1894">
        <v>44583</v>
      </c>
      <c r="PGD1894">
        <v>0</v>
      </c>
      <c r="PGE1894" t="s">
        <v>5778</v>
      </c>
      <c r="PGF1894" t="s">
        <v>5778</v>
      </c>
      <c r="PGG1894" t="s">
        <v>5778</v>
      </c>
      <c r="PGH1894" t="s">
        <v>5779</v>
      </c>
      <c r="PGK1894">
        <v>44583</v>
      </c>
      <c r="PGL1894">
        <v>0</v>
      </c>
      <c r="PGM1894" t="s">
        <v>5778</v>
      </c>
      <c r="PGN1894" t="s">
        <v>5778</v>
      </c>
      <c r="PGO1894" t="s">
        <v>5778</v>
      </c>
      <c r="PGP1894" t="s">
        <v>5779</v>
      </c>
      <c r="PGS1894">
        <v>44583</v>
      </c>
      <c r="PGT1894">
        <v>0</v>
      </c>
      <c r="PGU1894" t="s">
        <v>5778</v>
      </c>
      <c r="PGV1894" t="s">
        <v>5778</v>
      </c>
      <c r="PGW1894" t="s">
        <v>5778</v>
      </c>
      <c r="PGX1894" t="s">
        <v>5779</v>
      </c>
      <c r="PHA1894">
        <v>44583</v>
      </c>
      <c r="PHB1894">
        <v>0</v>
      </c>
      <c r="PHC1894" t="s">
        <v>5778</v>
      </c>
      <c r="PHD1894" t="s">
        <v>5778</v>
      </c>
      <c r="PHE1894" t="s">
        <v>5778</v>
      </c>
      <c r="PHF1894" t="s">
        <v>5779</v>
      </c>
      <c r="PHI1894">
        <v>44583</v>
      </c>
      <c r="PHJ1894">
        <v>0</v>
      </c>
      <c r="PHK1894" t="s">
        <v>5778</v>
      </c>
      <c r="PHL1894" t="s">
        <v>5778</v>
      </c>
      <c r="PHM1894" t="s">
        <v>5778</v>
      </c>
      <c r="PHN1894" t="s">
        <v>5779</v>
      </c>
      <c r="PHQ1894">
        <v>44583</v>
      </c>
      <c r="PHR1894">
        <v>0</v>
      </c>
      <c r="PHS1894" t="s">
        <v>5778</v>
      </c>
      <c r="PHT1894" t="s">
        <v>5778</v>
      </c>
      <c r="PHU1894" t="s">
        <v>5778</v>
      </c>
      <c r="PHV1894" t="s">
        <v>5779</v>
      </c>
      <c r="PHY1894">
        <v>44583</v>
      </c>
      <c r="PHZ1894">
        <v>0</v>
      </c>
      <c r="PIA1894" t="s">
        <v>5778</v>
      </c>
      <c r="PIB1894" t="s">
        <v>5778</v>
      </c>
      <c r="PIC1894" t="s">
        <v>5778</v>
      </c>
      <c r="PID1894" t="s">
        <v>5779</v>
      </c>
      <c r="PIG1894">
        <v>44583</v>
      </c>
      <c r="PIH1894">
        <v>0</v>
      </c>
      <c r="PII1894" t="s">
        <v>5778</v>
      </c>
      <c r="PIJ1894" t="s">
        <v>5778</v>
      </c>
      <c r="PIK1894" t="s">
        <v>5778</v>
      </c>
      <c r="PIL1894" t="s">
        <v>5779</v>
      </c>
      <c r="PIO1894">
        <v>44583</v>
      </c>
      <c r="PIP1894">
        <v>0</v>
      </c>
      <c r="PIQ1894" t="s">
        <v>5778</v>
      </c>
      <c r="PIR1894" t="s">
        <v>5778</v>
      </c>
      <c r="PIS1894" t="s">
        <v>5778</v>
      </c>
      <c r="PIT1894" t="s">
        <v>5779</v>
      </c>
      <c r="PIW1894">
        <v>44583</v>
      </c>
      <c r="PIX1894">
        <v>0</v>
      </c>
      <c r="PIY1894" t="s">
        <v>5778</v>
      </c>
      <c r="PIZ1894" t="s">
        <v>5778</v>
      </c>
      <c r="PJA1894" t="s">
        <v>5778</v>
      </c>
      <c r="PJB1894" t="s">
        <v>5779</v>
      </c>
      <c r="PJE1894">
        <v>44583</v>
      </c>
      <c r="PJF1894">
        <v>0</v>
      </c>
      <c r="PJG1894" t="s">
        <v>5778</v>
      </c>
      <c r="PJH1894" t="s">
        <v>5778</v>
      </c>
      <c r="PJI1894" t="s">
        <v>5778</v>
      </c>
      <c r="PJJ1894" t="s">
        <v>5779</v>
      </c>
      <c r="PJM1894">
        <v>44583</v>
      </c>
      <c r="PJN1894">
        <v>0</v>
      </c>
      <c r="PJO1894" t="s">
        <v>5778</v>
      </c>
      <c r="PJP1894" t="s">
        <v>5778</v>
      </c>
      <c r="PJQ1894" t="s">
        <v>5778</v>
      </c>
      <c r="PJR1894" t="s">
        <v>5779</v>
      </c>
      <c r="PJU1894">
        <v>44583</v>
      </c>
      <c r="PJV1894">
        <v>0</v>
      </c>
      <c r="PJW1894" t="s">
        <v>5778</v>
      </c>
      <c r="PJX1894" t="s">
        <v>5778</v>
      </c>
      <c r="PJY1894" t="s">
        <v>5778</v>
      </c>
      <c r="PJZ1894" t="s">
        <v>5779</v>
      </c>
      <c r="PKC1894">
        <v>44583</v>
      </c>
      <c r="PKD1894">
        <v>0</v>
      </c>
      <c r="PKE1894" t="s">
        <v>5778</v>
      </c>
      <c r="PKF1894" t="s">
        <v>5778</v>
      </c>
      <c r="PKG1894" t="s">
        <v>5778</v>
      </c>
      <c r="PKH1894" t="s">
        <v>5779</v>
      </c>
      <c r="PKK1894">
        <v>44583</v>
      </c>
      <c r="PKL1894">
        <v>0</v>
      </c>
      <c r="PKM1894" t="s">
        <v>5778</v>
      </c>
      <c r="PKN1894" t="s">
        <v>5778</v>
      </c>
      <c r="PKO1894" t="s">
        <v>5778</v>
      </c>
      <c r="PKP1894" t="s">
        <v>5779</v>
      </c>
      <c r="PKS1894">
        <v>44583</v>
      </c>
      <c r="PKT1894">
        <v>0</v>
      </c>
      <c r="PKU1894" t="s">
        <v>5778</v>
      </c>
      <c r="PKV1894" t="s">
        <v>5778</v>
      </c>
      <c r="PKW1894" t="s">
        <v>5778</v>
      </c>
      <c r="PKX1894" t="s">
        <v>5779</v>
      </c>
      <c r="PLA1894">
        <v>44583</v>
      </c>
      <c r="PLB1894">
        <v>0</v>
      </c>
      <c r="PLC1894" t="s">
        <v>5778</v>
      </c>
      <c r="PLD1894" t="s">
        <v>5778</v>
      </c>
      <c r="PLE1894" t="s">
        <v>5778</v>
      </c>
      <c r="PLF1894" t="s">
        <v>5779</v>
      </c>
      <c r="PLI1894">
        <v>44583</v>
      </c>
      <c r="PLJ1894">
        <v>0</v>
      </c>
      <c r="PLK1894" t="s">
        <v>5778</v>
      </c>
      <c r="PLL1894" t="s">
        <v>5778</v>
      </c>
      <c r="PLM1894" t="s">
        <v>5778</v>
      </c>
      <c r="PLN1894" t="s">
        <v>5779</v>
      </c>
      <c r="PLQ1894">
        <v>44583</v>
      </c>
      <c r="PLR1894">
        <v>0</v>
      </c>
      <c r="PLS1894" t="s">
        <v>5778</v>
      </c>
      <c r="PLT1894" t="s">
        <v>5778</v>
      </c>
      <c r="PLU1894" t="s">
        <v>5778</v>
      </c>
      <c r="PLV1894" t="s">
        <v>5779</v>
      </c>
      <c r="PLY1894">
        <v>44583</v>
      </c>
      <c r="PLZ1894">
        <v>0</v>
      </c>
      <c r="PMA1894" t="s">
        <v>5778</v>
      </c>
      <c r="PMB1894" t="s">
        <v>5778</v>
      </c>
      <c r="PMC1894" t="s">
        <v>5778</v>
      </c>
      <c r="PMD1894" t="s">
        <v>5779</v>
      </c>
      <c r="PMG1894">
        <v>44583</v>
      </c>
      <c r="PMH1894">
        <v>0</v>
      </c>
      <c r="PMI1894" t="s">
        <v>5778</v>
      </c>
      <c r="PMJ1894" t="s">
        <v>5778</v>
      </c>
      <c r="PMK1894" t="s">
        <v>5778</v>
      </c>
      <c r="PML1894" t="s">
        <v>5779</v>
      </c>
      <c r="PMO1894">
        <v>44583</v>
      </c>
      <c r="PMP1894">
        <v>0</v>
      </c>
      <c r="PMQ1894" t="s">
        <v>5778</v>
      </c>
      <c r="PMR1894" t="s">
        <v>5778</v>
      </c>
      <c r="PMS1894" t="s">
        <v>5778</v>
      </c>
      <c r="PMT1894" t="s">
        <v>5779</v>
      </c>
      <c r="PMW1894">
        <v>44583</v>
      </c>
      <c r="PMX1894">
        <v>0</v>
      </c>
      <c r="PMY1894" t="s">
        <v>5778</v>
      </c>
      <c r="PMZ1894" t="s">
        <v>5778</v>
      </c>
      <c r="PNA1894" t="s">
        <v>5778</v>
      </c>
      <c r="PNB1894" t="s">
        <v>5779</v>
      </c>
      <c r="PNE1894">
        <v>44583</v>
      </c>
      <c r="PNF1894">
        <v>0</v>
      </c>
      <c r="PNG1894" t="s">
        <v>5778</v>
      </c>
      <c r="PNH1894" t="s">
        <v>5778</v>
      </c>
      <c r="PNI1894" t="s">
        <v>5778</v>
      </c>
      <c r="PNJ1894" t="s">
        <v>5779</v>
      </c>
      <c r="PNM1894">
        <v>44583</v>
      </c>
      <c r="PNN1894">
        <v>0</v>
      </c>
      <c r="PNO1894" t="s">
        <v>5778</v>
      </c>
      <c r="PNP1894" t="s">
        <v>5778</v>
      </c>
      <c r="PNQ1894" t="s">
        <v>5778</v>
      </c>
      <c r="PNR1894" t="s">
        <v>5779</v>
      </c>
      <c r="PNU1894">
        <v>44583</v>
      </c>
      <c r="PNV1894">
        <v>0</v>
      </c>
      <c r="PNW1894" t="s">
        <v>5778</v>
      </c>
      <c r="PNX1894" t="s">
        <v>5778</v>
      </c>
      <c r="PNY1894" t="s">
        <v>5778</v>
      </c>
      <c r="PNZ1894" t="s">
        <v>5779</v>
      </c>
      <c r="POC1894">
        <v>44583</v>
      </c>
      <c r="POD1894">
        <v>0</v>
      </c>
      <c r="POE1894" t="s">
        <v>5778</v>
      </c>
      <c r="POF1894" t="s">
        <v>5778</v>
      </c>
      <c r="POG1894" t="s">
        <v>5778</v>
      </c>
      <c r="POH1894" t="s">
        <v>5779</v>
      </c>
      <c r="POK1894">
        <v>44583</v>
      </c>
      <c r="POL1894">
        <v>0</v>
      </c>
      <c r="POM1894" t="s">
        <v>5778</v>
      </c>
      <c r="PON1894" t="s">
        <v>5778</v>
      </c>
      <c r="POO1894" t="s">
        <v>5778</v>
      </c>
      <c r="POP1894" t="s">
        <v>5779</v>
      </c>
      <c r="POS1894">
        <v>44583</v>
      </c>
      <c r="POT1894">
        <v>0</v>
      </c>
      <c r="POU1894" t="s">
        <v>5778</v>
      </c>
      <c r="POV1894" t="s">
        <v>5778</v>
      </c>
      <c r="POW1894" t="s">
        <v>5778</v>
      </c>
      <c r="POX1894" t="s">
        <v>5779</v>
      </c>
      <c r="PPA1894">
        <v>44583</v>
      </c>
      <c r="PPB1894">
        <v>0</v>
      </c>
      <c r="PPC1894" t="s">
        <v>5778</v>
      </c>
      <c r="PPD1894" t="s">
        <v>5778</v>
      </c>
      <c r="PPE1894" t="s">
        <v>5778</v>
      </c>
      <c r="PPF1894" t="s">
        <v>5779</v>
      </c>
      <c r="PPI1894">
        <v>44583</v>
      </c>
      <c r="PPJ1894">
        <v>0</v>
      </c>
      <c r="PPK1894" t="s">
        <v>5778</v>
      </c>
      <c r="PPL1894" t="s">
        <v>5778</v>
      </c>
      <c r="PPM1894" t="s">
        <v>5778</v>
      </c>
      <c r="PPN1894" t="s">
        <v>5779</v>
      </c>
      <c r="PPQ1894">
        <v>44583</v>
      </c>
      <c r="PPR1894">
        <v>0</v>
      </c>
      <c r="PPS1894" t="s">
        <v>5778</v>
      </c>
      <c r="PPT1894" t="s">
        <v>5778</v>
      </c>
      <c r="PPU1894" t="s">
        <v>5778</v>
      </c>
      <c r="PPV1894" t="s">
        <v>5779</v>
      </c>
      <c r="PPY1894">
        <v>44583</v>
      </c>
      <c r="PPZ1894">
        <v>0</v>
      </c>
      <c r="PQA1894" t="s">
        <v>5778</v>
      </c>
      <c r="PQB1894" t="s">
        <v>5778</v>
      </c>
      <c r="PQC1894" t="s">
        <v>5778</v>
      </c>
      <c r="PQD1894" t="s">
        <v>5779</v>
      </c>
      <c r="PQG1894">
        <v>44583</v>
      </c>
      <c r="PQH1894">
        <v>0</v>
      </c>
      <c r="PQI1894" t="s">
        <v>5778</v>
      </c>
      <c r="PQJ1894" t="s">
        <v>5778</v>
      </c>
      <c r="PQK1894" t="s">
        <v>5778</v>
      </c>
      <c r="PQL1894" t="s">
        <v>5779</v>
      </c>
      <c r="PQO1894">
        <v>44583</v>
      </c>
      <c r="PQP1894">
        <v>0</v>
      </c>
      <c r="PQQ1894" t="s">
        <v>5778</v>
      </c>
      <c r="PQR1894" t="s">
        <v>5778</v>
      </c>
      <c r="PQS1894" t="s">
        <v>5778</v>
      </c>
      <c r="PQT1894" t="s">
        <v>5779</v>
      </c>
      <c r="PQW1894">
        <v>44583</v>
      </c>
      <c r="PQX1894">
        <v>0</v>
      </c>
      <c r="PQY1894" t="s">
        <v>5778</v>
      </c>
      <c r="PQZ1894" t="s">
        <v>5778</v>
      </c>
      <c r="PRA1894" t="s">
        <v>5778</v>
      </c>
      <c r="PRB1894" t="s">
        <v>5779</v>
      </c>
      <c r="PRE1894">
        <v>44583</v>
      </c>
      <c r="PRF1894">
        <v>0</v>
      </c>
      <c r="PRG1894" t="s">
        <v>5778</v>
      </c>
      <c r="PRH1894" t="s">
        <v>5778</v>
      </c>
      <c r="PRI1894" t="s">
        <v>5778</v>
      </c>
      <c r="PRJ1894" t="s">
        <v>5779</v>
      </c>
      <c r="PRM1894">
        <v>44583</v>
      </c>
      <c r="PRN1894">
        <v>0</v>
      </c>
      <c r="PRO1894" t="s">
        <v>5778</v>
      </c>
      <c r="PRP1894" t="s">
        <v>5778</v>
      </c>
      <c r="PRQ1894" t="s">
        <v>5778</v>
      </c>
      <c r="PRR1894" t="s">
        <v>5779</v>
      </c>
      <c r="PRU1894">
        <v>44583</v>
      </c>
      <c r="PRV1894">
        <v>0</v>
      </c>
      <c r="PRW1894" t="s">
        <v>5778</v>
      </c>
      <c r="PRX1894" t="s">
        <v>5778</v>
      </c>
      <c r="PRY1894" t="s">
        <v>5778</v>
      </c>
      <c r="PRZ1894" t="s">
        <v>5779</v>
      </c>
      <c r="PSC1894">
        <v>44583</v>
      </c>
      <c r="PSD1894">
        <v>0</v>
      </c>
      <c r="PSE1894" t="s">
        <v>5778</v>
      </c>
      <c r="PSF1894" t="s">
        <v>5778</v>
      </c>
      <c r="PSG1894" t="s">
        <v>5778</v>
      </c>
      <c r="PSH1894" t="s">
        <v>5779</v>
      </c>
      <c r="PSK1894">
        <v>44583</v>
      </c>
      <c r="PSL1894">
        <v>0</v>
      </c>
      <c r="PSM1894" t="s">
        <v>5778</v>
      </c>
      <c r="PSN1894" t="s">
        <v>5778</v>
      </c>
      <c r="PSO1894" t="s">
        <v>5778</v>
      </c>
      <c r="PSP1894" t="s">
        <v>5779</v>
      </c>
      <c r="PSS1894">
        <v>44583</v>
      </c>
      <c r="PST1894">
        <v>0</v>
      </c>
      <c r="PSU1894" t="s">
        <v>5778</v>
      </c>
      <c r="PSV1894" t="s">
        <v>5778</v>
      </c>
      <c r="PSW1894" t="s">
        <v>5778</v>
      </c>
      <c r="PSX1894" t="s">
        <v>5779</v>
      </c>
      <c r="PTA1894">
        <v>44583</v>
      </c>
      <c r="PTB1894">
        <v>0</v>
      </c>
      <c r="PTC1894" t="s">
        <v>5778</v>
      </c>
      <c r="PTD1894" t="s">
        <v>5778</v>
      </c>
      <c r="PTE1894" t="s">
        <v>5778</v>
      </c>
      <c r="PTF1894" t="s">
        <v>5779</v>
      </c>
      <c r="PTI1894">
        <v>44583</v>
      </c>
      <c r="PTJ1894">
        <v>0</v>
      </c>
      <c r="PTK1894" t="s">
        <v>5778</v>
      </c>
      <c r="PTL1894" t="s">
        <v>5778</v>
      </c>
      <c r="PTM1894" t="s">
        <v>5778</v>
      </c>
      <c r="PTN1894" t="s">
        <v>5779</v>
      </c>
      <c r="PTQ1894">
        <v>44583</v>
      </c>
      <c r="PTR1894">
        <v>0</v>
      </c>
      <c r="PTS1894" t="s">
        <v>5778</v>
      </c>
      <c r="PTT1894" t="s">
        <v>5778</v>
      </c>
      <c r="PTU1894" t="s">
        <v>5778</v>
      </c>
      <c r="PTV1894" t="s">
        <v>5779</v>
      </c>
      <c r="PTY1894">
        <v>44583</v>
      </c>
      <c r="PTZ1894">
        <v>0</v>
      </c>
      <c r="PUA1894" t="s">
        <v>5778</v>
      </c>
      <c r="PUB1894" t="s">
        <v>5778</v>
      </c>
      <c r="PUC1894" t="s">
        <v>5778</v>
      </c>
      <c r="PUD1894" t="s">
        <v>5779</v>
      </c>
      <c r="PUG1894">
        <v>44583</v>
      </c>
      <c r="PUH1894">
        <v>0</v>
      </c>
      <c r="PUI1894" t="s">
        <v>5778</v>
      </c>
      <c r="PUJ1894" t="s">
        <v>5778</v>
      </c>
      <c r="PUK1894" t="s">
        <v>5778</v>
      </c>
      <c r="PUL1894" t="s">
        <v>5779</v>
      </c>
      <c r="PUO1894">
        <v>44583</v>
      </c>
      <c r="PUP1894">
        <v>0</v>
      </c>
      <c r="PUQ1894" t="s">
        <v>5778</v>
      </c>
      <c r="PUR1894" t="s">
        <v>5778</v>
      </c>
      <c r="PUS1894" t="s">
        <v>5778</v>
      </c>
      <c r="PUT1894" t="s">
        <v>5779</v>
      </c>
      <c r="PUW1894">
        <v>44583</v>
      </c>
      <c r="PUX1894">
        <v>0</v>
      </c>
      <c r="PUY1894" t="s">
        <v>5778</v>
      </c>
      <c r="PUZ1894" t="s">
        <v>5778</v>
      </c>
      <c r="PVA1894" t="s">
        <v>5778</v>
      </c>
      <c r="PVB1894" t="s">
        <v>5779</v>
      </c>
      <c r="PVE1894">
        <v>44583</v>
      </c>
      <c r="PVF1894">
        <v>0</v>
      </c>
      <c r="PVG1894" t="s">
        <v>5778</v>
      </c>
      <c r="PVH1894" t="s">
        <v>5778</v>
      </c>
      <c r="PVI1894" t="s">
        <v>5778</v>
      </c>
      <c r="PVJ1894" t="s">
        <v>5779</v>
      </c>
      <c r="PVM1894">
        <v>44583</v>
      </c>
      <c r="PVN1894">
        <v>0</v>
      </c>
      <c r="PVO1894" t="s">
        <v>5778</v>
      </c>
      <c r="PVP1894" t="s">
        <v>5778</v>
      </c>
      <c r="PVQ1894" t="s">
        <v>5778</v>
      </c>
      <c r="PVR1894" t="s">
        <v>5779</v>
      </c>
      <c r="PVU1894">
        <v>44583</v>
      </c>
      <c r="PVV1894">
        <v>0</v>
      </c>
      <c r="PVW1894" t="s">
        <v>5778</v>
      </c>
      <c r="PVX1894" t="s">
        <v>5778</v>
      </c>
      <c r="PVY1894" t="s">
        <v>5778</v>
      </c>
      <c r="PVZ1894" t="s">
        <v>5779</v>
      </c>
      <c r="PWC1894">
        <v>44583</v>
      </c>
      <c r="PWD1894">
        <v>0</v>
      </c>
      <c r="PWE1894" t="s">
        <v>5778</v>
      </c>
      <c r="PWF1894" t="s">
        <v>5778</v>
      </c>
      <c r="PWG1894" t="s">
        <v>5778</v>
      </c>
      <c r="PWH1894" t="s">
        <v>5779</v>
      </c>
      <c r="PWK1894">
        <v>44583</v>
      </c>
      <c r="PWL1894">
        <v>0</v>
      </c>
      <c r="PWM1894" t="s">
        <v>5778</v>
      </c>
      <c r="PWN1894" t="s">
        <v>5778</v>
      </c>
      <c r="PWO1894" t="s">
        <v>5778</v>
      </c>
      <c r="PWP1894" t="s">
        <v>5779</v>
      </c>
      <c r="PWS1894">
        <v>44583</v>
      </c>
      <c r="PWT1894">
        <v>0</v>
      </c>
      <c r="PWU1894" t="s">
        <v>5778</v>
      </c>
      <c r="PWV1894" t="s">
        <v>5778</v>
      </c>
      <c r="PWW1894" t="s">
        <v>5778</v>
      </c>
      <c r="PWX1894" t="s">
        <v>5779</v>
      </c>
      <c r="PXA1894">
        <v>44583</v>
      </c>
      <c r="PXB1894">
        <v>0</v>
      </c>
      <c r="PXC1894" t="s">
        <v>5778</v>
      </c>
      <c r="PXD1894" t="s">
        <v>5778</v>
      </c>
      <c r="PXE1894" t="s">
        <v>5778</v>
      </c>
      <c r="PXF1894" t="s">
        <v>5779</v>
      </c>
      <c r="PXI1894">
        <v>44583</v>
      </c>
      <c r="PXJ1894">
        <v>0</v>
      </c>
      <c r="PXK1894" t="s">
        <v>5778</v>
      </c>
      <c r="PXL1894" t="s">
        <v>5778</v>
      </c>
      <c r="PXM1894" t="s">
        <v>5778</v>
      </c>
      <c r="PXN1894" t="s">
        <v>5779</v>
      </c>
      <c r="PXQ1894">
        <v>44583</v>
      </c>
      <c r="PXR1894">
        <v>0</v>
      </c>
      <c r="PXS1894" t="s">
        <v>5778</v>
      </c>
      <c r="PXT1894" t="s">
        <v>5778</v>
      </c>
      <c r="PXU1894" t="s">
        <v>5778</v>
      </c>
      <c r="PXV1894" t="s">
        <v>5779</v>
      </c>
      <c r="PXY1894">
        <v>44583</v>
      </c>
      <c r="PXZ1894">
        <v>0</v>
      </c>
      <c r="PYA1894" t="s">
        <v>5778</v>
      </c>
      <c r="PYB1894" t="s">
        <v>5778</v>
      </c>
      <c r="PYC1894" t="s">
        <v>5778</v>
      </c>
      <c r="PYD1894" t="s">
        <v>5779</v>
      </c>
      <c r="PYG1894">
        <v>44583</v>
      </c>
      <c r="PYH1894">
        <v>0</v>
      </c>
      <c r="PYI1894" t="s">
        <v>5778</v>
      </c>
      <c r="PYJ1894" t="s">
        <v>5778</v>
      </c>
      <c r="PYK1894" t="s">
        <v>5778</v>
      </c>
      <c r="PYL1894" t="s">
        <v>5779</v>
      </c>
      <c r="PYO1894">
        <v>44583</v>
      </c>
      <c r="PYP1894">
        <v>0</v>
      </c>
      <c r="PYQ1894" t="s">
        <v>5778</v>
      </c>
      <c r="PYR1894" t="s">
        <v>5778</v>
      </c>
      <c r="PYS1894" t="s">
        <v>5778</v>
      </c>
      <c r="PYT1894" t="s">
        <v>5779</v>
      </c>
      <c r="PYW1894">
        <v>44583</v>
      </c>
      <c r="PYX1894">
        <v>0</v>
      </c>
      <c r="PYY1894" t="s">
        <v>5778</v>
      </c>
      <c r="PYZ1894" t="s">
        <v>5778</v>
      </c>
      <c r="PZA1894" t="s">
        <v>5778</v>
      </c>
      <c r="PZB1894" t="s">
        <v>5779</v>
      </c>
      <c r="PZE1894">
        <v>44583</v>
      </c>
      <c r="PZF1894">
        <v>0</v>
      </c>
      <c r="PZG1894" t="s">
        <v>5778</v>
      </c>
      <c r="PZH1894" t="s">
        <v>5778</v>
      </c>
      <c r="PZI1894" t="s">
        <v>5778</v>
      </c>
      <c r="PZJ1894" t="s">
        <v>5779</v>
      </c>
      <c r="PZM1894">
        <v>44583</v>
      </c>
      <c r="PZN1894">
        <v>0</v>
      </c>
      <c r="PZO1894" t="s">
        <v>5778</v>
      </c>
      <c r="PZP1894" t="s">
        <v>5778</v>
      </c>
      <c r="PZQ1894" t="s">
        <v>5778</v>
      </c>
      <c r="PZR1894" t="s">
        <v>5779</v>
      </c>
      <c r="PZU1894">
        <v>44583</v>
      </c>
      <c r="PZV1894">
        <v>0</v>
      </c>
      <c r="PZW1894" t="s">
        <v>5778</v>
      </c>
      <c r="PZX1894" t="s">
        <v>5778</v>
      </c>
      <c r="PZY1894" t="s">
        <v>5778</v>
      </c>
      <c r="PZZ1894" t="s">
        <v>5779</v>
      </c>
      <c r="QAC1894">
        <v>44583</v>
      </c>
      <c r="QAD1894">
        <v>0</v>
      </c>
      <c r="QAE1894" t="s">
        <v>5778</v>
      </c>
      <c r="QAF1894" t="s">
        <v>5778</v>
      </c>
      <c r="QAG1894" t="s">
        <v>5778</v>
      </c>
      <c r="QAH1894" t="s">
        <v>5779</v>
      </c>
      <c r="QAK1894">
        <v>44583</v>
      </c>
      <c r="QAL1894">
        <v>0</v>
      </c>
      <c r="QAM1894" t="s">
        <v>5778</v>
      </c>
      <c r="QAN1894" t="s">
        <v>5778</v>
      </c>
      <c r="QAO1894" t="s">
        <v>5778</v>
      </c>
      <c r="QAP1894" t="s">
        <v>5779</v>
      </c>
      <c r="QAS1894">
        <v>44583</v>
      </c>
      <c r="QAT1894">
        <v>0</v>
      </c>
      <c r="QAU1894" t="s">
        <v>5778</v>
      </c>
      <c r="QAV1894" t="s">
        <v>5778</v>
      </c>
      <c r="QAW1894" t="s">
        <v>5778</v>
      </c>
      <c r="QAX1894" t="s">
        <v>5779</v>
      </c>
      <c r="QBA1894">
        <v>44583</v>
      </c>
      <c r="QBB1894">
        <v>0</v>
      </c>
      <c r="QBC1894" t="s">
        <v>5778</v>
      </c>
      <c r="QBD1894" t="s">
        <v>5778</v>
      </c>
      <c r="QBE1894" t="s">
        <v>5778</v>
      </c>
      <c r="QBF1894" t="s">
        <v>5779</v>
      </c>
      <c r="QBI1894">
        <v>44583</v>
      </c>
      <c r="QBJ1894">
        <v>0</v>
      </c>
      <c r="QBK1894" t="s">
        <v>5778</v>
      </c>
      <c r="QBL1894" t="s">
        <v>5778</v>
      </c>
      <c r="QBM1894" t="s">
        <v>5778</v>
      </c>
      <c r="QBN1894" t="s">
        <v>5779</v>
      </c>
      <c r="QBQ1894">
        <v>44583</v>
      </c>
      <c r="QBR1894">
        <v>0</v>
      </c>
      <c r="QBS1894" t="s">
        <v>5778</v>
      </c>
      <c r="QBT1894" t="s">
        <v>5778</v>
      </c>
      <c r="QBU1894" t="s">
        <v>5778</v>
      </c>
      <c r="QBV1894" t="s">
        <v>5779</v>
      </c>
      <c r="QBY1894">
        <v>44583</v>
      </c>
      <c r="QBZ1894">
        <v>0</v>
      </c>
      <c r="QCA1894" t="s">
        <v>5778</v>
      </c>
      <c r="QCB1894" t="s">
        <v>5778</v>
      </c>
      <c r="QCC1894" t="s">
        <v>5778</v>
      </c>
      <c r="QCD1894" t="s">
        <v>5779</v>
      </c>
      <c r="QCG1894">
        <v>44583</v>
      </c>
      <c r="QCH1894">
        <v>0</v>
      </c>
      <c r="QCI1894" t="s">
        <v>5778</v>
      </c>
      <c r="QCJ1894" t="s">
        <v>5778</v>
      </c>
      <c r="QCK1894" t="s">
        <v>5778</v>
      </c>
      <c r="QCL1894" t="s">
        <v>5779</v>
      </c>
      <c r="QCO1894">
        <v>44583</v>
      </c>
      <c r="QCP1894">
        <v>0</v>
      </c>
      <c r="QCQ1894" t="s">
        <v>5778</v>
      </c>
      <c r="QCR1894" t="s">
        <v>5778</v>
      </c>
      <c r="QCS1894" t="s">
        <v>5778</v>
      </c>
      <c r="QCT1894" t="s">
        <v>5779</v>
      </c>
      <c r="QCW1894">
        <v>44583</v>
      </c>
      <c r="QCX1894">
        <v>0</v>
      </c>
      <c r="QCY1894" t="s">
        <v>5778</v>
      </c>
      <c r="QCZ1894" t="s">
        <v>5778</v>
      </c>
      <c r="QDA1894" t="s">
        <v>5778</v>
      </c>
      <c r="QDB1894" t="s">
        <v>5779</v>
      </c>
      <c r="QDE1894">
        <v>44583</v>
      </c>
      <c r="QDF1894">
        <v>0</v>
      </c>
      <c r="QDG1894" t="s">
        <v>5778</v>
      </c>
      <c r="QDH1894" t="s">
        <v>5778</v>
      </c>
      <c r="QDI1894" t="s">
        <v>5778</v>
      </c>
      <c r="QDJ1894" t="s">
        <v>5779</v>
      </c>
      <c r="QDM1894">
        <v>44583</v>
      </c>
      <c r="QDN1894">
        <v>0</v>
      </c>
      <c r="QDO1894" t="s">
        <v>5778</v>
      </c>
      <c r="QDP1894" t="s">
        <v>5778</v>
      </c>
      <c r="QDQ1894" t="s">
        <v>5778</v>
      </c>
      <c r="QDR1894" t="s">
        <v>5779</v>
      </c>
      <c r="QDU1894">
        <v>44583</v>
      </c>
      <c r="QDV1894">
        <v>0</v>
      </c>
      <c r="QDW1894" t="s">
        <v>5778</v>
      </c>
      <c r="QDX1894" t="s">
        <v>5778</v>
      </c>
      <c r="QDY1894" t="s">
        <v>5778</v>
      </c>
      <c r="QDZ1894" t="s">
        <v>5779</v>
      </c>
      <c r="QEC1894">
        <v>44583</v>
      </c>
      <c r="QED1894">
        <v>0</v>
      </c>
      <c r="QEE1894" t="s">
        <v>5778</v>
      </c>
      <c r="QEF1894" t="s">
        <v>5778</v>
      </c>
      <c r="QEG1894" t="s">
        <v>5778</v>
      </c>
      <c r="QEH1894" t="s">
        <v>5779</v>
      </c>
      <c r="QEK1894">
        <v>44583</v>
      </c>
      <c r="QEL1894">
        <v>0</v>
      </c>
      <c r="QEM1894" t="s">
        <v>5778</v>
      </c>
      <c r="QEN1894" t="s">
        <v>5778</v>
      </c>
      <c r="QEO1894" t="s">
        <v>5778</v>
      </c>
      <c r="QEP1894" t="s">
        <v>5779</v>
      </c>
      <c r="QES1894">
        <v>44583</v>
      </c>
      <c r="QET1894">
        <v>0</v>
      </c>
      <c r="QEU1894" t="s">
        <v>5778</v>
      </c>
      <c r="QEV1894" t="s">
        <v>5778</v>
      </c>
      <c r="QEW1894" t="s">
        <v>5778</v>
      </c>
      <c r="QEX1894" t="s">
        <v>5779</v>
      </c>
      <c r="QFA1894">
        <v>44583</v>
      </c>
      <c r="QFB1894">
        <v>0</v>
      </c>
      <c r="QFC1894" t="s">
        <v>5778</v>
      </c>
      <c r="QFD1894" t="s">
        <v>5778</v>
      </c>
      <c r="QFE1894" t="s">
        <v>5778</v>
      </c>
      <c r="QFF1894" t="s">
        <v>5779</v>
      </c>
      <c r="QFI1894">
        <v>44583</v>
      </c>
      <c r="QFJ1894">
        <v>0</v>
      </c>
      <c r="QFK1894" t="s">
        <v>5778</v>
      </c>
      <c r="QFL1894" t="s">
        <v>5778</v>
      </c>
      <c r="QFM1894" t="s">
        <v>5778</v>
      </c>
      <c r="QFN1894" t="s">
        <v>5779</v>
      </c>
      <c r="QFQ1894">
        <v>44583</v>
      </c>
      <c r="QFR1894">
        <v>0</v>
      </c>
      <c r="QFS1894" t="s">
        <v>5778</v>
      </c>
      <c r="QFT1894" t="s">
        <v>5778</v>
      </c>
      <c r="QFU1894" t="s">
        <v>5778</v>
      </c>
      <c r="QFV1894" t="s">
        <v>5779</v>
      </c>
      <c r="QFY1894">
        <v>44583</v>
      </c>
      <c r="QFZ1894">
        <v>0</v>
      </c>
      <c r="QGA1894" t="s">
        <v>5778</v>
      </c>
      <c r="QGB1894" t="s">
        <v>5778</v>
      </c>
      <c r="QGC1894" t="s">
        <v>5778</v>
      </c>
      <c r="QGD1894" t="s">
        <v>5779</v>
      </c>
      <c r="QGG1894">
        <v>44583</v>
      </c>
      <c r="QGH1894">
        <v>0</v>
      </c>
      <c r="QGI1894" t="s">
        <v>5778</v>
      </c>
      <c r="QGJ1894" t="s">
        <v>5778</v>
      </c>
      <c r="QGK1894" t="s">
        <v>5778</v>
      </c>
      <c r="QGL1894" t="s">
        <v>5779</v>
      </c>
      <c r="QGO1894">
        <v>44583</v>
      </c>
      <c r="QGP1894">
        <v>0</v>
      </c>
      <c r="QGQ1894" t="s">
        <v>5778</v>
      </c>
      <c r="QGR1894" t="s">
        <v>5778</v>
      </c>
      <c r="QGS1894" t="s">
        <v>5778</v>
      </c>
      <c r="QGT1894" t="s">
        <v>5779</v>
      </c>
      <c r="QGW1894">
        <v>44583</v>
      </c>
      <c r="QGX1894">
        <v>0</v>
      </c>
      <c r="QGY1894" t="s">
        <v>5778</v>
      </c>
      <c r="QGZ1894" t="s">
        <v>5778</v>
      </c>
      <c r="QHA1894" t="s">
        <v>5778</v>
      </c>
      <c r="QHB1894" t="s">
        <v>5779</v>
      </c>
      <c r="QHE1894">
        <v>44583</v>
      </c>
      <c r="QHF1894">
        <v>0</v>
      </c>
      <c r="QHG1894" t="s">
        <v>5778</v>
      </c>
      <c r="QHH1894" t="s">
        <v>5778</v>
      </c>
      <c r="QHI1894" t="s">
        <v>5778</v>
      </c>
      <c r="QHJ1894" t="s">
        <v>5779</v>
      </c>
      <c r="QHM1894">
        <v>44583</v>
      </c>
      <c r="QHN1894">
        <v>0</v>
      </c>
      <c r="QHO1894" t="s">
        <v>5778</v>
      </c>
      <c r="QHP1894" t="s">
        <v>5778</v>
      </c>
      <c r="QHQ1894" t="s">
        <v>5778</v>
      </c>
      <c r="QHR1894" t="s">
        <v>5779</v>
      </c>
      <c r="QHU1894">
        <v>44583</v>
      </c>
      <c r="QHV1894">
        <v>0</v>
      </c>
      <c r="QHW1894" t="s">
        <v>5778</v>
      </c>
      <c r="QHX1894" t="s">
        <v>5778</v>
      </c>
      <c r="QHY1894" t="s">
        <v>5778</v>
      </c>
      <c r="QHZ1894" t="s">
        <v>5779</v>
      </c>
      <c r="QIC1894">
        <v>44583</v>
      </c>
      <c r="QID1894">
        <v>0</v>
      </c>
      <c r="QIE1894" t="s">
        <v>5778</v>
      </c>
      <c r="QIF1894" t="s">
        <v>5778</v>
      </c>
      <c r="QIG1894" t="s">
        <v>5778</v>
      </c>
      <c r="QIH1894" t="s">
        <v>5779</v>
      </c>
      <c r="QIK1894">
        <v>44583</v>
      </c>
      <c r="QIL1894">
        <v>0</v>
      </c>
      <c r="QIM1894" t="s">
        <v>5778</v>
      </c>
      <c r="QIN1894" t="s">
        <v>5778</v>
      </c>
      <c r="QIO1894" t="s">
        <v>5778</v>
      </c>
      <c r="QIP1894" t="s">
        <v>5779</v>
      </c>
      <c r="QIS1894">
        <v>44583</v>
      </c>
      <c r="QIT1894">
        <v>0</v>
      </c>
      <c r="QIU1894" t="s">
        <v>5778</v>
      </c>
      <c r="QIV1894" t="s">
        <v>5778</v>
      </c>
      <c r="QIW1894" t="s">
        <v>5778</v>
      </c>
      <c r="QIX1894" t="s">
        <v>5779</v>
      </c>
      <c r="QJA1894">
        <v>44583</v>
      </c>
      <c r="QJB1894">
        <v>0</v>
      </c>
      <c r="QJC1894" t="s">
        <v>5778</v>
      </c>
      <c r="QJD1894" t="s">
        <v>5778</v>
      </c>
      <c r="QJE1894" t="s">
        <v>5778</v>
      </c>
      <c r="QJF1894" t="s">
        <v>5779</v>
      </c>
      <c r="QJI1894">
        <v>44583</v>
      </c>
      <c r="QJJ1894">
        <v>0</v>
      </c>
      <c r="QJK1894" t="s">
        <v>5778</v>
      </c>
      <c r="QJL1894" t="s">
        <v>5778</v>
      </c>
      <c r="QJM1894" t="s">
        <v>5778</v>
      </c>
      <c r="QJN1894" t="s">
        <v>5779</v>
      </c>
      <c r="QJQ1894">
        <v>44583</v>
      </c>
      <c r="QJR1894">
        <v>0</v>
      </c>
      <c r="QJS1894" t="s">
        <v>5778</v>
      </c>
      <c r="QJT1894" t="s">
        <v>5778</v>
      </c>
      <c r="QJU1894" t="s">
        <v>5778</v>
      </c>
      <c r="QJV1894" t="s">
        <v>5779</v>
      </c>
      <c r="QJY1894">
        <v>44583</v>
      </c>
      <c r="QJZ1894">
        <v>0</v>
      </c>
      <c r="QKA1894" t="s">
        <v>5778</v>
      </c>
      <c r="QKB1894" t="s">
        <v>5778</v>
      </c>
      <c r="QKC1894" t="s">
        <v>5778</v>
      </c>
      <c r="QKD1894" t="s">
        <v>5779</v>
      </c>
      <c r="QKG1894">
        <v>44583</v>
      </c>
      <c r="QKH1894">
        <v>0</v>
      </c>
      <c r="QKI1894" t="s">
        <v>5778</v>
      </c>
      <c r="QKJ1894" t="s">
        <v>5778</v>
      </c>
      <c r="QKK1894" t="s">
        <v>5778</v>
      </c>
      <c r="QKL1894" t="s">
        <v>5779</v>
      </c>
      <c r="QKO1894">
        <v>44583</v>
      </c>
      <c r="QKP1894">
        <v>0</v>
      </c>
      <c r="QKQ1894" t="s">
        <v>5778</v>
      </c>
      <c r="QKR1894" t="s">
        <v>5778</v>
      </c>
      <c r="QKS1894" t="s">
        <v>5778</v>
      </c>
      <c r="QKT1894" t="s">
        <v>5779</v>
      </c>
      <c r="QKW1894">
        <v>44583</v>
      </c>
      <c r="QKX1894">
        <v>0</v>
      </c>
      <c r="QKY1894" t="s">
        <v>5778</v>
      </c>
      <c r="QKZ1894" t="s">
        <v>5778</v>
      </c>
      <c r="QLA1894" t="s">
        <v>5778</v>
      </c>
      <c r="QLB1894" t="s">
        <v>5779</v>
      </c>
      <c r="QLE1894">
        <v>44583</v>
      </c>
      <c r="QLF1894">
        <v>0</v>
      </c>
      <c r="QLG1894" t="s">
        <v>5778</v>
      </c>
      <c r="QLH1894" t="s">
        <v>5778</v>
      </c>
      <c r="QLI1894" t="s">
        <v>5778</v>
      </c>
      <c r="QLJ1894" t="s">
        <v>5779</v>
      </c>
      <c r="QLM1894">
        <v>44583</v>
      </c>
      <c r="QLN1894">
        <v>0</v>
      </c>
      <c r="QLO1894" t="s">
        <v>5778</v>
      </c>
      <c r="QLP1894" t="s">
        <v>5778</v>
      </c>
      <c r="QLQ1894" t="s">
        <v>5778</v>
      </c>
      <c r="QLR1894" t="s">
        <v>5779</v>
      </c>
      <c r="QLU1894">
        <v>44583</v>
      </c>
      <c r="QLV1894">
        <v>0</v>
      </c>
      <c r="QLW1894" t="s">
        <v>5778</v>
      </c>
      <c r="QLX1894" t="s">
        <v>5778</v>
      </c>
      <c r="QLY1894" t="s">
        <v>5778</v>
      </c>
      <c r="QLZ1894" t="s">
        <v>5779</v>
      </c>
      <c r="QMC1894">
        <v>44583</v>
      </c>
      <c r="QMD1894">
        <v>0</v>
      </c>
      <c r="QME1894" t="s">
        <v>5778</v>
      </c>
      <c r="QMF1894" t="s">
        <v>5778</v>
      </c>
      <c r="QMG1894" t="s">
        <v>5778</v>
      </c>
      <c r="QMH1894" t="s">
        <v>5779</v>
      </c>
      <c r="QMK1894">
        <v>44583</v>
      </c>
      <c r="QML1894">
        <v>0</v>
      </c>
      <c r="QMM1894" t="s">
        <v>5778</v>
      </c>
      <c r="QMN1894" t="s">
        <v>5778</v>
      </c>
      <c r="QMO1894" t="s">
        <v>5778</v>
      </c>
      <c r="QMP1894" t="s">
        <v>5779</v>
      </c>
      <c r="QMS1894">
        <v>44583</v>
      </c>
      <c r="QMT1894">
        <v>0</v>
      </c>
      <c r="QMU1894" t="s">
        <v>5778</v>
      </c>
      <c r="QMV1894" t="s">
        <v>5778</v>
      </c>
      <c r="QMW1894" t="s">
        <v>5778</v>
      </c>
      <c r="QMX1894" t="s">
        <v>5779</v>
      </c>
      <c r="QNA1894">
        <v>44583</v>
      </c>
      <c r="QNB1894">
        <v>0</v>
      </c>
      <c r="QNC1894" t="s">
        <v>5778</v>
      </c>
      <c r="QND1894" t="s">
        <v>5778</v>
      </c>
      <c r="QNE1894" t="s">
        <v>5778</v>
      </c>
      <c r="QNF1894" t="s">
        <v>5779</v>
      </c>
      <c r="QNI1894">
        <v>44583</v>
      </c>
      <c r="QNJ1894">
        <v>0</v>
      </c>
      <c r="QNK1894" t="s">
        <v>5778</v>
      </c>
      <c r="QNL1894" t="s">
        <v>5778</v>
      </c>
      <c r="QNM1894" t="s">
        <v>5778</v>
      </c>
      <c r="QNN1894" t="s">
        <v>5779</v>
      </c>
      <c r="QNQ1894">
        <v>44583</v>
      </c>
      <c r="QNR1894">
        <v>0</v>
      </c>
      <c r="QNS1894" t="s">
        <v>5778</v>
      </c>
      <c r="QNT1894" t="s">
        <v>5778</v>
      </c>
      <c r="QNU1894" t="s">
        <v>5778</v>
      </c>
      <c r="QNV1894" t="s">
        <v>5779</v>
      </c>
      <c r="QNY1894">
        <v>44583</v>
      </c>
      <c r="QNZ1894">
        <v>0</v>
      </c>
      <c r="QOA1894" t="s">
        <v>5778</v>
      </c>
      <c r="QOB1894" t="s">
        <v>5778</v>
      </c>
      <c r="QOC1894" t="s">
        <v>5778</v>
      </c>
      <c r="QOD1894" t="s">
        <v>5779</v>
      </c>
      <c r="QOG1894">
        <v>44583</v>
      </c>
      <c r="QOH1894">
        <v>0</v>
      </c>
      <c r="QOI1894" t="s">
        <v>5778</v>
      </c>
      <c r="QOJ1894" t="s">
        <v>5778</v>
      </c>
      <c r="QOK1894" t="s">
        <v>5778</v>
      </c>
      <c r="QOL1894" t="s">
        <v>5779</v>
      </c>
      <c r="QOO1894">
        <v>44583</v>
      </c>
      <c r="QOP1894">
        <v>0</v>
      </c>
      <c r="QOQ1894" t="s">
        <v>5778</v>
      </c>
      <c r="QOR1894" t="s">
        <v>5778</v>
      </c>
      <c r="QOS1894" t="s">
        <v>5778</v>
      </c>
      <c r="QOT1894" t="s">
        <v>5779</v>
      </c>
      <c r="QOW1894">
        <v>44583</v>
      </c>
      <c r="QOX1894">
        <v>0</v>
      </c>
      <c r="QOY1894" t="s">
        <v>5778</v>
      </c>
      <c r="QOZ1894" t="s">
        <v>5778</v>
      </c>
      <c r="QPA1894" t="s">
        <v>5778</v>
      </c>
      <c r="QPB1894" t="s">
        <v>5779</v>
      </c>
      <c r="QPE1894">
        <v>44583</v>
      </c>
      <c r="QPF1894">
        <v>0</v>
      </c>
      <c r="QPG1894" t="s">
        <v>5778</v>
      </c>
      <c r="QPH1894" t="s">
        <v>5778</v>
      </c>
      <c r="QPI1894" t="s">
        <v>5778</v>
      </c>
      <c r="QPJ1894" t="s">
        <v>5779</v>
      </c>
      <c r="QPM1894">
        <v>44583</v>
      </c>
      <c r="QPN1894">
        <v>0</v>
      </c>
      <c r="QPO1894" t="s">
        <v>5778</v>
      </c>
      <c r="QPP1894" t="s">
        <v>5778</v>
      </c>
      <c r="QPQ1894" t="s">
        <v>5778</v>
      </c>
      <c r="QPR1894" t="s">
        <v>5779</v>
      </c>
      <c r="QPU1894">
        <v>44583</v>
      </c>
      <c r="QPV1894">
        <v>0</v>
      </c>
      <c r="QPW1894" t="s">
        <v>5778</v>
      </c>
      <c r="QPX1894" t="s">
        <v>5778</v>
      </c>
      <c r="QPY1894" t="s">
        <v>5778</v>
      </c>
      <c r="QPZ1894" t="s">
        <v>5779</v>
      </c>
      <c r="QQC1894">
        <v>44583</v>
      </c>
      <c r="QQD1894">
        <v>0</v>
      </c>
      <c r="QQE1894" t="s">
        <v>5778</v>
      </c>
      <c r="QQF1894" t="s">
        <v>5778</v>
      </c>
      <c r="QQG1894" t="s">
        <v>5778</v>
      </c>
      <c r="QQH1894" t="s">
        <v>5779</v>
      </c>
      <c r="QQK1894">
        <v>44583</v>
      </c>
      <c r="QQL1894">
        <v>0</v>
      </c>
      <c r="QQM1894" t="s">
        <v>5778</v>
      </c>
      <c r="QQN1894" t="s">
        <v>5778</v>
      </c>
      <c r="QQO1894" t="s">
        <v>5778</v>
      </c>
      <c r="QQP1894" t="s">
        <v>5779</v>
      </c>
      <c r="QQS1894">
        <v>44583</v>
      </c>
      <c r="QQT1894">
        <v>0</v>
      </c>
      <c r="QQU1894" t="s">
        <v>5778</v>
      </c>
      <c r="QQV1894" t="s">
        <v>5778</v>
      </c>
      <c r="QQW1894" t="s">
        <v>5778</v>
      </c>
      <c r="QQX1894" t="s">
        <v>5779</v>
      </c>
      <c r="QRA1894">
        <v>44583</v>
      </c>
      <c r="QRB1894">
        <v>0</v>
      </c>
      <c r="QRC1894" t="s">
        <v>5778</v>
      </c>
      <c r="QRD1894" t="s">
        <v>5778</v>
      </c>
      <c r="QRE1894" t="s">
        <v>5778</v>
      </c>
      <c r="QRF1894" t="s">
        <v>5779</v>
      </c>
      <c r="QRI1894">
        <v>44583</v>
      </c>
      <c r="QRJ1894">
        <v>0</v>
      </c>
      <c r="QRK1894" t="s">
        <v>5778</v>
      </c>
      <c r="QRL1894" t="s">
        <v>5778</v>
      </c>
      <c r="QRM1894" t="s">
        <v>5778</v>
      </c>
      <c r="QRN1894" t="s">
        <v>5779</v>
      </c>
      <c r="QRQ1894">
        <v>44583</v>
      </c>
      <c r="QRR1894">
        <v>0</v>
      </c>
      <c r="QRS1894" t="s">
        <v>5778</v>
      </c>
      <c r="QRT1894" t="s">
        <v>5778</v>
      </c>
      <c r="QRU1894" t="s">
        <v>5778</v>
      </c>
      <c r="QRV1894" t="s">
        <v>5779</v>
      </c>
      <c r="QRY1894">
        <v>44583</v>
      </c>
      <c r="QRZ1894">
        <v>0</v>
      </c>
      <c r="QSA1894" t="s">
        <v>5778</v>
      </c>
      <c r="QSB1894" t="s">
        <v>5778</v>
      </c>
      <c r="QSC1894" t="s">
        <v>5778</v>
      </c>
      <c r="QSD1894" t="s">
        <v>5779</v>
      </c>
      <c r="QSG1894">
        <v>44583</v>
      </c>
      <c r="QSH1894">
        <v>0</v>
      </c>
      <c r="QSI1894" t="s">
        <v>5778</v>
      </c>
      <c r="QSJ1894" t="s">
        <v>5778</v>
      </c>
      <c r="QSK1894" t="s">
        <v>5778</v>
      </c>
      <c r="QSL1894" t="s">
        <v>5779</v>
      </c>
      <c r="QSO1894">
        <v>44583</v>
      </c>
      <c r="QSP1894">
        <v>0</v>
      </c>
      <c r="QSQ1894" t="s">
        <v>5778</v>
      </c>
      <c r="QSR1894" t="s">
        <v>5778</v>
      </c>
      <c r="QSS1894" t="s">
        <v>5778</v>
      </c>
      <c r="QST1894" t="s">
        <v>5779</v>
      </c>
      <c r="QSW1894">
        <v>44583</v>
      </c>
      <c r="QSX1894">
        <v>0</v>
      </c>
      <c r="QSY1894" t="s">
        <v>5778</v>
      </c>
      <c r="QSZ1894" t="s">
        <v>5778</v>
      </c>
      <c r="QTA1894" t="s">
        <v>5778</v>
      </c>
      <c r="QTB1894" t="s">
        <v>5779</v>
      </c>
      <c r="QTE1894">
        <v>44583</v>
      </c>
      <c r="QTF1894">
        <v>0</v>
      </c>
      <c r="QTG1894" t="s">
        <v>5778</v>
      </c>
      <c r="QTH1894" t="s">
        <v>5778</v>
      </c>
      <c r="QTI1894" t="s">
        <v>5778</v>
      </c>
      <c r="QTJ1894" t="s">
        <v>5779</v>
      </c>
      <c r="QTM1894">
        <v>44583</v>
      </c>
      <c r="QTN1894">
        <v>0</v>
      </c>
      <c r="QTO1894" t="s">
        <v>5778</v>
      </c>
      <c r="QTP1894" t="s">
        <v>5778</v>
      </c>
      <c r="QTQ1894" t="s">
        <v>5778</v>
      </c>
      <c r="QTR1894" t="s">
        <v>5779</v>
      </c>
      <c r="QTU1894">
        <v>44583</v>
      </c>
      <c r="QTV1894">
        <v>0</v>
      </c>
      <c r="QTW1894" t="s">
        <v>5778</v>
      </c>
      <c r="QTX1894" t="s">
        <v>5778</v>
      </c>
      <c r="QTY1894" t="s">
        <v>5778</v>
      </c>
      <c r="QTZ1894" t="s">
        <v>5779</v>
      </c>
      <c r="QUC1894">
        <v>44583</v>
      </c>
      <c r="QUD1894">
        <v>0</v>
      </c>
      <c r="QUE1894" t="s">
        <v>5778</v>
      </c>
      <c r="QUF1894" t="s">
        <v>5778</v>
      </c>
      <c r="QUG1894" t="s">
        <v>5778</v>
      </c>
      <c r="QUH1894" t="s">
        <v>5779</v>
      </c>
      <c r="QUK1894">
        <v>44583</v>
      </c>
      <c r="QUL1894">
        <v>0</v>
      </c>
      <c r="QUM1894" t="s">
        <v>5778</v>
      </c>
      <c r="QUN1894" t="s">
        <v>5778</v>
      </c>
      <c r="QUO1894" t="s">
        <v>5778</v>
      </c>
      <c r="QUP1894" t="s">
        <v>5779</v>
      </c>
      <c r="QUS1894">
        <v>44583</v>
      </c>
      <c r="QUT1894">
        <v>0</v>
      </c>
      <c r="QUU1894" t="s">
        <v>5778</v>
      </c>
      <c r="QUV1894" t="s">
        <v>5778</v>
      </c>
      <c r="QUW1894" t="s">
        <v>5778</v>
      </c>
      <c r="QUX1894" t="s">
        <v>5779</v>
      </c>
      <c r="QVA1894">
        <v>44583</v>
      </c>
      <c r="QVB1894">
        <v>0</v>
      </c>
      <c r="QVC1894" t="s">
        <v>5778</v>
      </c>
      <c r="QVD1894" t="s">
        <v>5778</v>
      </c>
      <c r="QVE1894" t="s">
        <v>5778</v>
      </c>
      <c r="QVF1894" t="s">
        <v>5779</v>
      </c>
      <c r="QVI1894">
        <v>44583</v>
      </c>
      <c r="QVJ1894">
        <v>0</v>
      </c>
      <c r="QVK1894" t="s">
        <v>5778</v>
      </c>
      <c r="QVL1894" t="s">
        <v>5778</v>
      </c>
      <c r="QVM1894" t="s">
        <v>5778</v>
      </c>
      <c r="QVN1894" t="s">
        <v>5779</v>
      </c>
      <c r="QVQ1894">
        <v>44583</v>
      </c>
      <c r="QVR1894">
        <v>0</v>
      </c>
      <c r="QVS1894" t="s">
        <v>5778</v>
      </c>
      <c r="QVT1894" t="s">
        <v>5778</v>
      </c>
      <c r="QVU1894" t="s">
        <v>5778</v>
      </c>
      <c r="QVV1894" t="s">
        <v>5779</v>
      </c>
      <c r="QVY1894">
        <v>44583</v>
      </c>
      <c r="QVZ1894">
        <v>0</v>
      </c>
      <c r="QWA1894" t="s">
        <v>5778</v>
      </c>
      <c r="QWB1894" t="s">
        <v>5778</v>
      </c>
      <c r="QWC1894" t="s">
        <v>5778</v>
      </c>
      <c r="QWD1894" t="s">
        <v>5779</v>
      </c>
      <c r="QWG1894">
        <v>44583</v>
      </c>
      <c r="QWH1894">
        <v>0</v>
      </c>
      <c r="QWI1894" t="s">
        <v>5778</v>
      </c>
      <c r="QWJ1894" t="s">
        <v>5778</v>
      </c>
      <c r="QWK1894" t="s">
        <v>5778</v>
      </c>
      <c r="QWL1894" t="s">
        <v>5779</v>
      </c>
      <c r="QWO1894">
        <v>44583</v>
      </c>
      <c r="QWP1894">
        <v>0</v>
      </c>
      <c r="QWQ1894" t="s">
        <v>5778</v>
      </c>
      <c r="QWR1894" t="s">
        <v>5778</v>
      </c>
      <c r="QWS1894" t="s">
        <v>5778</v>
      </c>
      <c r="QWT1894" t="s">
        <v>5779</v>
      </c>
      <c r="QWW1894">
        <v>44583</v>
      </c>
      <c r="QWX1894">
        <v>0</v>
      </c>
      <c r="QWY1894" t="s">
        <v>5778</v>
      </c>
      <c r="QWZ1894" t="s">
        <v>5778</v>
      </c>
      <c r="QXA1894" t="s">
        <v>5778</v>
      </c>
      <c r="QXB1894" t="s">
        <v>5779</v>
      </c>
      <c r="QXE1894">
        <v>44583</v>
      </c>
      <c r="QXF1894">
        <v>0</v>
      </c>
      <c r="QXG1894" t="s">
        <v>5778</v>
      </c>
      <c r="QXH1894" t="s">
        <v>5778</v>
      </c>
      <c r="QXI1894" t="s">
        <v>5778</v>
      </c>
      <c r="QXJ1894" t="s">
        <v>5779</v>
      </c>
      <c r="QXM1894">
        <v>44583</v>
      </c>
      <c r="QXN1894">
        <v>0</v>
      </c>
      <c r="QXO1894" t="s">
        <v>5778</v>
      </c>
      <c r="QXP1894" t="s">
        <v>5778</v>
      </c>
      <c r="QXQ1894" t="s">
        <v>5778</v>
      </c>
      <c r="QXR1894" t="s">
        <v>5779</v>
      </c>
      <c r="QXU1894">
        <v>44583</v>
      </c>
      <c r="QXV1894">
        <v>0</v>
      </c>
      <c r="QXW1894" t="s">
        <v>5778</v>
      </c>
      <c r="QXX1894" t="s">
        <v>5778</v>
      </c>
      <c r="QXY1894" t="s">
        <v>5778</v>
      </c>
      <c r="QXZ1894" t="s">
        <v>5779</v>
      </c>
      <c r="QYC1894">
        <v>44583</v>
      </c>
      <c r="QYD1894">
        <v>0</v>
      </c>
      <c r="QYE1894" t="s">
        <v>5778</v>
      </c>
      <c r="QYF1894" t="s">
        <v>5778</v>
      </c>
      <c r="QYG1894" t="s">
        <v>5778</v>
      </c>
      <c r="QYH1894" t="s">
        <v>5779</v>
      </c>
      <c r="QYK1894">
        <v>44583</v>
      </c>
      <c r="QYL1894">
        <v>0</v>
      </c>
      <c r="QYM1894" t="s">
        <v>5778</v>
      </c>
      <c r="QYN1894" t="s">
        <v>5778</v>
      </c>
      <c r="QYO1894" t="s">
        <v>5778</v>
      </c>
      <c r="QYP1894" t="s">
        <v>5779</v>
      </c>
      <c r="QYS1894">
        <v>44583</v>
      </c>
      <c r="QYT1894">
        <v>0</v>
      </c>
      <c r="QYU1894" t="s">
        <v>5778</v>
      </c>
      <c r="QYV1894" t="s">
        <v>5778</v>
      </c>
      <c r="QYW1894" t="s">
        <v>5778</v>
      </c>
      <c r="QYX1894" t="s">
        <v>5779</v>
      </c>
      <c r="QZA1894">
        <v>44583</v>
      </c>
      <c r="QZB1894">
        <v>0</v>
      </c>
      <c r="QZC1894" t="s">
        <v>5778</v>
      </c>
      <c r="QZD1894" t="s">
        <v>5778</v>
      </c>
      <c r="QZE1894" t="s">
        <v>5778</v>
      </c>
      <c r="QZF1894" t="s">
        <v>5779</v>
      </c>
      <c r="QZI1894">
        <v>44583</v>
      </c>
      <c r="QZJ1894">
        <v>0</v>
      </c>
      <c r="QZK1894" t="s">
        <v>5778</v>
      </c>
      <c r="QZL1894" t="s">
        <v>5778</v>
      </c>
      <c r="QZM1894" t="s">
        <v>5778</v>
      </c>
      <c r="QZN1894" t="s">
        <v>5779</v>
      </c>
      <c r="QZQ1894">
        <v>44583</v>
      </c>
      <c r="QZR1894">
        <v>0</v>
      </c>
      <c r="QZS1894" t="s">
        <v>5778</v>
      </c>
      <c r="QZT1894" t="s">
        <v>5778</v>
      </c>
      <c r="QZU1894" t="s">
        <v>5778</v>
      </c>
      <c r="QZV1894" t="s">
        <v>5779</v>
      </c>
      <c r="QZY1894">
        <v>44583</v>
      </c>
      <c r="QZZ1894">
        <v>0</v>
      </c>
      <c r="RAA1894" t="s">
        <v>5778</v>
      </c>
      <c r="RAB1894" t="s">
        <v>5778</v>
      </c>
      <c r="RAC1894" t="s">
        <v>5778</v>
      </c>
      <c r="RAD1894" t="s">
        <v>5779</v>
      </c>
      <c r="RAG1894">
        <v>44583</v>
      </c>
      <c r="RAH1894">
        <v>0</v>
      </c>
      <c r="RAI1894" t="s">
        <v>5778</v>
      </c>
      <c r="RAJ1894" t="s">
        <v>5778</v>
      </c>
      <c r="RAK1894" t="s">
        <v>5778</v>
      </c>
      <c r="RAL1894" t="s">
        <v>5779</v>
      </c>
      <c r="RAO1894">
        <v>44583</v>
      </c>
      <c r="RAP1894">
        <v>0</v>
      </c>
      <c r="RAQ1894" t="s">
        <v>5778</v>
      </c>
      <c r="RAR1894" t="s">
        <v>5778</v>
      </c>
      <c r="RAS1894" t="s">
        <v>5778</v>
      </c>
      <c r="RAT1894" t="s">
        <v>5779</v>
      </c>
      <c r="RAW1894">
        <v>44583</v>
      </c>
      <c r="RAX1894">
        <v>0</v>
      </c>
      <c r="RAY1894" t="s">
        <v>5778</v>
      </c>
      <c r="RAZ1894" t="s">
        <v>5778</v>
      </c>
      <c r="RBA1894" t="s">
        <v>5778</v>
      </c>
      <c r="RBB1894" t="s">
        <v>5779</v>
      </c>
      <c r="RBE1894">
        <v>44583</v>
      </c>
      <c r="RBF1894">
        <v>0</v>
      </c>
      <c r="RBG1894" t="s">
        <v>5778</v>
      </c>
      <c r="RBH1894" t="s">
        <v>5778</v>
      </c>
      <c r="RBI1894" t="s">
        <v>5778</v>
      </c>
      <c r="RBJ1894" t="s">
        <v>5779</v>
      </c>
      <c r="RBM1894">
        <v>44583</v>
      </c>
      <c r="RBN1894">
        <v>0</v>
      </c>
      <c r="RBO1894" t="s">
        <v>5778</v>
      </c>
      <c r="RBP1894" t="s">
        <v>5778</v>
      </c>
      <c r="RBQ1894" t="s">
        <v>5778</v>
      </c>
      <c r="RBR1894" t="s">
        <v>5779</v>
      </c>
      <c r="RBU1894">
        <v>44583</v>
      </c>
      <c r="RBV1894">
        <v>0</v>
      </c>
      <c r="RBW1894" t="s">
        <v>5778</v>
      </c>
      <c r="RBX1894" t="s">
        <v>5778</v>
      </c>
      <c r="RBY1894" t="s">
        <v>5778</v>
      </c>
      <c r="RBZ1894" t="s">
        <v>5779</v>
      </c>
      <c r="RCC1894">
        <v>44583</v>
      </c>
      <c r="RCD1894">
        <v>0</v>
      </c>
      <c r="RCE1894" t="s">
        <v>5778</v>
      </c>
      <c r="RCF1894" t="s">
        <v>5778</v>
      </c>
      <c r="RCG1894" t="s">
        <v>5778</v>
      </c>
      <c r="RCH1894" t="s">
        <v>5779</v>
      </c>
      <c r="RCK1894">
        <v>44583</v>
      </c>
      <c r="RCL1894">
        <v>0</v>
      </c>
      <c r="RCM1894" t="s">
        <v>5778</v>
      </c>
      <c r="RCN1894" t="s">
        <v>5778</v>
      </c>
      <c r="RCO1894" t="s">
        <v>5778</v>
      </c>
      <c r="RCP1894" t="s">
        <v>5779</v>
      </c>
      <c r="RCS1894">
        <v>44583</v>
      </c>
      <c r="RCT1894">
        <v>0</v>
      </c>
      <c r="RCU1894" t="s">
        <v>5778</v>
      </c>
      <c r="RCV1894" t="s">
        <v>5778</v>
      </c>
      <c r="RCW1894" t="s">
        <v>5778</v>
      </c>
      <c r="RCX1894" t="s">
        <v>5779</v>
      </c>
      <c r="RDA1894">
        <v>44583</v>
      </c>
      <c r="RDB1894">
        <v>0</v>
      </c>
      <c r="RDC1894" t="s">
        <v>5778</v>
      </c>
      <c r="RDD1894" t="s">
        <v>5778</v>
      </c>
      <c r="RDE1894" t="s">
        <v>5778</v>
      </c>
      <c r="RDF1894" t="s">
        <v>5779</v>
      </c>
      <c r="RDI1894">
        <v>44583</v>
      </c>
      <c r="RDJ1894">
        <v>0</v>
      </c>
      <c r="RDK1894" t="s">
        <v>5778</v>
      </c>
      <c r="RDL1894" t="s">
        <v>5778</v>
      </c>
      <c r="RDM1894" t="s">
        <v>5778</v>
      </c>
      <c r="RDN1894" t="s">
        <v>5779</v>
      </c>
      <c r="RDQ1894">
        <v>44583</v>
      </c>
      <c r="RDR1894">
        <v>0</v>
      </c>
      <c r="RDS1894" t="s">
        <v>5778</v>
      </c>
      <c r="RDT1894" t="s">
        <v>5778</v>
      </c>
      <c r="RDU1894" t="s">
        <v>5778</v>
      </c>
      <c r="RDV1894" t="s">
        <v>5779</v>
      </c>
      <c r="RDY1894">
        <v>44583</v>
      </c>
      <c r="RDZ1894">
        <v>0</v>
      </c>
      <c r="REA1894" t="s">
        <v>5778</v>
      </c>
      <c r="REB1894" t="s">
        <v>5778</v>
      </c>
      <c r="REC1894" t="s">
        <v>5778</v>
      </c>
      <c r="RED1894" t="s">
        <v>5779</v>
      </c>
      <c r="REG1894">
        <v>44583</v>
      </c>
      <c r="REH1894">
        <v>0</v>
      </c>
      <c r="REI1894" t="s">
        <v>5778</v>
      </c>
      <c r="REJ1894" t="s">
        <v>5778</v>
      </c>
      <c r="REK1894" t="s">
        <v>5778</v>
      </c>
      <c r="REL1894" t="s">
        <v>5779</v>
      </c>
      <c r="REO1894">
        <v>44583</v>
      </c>
      <c r="REP1894">
        <v>0</v>
      </c>
      <c r="REQ1894" t="s">
        <v>5778</v>
      </c>
      <c r="RER1894" t="s">
        <v>5778</v>
      </c>
      <c r="RES1894" t="s">
        <v>5778</v>
      </c>
      <c r="RET1894" t="s">
        <v>5779</v>
      </c>
      <c r="REW1894">
        <v>44583</v>
      </c>
      <c r="REX1894">
        <v>0</v>
      </c>
      <c r="REY1894" t="s">
        <v>5778</v>
      </c>
      <c r="REZ1894" t="s">
        <v>5778</v>
      </c>
      <c r="RFA1894" t="s">
        <v>5778</v>
      </c>
      <c r="RFB1894" t="s">
        <v>5779</v>
      </c>
      <c r="RFE1894">
        <v>44583</v>
      </c>
      <c r="RFF1894">
        <v>0</v>
      </c>
      <c r="RFG1894" t="s">
        <v>5778</v>
      </c>
      <c r="RFH1894" t="s">
        <v>5778</v>
      </c>
      <c r="RFI1894" t="s">
        <v>5778</v>
      </c>
      <c r="RFJ1894" t="s">
        <v>5779</v>
      </c>
      <c r="RFM1894">
        <v>44583</v>
      </c>
      <c r="RFN1894">
        <v>0</v>
      </c>
      <c r="RFO1894" t="s">
        <v>5778</v>
      </c>
      <c r="RFP1894" t="s">
        <v>5778</v>
      </c>
      <c r="RFQ1894" t="s">
        <v>5778</v>
      </c>
      <c r="RFR1894" t="s">
        <v>5779</v>
      </c>
      <c r="RFU1894">
        <v>44583</v>
      </c>
      <c r="RFV1894">
        <v>0</v>
      </c>
      <c r="RFW1894" t="s">
        <v>5778</v>
      </c>
      <c r="RFX1894" t="s">
        <v>5778</v>
      </c>
      <c r="RFY1894" t="s">
        <v>5778</v>
      </c>
      <c r="RFZ1894" t="s">
        <v>5779</v>
      </c>
      <c r="RGC1894">
        <v>44583</v>
      </c>
      <c r="RGD1894">
        <v>0</v>
      </c>
      <c r="RGE1894" t="s">
        <v>5778</v>
      </c>
      <c r="RGF1894" t="s">
        <v>5778</v>
      </c>
      <c r="RGG1894" t="s">
        <v>5778</v>
      </c>
      <c r="RGH1894" t="s">
        <v>5779</v>
      </c>
      <c r="RGK1894">
        <v>44583</v>
      </c>
      <c r="RGL1894">
        <v>0</v>
      </c>
      <c r="RGM1894" t="s">
        <v>5778</v>
      </c>
      <c r="RGN1894" t="s">
        <v>5778</v>
      </c>
      <c r="RGO1894" t="s">
        <v>5778</v>
      </c>
      <c r="RGP1894" t="s">
        <v>5779</v>
      </c>
      <c r="RGS1894">
        <v>44583</v>
      </c>
      <c r="RGT1894">
        <v>0</v>
      </c>
      <c r="RGU1894" t="s">
        <v>5778</v>
      </c>
      <c r="RGV1894" t="s">
        <v>5778</v>
      </c>
      <c r="RGW1894" t="s">
        <v>5778</v>
      </c>
      <c r="RGX1894" t="s">
        <v>5779</v>
      </c>
      <c r="RHA1894">
        <v>44583</v>
      </c>
      <c r="RHB1894">
        <v>0</v>
      </c>
      <c r="RHC1894" t="s">
        <v>5778</v>
      </c>
      <c r="RHD1894" t="s">
        <v>5778</v>
      </c>
      <c r="RHE1894" t="s">
        <v>5778</v>
      </c>
      <c r="RHF1894" t="s">
        <v>5779</v>
      </c>
      <c r="RHI1894">
        <v>44583</v>
      </c>
      <c r="RHJ1894">
        <v>0</v>
      </c>
      <c r="RHK1894" t="s">
        <v>5778</v>
      </c>
      <c r="RHL1894" t="s">
        <v>5778</v>
      </c>
      <c r="RHM1894" t="s">
        <v>5778</v>
      </c>
      <c r="RHN1894" t="s">
        <v>5779</v>
      </c>
      <c r="RHQ1894">
        <v>44583</v>
      </c>
      <c r="RHR1894">
        <v>0</v>
      </c>
      <c r="RHS1894" t="s">
        <v>5778</v>
      </c>
      <c r="RHT1894" t="s">
        <v>5778</v>
      </c>
      <c r="RHU1894" t="s">
        <v>5778</v>
      </c>
      <c r="RHV1894" t="s">
        <v>5779</v>
      </c>
      <c r="RHY1894">
        <v>44583</v>
      </c>
      <c r="RHZ1894">
        <v>0</v>
      </c>
      <c r="RIA1894" t="s">
        <v>5778</v>
      </c>
      <c r="RIB1894" t="s">
        <v>5778</v>
      </c>
      <c r="RIC1894" t="s">
        <v>5778</v>
      </c>
      <c r="RID1894" t="s">
        <v>5779</v>
      </c>
      <c r="RIG1894">
        <v>44583</v>
      </c>
      <c r="RIH1894">
        <v>0</v>
      </c>
      <c r="RII1894" t="s">
        <v>5778</v>
      </c>
      <c r="RIJ1894" t="s">
        <v>5778</v>
      </c>
      <c r="RIK1894" t="s">
        <v>5778</v>
      </c>
      <c r="RIL1894" t="s">
        <v>5779</v>
      </c>
      <c r="RIO1894">
        <v>44583</v>
      </c>
      <c r="RIP1894">
        <v>0</v>
      </c>
      <c r="RIQ1894" t="s">
        <v>5778</v>
      </c>
      <c r="RIR1894" t="s">
        <v>5778</v>
      </c>
      <c r="RIS1894" t="s">
        <v>5778</v>
      </c>
      <c r="RIT1894" t="s">
        <v>5779</v>
      </c>
      <c r="RIW1894">
        <v>44583</v>
      </c>
      <c r="RIX1894">
        <v>0</v>
      </c>
      <c r="RIY1894" t="s">
        <v>5778</v>
      </c>
      <c r="RIZ1894" t="s">
        <v>5778</v>
      </c>
      <c r="RJA1894" t="s">
        <v>5778</v>
      </c>
      <c r="RJB1894" t="s">
        <v>5779</v>
      </c>
      <c r="RJE1894">
        <v>44583</v>
      </c>
      <c r="RJF1894">
        <v>0</v>
      </c>
      <c r="RJG1894" t="s">
        <v>5778</v>
      </c>
      <c r="RJH1894" t="s">
        <v>5778</v>
      </c>
      <c r="RJI1894" t="s">
        <v>5778</v>
      </c>
      <c r="RJJ1894" t="s">
        <v>5779</v>
      </c>
      <c r="RJM1894">
        <v>44583</v>
      </c>
      <c r="RJN1894">
        <v>0</v>
      </c>
      <c r="RJO1894" t="s">
        <v>5778</v>
      </c>
      <c r="RJP1894" t="s">
        <v>5778</v>
      </c>
      <c r="RJQ1894" t="s">
        <v>5778</v>
      </c>
      <c r="RJR1894" t="s">
        <v>5779</v>
      </c>
      <c r="RJU1894">
        <v>44583</v>
      </c>
      <c r="RJV1894">
        <v>0</v>
      </c>
      <c r="RJW1894" t="s">
        <v>5778</v>
      </c>
      <c r="RJX1894" t="s">
        <v>5778</v>
      </c>
      <c r="RJY1894" t="s">
        <v>5778</v>
      </c>
      <c r="RJZ1894" t="s">
        <v>5779</v>
      </c>
      <c r="RKC1894">
        <v>44583</v>
      </c>
      <c r="RKD1894">
        <v>0</v>
      </c>
      <c r="RKE1894" t="s">
        <v>5778</v>
      </c>
      <c r="RKF1894" t="s">
        <v>5778</v>
      </c>
      <c r="RKG1894" t="s">
        <v>5778</v>
      </c>
      <c r="RKH1894" t="s">
        <v>5779</v>
      </c>
      <c r="RKK1894">
        <v>44583</v>
      </c>
      <c r="RKL1894">
        <v>0</v>
      </c>
      <c r="RKM1894" t="s">
        <v>5778</v>
      </c>
      <c r="RKN1894" t="s">
        <v>5778</v>
      </c>
      <c r="RKO1894" t="s">
        <v>5778</v>
      </c>
      <c r="RKP1894" t="s">
        <v>5779</v>
      </c>
      <c r="RKS1894">
        <v>44583</v>
      </c>
      <c r="RKT1894">
        <v>0</v>
      </c>
      <c r="RKU1894" t="s">
        <v>5778</v>
      </c>
      <c r="RKV1894" t="s">
        <v>5778</v>
      </c>
      <c r="RKW1894" t="s">
        <v>5778</v>
      </c>
      <c r="RKX1894" t="s">
        <v>5779</v>
      </c>
      <c r="RLA1894">
        <v>44583</v>
      </c>
      <c r="RLB1894">
        <v>0</v>
      </c>
      <c r="RLC1894" t="s">
        <v>5778</v>
      </c>
      <c r="RLD1894" t="s">
        <v>5778</v>
      </c>
      <c r="RLE1894" t="s">
        <v>5778</v>
      </c>
      <c r="RLF1894" t="s">
        <v>5779</v>
      </c>
      <c r="RLI1894">
        <v>44583</v>
      </c>
      <c r="RLJ1894">
        <v>0</v>
      </c>
      <c r="RLK1894" t="s">
        <v>5778</v>
      </c>
      <c r="RLL1894" t="s">
        <v>5778</v>
      </c>
      <c r="RLM1894" t="s">
        <v>5778</v>
      </c>
      <c r="RLN1894" t="s">
        <v>5779</v>
      </c>
      <c r="RLQ1894">
        <v>44583</v>
      </c>
      <c r="RLR1894">
        <v>0</v>
      </c>
      <c r="RLS1894" t="s">
        <v>5778</v>
      </c>
      <c r="RLT1894" t="s">
        <v>5778</v>
      </c>
      <c r="RLU1894" t="s">
        <v>5778</v>
      </c>
      <c r="RLV1894" t="s">
        <v>5779</v>
      </c>
      <c r="RLY1894">
        <v>44583</v>
      </c>
      <c r="RLZ1894">
        <v>0</v>
      </c>
      <c r="RMA1894" t="s">
        <v>5778</v>
      </c>
      <c r="RMB1894" t="s">
        <v>5778</v>
      </c>
      <c r="RMC1894" t="s">
        <v>5778</v>
      </c>
      <c r="RMD1894" t="s">
        <v>5779</v>
      </c>
      <c r="RMG1894">
        <v>44583</v>
      </c>
      <c r="RMH1894">
        <v>0</v>
      </c>
      <c r="RMI1894" t="s">
        <v>5778</v>
      </c>
      <c r="RMJ1894" t="s">
        <v>5778</v>
      </c>
      <c r="RMK1894" t="s">
        <v>5778</v>
      </c>
      <c r="RML1894" t="s">
        <v>5779</v>
      </c>
      <c r="RMO1894">
        <v>44583</v>
      </c>
      <c r="RMP1894">
        <v>0</v>
      </c>
      <c r="RMQ1894" t="s">
        <v>5778</v>
      </c>
      <c r="RMR1894" t="s">
        <v>5778</v>
      </c>
      <c r="RMS1894" t="s">
        <v>5778</v>
      </c>
      <c r="RMT1894" t="s">
        <v>5779</v>
      </c>
      <c r="RMW1894">
        <v>44583</v>
      </c>
      <c r="RMX1894">
        <v>0</v>
      </c>
      <c r="RMY1894" t="s">
        <v>5778</v>
      </c>
      <c r="RMZ1894" t="s">
        <v>5778</v>
      </c>
      <c r="RNA1894" t="s">
        <v>5778</v>
      </c>
      <c r="RNB1894" t="s">
        <v>5779</v>
      </c>
      <c r="RNE1894">
        <v>44583</v>
      </c>
      <c r="RNF1894">
        <v>0</v>
      </c>
      <c r="RNG1894" t="s">
        <v>5778</v>
      </c>
      <c r="RNH1894" t="s">
        <v>5778</v>
      </c>
      <c r="RNI1894" t="s">
        <v>5778</v>
      </c>
      <c r="RNJ1894" t="s">
        <v>5779</v>
      </c>
      <c r="RNM1894">
        <v>44583</v>
      </c>
      <c r="RNN1894">
        <v>0</v>
      </c>
      <c r="RNO1894" t="s">
        <v>5778</v>
      </c>
      <c r="RNP1894" t="s">
        <v>5778</v>
      </c>
      <c r="RNQ1894" t="s">
        <v>5778</v>
      </c>
      <c r="RNR1894" t="s">
        <v>5779</v>
      </c>
      <c r="RNU1894">
        <v>44583</v>
      </c>
      <c r="RNV1894">
        <v>0</v>
      </c>
      <c r="RNW1894" t="s">
        <v>5778</v>
      </c>
      <c r="RNX1894" t="s">
        <v>5778</v>
      </c>
      <c r="RNY1894" t="s">
        <v>5778</v>
      </c>
      <c r="RNZ1894" t="s">
        <v>5779</v>
      </c>
      <c r="ROC1894">
        <v>44583</v>
      </c>
      <c r="ROD1894">
        <v>0</v>
      </c>
      <c r="ROE1894" t="s">
        <v>5778</v>
      </c>
      <c r="ROF1894" t="s">
        <v>5778</v>
      </c>
      <c r="ROG1894" t="s">
        <v>5778</v>
      </c>
      <c r="ROH1894" t="s">
        <v>5779</v>
      </c>
      <c r="ROK1894">
        <v>44583</v>
      </c>
      <c r="ROL1894">
        <v>0</v>
      </c>
      <c r="ROM1894" t="s">
        <v>5778</v>
      </c>
      <c r="RON1894" t="s">
        <v>5778</v>
      </c>
      <c r="ROO1894" t="s">
        <v>5778</v>
      </c>
      <c r="ROP1894" t="s">
        <v>5779</v>
      </c>
      <c r="ROS1894">
        <v>44583</v>
      </c>
      <c r="ROT1894">
        <v>0</v>
      </c>
      <c r="ROU1894" t="s">
        <v>5778</v>
      </c>
      <c r="ROV1894" t="s">
        <v>5778</v>
      </c>
      <c r="ROW1894" t="s">
        <v>5778</v>
      </c>
      <c r="ROX1894" t="s">
        <v>5779</v>
      </c>
      <c r="RPA1894">
        <v>44583</v>
      </c>
      <c r="RPB1894">
        <v>0</v>
      </c>
      <c r="RPC1894" t="s">
        <v>5778</v>
      </c>
      <c r="RPD1894" t="s">
        <v>5778</v>
      </c>
      <c r="RPE1894" t="s">
        <v>5778</v>
      </c>
      <c r="RPF1894" t="s">
        <v>5779</v>
      </c>
      <c r="RPI1894">
        <v>44583</v>
      </c>
      <c r="RPJ1894">
        <v>0</v>
      </c>
      <c r="RPK1894" t="s">
        <v>5778</v>
      </c>
      <c r="RPL1894" t="s">
        <v>5778</v>
      </c>
      <c r="RPM1894" t="s">
        <v>5778</v>
      </c>
      <c r="RPN1894" t="s">
        <v>5779</v>
      </c>
      <c r="RPQ1894">
        <v>44583</v>
      </c>
      <c r="RPR1894">
        <v>0</v>
      </c>
      <c r="RPS1894" t="s">
        <v>5778</v>
      </c>
      <c r="RPT1894" t="s">
        <v>5778</v>
      </c>
      <c r="RPU1894" t="s">
        <v>5778</v>
      </c>
      <c r="RPV1894" t="s">
        <v>5779</v>
      </c>
      <c r="RPY1894">
        <v>44583</v>
      </c>
      <c r="RPZ1894">
        <v>0</v>
      </c>
      <c r="RQA1894" t="s">
        <v>5778</v>
      </c>
      <c r="RQB1894" t="s">
        <v>5778</v>
      </c>
      <c r="RQC1894" t="s">
        <v>5778</v>
      </c>
      <c r="RQD1894" t="s">
        <v>5779</v>
      </c>
      <c r="RQG1894">
        <v>44583</v>
      </c>
      <c r="RQH1894">
        <v>0</v>
      </c>
      <c r="RQI1894" t="s">
        <v>5778</v>
      </c>
      <c r="RQJ1894" t="s">
        <v>5778</v>
      </c>
      <c r="RQK1894" t="s">
        <v>5778</v>
      </c>
      <c r="RQL1894" t="s">
        <v>5779</v>
      </c>
      <c r="RQO1894">
        <v>44583</v>
      </c>
      <c r="RQP1894">
        <v>0</v>
      </c>
      <c r="RQQ1894" t="s">
        <v>5778</v>
      </c>
      <c r="RQR1894" t="s">
        <v>5778</v>
      </c>
      <c r="RQS1894" t="s">
        <v>5778</v>
      </c>
      <c r="RQT1894" t="s">
        <v>5779</v>
      </c>
      <c r="RQW1894">
        <v>44583</v>
      </c>
      <c r="RQX1894">
        <v>0</v>
      </c>
      <c r="RQY1894" t="s">
        <v>5778</v>
      </c>
      <c r="RQZ1894" t="s">
        <v>5778</v>
      </c>
      <c r="RRA1894" t="s">
        <v>5778</v>
      </c>
      <c r="RRB1894" t="s">
        <v>5779</v>
      </c>
      <c r="RRE1894">
        <v>44583</v>
      </c>
      <c r="RRF1894">
        <v>0</v>
      </c>
      <c r="RRG1894" t="s">
        <v>5778</v>
      </c>
      <c r="RRH1894" t="s">
        <v>5778</v>
      </c>
      <c r="RRI1894" t="s">
        <v>5778</v>
      </c>
      <c r="RRJ1894" t="s">
        <v>5779</v>
      </c>
      <c r="RRM1894">
        <v>44583</v>
      </c>
      <c r="RRN1894">
        <v>0</v>
      </c>
      <c r="RRO1894" t="s">
        <v>5778</v>
      </c>
      <c r="RRP1894" t="s">
        <v>5778</v>
      </c>
      <c r="RRQ1894" t="s">
        <v>5778</v>
      </c>
      <c r="RRR1894" t="s">
        <v>5779</v>
      </c>
      <c r="RRU1894">
        <v>44583</v>
      </c>
      <c r="RRV1894">
        <v>0</v>
      </c>
      <c r="RRW1894" t="s">
        <v>5778</v>
      </c>
      <c r="RRX1894" t="s">
        <v>5778</v>
      </c>
      <c r="RRY1894" t="s">
        <v>5778</v>
      </c>
      <c r="RRZ1894" t="s">
        <v>5779</v>
      </c>
      <c r="RSC1894">
        <v>44583</v>
      </c>
      <c r="RSD1894">
        <v>0</v>
      </c>
      <c r="RSE1894" t="s">
        <v>5778</v>
      </c>
      <c r="RSF1894" t="s">
        <v>5778</v>
      </c>
      <c r="RSG1894" t="s">
        <v>5778</v>
      </c>
      <c r="RSH1894" t="s">
        <v>5779</v>
      </c>
      <c r="RSK1894">
        <v>44583</v>
      </c>
      <c r="RSL1894">
        <v>0</v>
      </c>
      <c r="RSM1894" t="s">
        <v>5778</v>
      </c>
      <c r="RSN1894" t="s">
        <v>5778</v>
      </c>
      <c r="RSO1894" t="s">
        <v>5778</v>
      </c>
      <c r="RSP1894" t="s">
        <v>5779</v>
      </c>
      <c r="RSS1894">
        <v>44583</v>
      </c>
      <c r="RST1894">
        <v>0</v>
      </c>
      <c r="RSU1894" t="s">
        <v>5778</v>
      </c>
      <c r="RSV1894" t="s">
        <v>5778</v>
      </c>
      <c r="RSW1894" t="s">
        <v>5778</v>
      </c>
      <c r="RSX1894" t="s">
        <v>5779</v>
      </c>
      <c r="RTA1894">
        <v>44583</v>
      </c>
      <c r="RTB1894">
        <v>0</v>
      </c>
      <c r="RTC1894" t="s">
        <v>5778</v>
      </c>
      <c r="RTD1894" t="s">
        <v>5778</v>
      </c>
      <c r="RTE1894" t="s">
        <v>5778</v>
      </c>
      <c r="RTF1894" t="s">
        <v>5779</v>
      </c>
      <c r="RTI1894">
        <v>44583</v>
      </c>
      <c r="RTJ1894">
        <v>0</v>
      </c>
      <c r="RTK1894" t="s">
        <v>5778</v>
      </c>
      <c r="RTL1894" t="s">
        <v>5778</v>
      </c>
      <c r="RTM1894" t="s">
        <v>5778</v>
      </c>
      <c r="RTN1894" t="s">
        <v>5779</v>
      </c>
      <c r="RTQ1894">
        <v>44583</v>
      </c>
      <c r="RTR1894">
        <v>0</v>
      </c>
      <c r="RTS1894" t="s">
        <v>5778</v>
      </c>
      <c r="RTT1894" t="s">
        <v>5778</v>
      </c>
      <c r="RTU1894" t="s">
        <v>5778</v>
      </c>
      <c r="RTV1894" t="s">
        <v>5779</v>
      </c>
      <c r="RTY1894">
        <v>44583</v>
      </c>
      <c r="RTZ1894">
        <v>0</v>
      </c>
      <c r="RUA1894" t="s">
        <v>5778</v>
      </c>
      <c r="RUB1894" t="s">
        <v>5778</v>
      </c>
      <c r="RUC1894" t="s">
        <v>5778</v>
      </c>
      <c r="RUD1894" t="s">
        <v>5779</v>
      </c>
      <c r="RUG1894">
        <v>44583</v>
      </c>
      <c r="RUH1894">
        <v>0</v>
      </c>
      <c r="RUI1894" t="s">
        <v>5778</v>
      </c>
      <c r="RUJ1894" t="s">
        <v>5778</v>
      </c>
      <c r="RUK1894" t="s">
        <v>5778</v>
      </c>
      <c r="RUL1894" t="s">
        <v>5779</v>
      </c>
      <c r="RUO1894">
        <v>44583</v>
      </c>
      <c r="RUP1894">
        <v>0</v>
      </c>
      <c r="RUQ1894" t="s">
        <v>5778</v>
      </c>
      <c r="RUR1894" t="s">
        <v>5778</v>
      </c>
      <c r="RUS1894" t="s">
        <v>5778</v>
      </c>
      <c r="RUT1894" t="s">
        <v>5779</v>
      </c>
      <c r="RUW1894">
        <v>44583</v>
      </c>
      <c r="RUX1894">
        <v>0</v>
      </c>
      <c r="RUY1894" t="s">
        <v>5778</v>
      </c>
      <c r="RUZ1894" t="s">
        <v>5778</v>
      </c>
      <c r="RVA1894" t="s">
        <v>5778</v>
      </c>
      <c r="RVB1894" t="s">
        <v>5779</v>
      </c>
      <c r="RVE1894">
        <v>44583</v>
      </c>
      <c r="RVF1894">
        <v>0</v>
      </c>
      <c r="RVG1894" t="s">
        <v>5778</v>
      </c>
      <c r="RVH1894" t="s">
        <v>5778</v>
      </c>
      <c r="RVI1894" t="s">
        <v>5778</v>
      </c>
      <c r="RVJ1894" t="s">
        <v>5779</v>
      </c>
      <c r="RVM1894">
        <v>44583</v>
      </c>
      <c r="RVN1894">
        <v>0</v>
      </c>
      <c r="RVO1894" t="s">
        <v>5778</v>
      </c>
      <c r="RVP1894" t="s">
        <v>5778</v>
      </c>
      <c r="RVQ1894" t="s">
        <v>5778</v>
      </c>
      <c r="RVR1894" t="s">
        <v>5779</v>
      </c>
      <c r="RVU1894">
        <v>44583</v>
      </c>
      <c r="RVV1894">
        <v>0</v>
      </c>
      <c r="RVW1894" t="s">
        <v>5778</v>
      </c>
      <c r="RVX1894" t="s">
        <v>5778</v>
      </c>
      <c r="RVY1894" t="s">
        <v>5778</v>
      </c>
      <c r="RVZ1894" t="s">
        <v>5779</v>
      </c>
      <c r="RWC1894">
        <v>44583</v>
      </c>
      <c r="RWD1894">
        <v>0</v>
      </c>
      <c r="RWE1894" t="s">
        <v>5778</v>
      </c>
      <c r="RWF1894" t="s">
        <v>5778</v>
      </c>
      <c r="RWG1894" t="s">
        <v>5778</v>
      </c>
      <c r="RWH1894" t="s">
        <v>5779</v>
      </c>
      <c r="RWK1894">
        <v>44583</v>
      </c>
      <c r="RWL1894">
        <v>0</v>
      </c>
      <c r="RWM1894" t="s">
        <v>5778</v>
      </c>
      <c r="RWN1894" t="s">
        <v>5778</v>
      </c>
      <c r="RWO1894" t="s">
        <v>5778</v>
      </c>
      <c r="RWP1894" t="s">
        <v>5779</v>
      </c>
      <c r="RWS1894">
        <v>44583</v>
      </c>
      <c r="RWT1894">
        <v>0</v>
      </c>
      <c r="RWU1894" t="s">
        <v>5778</v>
      </c>
      <c r="RWV1894" t="s">
        <v>5778</v>
      </c>
      <c r="RWW1894" t="s">
        <v>5778</v>
      </c>
      <c r="RWX1894" t="s">
        <v>5779</v>
      </c>
      <c r="RXA1894">
        <v>44583</v>
      </c>
      <c r="RXB1894">
        <v>0</v>
      </c>
      <c r="RXC1894" t="s">
        <v>5778</v>
      </c>
      <c r="RXD1894" t="s">
        <v>5778</v>
      </c>
      <c r="RXE1894" t="s">
        <v>5778</v>
      </c>
      <c r="RXF1894" t="s">
        <v>5779</v>
      </c>
      <c r="RXI1894">
        <v>44583</v>
      </c>
      <c r="RXJ1894">
        <v>0</v>
      </c>
      <c r="RXK1894" t="s">
        <v>5778</v>
      </c>
      <c r="RXL1894" t="s">
        <v>5778</v>
      </c>
      <c r="RXM1894" t="s">
        <v>5778</v>
      </c>
      <c r="RXN1894" t="s">
        <v>5779</v>
      </c>
      <c r="RXQ1894">
        <v>44583</v>
      </c>
      <c r="RXR1894">
        <v>0</v>
      </c>
      <c r="RXS1894" t="s">
        <v>5778</v>
      </c>
      <c r="RXT1894" t="s">
        <v>5778</v>
      </c>
      <c r="RXU1894" t="s">
        <v>5778</v>
      </c>
      <c r="RXV1894" t="s">
        <v>5779</v>
      </c>
      <c r="RXY1894">
        <v>44583</v>
      </c>
      <c r="RXZ1894">
        <v>0</v>
      </c>
      <c r="RYA1894" t="s">
        <v>5778</v>
      </c>
      <c r="RYB1894" t="s">
        <v>5778</v>
      </c>
      <c r="RYC1894" t="s">
        <v>5778</v>
      </c>
      <c r="RYD1894" t="s">
        <v>5779</v>
      </c>
      <c r="RYG1894">
        <v>44583</v>
      </c>
      <c r="RYH1894">
        <v>0</v>
      </c>
      <c r="RYI1894" t="s">
        <v>5778</v>
      </c>
      <c r="RYJ1894" t="s">
        <v>5778</v>
      </c>
      <c r="RYK1894" t="s">
        <v>5778</v>
      </c>
      <c r="RYL1894" t="s">
        <v>5779</v>
      </c>
      <c r="RYO1894">
        <v>44583</v>
      </c>
      <c r="RYP1894">
        <v>0</v>
      </c>
      <c r="RYQ1894" t="s">
        <v>5778</v>
      </c>
      <c r="RYR1894" t="s">
        <v>5778</v>
      </c>
      <c r="RYS1894" t="s">
        <v>5778</v>
      </c>
      <c r="RYT1894" t="s">
        <v>5779</v>
      </c>
      <c r="RYW1894">
        <v>44583</v>
      </c>
      <c r="RYX1894">
        <v>0</v>
      </c>
      <c r="RYY1894" t="s">
        <v>5778</v>
      </c>
      <c r="RYZ1894" t="s">
        <v>5778</v>
      </c>
      <c r="RZA1894" t="s">
        <v>5778</v>
      </c>
      <c r="RZB1894" t="s">
        <v>5779</v>
      </c>
      <c r="RZE1894">
        <v>44583</v>
      </c>
      <c r="RZF1894">
        <v>0</v>
      </c>
      <c r="RZG1894" t="s">
        <v>5778</v>
      </c>
      <c r="RZH1894" t="s">
        <v>5778</v>
      </c>
      <c r="RZI1894" t="s">
        <v>5778</v>
      </c>
      <c r="RZJ1894" t="s">
        <v>5779</v>
      </c>
      <c r="RZM1894">
        <v>44583</v>
      </c>
      <c r="RZN1894">
        <v>0</v>
      </c>
      <c r="RZO1894" t="s">
        <v>5778</v>
      </c>
      <c r="RZP1894" t="s">
        <v>5778</v>
      </c>
      <c r="RZQ1894" t="s">
        <v>5778</v>
      </c>
      <c r="RZR1894" t="s">
        <v>5779</v>
      </c>
      <c r="RZU1894">
        <v>44583</v>
      </c>
      <c r="RZV1894">
        <v>0</v>
      </c>
      <c r="RZW1894" t="s">
        <v>5778</v>
      </c>
      <c r="RZX1894" t="s">
        <v>5778</v>
      </c>
      <c r="RZY1894" t="s">
        <v>5778</v>
      </c>
      <c r="RZZ1894" t="s">
        <v>5779</v>
      </c>
      <c r="SAC1894">
        <v>44583</v>
      </c>
      <c r="SAD1894">
        <v>0</v>
      </c>
      <c r="SAE1894" t="s">
        <v>5778</v>
      </c>
      <c r="SAF1894" t="s">
        <v>5778</v>
      </c>
      <c r="SAG1894" t="s">
        <v>5778</v>
      </c>
      <c r="SAH1894" t="s">
        <v>5779</v>
      </c>
      <c r="SAK1894">
        <v>44583</v>
      </c>
      <c r="SAL1894">
        <v>0</v>
      </c>
      <c r="SAM1894" t="s">
        <v>5778</v>
      </c>
      <c r="SAN1894" t="s">
        <v>5778</v>
      </c>
      <c r="SAO1894" t="s">
        <v>5778</v>
      </c>
      <c r="SAP1894" t="s">
        <v>5779</v>
      </c>
      <c r="SAS1894">
        <v>44583</v>
      </c>
      <c r="SAT1894">
        <v>0</v>
      </c>
      <c r="SAU1894" t="s">
        <v>5778</v>
      </c>
      <c r="SAV1894" t="s">
        <v>5778</v>
      </c>
      <c r="SAW1894" t="s">
        <v>5778</v>
      </c>
      <c r="SAX1894" t="s">
        <v>5779</v>
      </c>
      <c r="SBA1894">
        <v>44583</v>
      </c>
      <c r="SBB1894">
        <v>0</v>
      </c>
      <c r="SBC1894" t="s">
        <v>5778</v>
      </c>
      <c r="SBD1894" t="s">
        <v>5778</v>
      </c>
      <c r="SBE1894" t="s">
        <v>5778</v>
      </c>
      <c r="SBF1894" t="s">
        <v>5779</v>
      </c>
      <c r="SBI1894">
        <v>44583</v>
      </c>
      <c r="SBJ1894">
        <v>0</v>
      </c>
      <c r="SBK1894" t="s">
        <v>5778</v>
      </c>
      <c r="SBL1894" t="s">
        <v>5778</v>
      </c>
      <c r="SBM1894" t="s">
        <v>5778</v>
      </c>
      <c r="SBN1894" t="s">
        <v>5779</v>
      </c>
      <c r="SBQ1894">
        <v>44583</v>
      </c>
      <c r="SBR1894">
        <v>0</v>
      </c>
      <c r="SBS1894" t="s">
        <v>5778</v>
      </c>
      <c r="SBT1894" t="s">
        <v>5778</v>
      </c>
      <c r="SBU1894" t="s">
        <v>5778</v>
      </c>
      <c r="SBV1894" t="s">
        <v>5779</v>
      </c>
      <c r="SBY1894">
        <v>44583</v>
      </c>
      <c r="SBZ1894">
        <v>0</v>
      </c>
      <c r="SCA1894" t="s">
        <v>5778</v>
      </c>
      <c r="SCB1894" t="s">
        <v>5778</v>
      </c>
      <c r="SCC1894" t="s">
        <v>5778</v>
      </c>
      <c r="SCD1894" t="s">
        <v>5779</v>
      </c>
      <c r="SCG1894">
        <v>44583</v>
      </c>
      <c r="SCH1894">
        <v>0</v>
      </c>
      <c r="SCI1894" t="s">
        <v>5778</v>
      </c>
      <c r="SCJ1894" t="s">
        <v>5778</v>
      </c>
      <c r="SCK1894" t="s">
        <v>5778</v>
      </c>
      <c r="SCL1894" t="s">
        <v>5779</v>
      </c>
      <c r="SCO1894">
        <v>44583</v>
      </c>
      <c r="SCP1894">
        <v>0</v>
      </c>
      <c r="SCQ1894" t="s">
        <v>5778</v>
      </c>
      <c r="SCR1894" t="s">
        <v>5778</v>
      </c>
      <c r="SCS1894" t="s">
        <v>5778</v>
      </c>
      <c r="SCT1894" t="s">
        <v>5779</v>
      </c>
      <c r="SCW1894">
        <v>44583</v>
      </c>
      <c r="SCX1894">
        <v>0</v>
      </c>
      <c r="SCY1894" t="s">
        <v>5778</v>
      </c>
      <c r="SCZ1894" t="s">
        <v>5778</v>
      </c>
      <c r="SDA1894" t="s">
        <v>5778</v>
      </c>
      <c r="SDB1894" t="s">
        <v>5779</v>
      </c>
      <c r="SDE1894">
        <v>44583</v>
      </c>
      <c r="SDF1894">
        <v>0</v>
      </c>
      <c r="SDG1894" t="s">
        <v>5778</v>
      </c>
      <c r="SDH1894" t="s">
        <v>5778</v>
      </c>
      <c r="SDI1894" t="s">
        <v>5778</v>
      </c>
      <c r="SDJ1894" t="s">
        <v>5779</v>
      </c>
      <c r="SDM1894">
        <v>44583</v>
      </c>
      <c r="SDN1894">
        <v>0</v>
      </c>
      <c r="SDO1894" t="s">
        <v>5778</v>
      </c>
      <c r="SDP1894" t="s">
        <v>5778</v>
      </c>
      <c r="SDQ1894" t="s">
        <v>5778</v>
      </c>
      <c r="SDR1894" t="s">
        <v>5779</v>
      </c>
      <c r="SDU1894">
        <v>44583</v>
      </c>
      <c r="SDV1894">
        <v>0</v>
      </c>
      <c r="SDW1894" t="s">
        <v>5778</v>
      </c>
      <c r="SDX1894" t="s">
        <v>5778</v>
      </c>
      <c r="SDY1894" t="s">
        <v>5778</v>
      </c>
      <c r="SDZ1894" t="s">
        <v>5779</v>
      </c>
      <c r="SEC1894">
        <v>44583</v>
      </c>
      <c r="SED1894">
        <v>0</v>
      </c>
      <c r="SEE1894" t="s">
        <v>5778</v>
      </c>
      <c r="SEF1894" t="s">
        <v>5778</v>
      </c>
      <c r="SEG1894" t="s">
        <v>5778</v>
      </c>
      <c r="SEH1894" t="s">
        <v>5779</v>
      </c>
      <c r="SEK1894">
        <v>44583</v>
      </c>
      <c r="SEL1894">
        <v>0</v>
      </c>
      <c r="SEM1894" t="s">
        <v>5778</v>
      </c>
      <c r="SEN1894" t="s">
        <v>5778</v>
      </c>
      <c r="SEO1894" t="s">
        <v>5778</v>
      </c>
      <c r="SEP1894" t="s">
        <v>5779</v>
      </c>
      <c r="SES1894">
        <v>44583</v>
      </c>
      <c r="SET1894">
        <v>0</v>
      </c>
      <c r="SEU1894" t="s">
        <v>5778</v>
      </c>
      <c r="SEV1894" t="s">
        <v>5778</v>
      </c>
      <c r="SEW1894" t="s">
        <v>5778</v>
      </c>
      <c r="SEX1894" t="s">
        <v>5779</v>
      </c>
      <c r="SFA1894">
        <v>44583</v>
      </c>
      <c r="SFB1894">
        <v>0</v>
      </c>
      <c r="SFC1894" t="s">
        <v>5778</v>
      </c>
      <c r="SFD1894" t="s">
        <v>5778</v>
      </c>
      <c r="SFE1894" t="s">
        <v>5778</v>
      </c>
      <c r="SFF1894" t="s">
        <v>5779</v>
      </c>
      <c r="SFI1894">
        <v>44583</v>
      </c>
      <c r="SFJ1894">
        <v>0</v>
      </c>
      <c r="SFK1894" t="s">
        <v>5778</v>
      </c>
      <c r="SFL1894" t="s">
        <v>5778</v>
      </c>
      <c r="SFM1894" t="s">
        <v>5778</v>
      </c>
      <c r="SFN1894" t="s">
        <v>5779</v>
      </c>
      <c r="SFQ1894">
        <v>44583</v>
      </c>
      <c r="SFR1894">
        <v>0</v>
      </c>
      <c r="SFS1894" t="s">
        <v>5778</v>
      </c>
      <c r="SFT1894" t="s">
        <v>5778</v>
      </c>
      <c r="SFU1894" t="s">
        <v>5778</v>
      </c>
      <c r="SFV1894" t="s">
        <v>5779</v>
      </c>
      <c r="SFY1894">
        <v>44583</v>
      </c>
      <c r="SFZ1894">
        <v>0</v>
      </c>
      <c r="SGA1894" t="s">
        <v>5778</v>
      </c>
      <c r="SGB1894" t="s">
        <v>5778</v>
      </c>
      <c r="SGC1894" t="s">
        <v>5778</v>
      </c>
      <c r="SGD1894" t="s">
        <v>5779</v>
      </c>
      <c r="SGG1894">
        <v>44583</v>
      </c>
      <c r="SGH1894">
        <v>0</v>
      </c>
      <c r="SGI1894" t="s">
        <v>5778</v>
      </c>
      <c r="SGJ1894" t="s">
        <v>5778</v>
      </c>
      <c r="SGK1894" t="s">
        <v>5778</v>
      </c>
      <c r="SGL1894" t="s">
        <v>5779</v>
      </c>
      <c r="SGO1894">
        <v>44583</v>
      </c>
      <c r="SGP1894">
        <v>0</v>
      </c>
      <c r="SGQ1894" t="s">
        <v>5778</v>
      </c>
      <c r="SGR1894" t="s">
        <v>5778</v>
      </c>
      <c r="SGS1894" t="s">
        <v>5778</v>
      </c>
      <c r="SGT1894" t="s">
        <v>5779</v>
      </c>
      <c r="SGW1894">
        <v>44583</v>
      </c>
      <c r="SGX1894">
        <v>0</v>
      </c>
      <c r="SGY1894" t="s">
        <v>5778</v>
      </c>
      <c r="SGZ1894" t="s">
        <v>5778</v>
      </c>
      <c r="SHA1894" t="s">
        <v>5778</v>
      </c>
      <c r="SHB1894" t="s">
        <v>5779</v>
      </c>
      <c r="SHE1894">
        <v>44583</v>
      </c>
      <c r="SHF1894">
        <v>0</v>
      </c>
      <c r="SHG1894" t="s">
        <v>5778</v>
      </c>
      <c r="SHH1894" t="s">
        <v>5778</v>
      </c>
      <c r="SHI1894" t="s">
        <v>5778</v>
      </c>
      <c r="SHJ1894" t="s">
        <v>5779</v>
      </c>
      <c r="SHM1894">
        <v>44583</v>
      </c>
      <c r="SHN1894">
        <v>0</v>
      </c>
      <c r="SHO1894" t="s">
        <v>5778</v>
      </c>
      <c r="SHP1894" t="s">
        <v>5778</v>
      </c>
      <c r="SHQ1894" t="s">
        <v>5778</v>
      </c>
      <c r="SHR1894" t="s">
        <v>5779</v>
      </c>
      <c r="SHU1894">
        <v>44583</v>
      </c>
      <c r="SHV1894">
        <v>0</v>
      </c>
      <c r="SHW1894" t="s">
        <v>5778</v>
      </c>
      <c r="SHX1894" t="s">
        <v>5778</v>
      </c>
      <c r="SHY1894" t="s">
        <v>5778</v>
      </c>
      <c r="SHZ1894" t="s">
        <v>5779</v>
      </c>
      <c r="SIC1894">
        <v>44583</v>
      </c>
      <c r="SID1894">
        <v>0</v>
      </c>
      <c r="SIE1894" t="s">
        <v>5778</v>
      </c>
      <c r="SIF1894" t="s">
        <v>5778</v>
      </c>
      <c r="SIG1894" t="s">
        <v>5778</v>
      </c>
      <c r="SIH1894" t="s">
        <v>5779</v>
      </c>
      <c r="SIK1894">
        <v>44583</v>
      </c>
      <c r="SIL1894">
        <v>0</v>
      </c>
      <c r="SIM1894" t="s">
        <v>5778</v>
      </c>
      <c r="SIN1894" t="s">
        <v>5778</v>
      </c>
      <c r="SIO1894" t="s">
        <v>5778</v>
      </c>
      <c r="SIP1894" t="s">
        <v>5779</v>
      </c>
      <c r="SIS1894">
        <v>44583</v>
      </c>
      <c r="SIT1894">
        <v>0</v>
      </c>
      <c r="SIU1894" t="s">
        <v>5778</v>
      </c>
      <c r="SIV1894" t="s">
        <v>5778</v>
      </c>
      <c r="SIW1894" t="s">
        <v>5778</v>
      </c>
      <c r="SIX1894" t="s">
        <v>5779</v>
      </c>
      <c r="SJA1894">
        <v>44583</v>
      </c>
      <c r="SJB1894">
        <v>0</v>
      </c>
      <c r="SJC1894" t="s">
        <v>5778</v>
      </c>
      <c r="SJD1894" t="s">
        <v>5778</v>
      </c>
      <c r="SJE1894" t="s">
        <v>5778</v>
      </c>
      <c r="SJF1894" t="s">
        <v>5779</v>
      </c>
      <c r="SJI1894">
        <v>44583</v>
      </c>
      <c r="SJJ1894">
        <v>0</v>
      </c>
      <c r="SJK1894" t="s">
        <v>5778</v>
      </c>
      <c r="SJL1894" t="s">
        <v>5778</v>
      </c>
      <c r="SJM1894" t="s">
        <v>5778</v>
      </c>
      <c r="SJN1894" t="s">
        <v>5779</v>
      </c>
      <c r="SJQ1894">
        <v>44583</v>
      </c>
      <c r="SJR1894">
        <v>0</v>
      </c>
      <c r="SJS1894" t="s">
        <v>5778</v>
      </c>
      <c r="SJT1894" t="s">
        <v>5778</v>
      </c>
      <c r="SJU1894" t="s">
        <v>5778</v>
      </c>
      <c r="SJV1894" t="s">
        <v>5779</v>
      </c>
      <c r="SJY1894">
        <v>44583</v>
      </c>
      <c r="SJZ1894">
        <v>0</v>
      </c>
      <c r="SKA1894" t="s">
        <v>5778</v>
      </c>
      <c r="SKB1894" t="s">
        <v>5778</v>
      </c>
      <c r="SKC1894" t="s">
        <v>5778</v>
      </c>
      <c r="SKD1894" t="s">
        <v>5779</v>
      </c>
      <c r="SKG1894">
        <v>44583</v>
      </c>
      <c r="SKH1894">
        <v>0</v>
      </c>
      <c r="SKI1894" t="s">
        <v>5778</v>
      </c>
      <c r="SKJ1894" t="s">
        <v>5778</v>
      </c>
      <c r="SKK1894" t="s">
        <v>5778</v>
      </c>
      <c r="SKL1894" t="s">
        <v>5779</v>
      </c>
      <c r="SKO1894">
        <v>44583</v>
      </c>
      <c r="SKP1894">
        <v>0</v>
      </c>
      <c r="SKQ1894" t="s">
        <v>5778</v>
      </c>
      <c r="SKR1894" t="s">
        <v>5778</v>
      </c>
      <c r="SKS1894" t="s">
        <v>5778</v>
      </c>
      <c r="SKT1894" t="s">
        <v>5779</v>
      </c>
      <c r="SKW1894">
        <v>44583</v>
      </c>
      <c r="SKX1894">
        <v>0</v>
      </c>
      <c r="SKY1894" t="s">
        <v>5778</v>
      </c>
      <c r="SKZ1894" t="s">
        <v>5778</v>
      </c>
      <c r="SLA1894" t="s">
        <v>5778</v>
      </c>
      <c r="SLB1894" t="s">
        <v>5779</v>
      </c>
      <c r="SLE1894">
        <v>44583</v>
      </c>
      <c r="SLF1894">
        <v>0</v>
      </c>
      <c r="SLG1894" t="s">
        <v>5778</v>
      </c>
      <c r="SLH1894" t="s">
        <v>5778</v>
      </c>
      <c r="SLI1894" t="s">
        <v>5778</v>
      </c>
      <c r="SLJ1894" t="s">
        <v>5779</v>
      </c>
      <c r="SLM1894">
        <v>44583</v>
      </c>
      <c r="SLN1894">
        <v>0</v>
      </c>
      <c r="SLO1894" t="s">
        <v>5778</v>
      </c>
      <c r="SLP1894" t="s">
        <v>5778</v>
      </c>
      <c r="SLQ1894" t="s">
        <v>5778</v>
      </c>
      <c r="SLR1894" t="s">
        <v>5779</v>
      </c>
      <c r="SLU1894">
        <v>44583</v>
      </c>
      <c r="SLV1894">
        <v>0</v>
      </c>
      <c r="SLW1894" t="s">
        <v>5778</v>
      </c>
      <c r="SLX1894" t="s">
        <v>5778</v>
      </c>
      <c r="SLY1894" t="s">
        <v>5778</v>
      </c>
      <c r="SLZ1894" t="s">
        <v>5779</v>
      </c>
      <c r="SMC1894">
        <v>44583</v>
      </c>
      <c r="SMD1894">
        <v>0</v>
      </c>
      <c r="SME1894" t="s">
        <v>5778</v>
      </c>
      <c r="SMF1894" t="s">
        <v>5778</v>
      </c>
      <c r="SMG1894" t="s">
        <v>5778</v>
      </c>
      <c r="SMH1894" t="s">
        <v>5779</v>
      </c>
      <c r="SMK1894">
        <v>44583</v>
      </c>
      <c r="SML1894">
        <v>0</v>
      </c>
      <c r="SMM1894" t="s">
        <v>5778</v>
      </c>
      <c r="SMN1894" t="s">
        <v>5778</v>
      </c>
      <c r="SMO1894" t="s">
        <v>5778</v>
      </c>
      <c r="SMP1894" t="s">
        <v>5779</v>
      </c>
      <c r="SMS1894">
        <v>44583</v>
      </c>
      <c r="SMT1894">
        <v>0</v>
      </c>
      <c r="SMU1894" t="s">
        <v>5778</v>
      </c>
      <c r="SMV1894" t="s">
        <v>5778</v>
      </c>
      <c r="SMW1894" t="s">
        <v>5778</v>
      </c>
      <c r="SMX1894" t="s">
        <v>5779</v>
      </c>
      <c r="SNA1894">
        <v>44583</v>
      </c>
      <c r="SNB1894">
        <v>0</v>
      </c>
      <c r="SNC1894" t="s">
        <v>5778</v>
      </c>
      <c r="SND1894" t="s">
        <v>5778</v>
      </c>
      <c r="SNE1894" t="s">
        <v>5778</v>
      </c>
      <c r="SNF1894" t="s">
        <v>5779</v>
      </c>
      <c r="SNI1894">
        <v>44583</v>
      </c>
      <c r="SNJ1894">
        <v>0</v>
      </c>
      <c r="SNK1894" t="s">
        <v>5778</v>
      </c>
      <c r="SNL1894" t="s">
        <v>5778</v>
      </c>
      <c r="SNM1894" t="s">
        <v>5778</v>
      </c>
      <c r="SNN1894" t="s">
        <v>5779</v>
      </c>
      <c r="SNQ1894">
        <v>44583</v>
      </c>
      <c r="SNR1894">
        <v>0</v>
      </c>
      <c r="SNS1894" t="s">
        <v>5778</v>
      </c>
      <c r="SNT1894" t="s">
        <v>5778</v>
      </c>
      <c r="SNU1894" t="s">
        <v>5778</v>
      </c>
      <c r="SNV1894" t="s">
        <v>5779</v>
      </c>
      <c r="SNY1894">
        <v>44583</v>
      </c>
      <c r="SNZ1894">
        <v>0</v>
      </c>
      <c r="SOA1894" t="s">
        <v>5778</v>
      </c>
      <c r="SOB1894" t="s">
        <v>5778</v>
      </c>
      <c r="SOC1894" t="s">
        <v>5778</v>
      </c>
      <c r="SOD1894" t="s">
        <v>5779</v>
      </c>
      <c r="SOG1894">
        <v>44583</v>
      </c>
      <c r="SOH1894">
        <v>0</v>
      </c>
      <c r="SOI1894" t="s">
        <v>5778</v>
      </c>
      <c r="SOJ1894" t="s">
        <v>5778</v>
      </c>
      <c r="SOK1894" t="s">
        <v>5778</v>
      </c>
      <c r="SOL1894" t="s">
        <v>5779</v>
      </c>
      <c r="SOO1894">
        <v>44583</v>
      </c>
      <c r="SOP1894">
        <v>0</v>
      </c>
      <c r="SOQ1894" t="s">
        <v>5778</v>
      </c>
      <c r="SOR1894" t="s">
        <v>5778</v>
      </c>
      <c r="SOS1894" t="s">
        <v>5778</v>
      </c>
      <c r="SOT1894" t="s">
        <v>5779</v>
      </c>
      <c r="SOW1894">
        <v>44583</v>
      </c>
      <c r="SOX1894">
        <v>0</v>
      </c>
      <c r="SOY1894" t="s">
        <v>5778</v>
      </c>
      <c r="SOZ1894" t="s">
        <v>5778</v>
      </c>
      <c r="SPA1894" t="s">
        <v>5778</v>
      </c>
      <c r="SPB1894" t="s">
        <v>5779</v>
      </c>
      <c r="SPE1894">
        <v>44583</v>
      </c>
      <c r="SPF1894">
        <v>0</v>
      </c>
      <c r="SPG1894" t="s">
        <v>5778</v>
      </c>
      <c r="SPH1894" t="s">
        <v>5778</v>
      </c>
      <c r="SPI1894" t="s">
        <v>5778</v>
      </c>
      <c r="SPJ1894" t="s">
        <v>5779</v>
      </c>
      <c r="SPM1894">
        <v>44583</v>
      </c>
      <c r="SPN1894">
        <v>0</v>
      </c>
      <c r="SPO1894" t="s">
        <v>5778</v>
      </c>
      <c r="SPP1894" t="s">
        <v>5778</v>
      </c>
      <c r="SPQ1894" t="s">
        <v>5778</v>
      </c>
      <c r="SPR1894" t="s">
        <v>5779</v>
      </c>
      <c r="SPU1894">
        <v>44583</v>
      </c>
      <c r="SPV1894">
        <v>0</v>
      </c>
      <c r="SPW1894" t="s">
        <v>5778</v>
      </c>
      <c r="SPX1894" t="s">
        <v>5778</v>
      </c>
      <c r="SPY1894" t="s">
        <v>5778</v>
      </c>
      <c r="SPZ1894" t="s">
        <v>5779</v>
      </c>
      <c r="SQC1894">
        <v>44583</v>
      </c>
      <c r="SQD1894">
        <v>0</v>
      </c>
      <c r="SQE1894" t="s">
        <v>5778</v>
      </c>
      <c r="SQF1894" t="s">
        <v>5778</v>
      </c>
      <c r="SQG1894" t="s">
        <v>5778</v>
      </c>
      <c r="SQH1894" t="s">
        <v>5779</v>
      </c>
      <c r="SQK1894">
        <v>44583</v>
      </c>
      <c r="SQL1894">
        <v>0</v>
      </c>
      <c r="SQM1894" t="s">
        <v>5778</v>
      </c>
      <c r="SQN1894" t="s">
        <v>5778</v>
      </c>
      <c r="SQO1894" t="s">
        <v>5778</v>
      </c>
      <c r="SQP1894" t="s">
        <v>5779</v>
      </c>
      <c r="SQS1894">
        <v>44583</v>
      </c>
      <c r="SQT1894">
        <v>0</v>
      </c>
      <c r="SQU1894" t="s">
        <v>5778</v>
      </c>
      <c r="SQV1894" t="s">
        <v>5778</v>
      </c>
      <c r="SQW1894" t="s">
        <v>5778</v>
      </c>
      <c r="SQX1894" t="s">
        <v>5779</v>
      </c>
      <c r="SRA1894">
        <v>44583</v>
      </c>
      <c r="SRB1894">
        <v>0</v>
      </c>
      <c r="SRC1894" t="s">
        <v>5778</v>
      </c>
      <c r="SRD1894" t="s">
        <v>5778</v>
      </c>
      <c r="SRE1894" t="s">
        <v>5778</v>
      </c>
      <c r="SRF1894" t="s">
        <v>5779</v>
      </c>
      <c r="SRI1894">
        <v>44583</v>
      </c>
      <c r="SRJ1894">
        <v>0</v>
      </c>
      <c r="SRK1894" t="s">
        <v>5778</v>
      </c>
      <c r="SRL1894" t="s">
        <v>5778</v>
      </c>
      <c r="SRM1894" t="s">
        <v>5778</v>
      </c>
      <c r="SRN1894" t="s">
        <v>5779</v>
      </c>
      <c r="SRQ1894">
        <v>44583</v>
      </c>
      <c r="SRR1894">
        <v>0</v>
      </c>
      <c r="SRS1894" t="s">
        <v>5778</v>
      </c>
      <c r="SRT1894" t="s">
        <v>5778</v>
      </c>
      <c r="SRU1894" t="s">
        <v>5778</v>
      </c>
      <c r="SRV1894" t="s">
        <v>5779</v>
      </c>
      <c r="SRY1894">
        <v>44583</v>
      </c>
      <c r="SRZ1894">
        <v>0</v>
      </c>
      <c r="SSA1894" t="s">
        <v>5778</v>
      </c>
      <c r="SSB1894" t="s">
        <v>5778</v>
      </c>
      <c r="SSC1894" t="s">
        <v>5778</v>
      </c>
      <c r="SSD1894" t="s">
        <v>5779</v>
      </c>
      <c r="SSG1894">
        <v>44583</v>
      </c>
      <c r="SSH1894">
        <v>0</v>
      </c>
      <c r="SSI1894" t="s">
        <v>5778</v>
      </c>
      <c r="SSJ1894" t="s">
        <v>5778</v>
      </c>
      <c r="SSK1894" t="s">
        <v>5778</v>
      </c>
      <c r="SSL1894" t="s">
        <v>5779</v>
      </c>
      <c r="SSO1894">
        <v>44583</v>
      </c>
      <c r="SSP1894">
        <v>0</v>
      </c>
      <c r="SSQ1894" t="s">
        <v>5778</v>
      </c>
      <c r="SSR1894" t="s">
        <v>5778</v>
      </c>
      <c r="SSS1894" t="s">
        <v>5778</v>
      </c>
      <c r="SST1894" t="s">
        <v>5779</v>
      </c>
      <c r="SSW1894">
        <v>44583</v>
      </c>
      <c r="SSX1894">
        <v>0</v>
      </c>
      <c r="SSY1894" t="s">
        <v>5778</v>
      </c>
      <c r="SSZ1894" t="s">
        <v>5778</v>
      </c>
      <c r="STA1894" t="s">
        <v>5778</v>
      </c>
      <c r="STB1894" t="s">
        <v>5779</v>
      </c>
      <c r="STE1894">
        <v>44583</v>
      </c>
      <c r="STF1894">
        <v>0</v>
      </c>
      <c r="STG1894" t="s">
        <v>5778</v>
      </c>
      <c r="STH1894" t="s">
        <v>5778</v>
      </c>
      <c r="STI1894" t="s">
        <v>5778</v>
      </c>
      <c r="STJ1894" t="s">
        <v>5779</v>
      </c>
      <c r="STM1894">
        <v>44583</v>
      </c>
      <c r="STN1894">
        <v>0</v>
      </c>
      <c r="STO1894" t="s">
        <v>5778</v>
      </c>
      <c r="STP1894" t="s">
        <v>5778</v>
      </c>
      <c r="STQ1894" t="s">
        <v>5778</v>
      </c>
      <c r="STR1894" t="s">
        <v>5779</v>
      </c>
      <c r="STU1894">
        <v>44583</v>
      </c>
      <c r="STV1894">
        <v>0</v>
      </c>
      <c r="STW1894" t="s">
        <v>5778</v>
      </c>
      <c r="STX1894" t="s">
        <v>5778</v>
      </c>
      <c r="STY1894" t="s">
        <v>5778</v>
      </c>
      <c r="STZ1894" t="s">
        <v>5779</v>
      </c>
      <c r="SUC1894">
        <v>44583</v>
      </c>
      <c r="SUD1894">
        <v>0</v>
      </c>
      <c r="SUE1894" t="s">
        <v>5778</v>
      </c>
      <c r="SUF1894" t="s">
        <v>5778</v>
      </c>
      <c r="SUG1894" t="s">
        <v>5778</v>
      </c>
      <c r="SUH1894" t="s">
        <v>5779</v>
      </c>
      <c r="SUK1894">
        <v>44583</v>
      </c>
      <c r="SUL1894">
        <v>0</v>
      </c>
      <c r="SUM1894" t="s">
        <v>5778</v>
      </c>
      <c r="SUN1894" t="s">
        <v>5778</v>
      </c>
      <c r="SUO1894" t="s">
        <v>5778</v>
      </c>
      <c r="SUP1894" t="s">
        <v>5779</v>
      </c>
      <c r="SUS1894">
        <v>44583</v>
      </c>
      <c r="SUT1894">
        <v>0</v>
      </c>
      <c r="SUU1894" t="s">
        <v>5778</v>
      </c>
      <c r="SUV1894" t="s">
        <v>5778</v>
      </c>
      <c r="SUW1894" t="s">
        <v>5778</v>
      </c>
      <c r="SUX1894" t="s">
        <v>5779</v>
      </c>
      <c r="SVA1894">
        <v>44583</v>
      </c>
      <c r="SVB1894">
        <v>0</v>
      </c>
      <c r="SVC1894" t="s">
        <v>5778</v>
      </c>
      <c r="SVD1894" t="s">
        <v>5778</v>
      </c>
      <c r="SVE1894" t="s">
        <v>5778</v>
      </c>
      <c r="SVF1894" t="s">
        <v>5779</v>
      </c>
      <c r="SVI1894">
        <v>44583</v>
      </c>
      <c r="SVJ1894">
        <v>0</v>
      </c>
      <c r="SVK1894" t="s">
        <v>5778</v>
      </c>
      <c r="SVL1894" t="s">
        <v>5778</v>
      </c>
      <c r="SVM1894" t="s">
        <v>5778</v>
      </c>
      <c r="SVN1894" t="s">
        <v>5779</v>
      </c>
      <c r="SVQ1894">
        <v>44583</v>
      </c>
      <c r="SVR1894">
        <v>0</v>
      </c>
      <c r="SVS1894" t="s">
        <v>5778</v>
      </c>
      <c r="SVT1894" t="s">
        <v>5778</v>
      </c>
      <c r="SVU1894" t="s">
        <v>5778</v>
      </c>
      <c r="SVV1894" t="s">
        <v>5779</v>
      </c>
      <c r="SVY1894">
        <v>44583</v>
      </c>
      <c r="SVZ1894">
        <v>0</v>
      </c>
      <c r="SWA1894" t="s">
        <v>5778</v>
      </c>
      <c r="SWB1894" t="s">
        <v>5778</v>
      </c>
      <c r="SWC1894" t="s">
        <v>5778</v>
      </c>
      <c r="SWD1894" t="s">
        <v>5779</v>
      </c>
      <c r="SWG1894">
        <v>44583</v>
      </c>
      <c r="SWH1894">
        <v>0</v>
      </c>
      <c r="SWI1894" t="s">
        <v>5778</v>
      </c>
      <c r="SWJ1894" t="s">
        <v>5778</v>
      </c>
      <c r="SWK1894" t="s">
        <v>5778</v>
      </c>
      <c r="SWL1894" t="s">
        <v>5779</v>
      </c>
      <c r="SWO1894">
        <v>44583</v>
      </c>
      <c r="SWP1894">
        <v>0</v>
      </c>
      <c r="SWQ1894" t="s">
        <v>5778</v>
      </c>
      <c r="SWR1894" t="s">
        <v>5778</v>
      </c>
      <c r="SWS1894" t="s">
        <v>5778</v>
      </c>
      <c r="SWT1894" t="s">
        <v>5779</v>
      </c>
      <c r="SWW1894">
        <v>44583</v>
      </c>
      <c r="SWX1894">
        <v>0</v>
      </c>
      <c r="SWY1894" t="s">
        <v>5778</v>
      </c>
      <c r="SWZ1894" t="s">
        <v>5778</v>
      </c>
      <c r="SXA1894" t="s">
        <v>5778</v>
      </c>
      <c r="SXB1894" t="s">
        <v>5779</v>
      </c>
      <c r="SXE1894">
        <v>44583</v>
      </c>
      <c r="SXF1894">
        <v>0</v>
      </c>
      <c r="SXG1894" t="s">
        <v>5778</v>
      </c>
      <c r="SXH1894" t="s">
        <v>5778</v>
      </c>
      <c r="SXI1894" t="s">
        <v>5778</v>
      </c>
      <c r="SXJ1894" t="s">
        <v>5779</v>
      </c>
      <c r="SXM1894">
        <v>44583</v>
      </c>
      <c r="SXN1894">
        <v>0</v>
      </c>
      <c r="SXO1894" t="s">
        <v>5778</v>
      </c>
      <c r="SXP1894" t="s">
        <v>5778</v>
      </c>
      <c r="SXQ1894" t="s">
        <v>5778</v>
      </c>
      <c r="SXR1894" t="s">
        <v>5779</v>
      </c>
      <c r="SXU1894">
        <v>44583</v>
      </c>
      <c r="SXV1894">
        <v>0</v>
      </c>
      <c r="SXW1894" t="s">
        <v>5778</v>
      </c>
      <c r="SXX1894" t="s">
        <v>5778</v>
      </c>
      <c r="SXY1894" t="s">
        <v>5778</v>
      </c>
      <c r="SXZ1894" t="s">
        <v>5779</v>
      </c>
      <c r="SYC1894">
        <v>44583</v>
      </c>
      <c r="SYD1894">
        <v>0</v>
      </c>
      <c r="SYE1894" t="s">
        <v>5778</v>
      </c>
      <c r="SYF1894" t="s">
        <v>5778</v>
      </c>
      <c r="SYG1894" t="s">
        <v>5778</v>
      </c>
      <c r="SYH1894" t="s">
        <v>5779</v>
      </c>
      <c r="SYK1894">
        <v>44583</v>
      </c>
      <c r="SYL1894">
        <v>0</v>
      </c>
      <c r="SYM1894" t="s">
        <v>5778</v>
      </c>
      <c r="SYN1894" t="s">
        <v>5778</v>
      </c>
      <c r="SYO1894" t="s">
        <v>5778</v>
      </c>
      <c r="SYP1894" t="s">
        <v>5779</v>
      </c>
      <c r="SYS1894">
        <v>44583</v>
      </c>
      <c r="SYT1894">
        <v>0</v>
      </c>
      <c r="SYU1894" t="s">
        <v>5778</v>
      </c>
      <c r="SYV1894" t="s">
        <v>5778</v>
      </c>
      <c r="SYW1894" t="s">
        <v>5778</v>
      </c>
      <c r="SYX1894" t="s">
        <v>5779</v>
      </c>
      <c r="SZA1894">
        <v>44583</v>
      </c>
      <c r="SZB1894">
        <v>0</v>
      </c>
      <c r="SZC1894" t="s">
        <v>5778</v>
      </c>
      <c r="SZD1894" t="s">
        <v>5778</v>
      </c>
      <c r="SZE1894" t="s">
        <v>5778</v>
      </c>
      <c r="SZF1894" t="s">
        <v>5779</v>
      </c>
      <c r="SZI1894">
        <v>44583</v>
      </c>
      <c r="SZJ1894">
        <v>0</v>
      </c>
      <c r="SZK1894" t="s">
        <v>5778</v>
      </c>
      <c r="SZL1894" t="s">
        <v>5778</v>
      </c>
      <c r="SZM1894" t="s">
        <v>5778</v>
      </c>
      <c r="SZN1894" t="s">
        <v>5779</v>
      </c>
      <c r="SZQ1894">
        <v>44583</v>
      </c>
      <c r="SZR1894">
        <v>0</v>
      </c>
      <c r="SZS1894" t="s">
        <v>5778</v>
      </c>
      <c r="SZT1894" t="s">
        <v>5778</v>
      </c>
      <c r="SZU1894" t="s">
        <v>5778</v>
      </c>
      <c r="SZV1894" t="s">
        <v>5779</v>
      </c>
      <c r="SZY1894">
        <v>44583</v>
      </c>
      <c r="SZZ1894">
        <v>0</v>
      </c>
      <c r="TAA1894" t="s">
        <v>5778</v>
      </c>
      <c r="TAB1894" t="s">
        <v>5778</v>
      </c>
      <c r="TAC1894" t="s">
        <v>5778</v>
      </c>
      <c r="TAD1894" t="s">
        <v>5779</v>
      </c>
      <c r="TAG1894">
        <v>44583</v>
      </c>
      <c r="TAH1894">
        <v>0</v>
      </c>
      <c r="TAI1894" t="s">
        <v>5778</v>
      </c>
      <c r="TAJ1894" t="s">
        <v>5778</v>
      </c>
      <c r="TAK1894" t="s">
        <v>5778</v>
      </c>
      <c r="TAL1894" t="s">
        <v>5779</v>
      </c>
      <c r="TAO1894">
        <v>44583</v>
      </c>
      <c r="TAP1894">
        <v>0</v>
      </c>
      <c r="TAQ1894" t="s">
        <v>5778</v>
      </c>
      <c r="TAR1894" t="s">
        <v>5778</v>
      </c>
      <c r="TAS1894" t="s">
        <v>5778</v>
      </c>
      <c r="TAT1894" t="s">
        <v>5779</v>
      </c>
      <c r="TAW1894">
        <v>44583</v>
      </c>
      <c r="TAX1894">
        <v>0</v>
      </c>
      <c r="TAY1894" t="s">
        <v>5778</v>
      </c>
      <c r="TAZ1894" t="s">
        <v>5778</v>
      </c>
      <c r="TBA1894" t="s">
        <v>5778</v>
      </c>
      <c r="TBB1894" t="s">
        <v>5779</v>
      </c>
      <c r="TBE1894">
        <v>44583</v>
      </c>
      <c r="TBF1894">
        <v>0</v>
      </c>
      <c r="TBG1894" t="s">
        <v>5778</v>
      </c>
      <c r="TBH1894" t="s">
        <v>5778</v>
      </c>
      <c r="TBI1894" t="s">
        <v>5778</v>
      </c>
      <c r="TBJ1894" t="s">
        <v>5779</v>
      </c>
      <c r="TBM1894">
        <v>44583</v>
      </c>
      <c r="TBN1894">
        <v>0</v>
      </c>
      <c r="TBO1894" t="s">
        <v>5778</v>
      </c>
      <c r="TBP1894" t="s">
        <v>5778</v>
      </c>
      <c r="TBQ1894" t="s">
        <v>5778</v>
      </c>
      <c r="TBR1894" t="s">
        <v>5779</v>
      </c>
      <c r="TBU1894">
        <v>44583</v>
      </c>
      <c r="TBV1894">
        <v>0</v>
      </c>
      <c r="TBW1894" t="s">
        <v>5778</v>
      </c>
      <c r="TBX1894" t="s">
        <v>5778</v>
      </c>
      <c r="TBY1894" t="s">
        <v>5778</v>
      </c>
      <c r="TBZ1894" t="s">
        <v>5779</v>
      </c>
      <c r="TCC1894">
        <v>44583</v>
      </c>
      <c r="TCD1894">
        <v>0</v>
      </c>
      <c r="TCE1894" t="s">
        <v>5778</v>
      </c>
      <c r="TCF1894" t="s">
        <v>5778</v>
      </c>
      <c r="TCG1894" t="s">
        <v>5778</v>
      </c>
      <c r="TCH1894" t="s">
        <v>5779</v>
      </c>
      <c r="TCK1894">
        <v>44583</v>
      </c>
      <c r="TCL1894">
        <v>0</v>
      </c>
      <c r="TCM1894" t="s">
        <v>5778</v>
      </c>
      <c r="TCN1894" t="s">
        <v>5778</v>
      </c>
      <c r="TCO1894" t="s">
        <v>5778</v>
      </c>
      <c r="TCP1894" t="s">
        <v>5779</v>
      </c>
      <c r="TCS1894">
        <v>44583</v>
      </c>
      <c r="TCT1894">
        <v>0</v>
      </c>
      <c r="TCU1894" t="s">
        <v>5778</v>
      </c>
      <c r="TCV1894" t="s">
        <v>5778</v>
      </c>
      <c r="TCW1894" t="s">
        <v>5778</v>
      </c>
      <c r="TCX1894" t="s">
        <v>5779</v>
      </c>
      <c r="TDA1894">
        <v>44583</v>
      </c>
      <c r="TDB1894">
        <v>0</v>
      </c>
      <c r="TDC1894" t="s">
        <v>5778</v>
      </c>
      <c r="TDD1894" t="s">
        <v>5778</v>
      </c>
      <c r="TDE1894" t="s">
        <v>5778</v>
      </c>
      <c r="TDF1894" t="s">
        <v>5779</v>
      </c>
      <c r="TDI1894">
        <v>44583</v>
      </c>
      <c r="TDJ1894">
        <v>0</v>
      </c>
      <c r="TDK1894" t="s">
        <v>5778</v>
      </c>
      <c r="TDL1894" t="s">
        <v>5778</v>
      </c>
      <c r="TDM1894" t="s">
        <v>5778</v>
      </c>
      <c r="TDN1894" t="s">
        <v>5779</v>
      </c>
      <c r="TDQ1894">
        <v>44583</v>
      </c>
      <c r="TDR1894">
        <v>0</v>
      </c>
      <c r="TDS1894" t="s">
        <v>5778</v>
      </c>
      <c r="TDT1894" t="s">
        <v>5778</v>
      </c>
      <c r="TDU1894" t="s">
        <v>5778</v>
      </c>
      <c r="TDV1894" t="s">
        <v>5779</v>
      </c>
      <c r="TDY1894">
        <v>44583</v>
      </c>
      <c r="TDZ1894">
        <v>0</v>
      </c>
      <c r="TEA1894" t="s">
        <v>5778</v>
      </c>
      <c r="TEB1894" t="s">
        <v>5778</v>
      </c>
      <c r="TEC1894" t="s">
        <v>5778</v>
      </c>
      <c r="TED1894" t="s">
        <v>5779</v>
      </c>
      <c r="TEG1894">
        <v>44583</v>
      </c>
      <c r="TEH1894">
        <v>0</v>
      </c>
      <c r="TEI1894" t="s">
        <v>5778</v>
      </c>
      <c r="TEJ1894" t="s">
        <v>5778</v>
      </c>
      <c r="TEK1894" t="s">
        <v>5778</v>
      </c>
      <c r="TEL1894" t="s">
        <v>5779</v>
      </c>
      <c r="TEO1894">
        <v>44583</v>
      </c>
      <c r="TEP1894">
        <v>0</v>
      </c>
      <c r="TEQ1894" t="s">
        <v>5778</v>
      </c>
      <c r="TER1894" t="s">
        <v>5778</v>
      </c>
      <c r="TES1894" t="s">
        <v>5778</v>
      </c>
      <c r="TET1894" t="s">
        <v>5779</v>
      </c>
      <c r="TEW1894">
        <v>44583</v>
      </c>
      <c r="TEX1894">
        <v>0</v>
      </c>
      <c r="TEY1894" t="s">
        <v>5778</v>
      </c>
      <c r="TEZ1894" t="s">
        <v>5778</v>
      </c>
      <c r="TFA1894" t="s">
        <v>5778</v>
      </c>
      <c r="TFB1894" t="s">
        <v>5779</v>
      </c>
      <c r="TFE1894">
        <v>44583</v>
      </c>
      <c r="TFF1894">
        <v>0</v>
      </c>
      <c r="TFG1894" t="s">
        <v>5778</v>
      </c>
      <c r="TFH1894" t="s">
        <v>5778</v>
      </c>
      <c r="TFI1894" t="s">
        <v>5778</v>
      </c>
      <c r="TFJ1894" t="s">
        <v>5779</v>
      </c>
      <c r="TFM1894">
        <v>44583</v>
      </c>
      <c r="TFN1894">
        <v>0</v>
      </c>
      <c r="TFO1894" t="s">
        <v>5778</v>
      </c>
      <c r="TFP1894" t="s">
        <v>5778</v>
      </c>
      <c r="TFQ1894" t="s">
        <v>5778</v>
      </c>
      <c r="TFR1894" t="s">
        <v>5779</v>
      </c>
      <c r="TFU1894">
        <v>44583</v>
      </c>
      <c r="TFV1894">
        <v>0</v>
      </c>
      <c r="TFW1894" t="s">
        <v>5778</v>
      </c>
      <c r="TFX1894" t="s">
        <v>5778</v>
      </c>
      <c r="TFY1894" t="s">
        <v>5778</v>
      </c>
      <c r="TFZ1894" t="s">
        <v>5779</v>
      </c>
      <c r="TGC1894">
        <v>44583</v>
      </c>
      <c r="TGD1894">
        <v>0</v>
      </c>
      <c r="TGE1894" t="s">
        <v>5778</v>
      </c>
      <c r="TGF1894" t="s">
        <v>5778</v>
      </c>
      <c r="TGG1894" t="s">
        <v>5778</v>
      </c>
      <c r="TGH1894" t="s">
        <v>5779</v>
      </c>
      <c r="TGK1894">
        <v>44583</v>
      </c>
      <c r="TGL1894">
        <v>0</v>
      </c>
      <c r="TGM1894" t="s">
        <v>5778</v>
      </c>
      <c r="TGN1894" t="s">
        <v>5778</v>
      </c>
      <c r="TGO1894" t="s">
        <v>5778</v>
      </c>
      <c r="TGP1894" t="s">
        <v>5779</v>
      </c>
      <c r="TGS1894">
        <v>44583</v>
      </c>
      <c r="TGT1894">
        <v>0</v>
      </c>
      <c r="TGU1894" t="s">
        <v>5778</v>
      </c>
      <c r="TGV1894" t="s">
        <v>5778</v>
      </c>
      <c r="TGW1894" t="s">
        <v>5778</v>
      </c>
      <c r="TGX1894" t="s">
        <v>5779</v>
      </c>
      <c r="THA1894">
        <v>44583</v>
      </c>
      <c r="THB1894">
        <v>0</v>
      </c>
      <c r="THC1894" t="s">
        <v>5778</v>
      </c>
      <c r="THD1894" t="s">
        <v>5778</v>
      </c>
      <c r="THE1894" t="s">
        <v>5778</v>
      </c>
      <c r="THF1894" t="s">
        <v>5779</v>
      </c>
      <c r="THI1894">
        <v>44583</v>
      </c>
      <c r="THJ1894">
        <v>0</v>
      </c>
      <c r="THK1894" t="s">
        <v>5778</v>
      </c>
      <c r="THL1894" t="s">
        <v>5778</v>
      </c>
      <c r="THM1894" t="s">
        <v>5778</v>
      </c>
      <c r="THN1894" t="s">
        <v>5779</v>
      </c>
      <c r="THQ1894">
        <v>44583</v>
      </c>
      <c r="THR1894">
        <v>0</v>
      </c>
      <c r="THS1894" t="s">
        <v>5778</v>
      </c>
      <c r="THT1894" t="s">
        <v>5778</v>
      </c>
      <c r="THU1894" t="s">
        <v>5778</v>
      </c>
      <c r="THV1894" t="s">
        <v>5779</v>
      </c>
      <c r="THY1894">
        <v>44583</v>
      </c>
      <c r="THZ1894">
        <v>0</v>
      </c>
      <c r="TIA1894" t="s">
        <v>5778</v>
      </c>
      <c r="TIB1894" t="s">
        <v>5778</v>
      </c>
      <c r="TIC1894" t="s">
        <v>5778</v>
      </c>
      <c r="TID1894" t="s">
        <v>5779</v>
      </c>
      <c r="TIG1894">
        <v>44583</v>
      </c>
      <c r="TIH1894">
        <v>0</v>
      </c>
      <c r="TII1894" t="s">
        <v>5778</v>
      </c>
      <c r="TIJ1894" t="s">
        <v>5778</v>
      </c>
      <c r="TIK1894" t="s">
        <v>5778</v>
      </c>
      <c r="TIL1894" t="s">
        <v>5779</v>
      </c>
      <c r="TIO1894">
        <v>44583</v>
      </c>
      <c r="TIP1894">
        <v>0</v>
      </c>
      <c r="TIQ1894" t="s">
        <v>5778</v>
      </c>
      <c r="TIR1894" t="s">
        <v>5778</v>
      </c>
      <c r="TIS1894" t="s">
        <v>5778</v>
      </c>
      <c r="TIT1894" t="s">
        <v>5779</v>
      </c>
      <c r="TIW1894">
        <v>44583</v>
      </c>
      <c r="TIX1894">
        <v>0</v>
      </c>
      <c r="TIY1894" t="s">
        <v>5778</v>
      </c>
      <c r="TIZ1894" t="s">
        <v>5778</v>
      </c>
      <c r="TJA1894" t="s">
        <v>5778</v>
      </c>
      <c r="TJB1894" t="s">
        <v>5779</v>
      </c>
      <c r="TJE1894">
        <v>44583</v>
      </c>
      <c r="TJF1894">
        <v>0</v>
      </c>
      <c r="TJG1894" t="s">
        <v>5778</v>
      </c>
      <c r="TJH1894" t="s">
        <v>5778</v>
      </c>
      <c r="TJI1894" t="s">
        <v>5778</v>
      </c>
      <c r="TJJ1894" t="s">
        <v>5779</v>
      </c>
      <c r="TJM1894">
        <v>44583</v>
      </c>
      <c r="TJN1894">
        <v>0</v>
      </c>
      <c r="TJO1894" t="s">
        <v>5778</v>
      </c>
      <c r="TJP1894" t="s">
        <v>5778</v>
      </c>
      <c r="TJQ1894" t="s">
        <v>5778</v>
      </c>
      <c r="TJR1894" t="s">
        <v>5779</v>
      </c>
      <c r="TJU1894">
        <v>44583</v>
      </c>
      <c r="TJV1894">
        <v>0</v>
      </c>
      <c r="TJW1894" t="s">
        <v>5778</v>
      </c>
      <c r="TJX1894" t="s">
        <v>5778</v>
      </c>
      <c r="TJY1894" t="s">
        <v>5778</v>
      </c>
      <c r="TJZ1894" t="s">
        <v>5779</v>
      </c>
      <c r="TKC1894">
        <v>44583</v>
      </c>
      <c r="TKD1894">
        <v>0</v>
      </c>
      <c r="TKE1894" t="s">
        <v>5778</v>
      </c>
      <c r="TKF1894" t="s">
        <v>5778</v>
      </c>
      <c r="TKG1894" t="s">
        <v>5778</v>
      </c>
      <c r="TKH1894" t="s">
        <v>5779</v>
      </c>
      <c r="TKK1894">
        <v>44583</v>
      </c>
      <c r="TKL1894">
        <v>0</v>
      </c>
      <c r="TKM1894" t="s">
        <v>5778</v>
      </c>
      <c r="TKN1894" t="s">
        <v>5778</v>
      </c>
      <c r="TKO1894" t="s">
        <v>5778</v>
      </c>
      <c r="TKP1894" t="s">
        <v>5779</v>
      </c>
      <c r="TKS1894">
        <v>44583</v>
      </c>
      <c r="TKT1894">
        <v>0</v>
      </c>
      <c r="TKU1894" t="s">
        <v>5778</v>
      </c>
      <c r="TKV1894" t="s">
        <v>5778</v>
      </c>
      <c r="TKW1894" t="s">
        <v>5778</v>
      </c>
      <c r="TKX1894" t="s">
        <v>5779</v>
      </c>
      <c r="TLA1894">
        <v>44583</v>
      </c>
      <c r="TLB1894">
        <v>0</v>
      </c>
      <c r="TLC1894" t="s">
        <v>5778</v>
      </c>
      <c r="TLD1894" t="s">
        <v>5778</v>
      </c>
      <c r="TLE1894" t="s">
        <v>5778</v>
      </c>
      <c r="TLF1894" t="s">
        <v>5779</v>
      </c>
      <c r="TLI1894">
        <v>44583</v>
      </c>
      <c r="TLJ1894">
        <v>0</v>
      </c>
      <c r="TLK1894" t="s">
        <v>5778</v>
      </c>
      <c r="TLL1894" t="s">
        <v>5778</v>
      </c>
      <c r="TLM1894" t="s">
        <v>5778</v>
      </c>
      <c r="TLN1894" t="s">
        <v>5779</v>
      </c>
      <c r="TLQ1894">
        <v>44583</v>
      </c>
      <c r="TLR1894">
        <v>0</v>
      </c>
      <c r="TLS1894" t="s">
        <v>5778</v>
      </c>
      <c r="TLT1894" t="s">
        <v>5778</v>
      </c>
      <c r="TLU1894" t="s">
        <v>5778</v>
      </c>
      <c r="TLV1894" t="s">
        <v>5779</v>
      </c>
      <c r="TLY1894">
        <v>44583</v>
      </c>
      <c r="TLZ1894">
        <v>0</v>
      </c>
      <c r="TMA1894" t="s">
        <v>5778</v>
      </c>
      <c r="TMB1894" t="s">
        <v>5778</v>
      </c>
      <c r="TMC1894" t="s">
        <v>5778</v>
      </c>
      <c r="TMD1894" t="s">
        <v>5779</v>
      </c>
      <c r="TMG1894">
        <v>44583</v>
      </c>
      <c r="TMH1894">
        <v>0</v>
      </c>
      <c r="TMI1894" t="s">
        <v>5778</v>
      </c>
      <c r="TMJ1894" t="s">
        <v>5778</v>
      </c>
      <c r="TMK1894" t="s">
        <v>5778</v>
      </c>
      <c r="TML1894" t="s">
        <v>5779</v>
      </c>
      <c r="TMO1894">
        <v>44583</v>
      </c>
      <c r="TMP1894">
        <v>0</v>
      </c>
      <c r="TMQ1894" t="s">
        <v>5778</v>
      </c>
      <c r="TMR1894" t="s">
        <v>5778</v>
      </c>
      <c r="TMS1894" t="s">
        <v>5778</v>
      </c>
      <c r="TMT1894" t="s">
        <v>5779</v>
      </c>
      <c r="TMW1894">
        <v>44583</v>
      </c>
      <c r="TMX1894">
        <v>0</v>
      </c>
      <c r="TMY1894" t="s">
        <v>5778</v>
      </c>
      <c r="TMZ1894" t="s">
        <v>5778</v>
      </c>
      <c r="TNA1894" t="s">
        <v>5778</v>
      </c>
      <c r="TNB1894" t="s">
        <v>5779</v>
      </c>
      <c r="TNE1894">
        <v>44583</v>
      </c>
      <c r="TNF1894">
        <v>0</v>
      </c>
      <c r="TNG1894" t="s">
        <v>5778</v>
      </c>
      <c r="TNH1894" t="s">
        <v>5778</v>
      </c>
      <c r="TNI1894" t="s">
        <v>5778</v>
      </c>
      <c r="TNJ1894" t="s">
        <v>5779</v>
      </c>
      <c r="TNM1894">
        <v>44583</v>
      </c>
      <c r="TNN1894">
        <v>0</v>
      </c>
      <c r="TNO1894" t="s">
        <v>5778</v>
      </c>
      <c r="TNP1894" t="s">
        <v>5778</v>
      </c>
      <c r="TNQ1894" t="s">
        <v>5778</v>
      </c>
      <c r="TNR1894" t="s">
        <v>5779</v>
      </c>
      <c r="TNU1894">
        <v>44583</v>
      </c>
      <c r="TNV1894">
        <v>0</v>
      </c>
      <c r="TNW1894" t="s">
        <v>5778</v>
      </c>
      <c r="TNX1894" t="s">
        <v>5778</v>
      </c>
      <c r="TNY1894" t="s">
        <v>5778</v>
      </c>
      <c r="TNZ1894" t="s">
        <v>5779</v>
      </c>
      <c r="TOC1894">
        <v>44583</v>
      </c>
      <c r="TOD1894">
        <v>0</v>
      </c>
      <c r="TOE1894" t="s">
        <v>5778</v>
      </c>
      <c r="TOF1894" t="s">
        <v>5778</v>
      </c>
      <c r="TOG1894" t="s">
        <v>5778</v>
      </c>
      <c r="TOH1894" t="s">
        <v>5779</v>
      </c>
      <c r="TOK1894">
        <v>44583</v>
      </c>
      <c r="TOL1894">
        <v>0</v>
      </c>
      <c r="TOM1894" t="s">
        <v>5778</v>
      </c>
      <c r="TON1894" t="s">
        <v>5778</v>
      </c>
      <c r="TOO1894" t="s">
        <v>5778</v>
      </c>
      <c r="TOP1894" t="s">
        <v>5779</v>
      </c>
      <c r="TOS1894">
        <v>44583</v>
      </c>
      <c r="TOT1894">
        <v>0</v>
      </c>
      <c r="TOU1894" t="s">
        <v>5778</v>
      </c>
      <c r="TOV1894" t="s">
        <v>5778</v>
      </c>
      <c r="TOW1894" t="s">
        <v>5778</v>
      </c>
      <c r="TOX1894" t="s">
        <v>5779</v>
      </c>
      <c r="TPA1894">
        <v>44583</v>
      </c>
      <c r="TPB1894">
        <v>0</v>
      </c>
      <c r="TPC1894" t="s">
        <v>5778</v>
      </c>
      <c r="TPD1894" t="s">
        <v>5778</v>
      </c>
      <c r="TPE1894" t="s">
        <v>5778</v>
      </c>
      <c r="TPF1894" t="s">
        <v>5779</v>
      </c>
      <c r="TPI1894">
        <v>44583</v>
      </c>
      <c r="TPJ1894">
        <v>0</v>
      </c>
      <c r="TPK1894" t="s">
        <v>5778</v>
      </c>
      <c r="TPL1894" t="s">
        <v>5778</v>
      </c>
      <c r="TPM1894" t="s">
        <v>5778</v>
      </c>
      <c r="TPN1894" t="s">
        <v>5779</v>
      </c>
      <c r="TPQ1894">
        <v>44583</v>
      </c>
      <c r="TPR1894">
        <v>0</v>
      </c>
      <c r="TPS1894" t="s">
        <v>5778</v>
      </c>
      <c r="TPT1894" t="s">
        <v>5778</v>
      </c>
      <c r="TPU1894" t="s">
        <v>5778</v>
      </c>
      <c r="TPV1894" t="s">
        <v>5779</v>
      </c>
      <c r="TPY1894">
        <v>44583</v>
      </c>
      <c r="TPZ1894">
        <v>0</v>
      </c>
      <c r="TQA1894" t="s">
        <v>5778</v>
      </c>
      <c r="TQB1894" t="s">
        <v>5778</v>
      </c>
      <c r="TQC1894" t="s">
        <v>5778</v>
      </c>
      <c r="TQD1894" t="s">
        <v>5779</v>
      </c>
      <c r="TQG1894">
        <v>44583</v>
      </c>
      <c r="TQH1894">
        <v>0</v>
      </c>
      <c r="TQI1894" t="s">
        <v>5778</v>
      </c>
      <c r="TQJ1894" t="s">
        <v>5778</v>
      </c>
      <c r="TQK1894" t="s">
        <v>5778</v>
      </c>
      <c r="TQL1894" t="s">
        <v>5779</v>
      </c>
      <c r="TQO1894">
        <v>44583</v>
      </c>
      <c r="TQP1894">
        <v>0</v>
      </c>
      <c r="TQQ1894" t="s">
        <v>5778</v>
      </c>
      <c r="TQR1894" t="s">
        <v>5778</v>
      </c>
      <c r="TQS1894" t="s">
        <v>5778</v>
      </c>
      <c r="TQT1894" t="s">
        <v>5779</v>
      </c>
      <c r="TQW1894">
        <v>44583</v>
      </c>
      <c r="TQX1894">
        <v>0</v>
      </c>
      <c r="TQY1894" t="s">
        <v>5778</v>
      </c>
      <c r="TQZ1894" t="s">
        <v>5778</v>
      </c>
      <c r="TRA1894" t="s">
        <v>5778</v>
      </c>
      <c r="TRB1894" t="s">
        <v>5779</v>
      </c>
      <c r="TRE1894">
        <v>44583</v>
      </c>
      <c r="TRF1894">
        <v>0</v>
      </c>
      <c r="TRG1894" t="s">
        <v>5778</v>
      </c>
      <c r="TRH1894" t="s">
        <v>5778</v>
      </c>
      <c r="TRI1894" t="s">
        <v>5778</v>
      </c>
      <c r="TRJ1894" t="s">
        <v>5779</v>
      </c>
      <c r="TRM1894">
        <v>44583</v>
      </c>
      <c r="TRN1894">
        <v>0</v>
      </c>
      <c r="TRO1894" t="s">
        <v>5778</v>
      </c>
      <c r="TRP1894" t="s">
        <v>5778</v>
      </c>
      <c r="TRQ1894" t="s">
        <v>5778</v>
      </c>
      <c r="TRR1894" t="s">
        <v>5779</v>
      </c>
      <c r="TRU1894">
        <v>44583</v>
      </c>
      <c r="TRV1894">
        <v>0</v>
      </c>
      <c r="TRW1894" t="s">
        <v>5778</v>
      </c>
      <c r="TRX1894" t="s">
        <v>5778</v>
      </c>
      <c r="TRY1894" t="s">
        <v>5778</v>
      </c>
      <c r="TRZ1894" t="s">
        <v>5779</v>
      </c>
      <c r="TSC1894">
        <v>44583</v>
      </c>
      <c r="TSD1894">
        <v>0</v>
      </c>
      <c r="TSE1894" t="s">
        <v>5778</v>
      </c>
      <c r="TSF1894" t="s">
        <v>5778</v>
      </c>
      <c r="TSG1894" t="s">
        <v>5778</v>
      </c>
      <c r="TSH1894" t="s">
        <v>5779</v>
      </c>
      <c r="TSK1894">
        <v>44583</v>
      </c>
      <c r="TSL1894">
        <v>0</v>
      </c>
      <c r="TSM1894" t="s">
        <v>5778</v>
      </c>
      <c r="TSN1894" t="s">
        <v>5778</v>
      </c>
      <c r="TSO1894" t="s">
        <v>5778</v>
      </c>
      <c r="TSP1894" t="s">
        <v>5779</v>
      </c>
      <c r="TSS1894">
        <v>44583</v>
      </c>
      <c r="TST1894">
        <v>0</v>
      </c>
      <c r="TSU1894" t="s">
        <v>5778</v>
      </c>
      <c r="TSV1894" t="s">
        <v>5778</v>
      </c>
      <c r="TSW1894" t="s">
        <v>5778</v>
      </c>
      <c r="TSX1894" t="s">
        <v>5779</v>
      </c>
      <c r="TTA1894">
        <v>44583</v>
      </c>
      <c r="TTB1894">
        <v>0</v>
      </c>
      <c r="TTC1894" t="s">
        <v>5778</v>
      </c>
      <c r="TTD1894" t="s">
        <v>5778</v>
      </c>
      <c r="TTE1894" t="s">
        <v>5778</v>
      </c>
      <c r="TTF1894" t="s">
        <v>5779</v>
      </c>
      <c r="TTI1894">
        <v>44583</v>
      </c>
      <c r="TTJ1894">
        <v>0</v>
      </c>
      <c r="TTK1894" t="s">
        <v>5778</v>
      </c>
      <c r="TTL1894" t="s">
        <v>5778</v>
      </c>
      <c r="TTM1894" t="s">
        <v>5778</v>
      </c>
      <c r="TTN1894" t="s">
        <v>5779</v>
      </c>
      <c r="TTQ1894">
        <v>44583</v>
      </c>
      <c r="TTR1894">
        <v>0</v>
      </c>
      <c r="TTS1894" t="s">
        <v>5778</v>
      </c>
      <c r="TTT1894" t="s">
        <v>5778</v>
      </c>
      <c r="TTU1894" t="s">
        <v>5778</v>
      </c>
      <c r="TTV1894" t="s">
        <v>5779</v>
      </c>
      <c r="TTY1894">
        <v>44583</v>
      </c>
      <c r="TTZ1894">
        <v>0</v>
      </c>
      <c r="TUA1894" t="s">
        <v>5778</v>
      </c>
      <c r="TUB1894" t="s">
        <v>5778</v>
      </c>
      <c r="TUC1894" t="s">
        <v>5778</v>
      </c>
      <c r="TUD1894" t="s">
        <v>5779</v>
      </c>
      <c r="TUG1894">
        <v>44583</v>
      </c>
      <c r="TUH1894">
        <v>0</v>
      </c>
      <c r="TUI1894" t="s">
        <v>5778</v>
      </c>
      <c r="TUJ1894" t="s">
        <v>5778</v>
      </c>
      <c r="TUK1894" t="s">
        <v>5778</v>
      </c>
      <c r="TUL1894" t="s">
        <v>5779</v>
      </c>
      <c r="TUO1894">
        <v>44583</v>
      </c>
      <c r="TUP1894">
        <v>0</v>
      </c>
      <c r="TUQ1894" t="s">
        <v>5778</v>
      </c>
      <c r="TUR1894" t="s">
        <v>5778</v>
      </c>
      <c r="TUS1894" t="s">
        <v>5778</v>
      </c>
      <c r="TUT1894" t="s">
        <v>5779</v>
      </c>
      <c r="TUW1894">
        <v>44583</v>
      </c>
      <c r="TUX1894">
        <v>0</v>
      </c>
      <c r="TUY1894" t="s">
        <v>5778</v>
      </c>
      <c r="TUZ1894" t="s">
        <v>5778</v>
      </c>
      <c r="TVA1894" t="s">
        <v>5778</v>
      </c>
      <c r="TVB1894" t="s">
        <v>5779</v>
      </c>
      <c r="TVE1894">
        <v>44583</v>
      </c>
      <c r="TVF1894">
        <v>0</v>
      </c>
      <c r="TVG1894" t="s">
        <v>5778</v>
      </c>
      <c r="TVH1894" t="s">
        <v>5778</v>
      </c>
      <c r="TVI1894" t="s">
        <v>5778</v>
      </c>
      <c r="TVJ1894" t="s">
        <v>5779</v>
      </c>
      <c r="TVM1894">
        <v>44583</v>
      </c>
      <c r="TVN1894">
        <v>0</v>
      </c>
      <c r="TVO1894" t="s">
        <v>5778</v>
      </c>
      <c r="TVP1894" t="s">
        <v>5778</v>
      </c>
      <c r="TVQ1894" t="s">
        <v>5778</v>
      </c>
      <c r="TVR1894" t="s">
        <v>5779</v>
      </c>
      <c r="TVU1894">
        <v>44583</v>
      </c>
      <c r="TVV1894">
        <v>0</v>
      </c>
      <c r="TVW1894" t="s">
        <v>5778</v>
      </c>
      <c r="TVX1894" t="s">
        <v>5778</v>
      </c>
      <c r="TVY1894" t="s">
        <v>5778</v>
      </c>
      <c r="TVZ1894" t="s">
        <v>5779</v>
      </c>
      <c r="TWC1894">
        <v>44583</v>
      </c>
      <c r="TWD1894">
        <v>0</v>
      </c>
      <c r="TWE1894" t="s">
        <v>5778</v>
      </c>
      <c r="TWF1894" t="s">
        <v>5778</v>
      </c>
      <c r="TWG1894" t="s">
        <v>5778</v>
      </c>
      <c r="TWH1894" t="s">
        <v>5779</v>
      </c>
      <c r="TWK1894">
        <v>44583</v>
      </c>
      <c r="TWL1894">
        <v>0</v>
      </c>
      <c r="TWM1894" t="s">
        <v>5778</v>
      </c>
      <c r="TWN1894" t="s">
        <v>5778</v>
      </c>
      <c r="TWO1894" t="s">
        <v>5778</v>
      </c>
      <c r="TWP1894" t="s">
        <v>5779</v>
      </c>
      <c r="TWS1894">
        <v>44583</v>
      </c>
      <c r="TWT1894">
        <v>0</v>
      </c>
      <c r="TWU1894" t="s">
        <v>5778</v>
      </c>
      <c r="TWV1894" t="s">
        <v>5778</v>
      </c>
      <c r="TWW1894" t="s">
        <v>5778</v>
      </c>
      <c r="TWX1894" t="s">
        <v>5779</v>
      </c>
      <c r="TXA1894">
        <v>44583</v>
      </c>
      <c r="TXB1894">
        <v>0</v>
      </c>
      <c r="TXC1894" t="s">
        <v>5778</v>
      </c>
      <c r="TXD1894" t="s">
        <v>5778</v>
      </c>
      <c r="TXE1894" t="s">
        <v>5778</v>
      </c>
      <c r="TXF1894" t="s">
        <v>5779</v>
      </c>
      <c r="TXI1894">
        <v>44583</v>
      </c>
      <c r="TXJ1894">
        <v>0</v>
      </c>
      <c r="TXK1894" t="s">
        <v>5778</v>
      </c>
      <c r="TXL1894" t="s">
        <v>5778</v>
      </c>
      <c r="TXM1894" t="s">
        <v>5778</v>
      </c>
      <c r="TXN1894" t="s">
        <v>5779</v>
      </c>
      <c r="TXQ1894">
        <v>44583</v>
      </c>
      <c r="TXR1894">
        <v>0</v>
      </c>
      <c r="TXS1894" t="s">
        <v>5778</v>
      </c>
      <c r="TXT1894" t="s">
        <v>5778</v>
      </c>
      <c r="TXU1894" t="s">
        <v>5778</v>
      </c>
      <c r="TXV1894" t="s">
        <v>5779</v>
      </c>
      <c r="TXY1894">
        <v>44583</v>
      </c>
      <c r="TXZ1894">
        <v>0</v>
      </c>
      <c r="TYA1894" t="s">
        <v>5778</v>
      </c>
      <c r="TYB1894" t="s">
        <v>5778</v>
      </c>
      <c r="TYC1894" t="s">
        <v>5778</v>
      </c>
      <c r="TYD1894" t="s">
        <v>5779</v>
      </c>
      <c r="TYG1894">
        <v>44583</v>
      </c>
      <c r="TYH1894">
        <v>0</v>
      </c>
      <c r="TYI1894" t="s">
        <v>5778</v>
      </c>
      <c r="TYJ1894" t="s">
        <v>5778</v>
      </c>
      <c r="TYK1894" t="s">
        <v>5778</v>
      </c>
      <c r="TYL1894" t="s">
        <v>5779</v>
      </c>
      <c r="TYO1894">
        <v>44583</v>
      </c>
      <c r="TYP1894">
        <v>0</v>
      </c>
      <c r="TYQ1894" t="s">
        <v>5778</v>
      </c>
      <c r="TYR1894" t="s">
        <v>5778</v>
      </c>
      <c r="TYS1894" t="s">
        <v>5778</v>
      </c>
      <c r="TYT1894" t="s">
        <v>5779</v>
      </c>
      <c r="TYW1894">
        <v>44583</v>
      </c>
      <c r="TYX1894">
        <v>0</v>
      </c>
      <c r="TYY1894" t="s">
        <v>5778</v>
      </c>
      <c r="TYZ1894" t="s">
        <v>5778</v>
      </c>
      <c r="TZA1894" t="s">
        <v>5778</v>
      </c>
      <c r="TZB1894" t="s">
        <v>5779</v>
      </c>
      <c r="TZE1894">
        <v>44583</v>
      </c>
      <c r="TZF1894">
        <v>0</v>
      </c>
      <c r="TZG1894" t="s">
        <v>5778</v>
      </c>
      <c r="TZH1894" t="s">
        <v>5778</v>
      </c>
      <c r="TZI1894" t="s">
        <v>5778</v>
      </c>
      <c r="TZJ1894" t="s">
        <v>5779</v>
      </c>
      <c r="TZM1894">
        <v>44583</v>
      </c>
      <c r="TZN1894">
        <v>0</v>
      </c>
      <c r="TZO1894" t="s">
        <v>5778</v>
      </c>
      <c r="TZP1894" t="s">
        <v>5778</v>
      </c>
      <c r="TZQ1894" t="s">
        <v>5778</v>
      </c>
      <c r="TZR1894" t="s">
        <v>5779</v>
      </c>
      <c r="TZU1894">
        <v>44583</v>
      </c>
      <c r="TZV1894">
        <v>0</v>
      </c>
      <c r="TZW1894" t="s">
        <v>5778</v>
      </c>
      <c r="TZX1894" t="s">
        <v>5778</v>
      </c>
      <c r="TZY1894" t="s">
        <v>5778</v>
      </c>
      <c r="TZZ1894" t="s">
        <v>5779</v>
      </c>
      <c r="UAC1894">
        <v>44583</v>
      </c>
      <c r="UAD1894">
        <v>0</v>
      </c>
      <c r="UAE1894" t="s">
        <v>5778</v>
      </c>
      <c r="UAF1894" t="s">
        <v>5778</v>
      </c>
      <c r="UAG1894" t="s">
        <v>5778</v>
      </c>
      <c r="UAH1894" t="s">
        <v>5779</v>
      </c>
      <c r="UAK1894">
        <v>44583</v>
      </c>
      <c r="UAL1894">
        <v>0</v>
      </c>
      <c r="UAM1894" t="s">
        <v>5778</v>
      </c>
      <c r="UAN1894" t="s">
        <v>5778</v>
      </c>
      <c r="UAO1894" t="s">
        <v>5778</v>
      </c>
      <c r="UAP1894" t="s">
        <v>5779</v>
      </c>
      <c r="UAS1894">
        <v>44583</v>
      </c>
      <c r="UAT1894">
        <v>0</v>
      </c>
      <c r="UAU1894" t="s">
        <v>5778</v>
      </c>
      <c r="UAV1894" t="s">
        <v>5778</v>
      </c>
      <c r="UAW1894" t="s">
        <v>5778</v>
      </c>
      <c r="UAX1894" t="s">
        <v>5779</v>
      </c>
      <c r="UBA1894">
        <v>44583</v>
      </c>
      <c r="UBB1894">
        <v>0</v>
      </c>
      <c r="UBC1894" t="s">
        <v>5778</v>
      </c>
      <c r="UBD1894" t="s">
        <v>5778</v>
      </c>
      <c r="UBE1894" t="s">
        <v>5778</v>
      </c>
      <c r="UBF1894" t="s">
        <v>5779</v>
      </c>
      <c r="UBI1894">
        <v>44583</v>
      </c>
      <c r="UBJ1894">
        <v>0</v>
      </c>
      <c r="UBK1894" t="s">
        <v>5778</v>
      </c>
      <c r="UBL1894" t="s">
        <v>5778</v>
      </c>
      <c r="UBM1894" t="s">
        <v>5778</v>
      </c>
      <c r="UBN1894" t="s">
        <v>5779</v>
      </c>
      <c r="UBQ1894">
        <v>44583</v>
      </c>
      <c r="UBR1894">
        <v>0</v>
      </c>
      <c r="UBS1894" t="s">
        <v>5778</v>
      </c>
      <c r="UBT1894" t="s">
        <v>5778</v>
      </c>
      <c r="UBU1894" t="s">
        <v>5778</v>
      </c>
      <c r="UBV1894" t="s">
        <v>5779</v>
      </c>
      <c r="UBY1894">
        <v>44583</v>
      </c>
      <c r="UBZ1894">
        <v>0</v>
      </c>
      <c r="UCA1894" t="s">
        <v>5778</v>
      </c>
      <c r="UCB1894" t="s">
        <v>5778</v>
      </c>
      <c r="UCC1894" t="s">
        <v>5778</v>
      </c>
      <c r="UCD1894" t="s">
        <v>5779</v>
      </c>
      <c r="UCG1894">
        <v>44583</v>
      </c>
      <c r="UCH1894">
        <v>0</v>
      </c>
      <c r="UCI1894" t="s">
        <v>5778</v>
      </c>
      <c r="UCJ1894" t="s">
        <v>5778</v>
      </c>
      <c r="UCK1894" t="s">
        <v>5778</v>
      </c>
      <c r="UCL1894" t="s">
        <v>5779</v>
      </c>
      <c r="UCO1894">
        <v>44583</v>
      </c>
      <c r="UCP1894">
        <v>0</v>
      </c>
      <c r="UCQ1894" t="s">
        <v>5778</v>
      </c>
      <c r="UCR1894" t="s">
        <v>5778</v>
      </c>
      <c r="UCS1894" t="s">
        <v>5778</v>
      </c>
      <c r="UCT1894" t="s">
        <v>5779</v>
      </c>
      <c r="UCW1894">
        <v>44583</v>
      </c>
      <c r="UCX1894">
        <v>0</v>
      </c>
      <c r="UCY1894" t="s">
        <v>5778</v>
      </c>
      <c r="UCZ1894" t="s">
        <v>5778</v>
      </c>
      <c r="UDA1894" t="s">
        <v>5778</v>
      </c>
      <c r="UDB1894" t="s">
        <v>5779</v>
      </c>
      <c r="UDE1894">
        <v>44583</v>
      </c>
      <c r="UDF1894">
        <v>0</v>
      </c>
      <c r="UDG1894" t="s">
        <v>5778</v>
      </c>
      <c r="UDH1894" t="s">
        <v>5778</v>
      </c>
      <c r="UDI1894" t="s">
        <v>5778</v>
      </c>
      <c r="UDJ1894" t="s">
        <v>5779</v>
      </c>
      <c r="UDM1894">
        <v>44583</v>
      </c>
      <c r="UDN1894">
        <v>0</v>
      </c>
      <c r="UDO1894" t="s">
        <v>5778</v>
      </c>
      <c r="UDP1894" t="s">
        <v>5778</v>
      </c>
      <c r="UDQ1894" t="s">
        <v>5778</v>
      </c>
      <c r="UDR1894" t="s">
        <v>5779</v>
      </c>
      <c r="UDU1894">
        <v>44583</v>
      </c>
      <c r="UDV1894">
        <v>0</v>
      </c>
      <c r="UDW1894" t="s">
        <v>5778</v>
      </c>
      <c r="UDX1894" t="s">
        <v>5778</v>
      </c>
      <c r="UDY1894" t="s">
        <v>5778</v>
      </c>
      <c r="UDZ1894" t="s">
        <v>5779</v>
      </c>
      <c r="UEC1894">
        <v>44583</v>
      </c>
      <c r="UED1894">
        <v>0</v>
      </c>
      <c r="UEE1894" t="s">
        <v>5778</v>
      </c>
      <c r="UEF1894" t="s">
        <v>5778</v>
      </c>
      <c r="UEG1894" t="s">
        <v>5778</v>
      </c>
      <c r="UEH1894" t="s">
        <v>5779</v>
      </c>
      <c r="UEK1894">
        <v>44583</v>
      </c>
      <c r="UEL1894">
        <v>0</v>
      </c>
      <c r="UEM1894" t="s">
        <v>5778</v>
      </c>
      <c r="UEN1894" t="s">
        <v>5778</v>
      </c>
      <c r="UEO1894" t="s">
        <v>5778</v>
      </c>
      <c r="UEP1894" t="s">
        <v>5779</v>
      </c>
      <c r="UES1894">
        <v>44583</v>
      </c>
      <c r="UET1894">
        <v>0</v>
      </c>
      <c r="UEU1894" t="s">
        <v>5778</v>
      </c>
      <c r="UEV1894" t="s">
        <v>5778</v>
      </c>
      <c r="UEW1894" t="s">
        <v>5778</v>
      </c>
      <c r="UEX1894" t="s">
        <v>5779</v>
      </c>
      <c r="UFA1894">
        <v>44583</v>
      </c>
      <c r="UFB1894">
        <v>0</v>
      </c>
      <c r="UFC1894" t="s">
        <v>5778</v>
      </c>
      <c r="UFD1894" t="s">
        <v>5778</v>
      </c>
      <c r="UFE1894" t="s">
        <v>5778</v>
      </c>
      <c r="UFF1894" t="s">
        <v>5779</v>
      </c>
      <c r="UFI1894">
        <v>44583</v>
      </c>
      <c r="UFJ1894">
        <v>0</v>
      </c>
      <c r="UFK1894" t="s">
        <v>5778</v>
      </c>
      <c r="UFL1894" t="s">
        <v>5778</v>
      </c>
      <c r="UFM1894" t="s">
        <v>5778</v>
      </c>
      <c r="UFN1894" t="s">
        <v>5779</v>
      </c>
      <c r="UFQ1894">
        <v>44583</v>
      </c>
      <c r="UFR1894">
        <v>0</v>
      </c>
      <c r="UFS1894" t="s">
        <v>5778</v>
      </c>
      <c r="UFT1894" t="s">
        <v>5778</v>
      </c>
      <c r="UFU1894" t="s">
        <v>5778</v>
      </c>
      <c r="UFV1894" t="s">
        <v>5779</v>
      </c>
      <c r="UFY1894">
        <v>44583</v>
      </c>
      <c r="UFZ1894">
        <v>0</v>
      </c>
      <c r="UGA1894" t="s">
        <v>5778</v>
      </c>
      <c r="UGB1894" t="s">
        <v>5778</v>
      </c>
      <c r="UGC1894" t="s">
        <v>5778</v>
      </c>
      <c r="UGD1894" t="s">
        <v>5779</v>
      </c>
      <c r="UGG1894">
        <v>44583</v>
      </c>
      <c r="UGH1894">
        <v>0</v>
      </c>
      <c r="UGI1894" t="s">
        <v>5778</v>
      </c>
      <c r="UGJ1894" t="s">
        <v>5778</v>
      </c>
      <c r="UGK1894" t="s">
        <v>5778</v>
      </c>
      <c r="UGL1894" t="s">
        <v>5779</v>
      </c>
      <c r="UGO1894">
        <v>44583</v>
      </c>
      <c r="UGP1894">
        <v>0</v>
      </c>
      <c r="UGQ1894" t="s">
        <v>5778</v>
      </c>
      <c r="UGR1894" t="s">
        <v>5778</v>
      </c>
      <c r="UGS1894" t="s">
        <v>5778</v>
      </c>
      <c r="UGT1894" t="s">
        <v>5779</v>
      </c>
      <c r="UGW1894">
        <v>44583</v>
      </c>
      <c r="UGX1894">
        <v>0</v>
      </c>
      <c r="UGY1894" t="s">
        <v>5778</v>
      </c>
      <c r="UGZ1894" t="s">
        <v>5778</v>
      </c>
      <c r="UHA1894" t="s">
        <v>5778</v>
      </c>
      <c r="UHB1894" t="s">
        <v>5779</v>
      </c>
      <c r="UHE1894">
        <v>44583</v>
      </c>
      <c r="UHF1894">
        <v>0</v>
      </c>
      <c r="UHG1894" t="s">
        <v>5778</v>
      </c>
      <c r="UHH1894" t="s">
        <v>5778</v>
      </c>
      <c r="UHI1894" t="s">
        <v>5778</v>
      </c>
      <c r="UHJ1894" t="s">
        <v>5779</v>
      </c>
      <c r="UHM1894">
        <v>44583</v>
      </c>
      <c r="UHN1894">
        <v>0</v>
      </c>
      <c r="UHO1894" t="s">
        <v>5778</v>
      </c>
      <c r="UHP1894" t="s">
        <v>5778</v>
      </c>
      <c r="UHQ1894" t="s">
        <v>5778</v>
      </c>
      <c r="UHR1894" t="s">
        <v>5779</v>
      </c>
      <c r="UHU1894">
        <v>44583</v>
      </c>
      <c r="UHV1894">
        <v>0</v>
      </c>
      <c r="UHW1894" t="s">
        <v>5778</v>
      </c>
      <c r="UHX1894" t="s">
        <v>5778</v>
      </c>
      <c r="UHY1894" t="s">
        <v>5778</v>
      </c>
      <c r="UHZ1894" t="s">
        <v>5779</v>
      </c>
      <c r="UIC1894">
        <v>44583</v>
      </c>
      <c r="UID1894">
        <v>0</v>
      </c>
      <c r="UIE1894" t="s">
        <v>5778</v>
      </c>
      <c r="UIF1894" t="s">
        <v>5778</v>
      </c>
      <c r="UIG1894" t="s">
        <v>5778</v>
      </c>
      <c r="UIH1894" t="s">
        <v>5779</v>
      </c>
      <c r="UIK1894">
        <v>44583</v>
      </c>
      <c r="UIL1894">
        <v>0</v>
      </c>
      <c r="UIM1894" t="s">
        <v>5778</v>
      </c>
      <c r="UIN1894" t="s">
        <v>5778</v>
      </c>
      <c r="UIO1894" t="s">
        <v>5778</v>
      </c>
      <c r="UIP1894" t="s">
        <v>5779</v>
      </c>
      <c r="UIS1894">
        <v>44583</v>
      </c>
      <c r="UIT1894">
        <v>0</v>
      </c>
      <c r="UIU1894" t="s">
        <v>5778</v>
      </c>
      <c r="UIV1894" t="s">
        <v>5778</v>
      </c>
      <c r="UIW1894" t="s">
        <v>5778</v>
      </c>
      <c r="UIX1894" t="s">
        <v>5779</v>
      </c>
      <c r="UJA1894">
        <v>44583</v>
      </c>
      <c r="UJB1894">
        <v>0</v>
      </c>
      <c r="UJC1894" t="s">
        <v>5778</v>
      </c>
      <c r="UJD1894" t="s">
        <v>5778</v>
      </c>
      <c r="UJE1894" t="s">
        <v>5778</v>
      </c>
      <c r="UJF1894" t="s">
        <v>5779</v>
      </c>
      <c r="UJI1894">
        <v>44583</v>
      </c>
      <c r="UJJ1894">
        <v>0</v>
      </c>
      <c r="UJK1894" t="s">
        <v>5778</v>
      </c>
      <c r="UJL1894" t="s">
        <v>5778</v>
      </c>
      <c r="UJM1894" t="s">
        <v>5778</v>
      </c>
      <c r="UJN1894" t="s">
        <v>5779</v>
      </c>
      <c r="UJQ1894">
        <v>44583</v>
      </c>
      <c r="UJR1894">
        <v>0</v>
      </c>
      <c r="UJS1894" t="s">
        <v>5778</v>
      </c>
      <c r="UJT1894" t="s">
        <v>5778</v>
      </c>
      <c r="UJU1894" t="s">
        <v>5778</v>
      </c>
      <c r="UJV1894" t="s">
        <v>5779</v>
      </c>
      <c r="UJY1894">
        <v>44583</v>
      </c>
      <c r="UJZ1894">
        <v>0</v>
      </c>
      <c r="UKA1894" t="s">
        <v>5778</v>
      </c>
      <c r="UKB1894" t="s">
        <v>5778</v>
      </c>
      <c r="UKC1894" t="s">
        <v>5778</v>
      </c>
      <c r="UKD1894" t="s">
        <v>5779</v>
      </c>
      <c r="UKG1894">
        <v>44583</v>
      </c>
      <c r="UKH1894">
        <v>0</v>
      </c>
      <c r="UKI1894" t="s">
        <v>5778</v>
      </c>
      <c r="UKJ1894" t="s">
        <v>5778</v>
      </c>
      <c r="UKK1894" t="s">
        <v>5778</v>
      </c>
      <c r="UKL1894" t="s">
        <v>5779</v>
      </c>
      <c r="UKO1894">
        <v>44583</v>
      </c>
      <c r="UKP1894">
        <v>0</v>
      </c>
      <c r="UKQ1894" t="s">
        <v>5778</v>
      </c>
      <c r="UKR1894" t="s">
        <v>5778</v>
      </c>
      <c r="UKS1894" t="s">
        <v>5778</v>
      </c>
      <c r="UKT1894" t="s">
        <v>5779</v>
      </c>
      <c r="UKW1894">
        <v>44583</v>
      </c>
      <c r="UKX1894">
        <v>0</v>
      </c>
      <c r="UKY1894" t="s">
        <v>5778</v>
      </c>
      <c r="UKZ1894" t="s">
        <v>5778</v>
      </c>
      <c r="ULA1894" t="s">
        <v>5778</v>
      </c>
      <c r="ULB1894" t="s">
        <v>5779</v>
      </c>
      <c r="ULE1894">
        <v>44583</v>
      </c>
      <c r="ULF1894">
        <v>0</v>
      </c>
      <c r="ULG1894" t="s">
        <v>5778</v>
      </c>
      <c r="ULH1894" t="s">
        <v>5778</v>
      </c>
      <c r="ULI1894" t="s">
        <v>5778</v>
      </c>
      <c r="ULJ1894" t="s">
        <v>5779</v>
      </c>
      <c r="ULM1894">
        <v>44583</v>
      </c>
      <c r="ULN1894">
        <v>0</v>
      </c>
      <c r="ULO1894" t="s">
        <v>5778</v>
      </c>
      <c r="ULP1894" t="s">
        <v>5778</v>
      </c>
      <c r="ULQ1894" t="s">
        <v>5778</v>
      </c>
      <c r="ULR1894" t="s">
        <v>5779</v>
      </c>
      <c r="ULU1894">
        <v>44583</v>
      </c>
      <c r="ULV1894">
        <v>0</v>
      </c>
      <c r="ULW1894" t="s">
        <v>5778</v>
      </c>
      <c r="ULX1894" t="s">
        <v>5778</v>
      </c>
      <c r="ULY1894" t="s">
        <v>5778</v>
      </c>
      <c r="ULZ1894" t="s">
        <v>5779</v>
      </c>
      <c r="UMC1894">
        <v>44583</v>
      </c>
      <c r="UMD1894">
        <v>0</v>
      </c>
      <c r="UME1894" t="s">
        <v>5778</v>
      </c>
      <c r="UMF1894" t="s">
        <v>5778</v>
      </c>
      <c r="UMG1894" t="s">
        <v>5778</v>
      </c>
      <c r="UMH1894" t="s">
        <v>5779</v>
      </c>
      <c r="UMK1894">
        <v>44583</v>
      </c>
      <c r="UML1894">
        <v>0</v>
      </c>
      <c r="UMM1894" t="s">
        <v>5778</v>
      </c>
      <c r="UMN1894" t="s">
        <v>5778</v>
      </c>
      <c r="UMO1894" t="s">
        <v>5778</v>
      </c>
      <c r="UMP1894" t="s">
        <v>5779</v>
      </c>
      <c r="UMS1894">
        <v>44583</v>
      </c>
      <c r="UMT1894">
        <v>0</v>
      </c>
      <c r="UMU1894" t="s">
        <v>5778</v>
      </c>
      <c r="UMV1894" t="s">
        <v>5778</v>
      </c>
      <c r="UMW1894" t="s">
        <v>5778</v>
      </c>
      <c r="UMX1894" t="s">
        <v>5779</v>
      </c>
      <c r="UNA1894">
        <v>44583</v>
      </c>
      <c r="UNB1894">
        <v>0</v>
      </c>
      <c r="UNC1894" t="s">
        <v>5778</v>
      </c>
      <c r="UND1894" t="s">
        <v>5778</v>
      </c>
      <c r="UNE1894" t="s">
        <v>5778</v>
      </c>
      <c r="UNF1894" t="s">
        <v>5779</v>
      </c>
      <c r="UNI1894">
        <v>44583</v>
      </c>
      <c r="UNJ1894">
        <v>0</v>
      </c>
      <c r="UNK1894" t="s">
        <v>5778</v>
      </c>
      <c r="UNL1894" t="s">
        <v>5778</v>
      </c>
      <c r="UNM1894" t="s">
        <v>5778</v>
      </c>
      <c r="UNN1894" t="s">
        <v>5779</v>
      </c>
      <c r="UNQ1894">
        <v>44583</v>
      </c>
      <c r="UNR1894">
        <v>0</v>
      </c>
      <c r="UNS1894" t="s">
        <v>5778</v>
      </c>
      <c r="UNT1894" t="s">
        <v>5778</v>
      </c>
      <c r="UNU1894" t="s">
        <v>5778</v>
      </c>
      <c r="UNV1894" t="s">
        <v>5779</v>
      </c>
      <c r="UNY1894">
        <v>44583</v>
      </c>
      <c r="UNZ1894">
        <v>0</v>
      </c>
      <c r="UOA1894" t="s">
        <v>5778</v>
      </c>
      <c r="UOB1894" t="s">
        <v>5778</v>
      </c>
      <c r="UOC1894" t="s">
        <v>5778</v>
      </c>
      <c r="UOD1894" t="s">
        <v>5779</v>
      </c>
      <c r="UOG1894">
        <v>44583</v>
      </c>
      <c r="UOH1894">
        <v>0</v>
      </c>
      <c r="UOI1894" t="s">
        <v>5778</v>
      </c>
      <c r="UOJ1894" t="s">
        <v>5778</v>
      </c>
      <c r="UOK1894" t="s">
        <v>5778</v>
      </c>
      <c r="UOL1894" t="s">
        <v>5779</v>
      </c>
      <c r="UOO1894">
        <v>44583</v>
      </c>
      <c r="UOP1894">
        <v>0</v>
      </c>
      <c r="UOQ1894" t="s">
        <v>5778</v>
      </c>
      <c r="UOR1894" t="s">
        <v>5778</v>
      </c>
      <c r="UOS1894" t="s">
        <v>5778</v>
      </c>
      <c r="UOT1894" t="s">
        <v>5779</v>
      </c>
      <c r="UOW1894">
        <v>44583</v>
      </c>
      <c r="UOX1894">
        <v>0</v>
      </c>
      <c r="UOY1894" t="s">
        <v>5778</v>
      </c>
      <c r="UOZ1894" t="s">
        <v>5778</v>
      </c>
      <c r="UPA1894" t="s">
        <v>5778</v>
      </c>
      <c r="UPB1894" t="s">
        <v>5779</v>
      </c>
      <c r="UPE1894">
        <v>44583</v>
      </c>
      <c r="UPF1894">
        <v>0</v>
      </c>
      <c r="UPG1894" t="s">
        <v>5778</v>
      </c>
      <c r="UPH1894" t="s">
        <v>5778</v>
      </c>
      <c r="UPI1894" t="s">
        <v>5778</v>
      </c>
      <c r="UPJ1894" t="s">
        <v>5779</v>
      </c>
      <c r="UPM1894">
        <v>44583</v>
      </c>
      <c r="UPN1894">
        <v>0</v>
      </c>
      <c r="UPO1894" t="s">
        <v>5778</v>
      </c>
      <c r="UPP1894" t="s">
        <v>5778</v>
      </c>
      <c r="UPQ1894" t="s">
        <v>5778</v>
      </c>
      <c r="UPR1894" t="s">
        <v>5779</v>
      </c>
      <c r="UPU1894">
        <v>44583</v>
      </c>
      <c r="UPV1894">
        <v>0</v>
      </c>
      <c r="UPW1894" t="s">
        <v>5778</v>
      </c>
      <c r="UPX1894" t="s">
        <v>5778</v>
      </c>
      <c r="UPY1894" t="s">
        <v>5778</v>
      </c>
      <c r="UPZ1894" t="s">
        <v>5779</v>
      </c>
      <c r="UQC1894">
        <v>44583</v>
      </c>
      <c r="UQD1894">
        <v>0</v>
      </c>
      <c r="UQE1894" t="s">
        <v>5778</v>
      </c>
      <c r="UQF1894" t="s">
        <v>5778</v>
      </c>
      <c r="UQG1894" t="s">
        <v>5778</v>
      </c>
      <c r="UQH1894" t="s">
        <v>5779</v>
      </c>
      <c r="UQK1894">
        <v>44583</v>
      </c>
      <c r="UQL1894">
        <v>0</v>
      </c>
      <c r="UQM1894" t="s">
        <v>5778</v>
      </c>
      <c r="UQN1894" t="s">
        <v>5778</v>
      </c>
      <c r="UQO1894" t="s">
        <v>5778</v>
      </c>
      <c r="UQP1894" t="s">
        <v>5779</v>
      </c>
      <c r="UQS1894">
        <v>44583</v>
      </c>
      <c r="UQT1894">
        <v>0</v>
      </c>
      <c r="UQU1894" t="s">
        <v>5778</v>
      </c>
      <c r="UQV1894" t="s">
        <v>5778</v>
      </c>
      <c r="UQW1894" t="s">
        <v>5778</v>
      </c>
      <c r="UQX1894" t="s">
        <v>5779</v>
      </c>
      <c r="URA1894">
        <v>44583</v>
      </c>
      <c r="URB1894">
        <v>0</v>
      </c>
      <c r="URC1894" t="s">
        <v>5778</v>
      </c>
      <c r="URD1894" t="s">
        <v>5778</v>
      </c>
      <c r="URE1894" t="s">
        <v>5778</v>
      </c>
      <c r="URF1894" t="s">
        <v>5779</v>
      </c>
      <c r="URI1894">
        <v>44583</v>
      </c>
      <c r="URJ1894">
        <v>0</v>
      </c>
      <c r="URK1894" t="s">
        <v>5778</v>
      </c>
      <c r="URL1894" t="s">
        <v>5778</v>
      </c>
      <c r="URM1894" t="s">
        <v>5778</v>
      </c>
      <c r="URN1894" t="s">
        <v>5779</v>
      </c>
      <c r="URQ1894">
        <v>44583</v>
      </c>
      <c r="URR1894">
        <v>0</v>
      </c>
      <c r="URS1894" t="s">
        <v>5778</v>
      </c>
      <c r="URT1894" t="s">
        <v>5778</v>
      </c>
      <c r="URU1894" t="s">
        <v>5778</v>
      </c>
      <c r="URV1894" t="s">
        <v>5779</v>
      </c>
      <c r="URY1894">
        <v>44583</v>
      </c>
      <c r="URZ1894">
        <v>0</v>
      </c>
      <c r="USA1894" t="s">
        <v>5778</v>
      </c>
      <c r="USB1894" t="s">
        <v>5778</v>
      </c>
      <c r="USC1894" t="s">
        <v>5778</v>
      </c>
      <c r="USD1894" t="s">
        <v>5779</v>
      </c>
      <c r="USG1894">
        <v>44583</v>
      </c>
      <c r="USH1894">
        <v>0</v>
      </c>
      <c r="USI1894" t="s">
        <v>5778</v>
      </c>
      <c r="USJ1894" t="s">
        <v>5778</v>
      </c>
      <c r="USK1894" t="s">
        <v>5778</v>
      </c>
      <c r="USL1894" t="s">
        <v>5779</v>
      </c>
      <c r="USO1894">
        <v>44583</v>
      </c>
      <c r="USP1894">
        <v>0</v>
      </c>
      <c r="USQ1894" t="s">
        <v>5778</v>
      </c>
      <c r="USR1894" t="s">
        <v>5778</v>
      </c>
      <c r="USS1894" t="s">
        <v>5778</v>
      </c>
      <c r="UST1894" t="s">
        <v>5779</v>
      </c>
      <c r="USW1894">
        <v>44583</v>
      </c>
      <c r="USX1894">
        <v>0</v>
      </c>
      <c r="USY1894" t="s">
        <v>5778</v>
      </c>
      <c r="USZ1894" t="s">
        <v>5778</v>
      </c>
      <c r="UTA1894" t="s">
        <v>5778</v>
      </c>
      <c r="UTB1894" t="s">
        <v>5779</v>
      </c>
      <c r="UTE1894">
        <v>44583</v>
      </c>
      <c r="UTF1894">
        <v>0</v>
      </c>
      <c r="UTG1894" t="s">
        <v>5778</v>
      </c>
      <c r="UTH1894" t="s">
        <v>5778</v>
      </c>
      <c r="UTI1894" t="s">
        <v>5778</v>
      </c>
      <c r="UTJ1894" t="s">
        <v>5779</v>
      </c>
      <c r="UTM1894">
        <v>44583</v>
      </c>
      <c r="UTN1894">
        <v>0</v>
      </c>
      <c r="UTO1894" t="s">
        <v>5778</v>
      </c>
      <c r="UTP1894" t="s">
        <v>5778</v>
      </c>
      <c r="UTQ1894" t="s">
        <v>5778</v>
      </c>
      <c r="UTR1894" t="s">
        <v>5779</v>
      </c>
      <c r="UTU1894">
        <v>44583</v>
      </c>
      <c r="UTV1894">
        <v>0</v>
      </c>
      <c r="UTW1894" t="s">
        <v>5778</v>
      </c>
      <c r="UTX1894" t="s">
        <v>5778</v>
      </c>
      <c r="UTY1894" t="s">
        <v>5778</v>
      </c>
      <c r="UTZ1894" t="s">
        <v>5779</v>
      </c>
      <c r="UUC1894">
        <v>44583</v>
      </c>
      <c r="UUD1894">
        <v>0</v>
      </c>
      <c r="UUE1894" t="s">
        <v>5778</v>
      </c>
      <c r="UUF1894" t="s">
        <v>5778</v>
      </c>
      <c r="UUG1894" t="s">
        <v>5778</v>
      </c>
      <c r="UUH1894" t="s">
        <v>5779</v>
      </c>
      <c r="UUK1894">
        <v>44583</v>
      </c>
      <c r="UUL1894">
        <v>0</v>
      </c>
      <c r="UUM1894" t="s">
        <v>5778</v>
      </c>
      <c r="UUN1894" t="s">
        <v>5778</v>
      </c>
      <c r="UUO1894" t="s">
        <v>5778</v>
      </c>
      <c r="UUP1894" t="s">
        <v>5779</v>
      </c>
      <c r="UUS1894">
        <v>44583</v>
      </c>
      <c r="UUT1894">
        <v>0</v>
      </c>
      <c r="UUU1894" t="s">
        <v>5778</v>
      </c>
      <c r="UUV1894" t="s">
        <v>5778</v>
      </c>
      <c r="UUW1894" t="s">
        <v>5778</v>
      </c>
      <c r="UUX1894" t="s">
        <v>5779</v>
      </c>
      <c r="UVA1894">
        <v>44583</v>
      </c>
      <c r="UVB1894">
        <v>0</v>
      </c>
      <c r="UVC1894" t="s">
        <v>5778</v>
      </c>
      <c r="UVD1894" t="s">
        <v>5778</v>
      </c>
      <c r="UVE1894" t="s">
        <v>5778</v>
      </c>
      <c r="UVF1894" t="s">
        <v>5779</v>
      </c>
      <c r="UVI1894">
        <v>44583</v>
      </c>
      <c r="UVJ1894">
        <v>0</v>
      </c>
      <c r="UVK1894" t="s">
        <v>5778</v>
      </c>
      <c r="UVL1894" t="s">
        <v>5778</v>
      </c>
      <c r="UVM1894" t="s">
        <v>5778</v>
      </c>
      <c r="UVN1894" t="s">
        <v>5779</v>
      </c>
      <c r="UVQ1894">
        <v>44583</v>
      </c>
      <c r="UVR1894">
        <v>0</v>
      </c>
      <c r="UVS1894" t="s">
        <v>5778</v>
      </c>
      <c r="UVT1894" t="s">
        <v>5778</v>
      </c>
      <c r="UVU1894" t="s">
        <v>5778</v>
      </c>
      <c r="UVV1894" t="s">
        <v>5779</v>
      </c>
      <c r="UVY1894">
        <v>44583</v>
      </c>
      <c r="UVZ1894">
        <v>0</v>
      </c>
      <c r="UWA1894" t="s">
        <v>5778</v>
      </c>
      <c r="UWB1894" t="s">
        <v>5778</v>
      </c>
      <c r="UWC1894" t="s">
        <v>5778</v>
      </c>
      <c r="UWD1894" t="s">
        <v>5779</v>
      </c>
      <c r="UWG1894">
        <v>44583</v>
      </c>
      <c r="UWH1894">
        <v>0</v>
      </c>
      <c r="UWI1894" t="s">
        <v>5778</v>
      </c>
      <c r="UWJ1894" t="s">
        <v>5778</v>
      </c>
      <c r="UWK1894" t="s">
        <v>5778</v>
      </c>
      <c r="UWL1894" t="s">
        <v>5779</v>
      </c>
      <c r="UWO1894">
        <v>44583</v>
      </c>
      <c r="UWP1894">
        <v>0</v>
      </c>
      <c r="UWQ1894" t="s">
        <v>5778</v>
      </c>
      <c r="UWR1894" t="s">
        <v>5778</v>
      </c>
      <c r="UWS1894" t="s">
        <v>5778</v>
      </c>
      <c r="UWT1894" t="s">
        <v>5779</v>
      </c>
      <c r="UWW1894">
        <v>44583</v>
      </c>
      <c r="UWX1894">
        <v>0</v>
      </c>
      <c r="UWY1894" t="s">
        <v>5778</v>
      </c>
      <c r="UWZ1894" t="s">
        <v>5778</v>
      </c>
      <c r="UXA1894" t="s">
        <v>5778</v>
      </c>
      <c r="UXB1894" t="s">
        <v>5779</v>
      </c>
      <c r="UXE1894">
        <v>44583</v>
      </c>
      <c r="UXF1894">
        <v>0</v>
      </c>
      <c r="UXG1894" t="s">
        <v>5778</v>
      </c>
      <c r="UXH1894" t="s">
        <v>5778</v>
      </c>
      <c r="UXI1894" t="s">
        <v>5778</v>
      </c>
      <c r="UXJ1894" t="s">
        <v>5779</v>
      </c>
      <c r="UXM1894">
        <v>44583</v>
      </c>
      <c r="UXN1894">
        <v>0</v>
      </c>
      <c r="UXO1894" t="s">
        <v>5778</v>
      </c>
      <c r="UXP1894" t="s">
        <v>5778</v>
      </c>
      <c r="UXQ1894" t="s">
        <v>5778</v>
      </c>
      <c r="UXR1894" t="s">
        <v>5779</v>
      </c>
      <c r="UXU1894">
        <v>44583</v>
      </c>
      <c r="UXV1894">
        <v>0</v>
      </c>
      <c r="UXW1894" t="s">
        <v>5778</v>
      </c>
      <c r="UXX1894" t="s">
        <v>5778</v>
      </c>
      <c r="UXY1894" t="s">
        <v>5778</v>
      </c>
      <c r="UXZ1894" t="s">
        <v>5779</v>
      </c>
      <c r="UYC1894">
        <v>44583</v>
      </c>
      <c r="UYD1894">
        <v>0</v>
      </c>
      <c r="UYE1894" t="s">
        <v>5778</v>
      </c>
      <c r="UYF1894" t="s">
        <v>5778</v>
      </c>
      <c r="UYG1894" t="s">
        <v>5778</v>
      </c>
      <c r="UYH1894" t="s">
        <v>5779</v>
      </c>
      <c r="UYK1894">
        <v>44583</v>
      </c>
      <c r="UYL1894">
        <v>0</v>
      </c>
      <c r="UYM1894" t="s">
        <v>5778</v>
      </c>
      <c r="UYN1894" t="s">
        <v>5778</v>
      </c>
      <c r="UYO1894" t="s">
        <v>5778</v>
      </c>
      <c r="UYP1894" t="s">
        <v>5779</v>
      </c>
      <c r="UYS1894">
        <v>44583</v>
      </c>
      <c r="UYT1894">
        <v>0</v>
      </c>
      <c r="UYU1894" t="s">
        <v>5778</v>
      </c>
      <c r="UYV1894" t="s">
        <v>5778</v>
      </c>
      <c r="UYW1894" t="s">
        <v>5778</v>
      </c>
      <c r="UYX1894" t="s">
        <v>5779</v>
      </c>
      <c r="UZA1894">
        <v>44583</v>
      </c>
      <c r="UZB1894">
        <v>0</v>
      </c>
      <c r="UZC1894" t="s">
        <v>5778</v>
      </c>
      <c r="UZD1894" t="s">
        <v>5778</v>
      </c>
      <c r="UZE1894" t="s">
        <v>5778</v>
      </c>
      <c r="UZF1894" t="s">
        <v>5779</v>
      </c>
      <c r="UZI1894">
        <v>44583</v>
      </c>
      <c r="UZJ1894">
        <v>0</v>
      </c>
      <c r="UZK1894" t="s">
        <v>5778</v>
      </c>
      <c r="UZL1894" t="s">
        <v>5778</v>
      </c>
      <c r="UZM1894" t="s">
        <v>5778</v>
      </c>
      <c r="UZN1894" t="s">
        <v>5779</v>
      </c>
      <c r="UZQ1894">
        <v>44583</v>
      </c>
      <c r="UZR1894">
        <v>0</v>
      </c>
      <c r="UZS1894" t="s">
        <v>5778</v>
      </c>
      <c r="UZT1894" t="s">
        <v>5778</v>
      </c>
      <c r="UZU1894" t="s">
        <v>5778</v>
      </c>
      <c r="UZV1894" t="s">
        <v>5779</v>
      </c>
      <c r="UZY1894">
        <v>44583</v>
      </c>
      <c r="UZZ1894">
        <v>0</v>
      </c>
      <c r="VAA1894" t="s">
        <v>5778</v>
      </c>
      <c r="VAB1894" t="s">
        <v>5778</v>
      </c>
      <c r="VAC1894" t="s">
        <v>5778</v>
      </c>
      <c r="VAD1894" t="s">
        <v>5779</v>
      </c>
      <c r="VAG1894">
        <v>44583</v>
      </c>
      <c r="VAH1894">
        <v>0</v>
      </c>
      <c r="VAI1894" t="s">
        <v>5778</v>
      </c>
      <c r="VAJ1894" t="s">
        <v>5778</v>
      </c>
      <c r="VAK1894" t="s">
        <v>5778</v>
      </c>
      <c r="VAL1894" t="s">
        <v>5779</v>
      </c>
      <c r="VAO1894">
        <v>44583</v>
      </c>
      <c r="VAP1894">
        <v>0</v>
      </c>
      <c r="VAQ1894" t="s">
        <v>5778</v>
      </c>
      <c r="VAR1894" t="s">
        <v>5778</v>
      </c>
      <c r="VAS1894" t="s">
        <v>5778</v>
      </c>
      <c r="VAT1894" t="s">
        <v>5779</v>
      </c>
      <c r="VAW1894">
        <v>44583</v>
      </c>
      <c r="VAX1894">
        <v>0</v>
      </c>
      <c r="VAY1894" t="s">
        <v>5778</v>
      </c>
      <c r="VAZ1894" t="s">
        <v>5778</v>
      </c>
      <c r="VBA1894" t="s">
        <v>5778</v>
      </c>
      <c r="VBB1894" t="s">
        <v>5779</v>
      </c>
      <c r="VBE1894">
        <v>44583</v>
      </c>
      <c r="VBF1894">
        <v>0</v>
      </c>
      <c r="VBG1894" t="s">
        <v>5778</v>
      </c>
      <c r="VBH1894" t="s">
        <v>5778</v>
      </c>
      <c r="VBI1894" t="s">
        <v>5778</v>
      </c>
      <c r="VBJ1894" t="s">
        <v>5779</v>
      </c>
      <c r="VBM1894">
        <v>44583</v>
      </c>
      <c r="VBN1894">
        <v>0</v>
      </c>
      <c r="VBO1894" t="s">
        <v>5778</v>
      </c>
      <c r="VBP1894" t="s">
        <v>5778</v>
      </c>
      <c r="VBQ1894" t="s">
        <v>5778</v>
      </c>
      <c r="VBR1894" t="s">
        <v>5779</v>
      </c>
      <c r="VBU1894">
        <v>44583</v>
      </c>
      <c r="VBV1894">
        <v>0</v>
      </c>
      <c r="VBW1894" t="s">
        <v>5778</v>
      </c>
      <c r="VBX1894" t="s">
        <v>5778</v>
      </c>
      <c r="VBY1894" t="s">
        <v>5778</v>
      </c>
      <c r="VBZ1894" t="s">
        <v>5779</v>
      </c>
      <c r="VCC1894">
        <v>44583</v>
      </c>
      <c r="VCD1894">
        <v>0</v>
      </c>
      <c r="VCE1894" t="s">
        <v>5778</v>
      </c>
      <c r="VCF1894" t="s">
        <v>5778</v>
      </c>
      <c r="VCG1894" t="s">
        <v>5778</v>
      </c>
      <c r="VCH1894" t="s">
        <v>5779</v>
      </c>
      <c r="VCK1894">
        <v>44583</v>
      </c>
      <c r="VCL1894">
        <v>0</v>
      </c>
      <c r="VCM1894" t="s">
        <v>5778</v>
      </c>
      <c r="VCN1894" t="s">
        <v>5778</v>
      </c>
      <c r="VCO1894" t="s">
        <v>5778</v>
      </c>
      <c r="VCP1894" t="s">
        <v>5779</v>
      </c>
      <c r="VCS1894">
        <v>44583</v>
      </c>
      <c r="VCT1894">
        <v>0</v>
      </c>
      <c r="VCU1894" t="s">
        <v>5778</v>
      </c>
      <c r="VCV1894" t="s">
        <v>5778</v>
      </c>
      <c r="VCW1894" t="s">
        <v>5778</v>
      </c>
      <c r="VCX1894" t="s">
        <v>5779</v>
      </c>
      <c r="VDA1894">
        <v>44583</v>
      </c>
      <c r="VDB1894">
        <v>0</v>
      </c>
      <c r="VDC1894" t="s">
        <v>5778</v>
      </c>
      <c r="VDD1894" t="s">
        <v>5778</v>
      </c>
      <c r="VDE1894" t="s">
        <v>5778</v>
      </c>
      <c r="VDF1894" t="s">
        <v>5779</v>
      </c>
      <c r="VDI1894">
        <v>44583</v>
      </c>
      <c r="VDJ1894">
        <v>0</v>
      </c>
      <c r="VDK1894" t="s">
        <v>5778</v>
      </c>
      <c r="VDL1894" t="s">
        <v>5778</v>
      </c>
      <c r="VDM1894" t="s">
        <v>5778</v>
      </c>
      <c r="VDN1894" t="s">
        <v>5779</v>
      </c>
      <c r="VDQ1894">
        <v>44583</v>
      </c>
      <c r="VDR1894">
        <v>0</v>
      </c>
      <c r="VDS1894" t="s">
        <v>5778</v>
      </c>
      <c r="VDT1894" t="s">
        <v>5778</v>
      </c>
      <c r="VDU1894" t="s">
        <v>5778</v>
      </c>
      <c r="VDV1894" t="s">
        <v>5779</v>
      </c>
      <c r="VDY1894">
        <v>44583</v>
      </c>
      <c r="VDZ1894">
        <v>0</v>
      </c>
      <c r="VEA1894" t="s">
        <v>5778</v>
      </c>
      <c r="VEB1894" t="s">
        <v>5778</v>
      </c>
      <c r="VEC1894" t="s">
        <v>5778</v>
      </c>
      <c r="VED1894" t="s">
        <v>5779</v>
      </c>
      <c r="VEG1894">
        <v>44583</v>
      </c>
      <c r="VEH1894">
        <v>0</v>
      </c>
      <c r="VEI1894" t="s">
        <v>5778</v>
      </c>
      <c r="VEJ1894" t="s">
        <v>5778</v>
      </c>
      <c r="VEK1894" t="s">
        <v>5778</v>
      </c>
      <c r="VEL1894" t="s">
        <v>5779</v>
      </c>
      <c r="VEO1894">
        <v>44583</v>
      </c>
      <c r="VEP1894">
        <v>0</v>
      </c>
      <c r="VEQ1894" t="s">
        <v>5778</v>
      </c>
      <c r="VER1894" t="s">
        <v>5778</v>
      </c>
      <c r="VES1894" t="s">
        <v>5778</v>
      </c>
      <c r="VET1894" t="s">
        <v>5779</v>
      </c>
      <c r="VEW1894">
        <v>44583</v>
      </c>
      <c r="VEX1894">
        <v>0</v>
      </c>
      <c r="VEY1894" t="s">
        <v>5778</v>
      </c>
      <c r="VEZ1894" t="s">
        <v>5778</v>
      </c>
      <c r="VFA1894" t="s">
        <v>5778</v>
      </c>
      <c r="VFB1894" t="s">
        <v>5779</v>
      </c>
      <c r="VFE1894">
        <v>44583</v>
      </c>
      <c r="VFF1894">
        <v>0</v>
      </c>
      <c r="VFG1894" t="s">
        <v>5778</v>
      </c>
      <c r="VFH1894" t="s">
        <v>5778</v>
      </c>
      <c r="VFI1894" t="s">
        <v>5778</v>
      </c>
      <c r="VFJ1894" t="s">
        <v>5779</v>
      </c>
      <c r="VFM1894">
        <v>44583</v>
      </c>
      <c r="VFN1894">
        <v>0</v>
      </c>
      <c r="VFO1894" t="s">
        <v>5778</v>
      </c>
      <c r="VFP1894" t="s">
        <v>5778</v>
      </c>
      <c r="VFQ1894" t="s">
        <v>5778</v>
      </c>
      <c r="VFR1894" t="s">
        <v>5779</v>
      </c>
      <c r="VFU1894">
        <v>44583</v>
      </c>
      <c r="VFV1894">
        <v>0</v>
      </c>
      <c r="VFW1894" t="s">
        <v>5778</v>
      </c>
      <c r="VFX1894" t="s">
        <v>5778</v>
      </c>
      <c r="VFY1894" t="s">
        <v>5778</v>
      </c>
      <c r="VFZ1894" t="s">
        <v>5779</v>
      </c>
      <c r="VGC1894">
        <v>44583</v>
      </c>
      <c r="VGD1894">
        <v>0</v>
      </c>
      <c r="VGE1894" t="s">
        <v>5778</v>
      </c>
      <c r="VGF1894" t="s">
        <v>5778</v>
      </c>
      <c r="VGG1894" t="s">
        <v>5778</v>
      </c>
      <c r="VGH1894" t="s">
        <v>5779</v>
      </c>
      <c r="VGK1894">
        <v>44583</v>
      </c>
      <c r="VGL1894">
        <v>0</v>
      </c>
      <c r="VGM1894" t="s">
        <v>5778</v>
      </c>
      <c r="VGN1894" t="s">
        <v>5778</v>
      </c>
      <c r="VGO1894" t="s">
        <v>5778</v>
      </c>
      <c r="VGP1894" t="s">
        <v>5779</v>
      </c>
      <c r="VGS1894">
        <v>44583</v>
      </c>
      <c r="VGT1894">
        <v>0</v>
      </c>
      <c r="VGU1894" t="s">
        <v>5778</v>
      </c>
      <c r="VGV1894" t="s">
        <v>5778</v>
      </c>
      <c r="VGW1894" t="s">
        <v>5778</v>
      </c>
      <c r="VGX1894" t="s">
        <v>5779</v>
      </c>
      <c r="VHA1894">
        <v>44583</v>
      </c>
      <c r="VHB1894">
        <v>0</v>
      </c>
      <c r="VHC1894" t="s">
        <v>5778</v>
      </c>
      <c r="VHD1894" t="s">
        <v>5778</v>
      </c>
      <c r="VHE1894" t="s">
        <v>5778</v>
      </c>
      <c r="VHF1894" t="s">
        <v>5779</v>
      </c>
      <c r="VHI1894">
        <v>44583</v>
      </c>
      <c r="VHJ1894">
        <v>0</v>
      </c>
      <c r="VHK1894" t="s">
        <v>5778</v>
      </c>
      <c r="VHL1894" t="s">
        <v>5778</v>
      </c>
      <c r="VHM1894" t="s">
        <v>5778</v>
      </c>
      <c r="VHN1894" t="s">
        <v>5779</v>
      </c>
      <c r="VHQ1894">
        <v>44583</v>
      </c>
      <c r="VHR1894">
        <v>0</v>
      </c>
      <c r="VHS1894" t="s">
        <v>5778</v>
      </c>
      <c r="VHT1894" t="s">
        <v>5778</v>
      </c>
      <c r="VHU1894" t="s">
        <v>5778</v>
      </c>
      <c r="VHV1894" t="s">
        <v>5779</v>
      </c>
      <c r="VHY1894">
        <v>44583</v>
      </c>
      <c r="VHZ1894">
        <v>0</v>
      </c>
      <c r="VIA1894" t="s">
        <v>5778</v>
      </c>
      <c r="VIB1894" t="s">
        <v>5778</v>
      </c>
      <c r="VIC1894" t="s">
        <v>5778</v>
      </c>
      <c r="VID1894" t="s">
        <v>5779</v>
      </c>
      <c r="VIG1894">
        <v>44583</v>
      </c>
      <c r="VIH1894">
        <v>0</v>
      </c>
      <c r="VII1894" t="s">
        <v>5778</v>
      </c>
      <c r="VIJ1894" t="s">
        <v>5778</v>
      </c>
      <c r="VIK1894" t="s">
        <v>5778</v>
      </c>
      <c r="VIL1894" t="s">
        <v>5779</v>
      </c>
      <c r="VIO1894">
        <v>44583</v>
      </c>
      <c r="VIP1894">
        <v>0</v>
      </c>
      <c r="VIQ1894" t="s">
        <v>5778</v>
      </c>
      <c r="VIR1894" t="s">
        <v>5778</v>
      </c>
      <c r="VIS1894" t="s">
        <v>5778</v>
      </c>
      <c r="VIT1894" t="s">
        <v>5779</v>
      </c>
      <c r="VIW1894">
        <v>44583</v>
      </c>
      <c r="VIX1894">
        <v>0</v>
      </c>
      <c r="VIY1894" t="s">
        <v>5778</v>
      </c>
      <c r="VIZ1894" t="s">
        <v>5778</v>
      </c>
      <c r="VJA1894" t="s">
        <v>5778</v>
      </c>
      <c r="VJB1894" t="s">
        <v>5779</v>
      </c>
      <c r="VJE1894">
        <v>44583</v>
      </c>
      <c r="VJF1894">
        <v>0</v>
      </c>
      <c r="VJG1894" t="s">
        <v>5778</v>
      </c>
      <c r="VJH1894" t="s">
        <v>5778</v>
      </c>
      <c r="VJI1894" t="s">
        <v>5778</v>
      </c>
      <c r="VJJ1894" t="s">
        <v>5779</v>
      </c>
      <c r="VJM1894">
        <v>44583</v>
      </c>
      <c r="VJN1894">
        <v>0</v>
      </c>
      <c r="VJO1894" t="s">
        <v>5778</v>
      </c>
      <c r="VJP1894" t="s">
        <v>5778</v>
      </c>
      <c r="VJQ1894" t="s">
        <v>5778</v>
      </c>
      <c r="VJR1894" t="s">
        <v>5779</v>
      </c>
      <c r="VJU1894">
        <v>44583</v>
      </c>
      <c r="VJV1894">
        <v>0</v>
      </c>
      <c r="VJW1894" t="s">
        <v>5778</v>
      </c>
      <c r="VJX1894" t="s">
        <v>5778</v>
      </c>
      <c r="VJY1894" t="s">
        <v>5778</v>
      </c>
      <c r="VJZ1894" t="s">
        <v>5779</v>
      </c>
      <c r="VKC1894">
        <v>44583</v>
      </c>
      <c r="VKD1894">
        <v>0</v>
      </c>
      <c r="VKE1894" t="s">
        <v>5778</v>
      </c>
      <c r="VKF1894" t="s">
        <v>5778</v>
      </c>
      <c r="VKG1894" t="s">
        <v>5778</v>
      </c>
      <c r="VKH1894" t="s">
        <v>5779</v>
      </c>
      <c r="VKK1894">
        <v>44583</v>
      </c>
      <c r="VKL1894">
        <v>0</v>
      </c>
      <c r="VKM1894" t="s">
        <v>5778</v>
      </c>
      <c r="VKN1894" t="s">
        <v>5778</v>
      </c>
      <c r="VKO1894" t="s">
        <v>5778</v>
      </c>
      <c r="VKP1894" t="s">
        <v>5779</v>
      </c>
      <c r="VKS1894">
        <v>44583</v>
      </c>
      <c r="VKT1894">
        <v>0</v>
      </c>
      <c r="VKU1894" t="s">
        <v>5778</v>
      </c>
      <c r="VKV1894" t="s">
        <v>5778</v>
      </c>
      <c r="VKW1894" t="s">
        <v>5778</v>
      </c>
      <c r="VKX1894" t="s">
        <v>5779</v>
      </c>
      <c r="VLA1894">
        <v>44583</v>
      </c>
      <c r="VLB1894">
        <v>0</v>
      </c>
      <c r="VLC1894" t="s">
        <v>5778</v>
      </c>
      <c r="VLD1894" t="s">
        <v>5778</v>
      </c>
      <c r="VLE1894" t="s">
        <v>5778</v>
      </c>
      <c r="VLF1894" t="s">
        <v>5779</v>
      </c>
      <c r="VLI1894">
        <v>44583</v>
      </c>
      <c r="VLJ1894">
        <v>0</v>
      </c>
      <c r="VLK1894" t="s">
        <v>5778</v>
      </c>
      <c r="VLL1894" t="s">
        <v>5778</v>
      </c>
      <c r="VLM1894" t="s">
        <v>5778</v>
      </c>
      <c r="VLN1894" t="s">
        <v>5779</v>
      </c>
      <c r="VLQ1894">
        <v>44583</v>
      </c>
      <c r="VLR1894">
        <v>0</v>
      </c>
      <c r="VLS1894" t="s">
        <v>5778</v>
      </c>
      <c r="VLT1894" t="s">
        <v>5778</v>
      </c>
      <c r="VLU1894" t="s">
        <v>5778</v>
      </c>
      <c r="VLV1894" t="s">
        <v>5779</v>
      </c>
      <c r="VLY1894">
        <v>44583</v>
      </c>
      <c r="VLZ1894">
        <v>0</v>
      </c>
      <c r="VMA1894" t="s">
        <v>5778</v>
      </c>
      <c r="VMB1894" t="s">
        <v>5778</v>
      </c>
      <c r="VMC1894" t="s">
        <v>5778</v>
      </c>
      <c r="VMD1894" t="s">
        <v>5779</v>
      </c>
      <c r="VMG1894">
        <v>44583</v>
      </c>
      <c r="VMH1894">
        <v>0</v>
      </c>
      <c r="VMI1894" t="s">
        <v>5778</v>
      </c>
      <c r="VMJ1894" t="s">
        <v>5778</v>
      </c>
      <c r="VMK1894" t="s">
        <v>5778</v>
      </c>
      <c r="VML1894" t="s">
        <v>5779</v>
      </c>
      <c r="VMO1894">
        <v>44583</v>
      </c>
      <c r="VMP1894">
        <v>0</v>
      </c>
      <c r="VMQ1894" t="s">
        <v>5778</v>
      </c>
      <c r="VMR1894" t="s">
        <v>5778</v>
      </c>
      <c r="VMS1894" t="s">
        <v>5778</v>
      </c>
      <c r="VMT1894" t="s">
        <v>5779</v>
      </c>
      <c r="VMW1894">
        <v>44583</v>
      </c>
      <c r="VMX1894">
        <v>0</v>
      </c>
      <c r="VMY1894" t="s">
        <v>5778</v>
      </c>
      <c r="VMZ1894" t="s">
        <v>5778</v>
      </c>
      <c r="VNA1894" t="s">
        <v>5778</v>
      </c>
      <c r="VNB1894" t="s">
        <v>5779</v>
      </c>
      <c r="VNE1894">
        <v>44583</v>
      </c>
      <c r="VNF1894">
        <v>0</v>
      </c>
      <c r="VNG1894" t="s">
        <v>5778</v>
      </c>
      <c r="VNH1894" t="s">
        <v>5778</v>
      </c>
      <c r="VNI1894" t="s">
        <v>5778</v>
      </c>
      <c r="VNJ1894" t="s">
        <v>5779</v>
      </c>
      <c r="VNM1894">
        <v>44583</v>
      </c>
      <c r="VNN1894">
        <v>0</v>
      </c>
      <c r="VNO1894" t="s">
        <v>5778</v>
      </c>
      <c r="VNP1894" t="s">
        <v>5778</v>
      </c>
      <c r="VNQ1894" t="s">
        <v>5778</v>
      </c>
      <c r="VNR1894" t="s">
        <v>5779</v>
      </c>
      <c r="VNU1894">
        <v>44583</v>
      </c>
      <c r="VNV1894">
        <v>0</v>
      </c>
      <c r="VNW1894" t="s">
        <v>5778</v>
      </c>
      <c r="VNX1894" t="s">
        <v>5778</v>
      </c>
      <c r="VNY1894" t="s">
        <v>5778</v>
      </c>
      <c r="VNZ1894" t="s">
        <v>5779</v>
      </c>
      <c r="VOC1894">
        <v>44583</v>
      </c>
      <c r="VOD1894">
        <v>0</v>
      </c>
      <c r="VOE1894" t="s">
        <v>5778</v>
      </c>
      <c r="VOF1894" t="s">
        <v>5778</v>
      </c>
      <c r="VOG1894" t="s">
        <v>5778</v>
      </c>
      <c r="VOH1894" t="s">
        <v>5779</v>
      </c>
      <c r="VOK1894">
        <v>44583</v>
      </c>
      <c r="VOL1894">
        <v>0</v>
      </c>
      <c r="VOM1894" t="s">
        <v>5778</v>
      </c>
      <c r="VON1894" t="s">
        <v>5778</v>
      </c>
      <c r="VOO1894" t="s">
        <v>5778</v>
      </c>
      <c r="VOP1894" t="s">
        <v>5779</v>
      </c>
      <c r="VOS1894">
        <v>44583</v>
      </c>
      <c r="VOT1894">
        <v>0</v>
      </c>
      <c r="VOU1894" t="s">
        <v>5778</v>
      </c>
      <c r="VOV1894" t="s">
        <v>5778</v>
      </c>
      <c r="VOW1894" t="s">
        <v>5778</v>
      </c>
      <c r="VOX1894" t="s">
        <v>5779</v>
      </c>
      <c r="VPA1894">
        <v>44583</v>
      </c>
      <c r="VPB1894">
        <v>0</v>
      </c>
      <c r="VPC1894" t="s">
        <v>5778</v>
      </c>
      <c r="VPD1894" t="s">
        <v>5778</v>
      </c>
      <c r="VPE1894" t="s">
        <v>5778</v>
      </c>
      <c r="VPF1894" t="s">
        <v>5779</v>
      </c>
      <c r="VPI1894">
        <v>44583</v>
      </c>
      <c r="VPJ1894">
        <v>0</v>
      </c>
      <c r="VPK1894" t="s">
        <v>5778</v>
      </c>
      <c r="VPL1894" t="s">
        <v>5778</v>
      </c>
      <c r="VPM1894" t="s">
        <v>5778</v>
      </c>
      <c r="VPN1894" t="s">
        <v>5779</v>
      </c>
      <c r="VPQ1894">
        <v>44583</v>
      </c>
      <c r="VPR1894">
        <v>0</v>
      </c>
      <c r="VPS1894" t="s">
        <v>5778</v>
      </c>
      <c r="VPT1894" t="s">
        <v>5778</v>
      </c>
      <c r="VPU1894" t="s">
        <v>5778</v>
      </c>
      <c r="VPV1894" t="s">
        <v>5779</v>
      </c>
      <c r="VPY1894">
        <v>44583</v>
      </c>
      <c r="VPZ1894">
        <v>0</v>
      </c>
      <c r="VQA1894" t="s">
        <v>5778</v>
      </c>
      <c r="VQB1894" t="s">
        <v>5778</v>
      </c>
      <c r="VQC1894" t="s">
        <v>5778</v>
      </c>
      <c r="VQD1894" t="s">
        <v>5779</v>
      </c>
      <c r="VQG1894">
        <v>44583</v>
      </c>
      <c r="VQH1894">
        <v>0</v>
      </c>
      <c r="VQI1894" t="s">
        <v>5778</v>
      </c>
      <c r="VQJ1894" t="s">
        <v>5778</v>
      </c>
      <c r="VQK1894" t="s">
        <v>5778</v>
      </c>
      <c r="VQL1894" t="s">
        <v>5779</v>
      </c>
      <c r="VQO1894">
        <v>44583</v>
      </c>
      <c r="VQP1894">
        <v>0</v>
      </c>
      <c r="VQQ1894" t="s">
        <v>5778</v>
      </c>
      <c r="VQR1894" t="s">
        <v>5778</v>
      </c>
      <c r="VQS1894" t="s">
        <v>5778</v>
      </c>
      <c r="VQT1894" t="s">
        <v>5779</v>
      </c>
      <c r="VQW1894">
        <v>44583</v>
      </c>
      <c r="VQX1894">
        <v>0</v>
      </c>
      <c r="VQY1894" t="s">
        <v>5778</v>
      </c>
      <c r="VQZ1894" t="s">
        <v>5778</v>
      </c>
      <c r="VRA1894" t="s">
        <v>5778</v>
      </c>
      <c r="VRB1894" t="s">
        <v>5779</v>
      </c>
      <c r="VRE1894">
        <v>44583</v>
      </c>
      <c r="VRF1894">
        <v>0</v>
      </c>
      <c r="VRG1894" t="s">
        <v>5778</v>
      </c>
      <c r="VRH1894" t="s">
        <v>5778</v>
      </c>
      <c r="VRI1894" t="s">
        <v>5778</v>
      </c>
      <c r="VRJ1894" t="s">
        <v>5779</v>
      </c>
      <c r="VRM1894">
        <v>44583</v>
      </c>
      <c r="VRN1894">
        <v>0</v>
      </c>
      <c r="VRO1894" t="s">
        <v>5778</v>
      </c>
      <c r="VRP1894" t="s">
        <v>5778</v>
      </c>
      <c r="VRQ1894" t="s">
        <v>5778</v>
      </c>
      <c r="VRR1894" t="s">
        <v>5779</v>
      </c>
      <c r="VRU1894">
        <v>44583</v>
      </c>
      <c r="VRV1894">
        <v>0</v>
      </c>
      <c r="VRW1894" t="s">
        <v>5778</v>
      </c>
      <c r="VRX1894" t="s">
        <v>5778</v>
      </c>
      <c r="VRY1894" t="s">
        <v>5778</v>
      </c>
      <c r="VRZ1894" t="s">
        <v>5779</v>
      </c>
      <c r="VSC1894">
        <v>44583</v>
      </c>
      <c r="VSD1894">
        <v>0</v>
      </c>
      <c r="VSE1894" t="s">
        <v>5778</v>
      </c>
      <c r="VSF1894" t="s">
        <v>5778</v>
      </c>
      <c r="VSG1894" t="s">
        <v>5778</v>
      </c>
      <c r="VSH1894" t="s">
        <v>5779</v>
      </c>
      <c r="VSK1894">
        <v>44583</v>
      </c>
      <c r="VSL1894">
        <v>0</v>
      </c>
      <c r="VSM1894" t="s">
        <v>5778</v>
      </c>
      <c r="VSN1894" t="s">
        <v>5778</v>
      </c>
      <c r="VSO1894" t="s">
        <v>5778</v>
      </c>
      <c r="VSP1894" t="s">
        <v>5779</v>
      </c>
      <c r="VSS1894">
        <v>44583</v>
      </c>
      <c r="VST1894">
        <v>0</v>
      </c>
      <c r="VSU1894" t="s">
        <v>5778</v>
      </c>
      <c r="VSV1894" t="s">
        <v>5778</v>
      </c>
      <c r="VSW1894" t="s">
        <v>5778</v>
      </c>
      <c r="VSX1894" t="s">
        <v>5779</v>
      </c>
      <c r="VTA1894">
        <v>44583</v>
      </c>
      <c r="VTB1894">
        <v>0</v>
      </c>
      <c r="VTC1894" t="s">
        <v>5778</v>
      </c>
      <c r="VTD1894" t="s">
        <v>5778</v>
      </c>
      <c r="VTE1894" t="s">
        <v>5778</v>
      </c>
      <c r="VTF1894" t="s">
        <v>5779</v>
      </c>
      <c r="VTI1894">
        <v>44583</v>
      </c>
      <c r="VTJ1894">
        <v>0</v>
      </c>
      <c r="VTK1894" t="s">
        <v>5778</v>
      </c>
      <c r="VTL1894" t="s">
        <v>5778</v>
      </c>
      <c r="VTM1894" t="s">
        <v>5778</v>
      </c>
      <c r="VTN1894" t="s">
        <v>5779</v>
      </c>
      <c r="VTQ1894">
        <v>44583</v>
      </c>
      <c r="VTR1894">
        <v>0</v>
      </c>
      <c r="VTS1894" t="s">
        <v>5778</v>
      </c>
      <c r="VTT1894" t="s">
        <v>5778</v>
      </c>
      <c r="VTU1894" t="s">
        <v>5778</v>
      </c>
      <c r="VTV1894" t="s">
        <v>5779</v>
      </c>
      <c r="VTY1894">
        <v>44583</v>
      </c>
      <c r="VTZ1894">
        <v>0</v>
      </c>
      <c r="VUA1894" t="s">
        <v>5778</v>
      </c>
      <c r="VUB1894" t="s">
        <v>5778</v>
      </c>
      <c r="VUC1894" t="s">
        <v>5778</v>
      </c>
      <c r="VUD1894" t="s">
        <v>5779</v>
      </c>
      <c r="VUG1894">
        <v>44583</v>
      </c>
      <c r="VUH1894">
        <v>0</v>
      </c>
      <c r="VUI1894" t="s">
        <v>5778</v>
      </c>
      <c r="VUJ1894" t="s">
        <v>5778</v>
      </c>
      <c r="VUK1894" t="s">
        <v>5778</v>
      </c>
      <c r="VUL1894" t="s">
        <v>5779</v>
      </c>
      <c r="VUO1894">
        <v>44583</v>
      </c>
      <c r="VUP1894">
        <v>0</v>
      </c>
      <c r="VUQ1894" t="s">
        <v>5778</v>
      </c>
      <c r="VUR1894" t="s">
        <v>5778</v>
      </c>
      <c r="VUS1894" t="s">
        <v>5778</v>
      </c>
      <c r="VUT1894" t="s">
        <v>5779</v>
      </c>
      <c r="VUW1894">
        <v>44583</v>
      </c>
      <c r="VUX1894">
        <v>0</v>
      </c>
      <c r="VUY1894" t="s">
        <v>5778</v>
      </c>
      <c r="VUZ1894" t="s">
        <v>5778</v>
      </c>
      <c r="VVA1894" t="s">
        <v>5778</v>
      </c>
      <c r="VVB1894" t="s">
        <v>5779</v>
      </c>
      <c r="VVE1894">
        <v>44583</v>
      </c>
      <c r="VVF1894">
        <v>0</v>
      </c>
      <c r="VVG1894" t="s">
        <v>5778</v>
      </c>
      <c r="VVH1894" t="s">
        <v>5778</v>
      </c>
      <c r="VVI1894" t="s">
        <v>5778</v>
      </c>
      <c r="VVJ1894" t="s">
        <v>5779</v>
      </c>
      <c r="VVM1894">
        <v>44583</v>
      </c>
      <c r="VVN1894">
        <v>0</v>
      </c>
      <c r="VVO1894" t="s">
        <v>5778</v>
      </c>
      <c r="VVP1894" t="s">
        <v>5778</v>
      </c>
      <c r="VVQ1894" t="s">
        <v>5778</v>
      </c>
      <c r="VVR1894" t="s">
        <v>5779</v>
      </c>
      <c r="VVU1894">
        <v>44583</v>
      </c>
      <c r="VVV1894">
        <v>0</v>
      </c>
      <c r="VVW1894" t="s">
        <v>5778</v>
      </c>
      <c r="VVX1894" t="s">
        <v>5778</v>
      </c>
      <c r="VVY1894" t="s">
        <v>5778</v>
      </c>
      <c r="VVZ1894" t="s">
        <v>5779</v>
      </c>
      <c r="VWC1894">
        <v>44583</v>
      </c>
      <c r="VWD1894">
        <v>0</v>
      </c>
      <c r="VWE1894" t="s">
        <v>5778</v>
      </c>
      <c r="VWF1894" t="s">
        <v>5778</v>
      </c>
      <c r="VWG1894" t="s">
        <v>5778</v>
      </c>
      <c r="VWH1894" t="s">
        <v>5779</v>
      </c>
      <c r="VWK1894">
        <v>44583</v>
      </c>
      <c r="VWL1894">
        <v>0</v>
      </c>
      <c r="VWM1894" t="s">
        <v>5778</v>
      </c>
      <c r="VWN1894" t="s">
        <v>5778</v>
      </c>
      <c r="VWO1894" t="s">
        <v>5778</v>
      </c>
      <c r="VWP1894" t="s">
        <v>5779</v>
      </c>
      <c r="VWS1894">
        <v>44583</v>
      </c>
      <c r="VWT1894">
        <v>0</v>
      </c>
      <c r="VWU1894" t="s">
        <v>5778</v>
      </c>
      <c r="VWV1894" t="s">
        <v>5778</v>
      </c>
      <c r="VWW1894" t="s">
        <v>5778</v>
      </c>
      <c r="VWX1894" t="s">
        <v>5779</v>
      </c>
      <c r="VXA1894">
        <v>44583</v>
      </c>
      <c r="VXB1894">
        <v>0</v>
      </c>
      <c r="VXC1894" t="s">
        <v>5778</v>
      </c>
      <c r="VXD1894" t="s">
        <v>5778</v>
      </c>
      <c r="VXE1894" t="s">
        <v>5778</v>
      </c>
      <c r="VXF1894" t="s">
        <v>5779</v>
      </c>
      <c r="VXI1894">
        <v>44583</v>
      </c>
      <c r="VXJ1894">
        <v>0</v>
      </c>
      <c r="VXK1894" t="s">
        <v>5778</v>
      </c>
      <c r="VXL1894" t="s">
        <v>5778</v>
      </c>
      <c r="VXM1894" t="s">
        <v>5778</v>
      </c>
      <c r="VXN1894" t="s">
        <v>5779</v>
      </c>
      <c r="VXQ1894">
        <v>44583</v>
      </c>
      <c r="VXR1894">
        <v>0</v>
      </c>
      <c r="VXS1894" t="s">
        <v>5778</v>
      </c>
      <c r="VXT1894" t="s">
        <v>5778</v>
      </c>
      <c r="VXU1894" t="s">
        <v>5778</v>
      </c>
      <c r="VXV1894" t="s">
        <v>5779</v>
      </c>
      <c r="VXY1894">
        <v>44583</v>
      </c>
      <c r="VXZ1894">
        <v>0</v>
      </c>
      <c r="VYA1894" t="s">
        <v>5778</v>
      </c>
      <c r="VYB1894" t="s">
        <v>5778</v>
      </c>
      <c r="VYC1894" t="s">
        <v>5778</v>
      </c>
      <c r="VYD1894" t="s">
        <v>5779</v>
      </c>
      <c r="VYG1894">
        <v>44583</v>
      </c>
      <c r="VYH1894">
        <v>0</v>
      </c>
      <c r="VYI1894" t="s">
        <v>5778</v>
      </c>
      <c r="VYJ1894" t="s">
        <v>5778</v>
      </c>
      <c r="VYK1894" t="s">
        <v>5778</v>
      </c>
      <c r="VYL1894" t="s">
        <v>5779</v>
      </c>
      <c r="VYO1894">
        <v>44583</v>
      </c>
      <c r="VYP1894">
        <v>0</v>
      </c>
      <c r="VYQ1894" t="s">
        <v>5778</v>
      </c>
      <c r="VYR1894" t="s">
        <v>5778</v>
      </c>
      <c r="VYS1894" t="s">
        <v>5778</v>
      </c>
      <c r="VYT1894" t="s">
        <v>5779</v>
      </c>
      <c r="VYW1894">
        <v>44583</v>
      </c>
      <c r="VYX1894">
        <v>0</v>
      </c>
      <c r="VYY1894" t="s">
        <v>5778</v>
      </c>
      <c r="VYZ1894" t="s">
        <v>5778</v>
      </c>
      <c r="VZA1894" t="s">
        <v>5778</v>
      </c>
      <c r="VZB1894" t="s">
        <v>5779</v>
      </c>
      <c r="VZE1894">
        <v>44583</v>
      </c>
      <c r="VZF1894">
        <v>0</v>
      </c>
      <c r="VZG1894" t="s">
        <v>5778</v>
      </c>
      <c r="VZH1894" t="s">
        <v>5778</v>
      </c>
      <c r="VZI1894" t="s">
        <v>5778</v>
      </c>
      <c r="VZJ1894" t="s">
        <v>5779</v>
      </c>
      <c r="VZM1894">
        <v>44583</v>
      </c>
      <c r="VZN1894">
        <v>0</v>
      </c>
      <c r="VZO1894" t="s">
        <v>5778</v>
      </c>
      <c r="VZP1894" t="s">
        <v>5778</v>
      </c>
      <c r="VZQ1894" t="s">
        <v>5778</v>
      </c>
      <c r="VZR1894" t="s">
        <v>5779</v>
      </c>
      <c r="VZU1894">
        <v>44583</v>
      </c>
      <c r="VZV1894">
        <v>0</v>
      </c>
      <c r="VZW1894" t="s">
        <v>5778</v>
      </c>
      <c r="VZX1894" t="s">
        <v>5778</v>
      </c>
      <c r="VZY1894" t="s">
        <v>5778</v>
      </c>
      <c r="VZZ1894" t="s">
        <v>5779</v>
      </c>
      <c r="WAC1894">
        <v>44583</v>
      </c>
      <c r="WAD1894">
        <v>0</v>
      </c>
      <c r="WAE1894" t="s">
        <v>5778</v>
      </c>
      <c r="WAF1894" t="s">
        <v>5778</v>
      </c>
      <c r="WAG1894" t="s">
        <v>5778</v>
      </c>
      <c r="WAH1894" t="s">
        <v>5779</v>
      </c>
      <c r="WAK1894">
        <v>44583</v>
      </c>
      <c r="WAL1894">
        <v>0</v>
      </c>
      <c r="WAM1894" t="s">
        <v>5778</v>
      </c>
      <c r="WAN1894" t="s">
        <v>5778</v>
      </c>
      <c r="WAO1894" t="s">
        <v>5778</v>
      </c>
      <c r="WAP1894" t="s">
        <v>5779</v>
      </c>
      <c r="WAS1894">
        <v>44583</v>
      </c>
      <c r="WAT1894">
        <v>0</v>
      </c>
      <c r="WAU1894" t="s">
        <v>5778</v>
      </c>
      <c r="WAV1894" t="s">
        <v>5778</v>
      </c>
      <c r="WAW1894" t="s">
        <v>5778</v>
      </c>
      <c r="WAX1894" t="s">
        <v>5779</v>
      </c>
      <c r="WBA1894">
        <v>44583</v>
      </c>
      <c r="WBB1894">
        <v>0</v>
      </c>
      <c r="WBC1894" t="s">
        <v>5778</v>
      </c>
      <c r="WBD1894" t="s">
        <v>5778</v>
      </c>
      <c r="WBE1894" t="s">
        <v>5778</v>
      </c>
      <c r="WBF1894" t="s">
        <v>5779</v>
      </c>
      <c r="WBI1894">
        <v>44583</v>
      </c>
      <c r="WBJ1894">
        <v>0</v>
      </c>
      <c r="WBK1894" t="s">
        <v>5778</v>
      </c>
      <c r="WBL1894" t="s">
        <v>5778</v>
      </c>
      <c r="WBM1894" t="s">
        <v>5778</v>
      </c>
      <c r="WBN1894" t="s">
        <v>5779</v>
      </c>
      <c r="WBQ1894">
        <v>44583</v>
      </c>
      <c r="WBR1894">
        <v>0</v>
      </c>
      <c r="WBS1894" t="s">
        <v>5778</v>
      </c>
      <c r="WBT1894" t="s">
        <v>5778</v>
      </c>
      <c r="WBU1894" t="s">
        <v>5778</v>
      </c>
      <c r="WBV1894" t="s">
        <v>5779</v>
      </c>
      <c r="WBY1894">
        <v>44583</v>
      </c>
      <c r="WBZ1894">
        <v>0</v>
      </c>
      <c r="WCA1894" t="s">
        <v>5778</v>
      </c>
      <c r="WCB1894" t="s">
        <v>5778</v>
      </c>
      <c r="WCC1894" t="s">
        <v>5778</v>
      </c>
      <c r="WCD1894" t="s">
        <v>5779</v>
      </c>
      <c r="WCG1894">
        <v>44583</v>
      </c>
      <c r="WCH1894">
        <v>0</v>
      </c>
      <c r="WCI1894" t="s">
        <v>5778</v>
      </c>
      <c r="WCJ1894" t="s">
        <v>5778</v>
      </c>
      <c r="WCK1894" t="s">
        <v>5778</v>
      </c>
      <c r="WCL1894" t="s">
        <v>5779</v>
      </c>
      <c r="WCO1894">
        <v>44583</v>
      </c>
      <c r="WCP1894">
        <v>0</v>
      </c>
      <c r="WCQ1894" t="s">
        <v>5778</v>
      </c>
      <c r="WCR1894" t="s">
        <v>5778</v>
      </c>
      <c r="WCS1894" t="s">
        <v>5778</v>
      </c>
      <c r="WCT1894" t="s">
        <v>5779</v>
      </c>
      <c r="WCW1894">
        <v>44583</v>
      </c>
      <c r="WCX1894">
        <v>0</v>
      </c>
      <c r="WCY1894" t="s">
        <v>5778</v>
      </c>
      <c r="WCZ1894" t="s">
        <v>5778</v>
      </c>
      <c r="WDA1894" t="s">
        <v>5778</v>
      </c>
      <c r="WDB1894" t="s">
        <v>5779</v>
      </c>
      <c r="WDE1894">
        <v>44583</v>
      </c>
      <c r="WDF1894">
        <v>0</v>
      </c>
      <c r="WDG1894" t="s">
        <v>5778</v>
      </c>
      <c r="WDH1894" t="s">
        <v>5778</v>
      </c>
      <c r="WDI1894" t="s">
        <v>5778</v>
      </c>
      <c r="WDJ1894" t="s">
        <v>5779</v>
      </c>
      <c r="WDM1894">
        <v>44583</v>
      </c>
      <c r="WDN1894">
        <v>0</v>
      </c>
      <c r="WDO1894" t="s">
        <v>5778</v>
      </c>
      <c r="WDP1894" t="s">
        <v>5778</v>
      </c>
      <c r="WDQ1894" t="s">
        <v>5778</v>
      </c>
      <c r="WDR1894" t="s">
        <v>5779</v>
      </c>
      <c r="WDU1894">
        <v>44583</v>
      </c>
      <c r="WDV1894">
        <v>0</v>
      </c>
      <c r="WDW1894" t="s">
        <v>5778</v>
      </c>
      <c r="WDX1894" t="s">
        <v>5778</v>
      </c>
      <c r="WDY1894" t="s">
        <v>5778</v>
      </c>
      <c r="WDZ1894" t="s">
        <v>5779</v>
      </c>
      <c r="WEC1894">
        <v>44583</v>
      </c>
      <c r="WED1894">
        <v>0</v>
      </c>
      <c r="WEE1894" t="s">
        <v>5778</v>
      </c>
      <c r="WEF1894" t="s">
        <v>5778</v>
      </c>
      <c r="WEG1894" t="s">
        <v>5778</v>
      </c>
      <c r="WEH1894" t="s">
        <v>5779</v>
      </c>
      <c r="WEK1894">
        <v>44583</v>
      </c>
      <c r="WEL1894">
        <v>0</v>
      </c>
      <c r="WEM1894" t="s">
        <v>5778</v>
      </c>
      <c r="WEN1894" t="s">
        <v>5778</v>
      </c>
      <c r="WEO1894" t="s">
        <v>5778</v>
      </c>
      <c r="WEP1894" t="s">
        <v>5779</v>
      </c>
      <c r="WES1894">
        <v>44583</v>
      </c>
      <c r="WET1894">
        <v>0</v>
      </c>
      <c r="WEU1894" t="s">
        <v>5778</v>
      </c>
      <c r="WEV1894" t="s">
        <v>5778</v>
      </c>
      <c r="WEW1894" t="s">
        <v>5778</v>
      </c>
      <c r="WEX1894" t="s">
        <v>5779</v>
      </c>
      <c r="WFA1894">
        <v>44583</v>
      </c>
      <c r="WFB1894">
        <v>0</v>
      </c>
      <c r="WFC1894" t="s">
        <v>5778</v>
      </c>
      <c r="WFD1894" t="s">
        <v>5778</v>
      </c>
      <c r="WFE1894" t="s">
        <v>5778</v>
      </c>
      <c r="WFF1894" t="s">
        <v>5779</v>
      </c>
      <c r="WFI1894">
        <v>44583</v>
      </c>
      <c r="WFJ1894">
        <v>0</v>
      </c>
      <c r="WFK1894" t="s">
        <v>5778</v>
      </c>
      <c r="WFL1894" t="s">
        <v>5778</v>
      </c>
      <c r="WFM1894" t="s">
        <v>5778</v>
      </c>
      <c r="WFN1894" t="s">
        <v>5779</v>
      </c>
      <c r="WFQ1894">
        <v>44583</v>
      </c>
      <c r="WFR1894">
        <v>0</v>
      </c>
      <c r="WFS1894" t="s">
        <v>5778</v>
      </c>
      <c r="WFT1894" t="s">
        <v>5778</v>
      </c>
      <c r="WFU1894" t="s">
        <v>5778</v>
      </c>
      <c r="WFV1894" t="s">
        <v>5779</v>
      </c>
      <c r="WFY1894">
        <v>44583</v>
      </c>
      <c r="WFZ1894">
        <v>0</v>
      </c>
      <c r="WGA1894" t="s">
        <v>5778</v>
      </c>
      <c r="WGB1894" t="s">
        <v>5778</v>
      </c>
      <c r="WGC1894" t="s">
        <v>5778</v>
      </c>
      <c r="WGD1894" t="s">
        <v>5779</v>
      </c>
      <c r="WGG1894">
        <v>44583</v>
      </c>
      <c r="WGH1894">
        <v>0</v>
      </c>
      <c r="WGI1894" t="s">
        <v>5778</v>
      </c>
      <c r="WGJ1894" t="s">
        <v>5778</v>
      </c>
      <c r="WGK1894" t="s">
        <v>5778</v>
      </c>
      <c r="WGL1894" t="s">
        <v>5779</v>
      </c>
      <c r="WGO1894">
        <v>44583</v>
      </c>
      <c r="WGP1894">
        <v>0</v>
      </c>
      <c r="WGQ1894" t="s">
        <v>5778</v>
      </c>
      <c r="WGR1894" t="s">
        <v>5778</v>
      </c>
      <c r="WGS1894" t="s">
        <v>5778</v>
      </c>
      <c r="WGT1894" t="s">
        <v>5779</v>
      </c>
      <c r="WGW1894">
        <v>44583</v>
      </c>
      <c r="WGX1894">
        <v>0</v>
      </c>
      <c r="WGY1894" t="s">
        <v>5778</v>
      </c>
      <c r="WGZ1894" t="s">
        <v>5778</v>
      </c>
      <c r="WHA1894" t="s">
        <v>5778</v>
      </c>
      <c r="WHB1894" t="s">
        <v>5779</v>
      </c>
      <c r="WHE1894">
        <v>44583</v>
      </c>
      <c r="WHF1894">
        <v>0</v>
      </c>
      <c r="WHG1894" t="s">
        <v>5778</v>
      </c>
      <c r="WHH1894" t="s">
        <v>5778</v>
      </c>
      <c r="WHI1894" t="s">
        <v>5778</v>
      </c>
      <c r="WHJ1894" t="s">
        <v>5779</v>
      </c>
      <c r="WHM1894">
        <v>44583</v>
      </c>
      <c r="WHN1894">
        <v>0</v>
      </c>
      <c r="WHO1894" t="s">
        <v>5778</v>
      </c>
      <c r="WHP1894" t="s">
        <v>5778</v>
      </c>
      <c r="WHQ1894" t="s">
        <v>5778</v>
      </c>
      <c r="WHR1894" t="s">
        <v>5779</v>
      </c>
      <c r="WHU1894">
        <v>44583</v>
      </c>
      <c r="WHV1894">
        <v>0</v>
      </c>
      <c r="WHW1894" t="s">
        <v>5778</v>
      </c>
      <c r="WHX1894" t="s">
        <v>5778</v>
      </c>
      <c r="WHY1894" t="s">
        <v>5778</v>
      </c>
      <c r="WHZ1894" t="s">
        <v>5779</v>
      </c>
      <c r="WIC1894">
        <v>44583</v>
      </c>
      <c r="WID1894">
        <v>0</v>
      </c>
      <c r="WIE1894" t="s">
        <v>5778</v>
      </c>
      <c r="WIF1894" t="s">
        <v>5778</v>
      </c>
      <c r="WIG1894" t="s">
        <v>5778</v>
      </c>
      <c r="WIH1894" t="s">
        <v>5779</v>
      </c>
      <c r="WIK1894">
        <v>44583</v>
      </c>
      <c r="WIL1894">
        <v>0</v>
      </c>
      <c r="WIM1894" t="s">
        <v>5778</v>
      </c>
      <c r="WIN1894" t="s">
        <v>5778</v>
      </c>
      <c r="WIO1894" t="s">
        <v>5778</v>
      </c>
      <c r="WIP1894" t="s">
        <v>5779</v>
      </c>
      <c r="WIS1894">
        <v>44583</v>
      </c>
      <c r="WIT1894">
        <v>0</v>
      </c>
      <c r="WIU1894" t="s">
        <v>5778</v>
      </c>
      <c r="WIV1894" t="s">
        <v>5778</v>
      </c>
      <c r="WIW1894" t="s">
        <v>5778</v>
      </c>
      <c r="WIX1894" t="s">
        <v>5779</v>
      </c>
      <c r="WJA1894">
        <v>44583</v>
      </c>
      <c r="WJB1894">
        <v>0</v>
      </c>
      <c r="WJC1894" t="s">
        <v>5778</v>
      </c>
      <c r="WJD1894" t="s">
        <v>5778</v>
      </c>
      <c r="WJE1894" t="s">
        <v>5778</v>
      </c>
      <c r="WJF1894" t="s">
        <v>5779</v>
      </c>
      <c r="WJI1894">
        <v>44583</v>
      </c>
      <c r="WJJ1894">
        <v>0</v>
      </c>
      <c r="WJK1894" t="s">
        <v>5778</v>
      </c>
      <c r="WJL1894" t="s">
        <v>5778</v>
      </c>
      <c r="WJM1894" t="s">
        <v>5778</v>
      </c>
      <c r="WJN1894" t="s">
        <v>5779</v>
      </c>
      <c r="WJQ1894">
        <v>44583</v>
      </c>
      <c r="WJR1894">
        <v>0</v>
      </c>
      <c r="WJS1894" t="s">
        <v>5778</v>
      </c>
      <c r="WJT1894" t="s">
        <v>5778</v>
      </c>
      <c r="WJU1894" t="s">
        <v>5778</v>
      </c>
      <c r="WJV1894" t="s">
        <v>5779</v>
      </c>
      <c r="WJY1894">
        <v>44583</v>
      </c>
      <c r="WJZ1894">
        <v>0</v>
      </c>
      <c r="WKA1894" t="s">
        <v>5778</v>
      </c>
      <c r="WKB1894" t="s">
        <v>5778</v>
      </c>
      <c r="WKC1894" t="s">
        <v>5778</v>
      </c>
      <c r="WKD1894" t="s">
        <v>5779</v>
      </c>
      <c r="WKG1894">
        <v>44583</v>
      </c>
      <c r="WKH1894">
        <v>0</v>
      </c>
      <c r="WKI1894" t="s">
        <v>5778</v>
      </c>
      <c r="WKJ1894" t="s">
        <v>5778</v>
      </c>
      <c r="WKK1894" t="s">
        <v>5778</v>
      </c>
      <c r="WKL1894" t="s">
        <v>5779</v>
      </c>
      <c r="WKO1894">
        <v>44583</v>
      </c>
      <c r="WKP1894">
        <v>0</v>
      </c>
      <c r="WKQ1894" t="s">
        <v>5778</v>
      </c>
      <c r="WKR1894" t="s">
        <v>5778</v>
      </c>
      <c r="WKS1894" t="s">
        <v>5778</v>
      </c>
      <c r="WKT1894" t="s">
        <v>5779</v>
      </c>
      <c r="WKW1894">
        <v>44583</v>
      </c>
      <c r="WKX1894">
        <v>0</v>
      </c>
      <c r="WKY1894" t="s">
        <v>5778</v>
      </c>
      <c r="WKZ1894" t="s">
        <v>5778</v>
      </c>
      <c r="WLA1894" t="s">
        <v>5778</v>
      </c>
      <c r="WLB1894" t="s">
        <v>5779</v>
      </c>
      <c r="WLE1894">
        <v>44583</v>
      </c>
      <c r="WLF1894">
        <v>0</v>
      </c>
      <c r="WLG1894" t="s">
        <v>5778</v>
      </c>
      <c r="WLH1894" t="s">
        <v>5778</v>
      </c>
      <c r="WLI1894" t="s">
        <v>5778</v>
      </c>
      <c r="WLJ1894" t="s">
        <v>5779</v>
      </c>
      <c r="WLM1894">
        <v>44583</v>
      </c>
      <c r="WLN1894">
        <v>0</v>
      </c>
      <c r="WLO1894" t="s">
        <v>5778</v>
      </c>
      <c r="WLP1894" t="s">
        <v>5778</v>
      </c>
      <c r="WLQ1894" t="s">
        <v>5778</v>
      </c>
      <c r="WLR1894" t="s">
        <v>5779</v>
      </c>
      <c r="WLU1894">
        <v>44583</v>
      </c>
      <c r="WLV1894">
        <v>0</v>
      </c>
      <c r="WLW1894" t="s">
        <v>5778</v>
      </c>
      <c r="WLX1894" t="s">
        <v>5778</v>
      </c>
      <c r="WLY1894" t="s">
        <v>5778</v>
      </c>
      <c r="WLZ1894" t="s">
        <v>5779</v>
      </c>
      <c r="WMC1894">
        <v>44583</v>
      </c>
      <c r="WMD1894">
        <v>0</v>
      </c>
      <c r="WME1894" t="s">
        <v>5778</v>
      </c>
      <c r="WMF1894" t="s">
        <v>5778</v>
      </c>
      <c r="WMG1894" t="s">
        <v>5778</v>
      </c>
      <c r="WMH1894" t="s">
        <v>5779</v>
      </c>
      <c r="WMK1894">
        <v>44583</v>
      </c>
      <c r="WML1894">
        <v>0</v>
      </c>
      <c r="WMM1894" t="s">
        <v>5778</v>
      </c>
      <c r="WMN1894" t="s">
        <v>5778</v>
      </c>
      <c r="WMO1894" t="s">
        <v>5778</v>
      </c>
      <c r="WMP1894" t="s">
        <v>5779</v>
      </c>
      <c r="WMS1894">
        <v>44583</v>
      </c>
      <c r="WMT1894">
        <v>0</v>
      </c>
      <c r="WMU1894" t="s">
        <v>5778</v>
      </c>
      <c r="WMV1894" t="s">
        <v>5778</v>
      </c>
      <c r="WMW1894" t="s">
        <v>5778</v>
      </c>
      <c r="WMX1894" t="s">
        <v>5779</v>
      </c>
      <c r="WNA1894">
        <v>44583</v>
      </c>
      <c r="WNB1894">
        <v>0</v>
      </c>
      <c r="WNC1894" t="s">
        <v>5778</v>
      </c>
      <c r="WND1894" t="s">
        <v>5778</v>
      </c>
      <c r="WNE1894" t="s">
        <v>5778</v>
      </c>
      <c r="WNF1894" t="s">
        <v>5779</v>
      </c>
      <c r="WNI1894">
        <v>44583</v>
      </c>
      <c r="WNJ1894">
        <v>0</v>
      </c>
      <c r="WNK1894" t="s">
        <v>5778</v>
      </c>
      <c r="WNL1894" t="s">
        <v>5778</v>
      </c>
      <c r="WNM1894" t="s">
        <v>5778</v>
      </c>
      <c r="WNN1894" t="s">
        <v>5779</v>
      </c>
      <c r="WNQ1894">
        <v>44583</v>
      </c>
      <c r="WNR1894">
        <v>0</v>
      </c>
      <c r="WNS1894" t="s">
        <v>5778</v>
      </c>
      <c r="WNT1894" t="s">
        <v>5778</v>
      </c>
      <c r="WNU1894" t="s">
        <v>5778</v>
      </c>
      <c r="WNV1894" t="s">
        <v>5779</v>
      </c>
      <c r="WNY1894">
        <v>44583</v>
      </c>
      <c r="WNZ1894">
        <v>0</v>
      </c>
      <c r="WOA1894" t="s">
        <v>5778</v>
      </c>
      <c r="WOB1894" t="s">
        <v>5778</v>
      </c>
      <c r="WOC1894" t="s">
        <v>5778</v>
      </c>
      <c r="WOD1894" t="s">
        <v>5779</v>
      </c>
      <c r="WOG1894">
        <v>44583</v>
      </c>
      <c r="WOH1894">
        <v>0</v>
      </c>
      <c r="WOI1894" t="s">
        <v>5778</v>
      </c>
      <c r="WOJ1894" t="s">
        <v>5778</v>
      </c>
      <c r="WOK1894" t="s">
        <v>5778</v>
      </c>
      <c r="WOL1894" t="s">
        <v>5779</v>
      </c>
      <c r="WOO1894">
        <v>44583</v>
      </c>
      <c r="WOP1894">
        <v>0</v>
      </c>
      <c r="WOQ1894" t="s">
        <v>5778</v>
      </c>
      <c r="WOR1894" t="s">
        <v>5778</v>
      </c>
      <c r="WOS1894" t="s">
        <v>5778</v>
      </c>
      <c r="WOT1894" t="s">
        <v>5779</v>
      </c>
      <c r="WOW1894">
        <v>44583</v>
      </c>
      <c r="WOX1894">
        <v>0</v>
      </c>
      <c r="WOY1894" t="s">
        <v>5778</v>
      </c>
      <c r="WOZ1894" t="s">
        <v>5778</v>
      </c>
      <c r="WPA1894" t="s">
        <v>5778</v>
      </c>
      <c r="WPB1894" t="s">
        <v>5779</v>
      </c>
      <c r="WPE1894">
        <v>44583</v>
      </c>
      <c r="WPF1894">
        <v>0</v>
      </c>
      <c r="WPG1894" t="s">
        <v>5778</v>
      </c>
      <c r="WPH1894" t="s">
        <v>5778</v>
      </c>
      <c r="WPI1894" t="s">
        <v>5778</v>
      </c>
      <c r="WPJ1894" t="s">
        <v>5779</v>
      </c>
      <c r="WPM1894">
        <v>44583</v>
      </c>
      <c r="WPN1894">
        <v>0</v>
      </c>
      <c r="WPO1894" t="s">
        <v>5778</v>
      </c>
      <c r="WPP1894" t="s">
        <v>5778</v>
      </c>
      <c r="WPQ1894" t="s">
        <v>5778</v>
      </c>
      <c r="WPR1894" t="s">
        <v>5779</v>
      </c>
      <c r="WPU1894">
        <v>44583</v>
      </c>
      <c r="WPV1894">
        <v>0</v>
      </c>
      <c r="WPW1894" t="s">
        <v>5778</v>
      </c>
      <c r="WPX1894" t="s">
        <v>5778</v>
      </c>
      <c r="WPY1894" t="s">
        <v>5778</v>
      </c>
      <c r="WPZ1894" t="s">
        <v>5779</v>
      </c>
      <c r="WQC1894">
        <v>44583</v>
      </c>
      <c r="WQD1894">
        <v>0</v>
      </c>
      <c r="WQE1894" t="s">
        <v>5778</v>
      </c>
      <c r="WQF1894" t="s">
        <v>5778</v>
      </c>
      <c r="WQG1894" t="s">
        <v>5778</v>
      </c>
      <c r="WQH1894" t="s">
        <v>5779</v>
      </c>
      <c r="WQK1894">
        <v>44583</v>
      </c>
      <c r="WQL1894">
        <v>0</v>
      </c>
      <c r="WQM1894" t="s">
        <v>5778</v>
      </c>
      <c r="WQN1894" t="s">
        <v>5778</v>
      </c>
      <c r="WQO1894" t="s">
        <v>5778</v>
      </c>
      <c r="WQP1894" t="s">
        <v>5779</v>
      </c>
      <c r="WQS1894">
        <v>44583</v>
      </c>
      <c r="WQT1894">
        <v>0</v>
      </c>
      <c r="WQU1894" t="s">
        <v>5778</v>
      </c>
      <c r="WQV1894" t="s">
        <v>5778</v>
      </c>
      <c r="WQW1894" t="s">
        <v>5778</v>
      </c>
      <c r="WQX1894" t="s">
        <v>5779</v>
      </c>
      <c r="WRA1894">
        <v>44583</v>
      </c>
      <c r="WRB1894">
        <v>0</v>
      </c>
      <c r="WRC1894" t="s">
        <v>5778</v>
      </c>
      <c r="WRD1894" t="s">
        <v>5778</v>
      </c>
      <c r="WRE1894" t="s">
        <v>5778</v>
      </c>
      <c r="WRF1894" t="s">
        <v>5779</v>
      </c>
      <c r="WRI1894">
        <v>44583</v>
      </c>
      <c r="WRJ1894">
        <v>0</v>
      </c>
      <c r="WRK1894" t="s">
        <v>5778</v>
      </c>
      <c r="WRL1894" t="s">
        <v>5778</v>
      </c>
      <c r="WRM1894" t="s">
        <v>5778</v>
      </c>
      <c r="WRN1894" t="s">
        <v>5779</v>
      </c>
      <c r="WRQ1894">
        <v>44583</v>
      </c>
      <c r="WRR1894">
        <v>0</v>
      </c>
      <c r="WRS1894" t="s">
        <v>5778</v>
      </c>
      <c r="WRT1894" t="s">
        <v>5778</v>
      </c>
      <c r="WRU1894" t="s">
        <v>5778</v>
      </c>
      <c r="WRV1894" t="s">
        <v>5779</v>
      </c>
      <c r="WRY1894">
        <v>44583</v>
      </c>
      <c r="WRZ1894">
        <v>0</v>
      </c>
      <c r="WSA1894" t="s">
        <v>5778</v>
      </c>
      <c r="WSB1894" t="s">
        <v>5778</v>
      </c>
      <c r="WSC1894" t="s">
        <v>5778</v>
      </c>
      <c r="WSD1894" t="s">
        <v>5779</v>
      </c>
      <c r="WSG1894">
        <v>44583</v>
      </c>
      <c r="WSH1894">
        <v>0</v>
      </c>
      <c r="WSI1894" t="s">
        <v>5778</v>
      </c>
      <c r="WSJ1894" t="s">
        <v>5778</v>
      </c>
      <c r="WSK1894" t="s">
        <v>5778</v>
      </c>
      <c r="WSL1894" t="s">
        <v>5779</v>
      </c>
      <c r="WSO1894">
        <v>44583</v>
      </c>
      <c r="WSP1894">
        <v>0</v>
      </c>
      <c r="WSQ1894" t="s">
        <v>5778</v>
      </c>
      <c r="WSR1894" t="s">
        <v>5778</v>
      </c>
      <c r="WSS1894" t="s">
        <v>5778</v>
      </c>
      <c r="WST1894" t="s">
        <v>5779</v>
      </c>
      <c r="WSW1894">
        <v>44583</v>
      </c>
      <c r="WSX1894">
        <v>0</v>
      </c>
      <c r="WSY1894" t="s">
        <v>5778</v>
      </c>
      <c r="WSZ1894" t="s">
        <v>5778</v>
      </c>
      <c r="WTA1894" t="s">
        <v>5778</v>
      </c>
      <c r="WTB1894" t="s">
        <v>5779</v>
      </c>
      <c r="WTE1894">
        <v>44583</v>
      </c>
      <c r="WTF1894">
        <v>0</v>
      </c>
      <c r="WTG1894" t="s">
        <v>5778</v>
      </c>
      <c r="WTH1894" t="s">
        <v>5778</v>
      </c>
      <c r="WTI1894" t="s">
        <v>5778</v>
      </c>
      <c r="WTJ1894" t="s">
        <v>5779</v>
      </c>
      <c r="WTM1894">
        <v>44583</v>
      </c>
      <c r="WTN1894">
        <v>0</v>
      </c>
      <c r="WTO1894" t="s">
        <v>5778</v>
      </c>
      <c r="WTP1894" t="s">
        <v>5778</v>
      </c>
      <c r="WTQ1894" t="s">
        <v>5778</v>
      </c>
      <c r="WTR1894" t="s">
        <v>5779</v>
      </c>
      <c r="WTU1894">
        <v>44583</v>
      </c>
      <c r="WTV1894">
        <v>0</v>
      </c>
      <c r="WTW1894" t="s">
        <v>5778</v>
      </c>
      <c r="WTX1894" t="s">
        <v>5778</v>
      </c>
      <c r="WTY1894" t="s">
        <v>5778</v>
      </c>
      <c r="WTZ1894" t="s">
        <v>5779</v>
      </c>
      <c r="WUC1894">
        <v>44583</v>
      </c>
      <c r="WUD1894">
        <v>0</v>
      </c>
      <c r="WUE1894" t="s">
        <v>5778</v>
      </c>
      <c r="WUF1894" t="s">
        <v>5778</v>
      </c>
      <c r="WUG1894" t="s">
        <v>5778</v>
      </c>
      <c r="WUH1894" t="s">
        <v>5779</v>
      </c>
      <c r="WUK1894">
        <v>44583</v>
      </c>
      <c r="WUL1894">
        <v>0</v>
      </c>
      <c r="WUM1894" t="s">
        <v>5778</v>
      </c>
      <c r="WUN1894" t="s">
        <v>5778</v>
      </c>
      <c r="WUO1894" t="s">
        <v>5778</v>
      </c>
      <c r="WUP1894" t="s">
        <v>5779</v>
      </c>
      <c r="WUS1894">
        <v>44583</v>
      </c>
      <c r="WUT1894">
        <v>0</v>
      </c>
      <c r="WUU1894" t="s">
        <v>5778</v>
      </c>
      <c r="WUV1894" t="s">
        <v>5778</v>
      </c>
      <c r="WUW1894" t="s">
        <v>5778</v>
      </c>
      <c r="WUX1894" t="s">
        <v>5779</v>
      </c>
      <c r="WVA1894">
        <v>44583</v>
      </c>
      <c r="WVB1894">
        <v>0</v>
      </c>
      <c r="WVC1894" t="s">
        <v>5778</v>
      </c>
      <c r="WVD1894" t="s">
        <v>5778</v>
      </c>
      <c r="WVE1894" t="s">
        <v>5778</v>
      </c>
      <c r="WVF1894" t="s">
        <v>5779</v>
      </c>
      <c r="WVI1894">
        <v>44583</v>
      </c>
      <c r="WVJ1894">
        <v>0</v>
      </c>
      <c r="WVK1894" t="s">
        <v>5778</v>
      </c>
      <c r="WVL1894" t="s">
        <v>5778</v>
      </c>
      <c r="WVM1894" t="s">
        <v>5778</v>
      </c>
      <c r="WVN1894" t="s">
        <v>5779</v>
      </c>
      <c r="WVQ1894">
        <v>44583</v>
      </c>
      <c r="WVR1894">
        <v>0</v>
      </c>
      <c r="WVS1894" t="s">
        <v>5778</v>
      </c>
      <c r="WVT1894" t="s">
        <v>5778</v>
      </c>
      <c r="WVU1894" t="s">
        <v>5778</v>
      </c>
      <c r="WVV1894" t="s">
        <v>5779</v>
      </c>
      <c r="WVY1894">
        <v>44583</v>
      </c>
      <c r="WVZ1894">
        <v>0</v>
      </c>
      <c r="WWA1894" t="s">
        <v>5778</v>
      </c>
      <c r="WWB1894" t="s">
        <v>5778</v>
      </c>
      <c r="WWC1894" t="s">
        <v>5778</v>
      </c>
      <c r="WWD1894" t="s">
        <v>5779</v>
      </c>
      <c r="WWG1894">
        <v>44583</v>
      </c>
      <c r="WWH1894">
        <v>0</v>
      </c>
      <c r="WWI1894" t="s">
        <v>5778</v>
      </c>
      <c r="WWJ1894" t="s">
        <v>5778</v>
      </c>
      <c r="WWK1894" t="s">
        <v>5778</v>
      </c>
      <c r="WWL1894" t="s">
        <v>5779</v>
      </c>
      <c r="WWO1894">
        <v>44583</v>
      </c>
      <c r="WWP1894">
        <v>0</v>
      </c>
      <c r="WWQ1894" t="s">
        <v>5778</v>
      </c>
      <c r="WWR1894" t="s">
        <v>5778</v>
      </c>
      <c r="WWS1894" t="s">
        <v>5778</v>
      </c>
      <c r="WWT1894" t="s">
        <v>5779</v>
      </c>
      <c r="WWW1894">
        <v>44583</v>
      </c>
      <c r="WWX1894">
        <v>0</v>
      </c>
      <c r="WWY1894" t="s">
        <v>5778</v>
      </c>
      <c r="WWZ1894" t="s">
        <v>5778</v>
      </c>
      <c r="WXA1894" t="s">
        <v>5778</v>
      </c>
      <c r="WXB1894" t="s">
        <v>5779</v>
      </c>
      <c r="WXE1894">
        <v>44583</v>
      </c>
      <c r="WXF1894">
        <v>0</v>
      </c>
      <c r="WXG1894" t="s">
        <v>5778</v>
      </c>
      <c r="WXH1894" t="s">
        <v>5778</v>
      </c>
      <c r="WXI1894" t="s">
        <v>5778</v>
      </c>
      <c r="WXJ1894" t="s">
        <v>5779</v>
      </c>
      <c r="WXM1894">
        <v>44583</v>
      </c>
      <c r="WXN1894">
        <v>0</v>
      </c>
      <c r="WXO1894" t="s">
        <v>5778</v>
      </c>
      <c r="WXP1894" t="s">
        <v>5778</v>
      </c>
      <c r="WXQ1894" t="s">
        <v>5778</v>
      </c>
      <c r="WXR1894" t="s">
        <v>5779</v>
      </c>
      <c r="WXU1894">
        <v>44583</v>
      </c>
      <c r="WXV1894">
        <v>0</v>
      </c>
      <c r="WXW1894" t="s">
        <v>5778</v>
      </c>
      <c r="WXX1894" t="s">
        <v>5778</v>
      </c>
      <c r="WXY1894" t="s">
        <v>5778</v>
      </c>
      <c r="WXZ1894" t="s">
        <v>5779</v>
      </c>
      <c r="WYC1894">
        <v>44583</v>
      </c>
      <c r="WYD1894">
        <v>0</v>
      </c>
      <c r="WYE1894" t="s">
        <v>5778</v>
      </c>
      <c r="WYF1894" t="s">
        <v>5778</v>
      </c>
      <c r="WYG1894" t="s">
        <v>5778</v>
      </c>
      <c r="WYH1894" t="s">
        <v>5779</v>
      </c>
      <c r="WYK1894">
        <v>44583</v>
      </c>
      <c r="WYL1894">
        <v>0</v>
      </c>
      <c r="WYM1894" t="s">
        <v>5778</v>
      </c>
      <c r="WYN1894" t="s">
        <v>5778</v>
      </c>
      <c r="WYO1894" t="s">
        <v>5778</v>
      </c>
      <c r="WYP1894" t="s">
        <v>5779</v>
      </c>
      <c r="WYS1894">
        <v>44583</v>
      </c>
      <c r="WYT1894">
        <v>0</v>
      </c>
      <c r="WYU1894" t="s">
        <v>5778</v>
      </c>
      <c r="WYV1894" t="s">
        <v>5778</v>
      </c>
      <c r="WYW1894" t="s">
        <v>5778</v>
      </c>
      <c r="WYX1894" t="s">
        <v>5779</v>
      </c>
      <c r="WZA1894">
        <v>44583</v>
      </c>
      <c r="WZB1894">
        <v>0</v>
      </c>
      <c r="WZC1894" t="s">
        <v>5778</v>
      </c>
      <c r="WZD1894" t="s">
        <v>5778</v>
      </c>
      <c r="WZE1894" t="s">
        <v>5778</v>
      </c>
      <c r="WZF1894" t="s">
        <v>5779</v>
      </c>
      <c r="WZI1894">
        <v>44583</v>
      </c>
      <c r="WZJ1894">
        <v>0</v>
      </c>
      <c r="WZK1894" t="s">
        <v>5778</v>
      </c>
      <c r="WZL1894" t="s">
        <v>5778</v>
      </c>
      <c r="WZM1894" t="s">
        <v>5778</v>
      </c>
      <c r="WZN1894" t="s">
        <v>5779</v>
      </c>
      <c r="WZQ1894">
        <v>44583</v>
      </c>
      <c r="WZR1894">
        <v>0</v>
      </c>
      <c r="WZS1894" t="s">
        <v>5778</v>
      </c>
      <c r="WZT1894" t="s">
        <v>5778</v>
      </c>
      <c r="WZU1894" t="s">
        <v>5778</v>
      </c>
      <c r="WZV1894" t="s">
        <v>5779</v>
      </c>
      <c r="WZY1894">
        <v>44583</v>
      </c>
      <c r="WZZ1894">
        <v>0</v>
      </c>
      <c r="XAA1894" t="s">
        <v>5778</v>
      </c>
      <c r="XAB1894" t="s">
        <v>5778</v>
      </c>
      <c r="XAC1894" t="s">
        <v>5778</v>
      </c>
      <c r="XAD1894" t="s">
        <v>5779</v>
      </c>
      <c r="XAG1894">
        <v>44583</v>
      </c>
      <c r="XAH1894">
        <v>0</v>
      </c>
      <c r="XAI1894" t="s">
        <v>5778</v>
      </c>
      <c r="XAJ1894" t="s">
        <v>5778</v>
      </c>
      <c r="XAK1894" t="s">
        <v>5778</v>
      </c>
      <c r="XAL1894" t="s">
        <v>5779</v>
      </c>
      <c r="XAO1894">
        <v>44583</v>
      </c>
      <c r="XAP1894">
        <v>0</v>
      </c>
      <c r="XAQ1894" t="s">
        <v>5778</v>
      </c>
      <c r="XAR1894" t="s">
        <v>5778</v>
      </c>
      <c r="XAS1894" t="s">
        <v>5778</v>
      </c>
      <c r="XAT1894" t="s">
        <v>5779</v>
      </c>
      <c r="XAW1894">
        <v>44583</v>
      </c>
      <c r="XAX1894">
        <v>0</v>
      </c>
      <c r="XAY1894" t="s">
        <v>5778</v>
      </c>
      <c r="XAZ1894" t="s">
        <v>5778</v>
      </c>
      <c r="XBA1894" t="s">
        <v>5778</v>
      </c>
      <c r="XBB1894" t="s">
        <v>5779</v>
      </c>
      <c r="XBE1894">
        <v>44583</v>
      </c>
      <c r="XBF1894">
        <v>0</v>
      </c>
      <c r="XBG1894" t="s">
        <v>5778</v>
      </c>
      <c r="XBH1894" t="s">
        <v>5778</v>
      </c>
      <c r="XBI1894" t="s">
        <v>5778</v>
      </c>
      <c r="XBJ1894" t="s">
        <v>5779</v>
      </c>
      <c r="XBM1894">
        <v>44583</v>
      </c>
      <c r="XBN1894">
        <v>0</v>
      </c>
      <c r="XBO1894" t="s">
        <v>5778</v>
      </c>
      <c r="XBP1894" t="s">
        <v>5778</v>
      </c>
      <c r="XBQ1894" t="s">
        <v>5778</v>
      </c>
      <c r="XBR1894" t="s">
        <v>5779</v>
      </c>
      <c r="XBU1894">
        <v>44583</v>
      </c>
      <c r="XBV1894">
        <v>0</v>
      </c>
      <c r="XBW1894" t="s">
        <v>5778</v>
      </c>
      <c r="XBX1894" t="s">
        <v>5778</v>
      </c>
      <c r="XBY1894" t="s">
        <v>5778</v>
      </c>
      <c r="XBZ1894" t="s">
        <v>5779</v>
      </c>
      <c r="XCC1894">
        <v>44583</v>
      </c>
      <c r="XCD1894">
        <v>0</v>
      </c>
      <c r="XCE1894" t="s">
        <v>5778</v>
      </c>
      <c r="XCF1894" t="s">
        <v>5778</v>
      </c>
      <c r="XCG1894" t="s">
        <v>5778</v>
      </c>
      <c r="XCH1894" t="s">
        <v>5779</v>
      </c>
      <c r="XCK1894">
        <v>44583</v>
      </c>
      <c r="XCL1894">
        <v>0</v>
      </c>
      <c r="XCM1894" t="s">
        <v>5778</v>
      </c>
      <c r="XCN1894" t="s">
        <v>5778</v>
      </c>
      <c r="XCO1894" t="s">
        <v>5778</v>
      </c>
      <c r="XCP1894" t="s">
        <v>5779</v>
      </c>
      <c r="XCS1894">
        <v>44583</v>
      </c>
      <c r="XCT1894">
        <v>0</v>
      </c>
      <c r="XCU1894" t="s">
        <v>5778</v>
      </c>
      <c r="XCV1894" t="s">
        <v>5778</v>
      </c>
      <c r="XCW1894" t="s">
        <v>5778</v>
      </c>
      <c r="XCX1894" t="s">
        <v>5779</v>
      </c>
      <c r="XDA1894">
        <v>44583</v>
      </c>
      <c r="XDB1894">
        <v>0</v>
      </c>
      <c r="XDC1894" t="s">
        <v>5778</v>
      </c>
      <c r="XDD1894" t="s">
        <v>5778</v>
      </c>
      <c r="XDE1894" t="s">
        <v>5778</v>
      </c>
      <c r="XDF1894" t="s">
        <v>5779</v>
      </c>
      <c r="XDI1894">
        <v>44583</v>
      </c>
      <c r="XDJ1894">
        <v>0</v>
      </c>
      <c r="XDK1894" t="s">
        <v>5778</v>
      </c>
      <c r="XDL1894" t="s">
        <v>5778</v>
      </c>
      <c r="XDM1894" t="s">
        <v>5778</v>
      </c>
      <c r="XDN1894" t="s">
        <v>5779</v>
      </c>
      <c r="XDQ1894">
        <v>44583</v>
      </c>
      <c r="XDR1894">
        <v>0</v>
      </c>
      <c r="XDS1894" t="s">
        <v>5778</v>
      </c>
      <c r="XDT1894" t="s">
        <v>5778</v>
      </c>
      <c r="XDU1894" t="s">
        <v>5778</v>
      </c>
      <c r="XDV1894" t="s">
        <v>5779</v>
      </c>
      <c r="XDY1894">
        <v>44583</v>
      </c>
      <c r="XDZ1894">
        <v>0</v>
      </c>
      <c r="XEA1894" t="s">
        <v>5778</v>
      </c>
      <c r="XEB1894" t="s">
        <v>5778</v>
      </c>
      <c r="XEC1894" t="s">
        <v>5778</v>
      </c>
      <c r="XED1894" t="s">
        <v>5779</v>
      </c>
      <c r="XEG1894">
        <v>44583</v>
      </c>
      <c r="XEH1894">
        <v>0</v>
      </c>
      <c r="XEI1894" t="s">
        <v>5778</v>
      </c>
      <c r="XEJ1894" t="s">
        <v>5778</v>
      </c>
      <c r="XEK1894" t="s">
        <v>5778</v>
      </c>
      <c r="XEL1894" t="s">
        <v>5779</v>
      </c>
      <c r="XEO1894">
        <v>44583</v>
      </c>
      <c r="XEP1894">
        <v>0</v>
      </c>
      <c r="XEQ1894" t="s">
        <v>5778</v>
      </c>
      <c r="XER1894" t="s">
        <v>5778</v>
      </c>
      <c r="XES1894" t="s">
        <v>5778</v>
      </c>
      <c r="XET1894" t="s">
        <v>5779</v>
      </c>
      <c r="XEW1894">
        <v>44583</v>
      </c>
      <c r="XEX1894">
        <v>0</v>
      </c>
      <c r="XEY1894" t="s">
        <v>5778</v>
      </c>
      <c r="XEZ1894" t="s">
        <v>5778</v>
      </c>
      <c r="XFA1894" t="s">
        <v>5778</v>
      </c>
      <c r="XFB1894" t="s">
        <v>5779</v>
      </c>
    </row>
    <row r="1895" spans="1:1022 1025:2046 2049:3070 3073:4094 4097:5118 5121:6142 6145:7166 7169:8190 8193:9214 9217:10238 10241:11262 11265:12286 12289:13310 13313:14334 14337:15358 15361:16382" x14ac:dyDescent="0.25">
      <c r="A1895" s="40">
        <v>44015</v>
      </c>
      <c r="B1895" s="72"/>
      <c r="C1895" s="72" t="s">
        <v>4204</v>
      </c>
      <c r="D1895" s="72"/>
      <c r="E1895" s="72" t="s">
        <v>4205</v>
      </c>
      <c r="F1895" s="72" t="s">
        <v>4206</v>
      </c>
    </row>
  </sheetData>
  <conditionalFormatting sqref="C24:C1048576 C1:C7 C9:C22">
    <cfRule type="duplicateValues" dxfId="9" priority="29" stopIfTrue="1"/>
  </conditionalFormatting>
  <conditionalFormatting sqref="C1790:C1794">
    <cfRule type="duplicateValues" dxfId="8" priority="8" stopIfTrue="1"/>
  </conditionalFormatting>
  <conditionalFormatting sqref="C1842:C1850 C1830:C1840 C1795:C1828">
    <cfRule type="duplicateValues" dxfId="7" priority="7"/>
  </conditionalFormatting>
  <conditionalFormatting sqref="C1829">
    <cfRule type="duplicateValues" dxfId="6" priority="6"/>
  </conditionalFormatting>
  <conditionalFormatting sqref="C1851">
    <cfRule type="duplicateValues" dxfId="5" priority="5" stopIfTrue="1"/>
  </conditionalFormatting>
  <conditionalFormatting sqref="C1852:C1853">
    <cfRule type="duplicateValues" dxfId="4" priority="3" stopIfTrue="1"/>
  </conditionalFormatting>
  <conditionalFormatting sqref="C1852:C1853">
    <cfRule type="duplicateValues" dxfId="3" priority="4" stopIfTrue="1"/>
  </conditionalFormatting>
  <conditionalFormatting sqref="C23">
    <cfRule type="duplicateValues" dxfId="2" priority="2"/>
  </conditionalFormatting>
  <conditionalFormatting sqref="C8">
    <cfRule type="duplicateValues" dxfId="1" priority="1" stopIfTrue="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43"/>
  <sheetViews>
    <sheetView workbookViewId="0">
      <selection activeCell="H19" sqref="H19"/>
    </sheetView>
  </sheetViews>
  <sheetFormatPr baseColWidth="10" defaultRowHeight="15" x14ac:dyDescent="0.25"/>
  <cols>
    <col min="1" max="1" width="14.7109375" customWidth="1"/>
    <col min="2" max="2" width="15.5703125" customWidth="1"/>
  </cols>
  <sheetData>
    <row r="1" spans="1:2" ht="15.75" x14ac:dyDescent="0.25">
      <c r="A1" s="65" t="s">
        <v>0</v>
      </c>
      <c r="B1" s="65" t="s">
        <v>1</v>
      </c>
    </row>
    <row r="2" spans="1:2" x14ac:dyDescent="0.25">
      <c r="A2" t="s">
        <v>2</v>
      </c>
      <c r="B2" t="s">
        <v>2</v>
      </c>
    </row>
    <row r="3" spans="1:2" x14ac:dyDescent="0.25">
      <c r="A3" t="s">
        <v>3</v>
      </c>
      <c r="B3" t="s">
        <v>3</v>
      </c>
    </row>
    <row r="4" spans="1:2" x14ac:dyDescent="0.25">
      <c r="A4" t="s">
        <v>4</v>
      </c>
      <c r="B4" t="s">
        <v>6</v>
      </c>
    </row>
    <row r="5" spans="1:2" x14ac:dyDescent="0.25">
      <c r="A5" t="s">
        <v>5</v>
      </c>
      <c r="B5" t="s">
        <v>6</v>
      </c>
    </row>
    <row r="6" spans="1:2" x14ac:dyDescent="0.25">
      <c r="A6" t="s">
        <v>7</v>
      </c>
      <c r="B6" t="s">
        <v>6</v>
      </c>
    </row>
    <row r="7" spans="1:2" x14ac:dyDescent="0.25">
      <c r="A7" t="s">
        <v>8</v>
      </c>
      <c r="B7" t="s">
        <v>6</v>
      </c>
    </row>
    <row r="8" spans="1:2" x14ac:dyDescent="0.25">
      <c r="A8" t="s">
        <v>9</v>
      </c>
      <c r="B8" t="s">
        <v>10</v>
      </c>
    </row>
    <row r="9" spans="1:2" x14ac:dyDescent="0.25">
      <c r="A9" t="s">
        <v>11</v>
      </c>
      <c r="B9" t="s">
        <v>6</v>
      </c>
    </row>
    <row r="10" spans="1:2" x14ac:dyDescent="0.25">
      <c r="A10" t="s">
        <v>12</v>
      </c>
      <c r="B10" t="s">
        <v>13</v>
      </c>
    </row>
    <row r="11" spans="1:2" x14ac:dyDescent="0.25">
      <c r="A11" t="s">
        <v>14</v>
      </c>
      <c r="B11" t="s">
        <v>15</v>
      </c>
    </row>
    <row r="12" spans="1:2" x14ac:dyDescent="0.25">
      <c r="A12" t="s">
        <v>16</v>
      </c>
      <c r="B12" t="s">
        <v>33</v>
      </c>
    </row>
    <row r="13" spans="1:2" x14ac:dyDescent="0.25">
      <c r="A13" t="s">
        <v>17</v>
      </c>
      <c r="B13" t="s">
        <v>18</v>
      </c>
    </row>
    <row r="14" spans="1:2" x14ac:dyDescent="0.25">
      <c r="A14" t="s">
        <v>19</v>
      </c>
      <c r="B14" t="s">
        <v>20</v>
      </c>
    </row>
    <row r="15" spans="1:2" x14ac:dyDescent="0.25">
      <c r="A15" t="s">
        <v>21</v>
      </c>
      <c r="B15" t="s">
        <v>20</v>
      </c>
    </row>
    <row r="16" spans="1:2" x14ac:dyDescent="0.25">
      <c r="A16" t="s">
        <v>22</v>
      </c>
      <c r="B16" t="s">
        <v>20</v>
      </c>
    </row>
    <row r="17" spans="1:2" x14ac:dyDescent="0.25">
      <c r="A17" t="s">
        <v>23</v>
      </c>
      <c r="B17" t="s">
        <v>33</v>
      </c>
    </row>
    <row r="18" spans="1:2" x14ac:dyDescent="0.25">
      <c r="A18" t="s">
        <v>24</v>
      </c>
      <c r="B18" t="s">
        <v>33</v>
      </c>
    </row>
    <row r="19" spans="1:2" x14ac:dyDescent="0.25">
      <c r="A19" t="s">
        <v>25</v>
      </c>
      <c r="B19" t="s">
        <v>33</v>
      </c>
    </row>
    <row r="20" spans="1:2" x14ac:dyDescent="0.25">
      <c r="A20" t="s">
        <v>26</v>
      </c>
      <c r="B20" t="s">
        <v>27</v>
      </c>
    </row>
    <row r="21" spans="1:2" x14ac:dyDescent="0.25">
      <c r="A21" t="s">
        <v>28</v>
      </c>
      <c r="B21" t="s">
        <v>29</v>
      </c>
    </row>
    <row r="22" spans="1:2" x14ac:dyDescent="0.25">
      <c r="A22" t="s">
        <v>30</v>
      </c>
      <c r="B22" t="s">
        <v>33</v>
      </c>
    </row>
    <row r="23" spans="1:2" x14ac:dyDescent="0.25">
      <c r="A23" t="s">
        <v>31</v>
      </c>
      <c r="B23" t="s">
        <v>33</v>
      </c>
    </row>
    <row r="24" spans="1:2" x14ac:dyDescent="0.25">
      <c r="A24" t="s">
        <v>32</v>
      </c>
      <c r="B24" t="s">
        <v>33</v>
      </c>
    </row>
    <row r="25" spans="1:2" x14ac:dyDescent="0.25">
      <c r="A25" t="s">
        <v>34</v>
      </c>
      <c r="B25" t="s">
        <v>33</v>
      </c>
    </row>
    <row r="26" spans="1:2" x14ac:dyDescent="0.25">
      <c r="A26" t="s">
        <v>35</v>
      </c>
      <c r="B26" t="s">
        <v>36</v>
      </c>
    </row>
    <row r="27" spans="1:2" x14ac:dyDescent="0.25">
      <c r="A27" t="s">
        <v>37</v>
      </c>
      <c r="B27" t="s">
        <v>5788</v>
      </c>
    </row>
    <row r="28" spans="1:2" x14ac:dyDescent="0.25">
      <c r="A28" t="s">
        <v>38</v>
      </c>
      <c r="B28" t="s">
        <v>5789</v>
      </c>
    </row>
    <row r="29" spans="1:2" x14ac:dyDescent="0.25">
      <c r="A29" t="s">
        <v>39</v>
      </c>
      <c r="B29" t="s">
        <v>40</v>
      </c>
    </row>
    <row r="30" spans="1:2" x14ac:dyDescent="0.25">
      <c r="A30" t="s">
        <v>41</v>
      </c>
      <c r="B30" t="s">
        <v>40</v>
      </c>
    </row>
    <row r="31" spans="1:2" x14ac:dyDescent="0.25">
      <c r="A31" t="s">
        <v>42</v>
      </c>
      <c r="B31" t="s">
        <v>43</v>
      </c>
    </row>
    <row r="32" spans="1:2" x14ac:dyDescent="0.25">
      <c r="A32" t="s">
        <v>44</v>
      </c>
      <c r="B32" t="s">
        <v>5790</v>
      </c>
    </row>
    <row r="33" spans="1:2" x14ac:dyDescent="0.25">
      <c r="A33" t="s">
        <v>45</v>
      </c>
      <c r="B33" t="s">
        <v>46</v>
      </c>
    </row>
    <row r="34" spans="1:2" x14ac:dyDescent="0.25">
      <c r="A34" t="s">
        <v>47</v>
      </c>
      <c r="B34" t="s">
        <v>46</v>
      </c>
    </row>
    <row r="35" spans="1:2" x14ac:dyDescent="0.25">
      <c r="A35" t="s">
        <v>48</v>
      </c>
      <c r="B35" t="s">
        <v>46</v>
      </c>
    </row>
    <row r="36" spans="1:2" x14ac:dyDescent="0.25">
      <c r="A36" t="s">
        <v>49</v>
      </c>
      <c r="B36" s="55" t="s">
        <v>53</v>
      </c>
    </row>
    <row r="37" spans="1:2" x14ac:dyDescent="0.25">
      <c r="A37" t="s">
        <v>50</v>
      </c>
      <c r="B37" s="55" t="s">
        <v>53</v>
      </c>
    </row>
    <row r="38" spans="1:2" x14ac:dyDescent="0.25">
      <c r="A38" t="s">
        <v>51</v>
      </c>
      <c r="B38" s="55" t="s">
        <v>53</v>
      </c>
    </row>
    <row r="39" spans="1:2" x14ac:dyDescent="0.25">
      <c r="A39" t="s">
        <v>52</v>
      </c>
      <c r="B39" t="s">
        <v>53</v>
      </c>
    </row>
    <row r="40" spans="1:2" x14ac:dyDescent="0.25">
      <c r="A40" t="s">
        <v>54</v>
      </c>
      <c r="B40" t="s">
        <v>55</v>
      </c>
    </row>
    <row r="41" spans="1:2" x14ac:dyDescent="0.25">
      <c r="A41" t="s">
        <v>56</v>
      </c>
      <c r="B41" t="s">
        <v>57</v>
      </c>
    </row>
    <row r="42" spans="1:2" x14ac:dyDescent="0.25">
      <c r="A42" t="s">
        <v>58</v>
      </c>
      <c r="B42" t="s">
        <v>57</v>
      </c>
    </row>
    <row r="43" spans="1:2" x14ac:dyDescent="0.25">
      <c r="A43" t="s">
        <v>59</v>
      </c>
      <c r="B43" t="s">
        <v>57</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F78"/>
  <sheetViews>
    <sheetView workbookViewId="0">
      <selection activeCell="A2" sqref="A2:A78"/>
    </sheetView>
  </sheetViews>
  <sheetFormatPr baseColWidth="10" defaultRowHeight="15" x14ac:dyDescent="0.25"/>
  <cols>
    <col min="1" max="1" width="62" bestFit="1" customWidth="1"/>
    <col min="2" max="2" width="13.42578125" bestFit="1" customWidth="1"/>
    <col min="4" max="4" width="55.7109375" bestFit="1" customWidth="1"/>
    <col min="5" max="5" width="17.28515625" bestFit="1" customWidth="1"/>
    <col min="6" max="6" width="16.42578125" bestFit="1" customWidth="1"/>
  </cols>
  <sheetData>
    <row r="1" spans="1:6" s="14" customFormat="1" ht="21" customHeight="1" x14ac:dyDescent="0.25">
      <c r="A1" s="13" t="s">
        <v>4511</v>
      </c>
      <c r="B1" s="14" t="s">
        <v>4510</v>
      </c>
      <c r="C1" s="13" t="s">
        <v>3457</v>
      </c>
      <c r="D1" s="13" t="s">
        <v>4507</v>
      </c>
      <c r="E1" s="14" t="s">
        <v>4509</v>
      </c>
      <c r="F1" s="14" t="s">
        <v>4444</v>
      </c>
    </row>
    <row r="2" spans="1:6" x14ac:dyDescent="0.25">
      <c r="A2" t="s">
        <v>4210</v>
      </c>
      <c r="B2" t="s">
        <v>4211</v>
      </c>
      <c r="C2" t="s">
        <v>4207</v>
      </c>
      <c r="D2" t="s">
        <v>4212</v>
      </c>
      <c r="E2" t="s">
        <v>5787</v>
      </c>
    </row>
    <row r="3" spans="1:6" x14ac:dyDescent="0.25">
      <c r="A3" t="s">
        <v>4213</v>
      </c>
      <c r="B3" t="s">
        <v>4214</v>
      </c>
      <c r="C3" t="s">
        <v>4215</v>
      </c>
      <c r="D3" t="s">
        <v>4216</v>
      </c>
      <c r="E3" t="s">
        <v>140</v>
      </c>
    </row>
    <row r="4" spans="1:6" x14ac:dyDescent="0.25">
      <c r="A4" t="s">
        <v>4217</v>
      </c>
      <c r="B4" t="s">
        <v>4218</v>
      </c>
      <c r="C4" t="s">
        <v>4219</v>
      </c>
      <c r="D4" t="s">
        <v>4220</v>
      </c>
      <c r="E4" t="s">
        <v>4221</v>
      </c>
    </row>
    <row r="5" spans="1:6" x14ac:dyDescent="0.25">
      <c r="A5" t="s">
        <v>4222</v>
      </c>
      <c r="B5" t="s">
        <v>4223</v>
      </c>
      <c r="C5" t="s">
        <v>4219</v>
      </c>
      <c r="D5" t="s">
        <v>4224</v>
      </c>
      <c r="E5" t="s">
        <v>4225</v>
      </c>
    </row>
    <row r="6" spans="1:6" x14ac:dyDescent="0.25">
      <c r="A6" t="s">
        <v>4226</v>
      </c>
      <c r="B6" t="s">
        <v>3479</v>
      </c>
      <c r="C6" t="s">
        <v>4227</v>
      </c>
      <c r="D6" t="s">
        <v>4228</v>
      </c>
      <c r="E6" t="s">
        <v>455</v>
      </c>
    </row>
    <row r="7" spans="1:6" x14ac:dyDescent="0.25">
      <c r="A7" t="s">
        <v>4229</v>
      </c>
      <c r="B7" t="s">
        <v>4230</v>
      </c>
      <c r="C7" t="s">
        <v>4231</v>
      </c>
      <c r="D7" t="s">
        <v>4232</v>
      </c>
      <c r="E7" t="s">
        <v>464</v>
      </c>
    </row>
    <row r="8" spans="1:6" x14ac:dyDescent="0.25">
      <c r="A8" t="s">
        <v>4233</v>
      </c>
      <c r="B8" t="s">
        <v>4234</v>
      </c>
      <c r="C8" t="s">
        <v>4235</v>
      </c>
      <c r="D8" t="s">
        <v>4236</v>
      </c>
      <c r="E8" t="s">
        <v>4237</v>
      </c>
    </row>
    <row r="9" spans="1:6" s="66" customFormat="1" x14ac:dyDescent="0.25">
      <c r="A9" s="66" t="s">
        <v>4238</v>
      </c>
      <c r="B9" s="66" t="s">
        <v>4239</v>
      </c>
      <c r="C9" s="66" t="s">
        <v>4227</v>
      </c>
      <c r="D9" s="66" t="s">
        <v>4240</v>
      </c>
      <c r="E9" s="66" t="s">
        <v>4241</v>
      </c>
    </row>
    <row r="10" spans="1:6" x14ac:dyDescent="0.25">
      <c r="A10" t="s">
        <v>5798</v>
      </c>
      <c r="B10" t="s">
        <v>4242</v>
      </c>
      <c r="C10" t="s">
        <v>4215</v>
      </c>
      <c r="D10" t="s">
        <v>4243</v>
      </c>
      <c r="E10" t="s">
        <v>4244</v>
      </c>
    </row>
    <row r="11" spans="1:6" x14ac:dyDescent="0.25">
      <c r="A11" t="s">
        <v>5512</v>
      </c>
      <c r="B11" t="s">
        <v>5513</v>
      </c>
      <c r="C11" t="s">
        <v>4308</v>
      </c>
      <c r="D11" s="2"/>
      <c r="E11" t="s">
        <v>5514</v>
      </c>
    </row>
    <row r="12" spans="1:6" x14ac:dyDescent="0.25">
      <c r="A12" t="s">
        <v>623</v>
      </c>
      <c r="B12" t="s">
        <v>4245</v>
      </c>
      <c r="C12" t="s">
        <v>4246</v>
      </c>
      <c r="D12" s="2" t="s">
        <v>624</v>
      </c>
      <c r="E12" t="s">
        <v>625</v>
      </c>
    </row>
    <row r="13" spans="1:6" x14ac:dyDescent="0.25">
      <c r="A13" t="s">
        <v>4247</v>
      </c>
      <c r="B13" t="s">
        <v>4248</v>
      </c>
      <c r="C13" t="s">
        <v>4249</v>
      </c>
      <c r="D13" s="2" t="s">
        <v>4250</v>
      </c>
      <c r="E13" s="3" t="s">
        <v>5507</v>
      </c>
    </row>
    <row r="14" spans="1:6" x14ac:dyDescent="0.25">
      <c r="A14" t="s">
        <v>4251</v>
      </c>
      <c r="B14" t="s">
        <v>4252</v>
      </c>
      <c r="C14" t="s">
        <v>4227</v>
      </c>
      <c r="D14" s="2" t="s">
        <v>793</v>
      </c>
      <c r="E14" s="3" t="s">
        <v>794</v>
      </c>
    </row>
    <row r="15" spans="1:6" x14ac:dyDescent="0.25">
      <c r="A15" t="s">
        <v>4253</v>
      </c>
      <c r="B15" t="s">
        <v>4254</v>
      </c>
      <c r="C15" t="s">
        <v>4219</v>
      </c>
      <c r="D15" s="2" t="s">
        <v>4255</v>
      </c>
      <c r="E15" s="67" t="s">
        <v>4256</v>
      </c>
    </row>
    <row r="16" spans="1:6" x14ac:dyDescent="0.25">
      <c r="A16" t="s">
        <v>4257</v>
      </c>
      <c r="B16" t="s">
        <v>4258</v>
      </c>
      <c r="C16" t="s">
        <v>4207</v>
      </c>
      <c r="D16" s="2" t="s">
        <v>4259</v>
      </c>
      <c r="E16" s="55"/>
    </row>
    <row r="17" spans="1:5" x14ac:dyDescent="0.25">
      <c r="A17" t="s">
        <v>4260</v>
      </c>
      <c r="B17" t="s">
        <v>4261</v>
      </c>
      <c r="C17" t="s">
        <v>4231</v>
      </c>
      <c r="D17" s="67" t="s">
        <v>4262</v>
      </c>
      <c r="E17" t="s">
        <v>957</v>
      </c>
    </row>
    <row r="18" spans="1:5" x14ac:dyDescent="0.25">
      <c r="A18" t="s">
        <v>979</v>
      </c>
      <c r="B18" t="s">
        <v>4263</v>
      </c>
      <c r="C18" t="s">
        <v>4264</v>
      </c>
      <c r="D18" s="55" t="s">
        <v>4265</v>
      </c>
      <c r="E18" t="s">
        <v>4266</v>
      </c>
    </row>
    <row r="19" spans="1:5" x14ac:dyDescent="0.25">
      <c r="A19" t="s">
        <v>4267</v>
      </c>
      <c r="B19" t="s">
        <v>4268</v>
      </c>
      <c r="C19" t="s">
        <v>4231</v>
      </c>
      <c r="D19" t="s">
        <v>4269</v>
      </c>
      <c r="E19" t="s">
        <v>1002</v>
      </c>
    </row>
    <row r="20" spans="1:5" x14ac:dyDescent="0.25">
      <c r="A20" t="s">
        <v>5797</v>
      </c>
      <c r="B20" t="s">
        <v>4270</v>
      </c>
      <c r="C20" t="s">
        <v>4231</v>
      </c>
      <c r="D20" t="s">
        <v>1011</v>
      </c>
      <c r="E20" t="s">
        <v>1043</v>
      </c>
    </row>
    <row r="21" spans="1:5" x14ac:dyDescent="0.25">
      <c r="A21" t="s">
        <v>4271</v>
      </c>
      <c r="B21" t="s">
        <v>4272</v>
      </c>
      <c r="C21" t="s">
        <v>4231</v>
      </c>
      <c r="D21" t="s">
        <v>4273</v>
      </c>
      <c r="E21" t="s">
        <v>4274</v>
      </c>
    </row>
    <row r="22" spans="1:5" s="47" customFormat="1" x14ac:dyDescent="0.25">
      <c r="A22" s="47" t="s">
        <v>5832</v>
      </c>
      <c r="B22" s="47" t="s">
        <v>5833</v>
      </c>
      <c r="C22" s="47" t="s">
        <v>4231</v>
      </c>
      <c r="D22" s="47" t="s">
        <v>1070</v>
      </c>
      <c r="E22" s="47" t="s">
        <v>1071</v>
      </c>
    </row>
    <row r="23" spans="1:5" x14ac:dyDescent="0.25">
      <c r="A23" t="s">
        <v>1120</v>
      </c>
      <c r="B23" t="s">
        <v>4275</v>
      </c>
      <c r="C23" t="s">
        <v>4215</v>
      </c>
      <c r="D23" t="s">
        <v>4276</v>
      </c>
      <c r="E23" t="s">
        <v>4277</v>
      </c>
    </row>
    <row r="24" spans="1:5" x14ac:dyDescent="0.25">
      <c r="A24" t="s">
        <v>4278</v>
      </c>
      <c r="B24" t="s">
        <v>4279</v>
      </c>
      <c r="C24" t="s">
        <v>4280</v>
      </c>
      <c r="D24" t="s">
        <v>1165</v>
      </c>
      <c r="E24" t="s">
        <v>4281</v>
      </c>
    </row>
    <row r="25" spans="1:5" x14ac:dyDescent="0.25">
      <c r="A25" t="s">
        <v>4282</v>
      </c>
      <c r="B25" t="s">
        <v>4283</v>
      </c>
      <c r="C25" t="s">
        <v>4284</v>
      </c>
      <c r="D25" t="s">
        <v>4285</v>
      </c>
      <c r="E25" t="s">
        <v>1009</v>
      </c>
    </row>
    <row r="26" spans="1:5" x14ac:dyDescent="0.25">
      <c r="A26" t="s">
        <v>5517</v>
      </c>
      <c r="B26" t="s">
        <v>5518</v>
      </c>
      <c r="C26" t="s">
        <v>4284</v>
      </c>
      <c r="D26" s="2" t="s">
        <v>5519</v>
      </c>
      <c r="E26" t="s">
        <v>1166</v>
      </c>
    </row>
    <row r="27" spans="1:5" x14ac:dyDescent="0.25">
      <c r="A27" t="s">
        <v>4286</v>
      </c>
      <c r="B27" t="s">
        <v>4287</v>
      </c>
      <c r="C27" t="s">
        <v>4249</v>
      </c>
      <c r="D27" s="55" t="s">
        <v>4288</v>
      </c>
      <c r="E27" t="s">
        <v>4289</v>
      </c>
    </row>
    <row r="28" spans="1:5" s="69" customFormat="1" x14ac:dyDescent="0.25">
      <c r="A28" s="69" t="s">
        <v>4290</v>
      </c>
      <c r="B28" s="69" t="s">
        <v>4291</v>
      </c>
      <c r="C28" s="69" t="s">
        <v>4246</v>
      </c>
      <c r="D28" s="69" t="s">
        <v>4292</v>
      </c>
      <c r="E28" s="69" t="s">
        <v>4293</v>
      </c>
    </row>
    <row r="29" spans="1:5" x14ac:dyDescent="0.25">
      <c r="A29" t="s">
        <v>4294</v>
      </c>
      <c r="B29" t="s">
        <v>4295</v>
      </c>
      <c r="C29" t="s">
        <v>4296</v>
      </c>
      <c r="D29" s="47" t="s">
        <v>4297</v>
      </c>
      <c r="E29" t="s">
        <v>4298</v>
      </c>
    </row>
    <row r="30" spans="1:5" x14ac:dyDescent="0.25">
      <c r="A30" t="s">
        <v>1446</v>
      </c>
      <c r="B30" t="s">
        <v>4299</v>
      </c>
      <c r="C30" t="s">
        <v>4219</v>
      </c>
      <c r="D30" t="s">
        <v>1448</v>
      </c>
      <c r="E30" t="s">
        <v>1448</v>
      </c>
    </row>
    <row r="31" spans="1:5" x14ac:dyDescent="0.25">
      <c r="A31" t="s">
        <v>4300</v>
      </c>
      <c r="B31" t="s">
        <v>4301</v>
      </c>
      <c r="C31" t="s">
        <v>4219</v>
      </c>
      <c r="D31" t="s">
        <v>4302</v>
      </c>
      <c r="E31" t="s">
        <v>4303</v>
      </c>
    </row>
    <row r="32" spans="1:5" x14ac:dyDescent="0.25">
      <c r="A32" t="s">
        <v>5796</v>
      </c>
      <c r="B32" t="s">
        <v>4305</v>
      </c>
      <c r="C32" t="s">
        <v>4231</v>
      </c>
      <c r="D32" t="s">
        <v>4304</v>
      </c>
    </row>
    <row r="33" spans="1:6" x14ac:dyDescent="0.25">
      <c r="A33" t="s">
        <v>4306</v>
      </c>
      <c r="B33" t="s">
        <v>4307</v>
      </c>
      <c r="C33" t="s">
        <v>4308</v>
      </c>
      <c r="D33" t="s">
        <v>4309</v>
      </c>
      <c r="E33" t="s">
        <v>4310</v>
      </c>
      <c r="F33" t="s">
        <v>4311</v>
      </c>
    </row>
    <row r="34" spans="1:6" x14ac:dyDescent="0.25">
      <c r="A34" t="s">
        <v>4312</v>
      </c>
      <c r="B34" t="s">
        <v>4313</v>
      </c>
      <c r="C34" t="s">
        <v>4219</v>
      </c>
      <c r="D34" t="s">
        <v>4314</v>
      </c>
      <c r="E34" t="s">
        <v>4315</v>
      </c>
    </row>
    <row r="35" spans="1:6" x14ac:dyDescent="0.25">
      <c r="A35" t="s">
        <v>5515</v>
      </c>
      <c r="B35" t="s">
        <v>5459</v>
      </c>
      <c r="C35" t="s">
        <v>4246</v>
      </c>
      <c r="D35" s="2" t="s">
        <v>5516</v>
      </c>
      <c r="E35" t="s">
        <v>5458</v>
      </c>
    </row>
    <row r="36" spans="1:6" x14ac:dyDescent="0.25">
      <c r="A36" t="s">
        <v>4316</v>
      </c>
      <c r="B36" t="s">
        <v>4317</v>
      </c>
      <c r="C36" t="s">
        <v>4219</v>
      </c>
      <c r="D36" s="69" t="s">
        <v>4318</v>
      </c>
      <c r="E36" t="s">
        <v>4319</v>
      </c>
    </row>
    <row r="37" spans="1:6" x14ac:dyDescent="0.25">
      <c r="A37" t="s">
        <v>4320</v>
      </c>
      <c r="B37" t="s">
        <v>4321</v>
      </c>
      <c r="C37" t="s">
        <v>4207</v>
      </c>
      <c r="D37" s="55" t="s">
        <v>4322</v>
      </c>
      <c r="E37" t="s">
        <v>4323</v>
      </c>
    </row>
    <row r="38" spans="1:6" x14ac:dyDescent="0.25">
      <c r="A38" t="s">
        <v>5795</v>
      </c>
      <c r="B38" t="s">
        <v>4325</v>
      </c>
      <c r="C38" t="s">
        <v>4264</v>
      </c>
      <c r="D38" s="47" t="s">
        <v>4324</v>
      </c>
      <c r="E38" t="s">
        <v>4326</v>
      </c>
    </row>
    <row r="39" spans="1:6" x14ac:dyDescent="0.25">
      <c r="A39" t="s">
        <v>4327</v>
      </c>
      <c r="B39" t="s">
        <v>4328</v>
      </c>
      <c r="C39" t="s">
        <v>4264</v>
      </c>
      <c r="D39" t="s">
        <v>4329</v>
      </c>
      <c r="E39" t="s">
        <v>4330</v>
      </c>
    </row>
    <row r="40" spans="1:6" x14ac:dyDescent="0.25">
      <c r="A40" t="s">
        <v>4331</v>
      </c>
      <c r="B40" t="s">
        <v>4332</v>
      </c>
      <c r="C40" t="s">
        <v>4264</v>
      </c>
      <c r="D40" t="s">
        <v>4333</v>
      </c>
      <c r="E40" t="s">
        <v>4334</v>
      </c>
    </row>
    <row r="41" spans="1:6" x14ac:dyDescent="0.25">
      <c r="A41" t="s">
        <v>4335</v>
      </c>
      <c r="B41" t="s">
        <v>4336</v>
      </c>
      <c r="C41" t="s">
        <v>4264</v>
      </c>
      <c r="D41" t="s">
        <v>4337</v>
      </c>
      <c r="E41" t="s">
        <v>4338</v>
      </c>
    </row>
    <row r="42" spans="1:6" x14ac:dyDescent="0.25">
      <c r="A42" t="s">
        <v>4339</v>
      </c>
      <c r="B42" t="s">
        <v>4340</v>
      </c>
      <c r="C42" t="s">
        <v>4231</v>
      </c>
      <c r="D42" t="s">
        <v>4341</v>
      </c>
      <c r="E42" t="s">
        <v>2055</v>
      </c>
      <c r="F42" t="s">
        <v>4342</v>
      </c>
    </row>
    <row r="43" spans="1:6" x14ac:dyDescent="0.25">
      <c r="A43" t="s">
        <v>4343</v>
      </c>
      <c r="B43" t="s">
        <v>4344</v>
      </c>
      <c r="C43" t="s">
        <v>4249</v>
      </c>
      <c r="D43" t="s">
        <v>4345</v>
      </c>
      <c r="E43" t="s">
        <v>4346</v>
      </c>
    </row>
    <row r="44" spans="1:6" x14ac:dyDescent="0.25">
      <c r="A44" t="s">
        <v>5786</v>
      </c>
      <c r="B44" t="s">
        <v>114</v>
      </c>
      <c r="C44" t="s">
        <v>4207</v>
      </c>
      <c r="D44" s="37" t="s">
        <v>4208</v>
      </c>
      <c r="E44" t="s">
        <v>4209</v>
      </c>
    </row>
    <row r="45" spans="1:6" x14ac:dyDescent="0.25">
      <c r="A45" t="s">
        <v>4347</v>
      </c>
      <c r="B45" t="s">
        <v>4348</v>
      </c>
      <c r="C45" t="s">
        <v>4207</v>
      </c>
      <c r="D45" s="2" t="s">
        <v>4349</v>
      </c>
    </row>
    <row r="46" spans="1:6" x14ac:dyDescent="0.25">
      <c r="A46" t="s">
        <v>2943</v>
      </c>
      <c r="B46" t="s">
        <v>969</v>
      </c>
      <c r="C46" t="s">
        <v>4246</v>
      </c>
      <c r="D46" s="69" t="s">
        <v>2466</v>
      </c>
      <c r="E46" t="s">
        <v>4350</v>
      </c>
    </row>
    <row r="47" spans="1:6" x14ac:dyDescent="0.25">
      <c r="A47" t="s">
        <v>4351</v>
      </c>
      <c r="B47" t="s">
        <v>4352</v>
      </c>
      <c r="C47" t="s">
        <v>4246</v>
      </c>
      <c r="D47" s="47" t="s">
        <v>4353</v>
      </c>
      <c r="E47" t="s">
        <v>4354</v>
      </c>
    </row>
    <row r="48" spans="1:6" x14ac:dyDescent="0.25">
      <c r="A48" t="s">
        <v>5794</v>
      </c>
      <c r="B48" t="s">
        <v>4355</v>
      </c>
      <c r="C48" t="s">
        <v>4219</v>
      </c>
      <c r="D48" t="s">
        <v>4356</v>
      </c>
      <c r="E48" t="s">
        <v>4357</v>
      </c>
    </row>
    <row r="49" spans="1:5" x14ac:dyDescent="0.25">
      <c r="A49" t="s">
        <v>5793</v>
      </c>
      <c r="B49" t="s">
        <v>4358</v>
      </c>
      <c r="C49" t="s">
        <v>4227</v>
      </c>
      <c r="D49" t="s">
        <v>4359</v>
      </c>
      <c r="E49" t="s">
        <v>3027</v>
      </c>
    </row>
    <row r="50" spans="1:5" x14ac:dyDescent="0.25">
      <c r="A50" t="s">
        <v>4360</v>
      </c>
      <c r="B50" t="s">
        <v>4361</v>
      </c>
      <c r="C50" t="s">
        <v>4246</v>
      </c>
      <c r="D50" t="s">
        <v>4362</v>
      </c>
      <c r="E50" t="s">
        <v>4363</v>
      </c>
    </row>
    <row r="51" spans="1:5" x14ac:dyDescent="0.25">
      <c r="A51" t="s">
        <v>4364</v>
      </c>
      <c r="B51" t="s">
        <v>4365</v>
      </c>
      <c r="C51" t="s">
        <v>4207</v>
      </c>
      <c r="D51" t="s">
        <v>4366</v>
      </c>
      <c r="E51" t="s">
        <v>4367</v>
      </c>
    </row>
    <row r="52" spans="1:5" x14ac:dyDescent="0.25">
      <c r="A52" t="s">
        <v>4368</v>
      </c>
      <c r="B52" t="s">
        <v>4369</v>
      </c>
      <c r="C52" t="s">
        <v>4264</v>
      </c>
      <c r="D52" t="s">
        <v>4370</v>
      </c>
      <c r="E52" t="s">
        <v>4371</v>
      </c>
    </row>
    <row r="53" spans="1:5" x14ac:dyDescent="0.25">
      <c r="A53" t="s">
        <v>4372</v>
      </c>
      <c r="B53" t="s">
        <v>4373</v>
      </c>
      <c r="C53" t="s">
        <v>4207</v>
      </c>
      <c r="D53" t="s">
        <v>4374</v>
      </c>
    </row>
    <row r="54" spans="1:5" x14ac:dyDescent="0.25">
      <c r="A54" t="s">
        <v>4375</v>
      </c>
      <c r="B54" t="s">
        <v>4376</v>
      </c>
      <c r="C54" t="s">
        <v>4284</v>
      </c>
      <c r="D54" t="s">
        <v>4377</v>
      </c>
      <c r="E54" t="s">
        <v>4378</v>
      </c>
    </row>
    <row r="55" spans="1:5" x14ac:dyDescent="0.25">
      <c r="A55" t="s">
        <v>5872</v>
      </c>
      <c r="B55" t="s">
        <v>5873</v>
      </c>
      <c r="C55" t="s">
        <v>4246</v>
      </c>
      <c r="D55" t="s">
        <v>5875</v>
      </c>
      <c r="E55" t="s">
        <v>5874</v>
      </c>
    </row>
    <row r="56" spans="1:5" x14ac:dyDescent="0.25">
      <c r="A56" t="s">
        <v>4379</v>
      </c>
      <c r="B56" t="s">
        <v>4380</v>
      </c>
      <c r="C56" t="s">
        <v>4284</v>
      </c>
      <c r="D56" t="s">
        <v>4381</v>
      </c>
      <c r="E56" t="s">
        <v>4382</v>
      </c>
    </row>
    <row r="57" spans="1:5" x14ac:dyDescent="0.25">
      <c r="A57" t="s">
        <v>3142</v>
      </c>
      <c r="B57" t="s">
        <v>4383</v>
      </c>
      <c r="C57" t="s">
        <v>4284</v>
      </c>
      <c r="D57" s="36" t="s">
        <v>3142</v>
      </c>
      <c r="E57" t="s">
        <v>3142</v>
      </c>
    </row>
    <row r="58" spans="1:5" x14ac:dyDescent="0.25">
      <c r="A58" t="s">
        <v>4384</v>
      </c>
      <c r="B58" t="s">
        <v>4385</v>
      </c>
      <c r="C58" t="s">
        <v>4284</v>
      </c>
      <c r="D58" s="37"/>
      <c r="E58" t="s">
        <v>4384</v>
      </c>
    </row>
    <row r="59" spans="1:5" x14ac:dyDescent="0.25">
      <c r="A59" t="s">
        <v>4386</v>
      </c>
      <c r="B59" t="s">
        <v>4387</v>
      </c>
      <c r="C59" t="s">
        <v>4227</v>
      </c>
      <c r="D59" t="s">
        <v>4388</v>
      </c>
      <c r="E59" t="s">
        <v>3182</v>
      </c>
    </row>
    <row r="60" spans="1:5" x14ac:dyDescent="0.25">
      <c r="A60" t="s">
        <v>4389</v>
      </c>
      <c r="B60" t="s">
        <v>3205</v>
      </c>
      <c r="C60" t="s">
        <v>4227</v>
      </c>
      <c r="D60" s="2" t="s">
        <v>4390</v>
      </c>
      <c r="E60" t="s">
        <v>4391</v>
      </c>
    </row>
    <row r="61" spans="1:5" x14ac:dyDescent="0.25">
      <c r="A61" t="s">
        <v>4392</v>
      </c>
      <c r="B61" t="s">
        <v>4393</v>
      </c>
      <c r="C61" t="s">
        <v>4227</v>
      </c>
      <c r="D61" s="47" t="s">
        <v>4394</v>
      </c>
      <c r="E61" t="s">
        <v>2718</v>
      </c>
    </row>
    <row r="62" spans="1:5" x14ac:dyDescent="0.25">
      <c r="A62" t="s">
        <v>4395</v>
      </c>
      <c r="B62" t="s">
        <v>4396</v>
      </c>
      <c r="C62" t="s">
        <v>4227</v>
      </c>
      <c r="D62" t="s">
        <v>846</v>
      </c>
      <c r="E62" t="s">
        <v>847</v>
      </c>
    </row>
    <row r="63" spans="1:5" x14ac:dyDescent="0.25">
      <c r="A63" t="s">
        <v>5508</v>
      </c>
      <c r="B63" t="s">
        <v>5509</v>
      </c>
      <c r="C63" t="s">
        <v>4264</v>
      </c>
      <c r="D63" t="s">
        <v>5510</v>
      </c>
      <c r="E63" t="s">
        <v>5511</v>
      </c>
    </row>
    <row r="64" spans="1:5" x14ac:dyDescent="0.25">
      <c r="A64" t="s">
        <v>4397</v>
      </c>
      <c r="B64" t="s">
        <v>4398</v>
      </c>
      <c r="C64" t="s">
        <v>4246</v>
      </c>
      <c r="D64" t="s">
        <v>4399</v>
      </c>
      <c r="E64" t="s">
        <v>4400</v>
      </c>
    </row>
    <row r="65" spans="1:6" x14ac:dyDescent="0.25">
      <c r="A65" t="s">
        <v>4401</v>
      </c>
      <c r="B65" t="s">
        <v>4402</v>
      </c>
      <c r="C65" t="s">
        <v>4246</v>
      </c>
      <c r="D65" t="s">
        <v>4403</v>
      </c>
      <c r="E65" t="s">
        <v>4404</v>
      </c>
    </row>
    <row r="66" spans="1:6" x14ac:dyDescent="0.25">
      <c r="A66" t="s">
        <v>4405</v>
      </c>
      <c r="B66" t="s">
        <v>4406</v>
      </c>
      <c r="C66" t="s">
        <v>4227</v>
      </c>
      <c r="D66" t="s">
        <v>4407</v>
      </c>
      <c r="E66" t="s">
        <v>3677</v>
      </c>
    </row>
    <row r="67" spans="1:6" x14ac:dyDescent="0.25">
      <c r="A67" t="s">
        <v>4408</v>
      </c>
      <c r="B67" t="s">
        <v>4409</v>
      </c>
      <c r="C67" t="s">
        <v>4308</v>
      </c>
      <c r="D67" s="36" t="s">
        <v>4410</v>
      </c>
      <c r="E67" t="s">
        <v>4411</v>
      </c>
    </row>
    <row r="68" spans="1:6" x14ac:dyDescent="0.25">
      <c r="A68" t="s">
        <v>4412</v>
      </c>
      <c r="B68" t="s">
        <v>4413</v>
      </c>
      <c r="C68" t="s">
        <v>4207</v>
      </c>
      <c r="D68" s="37" t="s">
        <v>4414</v>
      </c>
      <c r="E68" t="s">
        <v>4415</v>
      </c>
    </row>
    <row r="69" spans="1:6" x14ac:dyDescent="0.25">
      <c r="A69" t="s">
        <v>4416</v>
      </c>
      <c r="B69" t="s">
        <v>4417</v>
      </c>
      <c r="C69" t="s">
        <v>4219</v>
      </c>
      <c r="D69" t="s">
        <v>4418</v>
      </c>
      <c r="E69" t="s">
        <v>4419</v>
      </c>
    </row>
    <row r="70" spans="1:6" x14ac:dyDescent="0.25">
      <c r="A70" t="s">
        <v>4420</v>
      </c>
      <c r="B70" t="s">
        <v>4421</v>
      </c>
      <c r="C70" t="s">
        <v>4308</v>
      </c>
      <c r="D70" s="2" t="s">
        <v>4422</v>
      </c>
      <c r="E70" t="s">
        <v>4423</v>
      </c>
    </row>
    <row r="71" spans="1:6" x14ac:dyDescent="0.25">
      <c r="A71" t="s">
        <v>4424</v>
      </c>
      <c r="B71" t="s">
        <v>4425</v>
      </c>
      <c r="C71" t="s">
        <v>4227</v>
      </c>
      <c r="D71" s="47" t="s">
        <v>4426</v>
      </c>
      <c r="E71" t="s">
        <v>4427</v>
      </c>
    </row>
    <row r="72" spans="1:6" x14ac:dyDescent="0.25">
      <c r="A72" t="s">
        <v>5791</v>
      </c>
      <c r="B72" t="s">
        <v>4428</v>
      </c>
      <c r="C72" t="s">
        <v>4215</v>
      </c>
      <c r="D72" s="36" t="s">
        <v>3872</v>
      </c>
      <c r="E72" t="s">
        <v>4429</v>
      </c>
    </row>
    <row r="73" spans="1:6" x14ac:dyDescent="0.25">
      <c r="A73" t="s">
        <v>5680</v>
      </c>
      <c r="B73" t="s">
        <v>5681</v>
      </c>
      <c r="C73" t="s">
        <v>5682</v>
      </c>
      <c r="D73" s="37" t="s">
        <v>5683</v>
      </c>
      <c r="E73" t="s">
        <v>5684</v>
      </c>
    </row>
    <row r="74" spans="1:6" x14ac:dyDescent="0.25">
      <c r="A74" s="36" t="s">
        <v>4430</v>
      </c>
      <c r="B74" s="36" t="s">
        <v>4431</v>
      </c>
      <c r="C74" s="36" t="s">
        <v>4207</v>
      </c>
      <c r="D74" s="37"/>
      <c r="E74" s="36"/>
      <c r="F74" s="36"/>
    </row>
    <row r="75" spans="1:6" x14ac:dyDescent="0.25">
      <c r="A75" t="s">
        <v>5792</v>
      </c>
      <c r="B75" t="s">
        <v>4433</v>
      </c>
      <c r="C75" t="s">
        <v>4215</v>
      </c>
      <c r="D75" s="37" t="s">
        <v>4432</v>
      </c>
    </row>
    <row r="76" spans="1:6" x14ac:dyDescent="0.25">
      <c r="A76" s="37" t="s">
        <v>4434</v>
      </c>
      <c r="B76" s="37" t="s">
        <v>4435</v>
      </c>
      <c r="C76" s="37" t="s">
        <v>4207</v>
      </c>
      <c r="D76" s="2" t="s">
        <v>4436</v>
      </c>
      <c r="E76" s="37" t="s">
        <v>4437</v>
      </c>
      <c r="F76" s="37"/>
    </row>
    <row r="77" spans="1:6" x14ac:dyDescent="0.25">
      <c r="A77" s="37" t="s">
        <v>4438</v>
      </c>
      <c r="B77" s="37" t="s">
        <v>4439</v>
      </c>
      <c r="C77" s="37" t="s">
        <v>4207</v>
      </c>
      <c r="D77" s="2" t="s">
        <v>4440</v>
      </c>
      <c r="E77" s="37" t="s">
        <v>4441</v>
      </c>
      <c r="F77" s="37"/>
    </row>
    <row r="78" spans="1:6" x14ac:dyDescent="0.25">
      <c r="A78" s="37" t="s">
        <v>4442</v>
      </c>
      <c r="B78" s="37" t="s">
        <v>4443</v>
      </c>
      <c r="C78" s="37" t="s">
        <v>4227</v>
      </c>
      <c r="D78" s="2" t="s">
        <v>4442</v>
      </c>
      <c r="E78" s="37"/>
      <c r="F78" s="37"/>
    </row>
  </sheetData>
  <pageMargins left="0.7" right="0.7" top="0.75" bottom="0.75" header="0.3" footer="0.3"/>
  <pageSetup paperSize="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F15"/>
  <sheetViews>
    <sheetView workbookViewId="0">
      <selection activeCell="E8" sqref="E8"/>
    </sheetView>
  </sheetViews>
  <sheetFormatPr baseColWidth="10" defaultColWidth="11.42578125" defaultRowHeight="15" x14ac:dyDescent="0.25"/>
  <cols>
    <col min="1" max="1" width="14.85546875" style="4" bestFit="1" customWidth="1"/>
    <col min="2" max="2" width="8.42578125" style="12" customWidth="1"/>
    <col min="3" max="3" width="36.28515625" style="4" bestFit="1" customWidth="1"/>
    <col min="4" max="4" width="69.5703125" style="4" customWidth="1"/>
    <col min="5" max="5" width="27.42578125" style="4" customWidth="1"/>
    <col min="6" max="6" width="32.28515625" style="4" customWidth="1"/>
    <col min="7" max="16384" width="11.42578125" style="4"/>
  </cols>
  <sheetData>
    <row r="1" spans="1:6" s="17" customFormat="1" ht="24.75" customHeight="1" x14ac:dyDescent="0.25">
      <c r="A1" s="15" t="s">
        <v>4445</v>
      </c>
      <c r="B1" s="16" t="s">
        <v>351</v>
      </c>
      <c r="C1" s="15" t="s">
        <v>4446</v>
      </c>
      <c r="D1" s="15" t="s">
        <v>63</v>
      </c>
      <c r="E1" s="15" t="s">
        <v>4447</v>
      </c>
      <c r="F1" s="15" t="s">
        <v>4448</v>
      </c>
    </row>
    <row r="2" spans="1:6" ht="15.75" x14ac:dyDescent="0.25">
      <c r="A2" s="9" t="s">
        <v>4449</v>
      </c>
      <c r="B2" s="6" t="s">
        <v>89</v>
      </c>
      <c r="C2" s="10" t="s">
        <v>4450</v>
      </c>
      <c r="D2" s="5" t="s">
        <v>4451</v>
      </c>
      <c r="E2" s="5" t="s">
        <v>4452</v>
      </c>
      <c r="F2" s="5" t="s">
        <v>4453</v>
      </c>
    </row>
    <row r="3" spans="1:6" ht="15.75" x14ac:dyDescent="0.25">
      <c r="A3" s="9" t="s">
        <v>4454</v>
      </c>
      <c r="B3" s="6" t="s">
        <v>1521</v>
      </c>
      <c r="C3" s="10" t="s">
        <v>4455</v>
      </c>
      <c r="D3" s="5" t="s">
        <v>4456</v>
      </c>
      <c r="E3" s="5" t="s">
        <v>4937</v>
      </c>
      <c r="F3" s="5" t="s">
        <v>4457</v>
      </c>
    </row>
    <row r="4" spans="1:6" ht="25.5" x14ac:dyDescent="0.25">
      <c r="A4" s="9" t="s">
        <v>4454</v>
      </c>
      <c r="B4" s="6" t="s">
        <v>179</v>
      </c>
      <c r="C4" s="10" t="s">
        <v>4458</v>
      </c>
      <c r="D4" s="5" t="s">
        <v>4459</v>
      </c>
      <c r="E4" s="5" t="s">
        <v>4458</v>
      </c>
      <c r="F4" s="5" t="s">
        <v>4458</v>
      </c>
    </row>
    <row r="5" spans="1:6" ht="25.5" x14ac:dyDescent="0.25">
      <c r="A5" s="9" t="s">
        <v>4454</v>
      </c>
      <c r="B5" s="7" t="s">
        <v>4119</v>
      </c>
      <c r="C5" s="10" t="s">
        <v>4460</v>
      </c>
      <c r="D5" s="5" t="s">
        <v>4461</v>
      </c>
      <c r="E5" s="5" t="s">
        <v>4460</v>
      </c>
      <c r="F5" s="5" t="s">
        <v>4462</v>
      </c>
    </row>
    <row r="6" spans="1:6" ht="15.75" x14ac:dyDescent="0.25">
      <c r="A6" s="9" t="s">
        <v>4454</v>
      </c>
      <c r="B6" s="6" t="s">
        <v>1737</v>
      </c>
      <c r="C6" s="10" t="s">
        <v>4463</v>
      </c>
      <c r="D6" s="5" t="s">
        <v>4464</v>
      </c>
      <c r="E6" s="5" t="s">
        <v>4465</v>
      </c>
      <c r="F6" s="5" t="s">
        <v>4466</v>
      </c>
    </row>
    <row r="7" spans="1:6" ht="25.5" x14ac:dyDescent="0.25">
      <c r="A7" s="9" t="s">
        <v>4449</v>
      </c>
      <c r="B7" s="7" t="s">
        <v>635</v>
      </c>
      <c r="C7" s="8" t="s">
        <v>4467</v>
      </c>
      <c r="D7" s="5" t="s">
        <v>4468</v>
      </c>
      <c r="E7" s="5" t="s">
        <v>4469</v>
      </c>
      <c r="F7" s="5" t="s">
        <v>4470</v>
      </c>
    </row>
    <row r="8" spans="1:6" ht="25.5" x14ac:dyDescent="0.25">
      <c r="A8" s="9" t="s">
        <v>4449</v>
      </c>
      <c r="B8" s="7" t="s">
        <v>344</v>
      </c>
      <c r="C8" s="8" t="s">
        <v>4471</v>
      </c>
      <c r="D8" s="5" t="s">
        <v>4472</v>
      </c>
      <c r="E8" s="5" t="s">
        <v>4473</v>
      </c>
      <c r="F8" s="5" t="s">
        <v>4474</v>
      </c>
    </row>
    <row r="9" spans="1:6" ht="15.75" x14ac:dyDescent="0.25">
      <c r="A9" s="9" t="s">
        <v>4449</v>
      </c>
      <c r="B9" s="6" t="s">
        <v>4203</v>
      </c>
      <c r="C9" s="10" t="s">
        <v>4347</v>
      </c>
      <c r="D9" s="5" t="s">
        <v>4475</v>
      </c>
      <c r="E9" s="5" t="s">
        <v>4476</v>
      </c>
      <c r="F9" s="5" t="s">
        <v>4477</v>
      </c>
    </row>
    <row r="10" spans="1:6" ht="25.5" x14ac:dyDescent="0.25">
      <c r="A10" s="9" t="s">
        <v>4449</v>
      </c>
      <c r="B10" s="6" t="s">
        <v>1371</v>
      </c>
      <c r="C10" s="10" t="s">
        <v>4372</v>
      </c>
      <c r="D10" s="5" t="s">
        <v>4478</v>
      </c>
      <c r="E10" s="5" t="s">
        <v>4479</v>
      </c>
      <c r="F10" s="5" t="s">
        <v>4480</v>
      </c>
    </row>
    <row r="11" spans="1:6" ht="25.5" x14ac:dyDescent="0.25">
      <c r="A11" s="9" t="s">
        <v>4454</v>
      </c>
      <c r="B11" s="6" t="s">
        <v>1003</v>
      </c>
      <c r="C11" s="10" t="s">
        <v>4481</v>
      </c>
      <c r="D11" s="5" t="s">
        <v>4482</v>
      </c>
      <c r="E11" s="5" t="s">
        <v>4483</v>
      </c>
      <c r="F11" s="5" t="s">
        <v>4484</v>
      </c>
    </row>
    <row r="12" spans="1:6" ht="15.75" x14ac:dyDescent="0.25">
      <c r="A12" s="9" t="s">
        <v>4449</v>
      </c>
      <c r="B12" s="6" t="s">
        <v>2603</v>
      </c>
      <c r="C12" s="10" t="s">
        <v>4412</v>
      </c>
      <c r="D12" s="5" t="s">
        <v>4485</v>
      </c>
      <c r="E12" s="5" t="s">
        <v>4486</v>
      </c>
      <c r="F12" s="5" t="s">
        <v>4487</v>
      </c>
    </row>
    <row r="13" spans="1:6" ht="15.75" x14ac:dyDescent="0.25">
      <c r="A13" s="9" t="s">
        <v>4454</v>
      </c>
      <c r="B13" s="7" t="s">
        <v>118</v>
      </c>
      <c r="C13" s="10" t="s">
        <v>4488</v>
      </c>
      <c r="D13" s="5" t="s">
        <v>4489</v>
      </c>
      <c r="E13" s="5" t="s">
        <v>4490</v>
      </c>
      <c r="F13" s="5" t="s">
        <v>4491</v>
      </c>
    </row>
    <row r="14" spans="1:6" ht="15.75" x14ac:dyDescent="0.25">
      <c r="A14" s="9" t="s">
        <v>4449</v>
      </c>
      <c r="B14" s="6" t="s">
        <v>246</v>
      </c>
      <c r="C14" s="10" t="s">
        <v>4492</v>
      </c>
      <c r="D14" s="5" t="s">
        <v>4493</v>
      </c>
      <c r="E14" s="5" t="s">
        <v>4494</v>
      </c>
      <c r="F14" s="5" t="s">
        <v>4495</v>
      </c>
    </row>
    <row r="15" spans="1:6" ht="15.75" x14ac:dyDescent="0.25">
      <c r="A15" s="9" t="s">
        <v>4454</v>
      </c>
      <c r="B15" s="7" t="s">
        <v>1876</v>
      </c>
      <c r="C15" s="10" t="s">
        <v>4496</v>
      </c>
      <c r="D15" s="11" t="s">
        <v>4497</v>
      </c>
      <c r="E15" s="5" t="s">
        <v>5799</v>
      </c>
      <c r="F15" s="5" t="s">
        <v>4498</v>
      </c>
    </row>
  </sheetData>
  <conditionalFormatting sqref="B2:B15">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 LIRE</vt:lpstr>
      <vt:lpstr>Tables</vt:lpstr>
      <vt:lpstr>Champs</vt:lpstr>
      <vt:lpstr>Objets de gestion</vt:lpstr>
      <vt:lpstr>Articles</vt:lpstr>
      <vt:lpstr>BIB</vt:lpstr>
      <vt:lpstr>Type de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EL AZZOUZY Oussama (PRESTA EXT)</cp:lastModifiedBy>
  <dcterms:created xsi:type="dcterms:W3CDTF">2020-12-24T13:14:47Z</dcterms:created>
  <dcterms:modified xsi:type="dcterms:W3CDTF">2023-01-30T15:46:28Z</dcterms:modified>
</cp:coreProperties>
</file>