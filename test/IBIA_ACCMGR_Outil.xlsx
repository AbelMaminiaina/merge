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amami\GitHub\merge\test\"/>
    </mc:Choice>
  </mc:AlternateContent>
  <xr:revisionPtr revIDLastSave="0" documentId="13_ncr:1_{AAE776CD-B83F-43A9-BE29-45C19AF7C09A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A LIRE" sheetId="4" r:id="rId1"/>
    <sheet name="Tables" sheetId="1" r:id="rId2"/>
    <sheet name="Champs" sheetId="2" r:id="rId3"/>
    <sheet name="Objets de gestion" sheetId="3" r:id="rId4"/>
    <sheet name="Articles" sheetId="5" r:id="rId5"/>
    <sheet name="BIB" sheetId="6" r:id="rId6"/>
    <sheet name="Type de table" sheetId="7" r:id="rId7"/>
    <sheet name="Type de champ" sheetId="8" r:id="rId8"/>
  </sheets>
  <externalReferences>
    <externalReference r:id="rId9"/>
  </externalReferences>
  <definedNames>
    <definedName name="_xlnm._FilterDatabase" localSheetId="4" hidden="1">Articles!$A$1:$B$1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2" l="1"/>
  <c r="N2" i="2"/>
  <c r="O2" i="2"/>
  <c r="P2" i="2"/>
  <c r="Q2" i="2"/>
  <c r="R2" i="2"/>
  <c r="M3" i="2"/>
  <c r="N3" i="2"/>
  <c r="O3" i="2"/>
  <c r="P3" i="2"/>
  <c r="Q3" i="2"/>
  <c r="R3" i="2"/>
  <c r="M4" i="2"/>
  <c r="N4" i="2"/>
  <c r="O4" i="2"/>
  <c r="P4" i="2"/>
  <c r="Q4" i="2"/>
  <c r="R4" i="2"/>
  <c r="M5" i="2"/>
  <c r="N5" i="2"/>
  <c r="O5" i="2"/>
  <c r="P5" i="2"/>
  <c r="Q5" i="2"/>
  <c r="R5" i="2"/>
  <c r="M6" i="2"/>
  <c r="N6" i="2"/>
  <c r="O6" i="2"/>
  <c r="P6" i="2"/>
  <c r="Q6" i="2"/>
  <c r="R6" i="2"/>
  <c r="M7" i="2"/>
  <c r="N7" i="2"/>
  <c r="O7" i="2"/>
  <c r="P7" i="2"/>
  <c r="Q7" i="2"/>
  <c r="R7" i="2"/>
  <c r="M8" i="2"/>
  <c r="N8" i="2"/>
  <c r="O8" i="2"/>
  <c r="P8" i="2"/>
  <c r="Q8" i="2"/>
  <c r="R8" i="2"/>
  <c r="M9" i="2"/>
  <c r="N9" i="2"/>
  <c r="O9" i="2"/>
  <c r="P9" i="2"/>
  <c r="Q9" i="2"/>
  <c r="R9" i="2"/>
  <c r="M10" i="2"/>
  <c r="N10" i="2"/>
  <c r="O10" i="2"/>
  <c r="P10" i="2"/>
  <c r="Q10" i="2"/>
  <c r="R10" i="2"/>
  <c r="M11" i="2"/>
  <c r="N11" i="2"/>
  <c r="O11" i="2"/>
  <c r="P11" i="2"/>
  <c r="Q11" i="2"/>
  <c r="R11" i="2"/>
  <c r="N12" i="2"/>
  <c r="M12" i="2" s="1"/>
  <c r="O12" i="2"/>
  <c r="P12" i="2"/>
  <c r="Q12" i="2"/>
  <c r="R12" i="2"/>
  <c r="N13" i="2"/>
  <c r="M13" i="2" s="1"/>
  <c r="O13" i="2"/>
  <c r="P13" i="2"/>
  <c r="Q13" i="2"/>
  <c r="R13" i="2"/>
  <c r="N14" i="2"/>
  <c r="M14" i="2" s="1"/>
  <c r="O14" i="2"/>
  <c r="P14" i="2"/>
  <c r="Q14" i="2"/>
  <c r="R14" i="2"/>
  <c r="N15" i="2"/>
  <c r="M15" i="2" s="1"/>
  <c r="O15" i="2"/>
  <c r="P15" i="2"/>
  <c r="Q15" i="2"/>
  <c r="R15" i="2"/>
  <c r="N16" i="2"/>
  <c r="M16" i="2" s="1"/>
  <c r="O16" i="2"/>
  <c r="P16" i="2"/>
  <c r="Q16" i="2"/>
  <c r="R16" i="2"/>
  <c r="M17" i="2"/>
  <c r="N17" i="2"/>
  <c r="O17" i="2"/>
  <c r="P17" i="2"/>
  <c r="Q17" i="2"/>
  <c r="R17" i="2"/>
  <c r="N18" i="2"/>
  <c r="M18" i="2" s="1"/>
  <c r="O18" i="2"/>
  <c r="P18" i="2"/>
  <c r="Q18" i="2"/>
  <c r="R18" i="2"/>
  <c r="M19" i="2"/>
  <c r="N19" i="2"/>
  <c r="O19" i="2"/>
  <c r="P19" i="2"/>
  <c r="Q19" i="2"/>
  <c r="R19" i="2"/>
  <c r="N20" i="2"/>
  <c r="M20" i="2" s="1"/>
  <c r="O20" i="2"/>
  <c r="P20" i="2"/>
  <c r="Q20" i="2"/>
  <c r="R20" i="2"/>
  <c r="N21" i="2"/>
  <c r="M21" i="2" s="1"/>
  <c r="O21" i="2"/>
  <c r="P21" i="2"/>
  <c r="Q21" i="2"/>
  <c r="R21" i="2"/>
  <c r="N22" i="2"/>
  <c r="M22" i="2" s="1"/>
  <c r="O22" i="2"/>
  <c r="P22" i="2"/>
  <c r="Q22" i="2"/>
  <c r="R22" i="2"/>
  <c r="N23" i="2"/>
  <c r="M23" i="2" s="1"/>
  <c r="O23" i="2"/>
  <c r="P23" i="2"/>
  <c r="Q23" i="2"/>
  <c r="R23" i="2"/>
  <c r="N24" i="2"/>
  <c r="M24" i="2" s="1"/>
  <c r="O24" i="2"/>
  <c r="P24" i="2"/>
  <c r="Q24" i="2"/>
  <c r="R24" i="2"/>
  <c r="N25" i="2"/>
  <c r="M25" i="2" s="1"/>
  <c r="O25" i="2"/>
  <c r="P25" i="2"/>
  <c r="Q25" i="2"/>
  <c r="R25" i="2"/>
  <c r="N26" i="2"/>
  <c r="M26" i="2" s="1"/>
  <c r="O26" i="2"/>
  <c r="P26" i="2"/>
  <c r="Q26" i="2"/>
  <c r="R26" i="2"/>
  <c r="N27" i="2"/>
  <c r="M27" i="2" s="1"/>
  <c r="O27" i="2"/>
  <c r="P27" i="2"/>
  <c r="Q27" i="2"/>
  <c r="R27" i="2"/>
  <c r="N28" i="2"/>
  <c r="M28" i="2" s="1"/>
  <c r="O28" i="2"/>
  <c r="P28" i="2"/>
  <c r="Q28" i="2"/>
  <c r="R28" i="2"/>
  <c r="M29" i="2"/>
  <c r="N29" i="2"/>
  <c r="O29" i="2"/>
  <c r="P29" i="2"/>
  <c r="Q29" i="2"/>
  <c r="R29" i="2"/>
  <c r="N30" i="2"/>
  <c r="M30" i="2" s="1"/>
  <c r="O30" i="2"/>
  <c r="P30" i="2"/>
  <c r="Q30" i="2"/>
  <c r="R30" i="2"/>
  <c r="N31" i="2"/>
  <c r="M31" i="2" s="1"/>
  <c r="O31" i="2"/>
  <c r="P31" i="2"/>
  <c r="Q31" i="2"/>
  <c r="R31" i="2"/>
  <c r="N32" i="2"/>
  <c r="M32" i="2" s="1"/>
  <c r="O32" i="2"/>
  <c r="P32" i="2"/>
  <c r="Q32" i="2"/>
  <c r="R32" i="2"/>
  <c r="N33" i="2"/>
  <c r="M33" i="2" s="1"/>
  <c r="O33" i="2"/>
  <c r="P33" i="2"/>
  <c r="Q33" i="2"/>
  <c r="R33" i="2"/>
  <c r="N34" i="2"/>
  <c r="M34" i="2" s="1"/>
  <c r="O34" i="2"/>
  <c r="P34" i="2"/>
  <c r="Q34" i="2"/>
  <c r="R34" i="2"/>
  <c r="I3" i="1" l="1"/>
  <c r="H3" i="1" s="1"/>
  <c r="J3" i="1"/>
  <c r="K3" i="1"/>
  <c r="L3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J2" i="1" l="1"/>
  <c r="K2" i="1"/>
  <c r="J16" i="1"/>
  <c r="K16" i="1"/>
  <c r="J17" i="1"/>
  <c r="K17" i="1"/>
  <c r="J18" i="1"/>
  <c r="K18" i="1"/>
  <c r="I2" i="1"/>
  <c r="I16" i="1"/>
  <c r="G2" i="1" l="1"/>
  <c r="H2" i="1" l="1"/>
  <c r="L2" i="1"/>
  <c r="G16" i="1"/>
  <c r="H16" i="1"/>
  <c r="L16" i="1"/>
  <c r="G17" i="1"/>
  <c r="H17" i="1"/>
  <c r="I17" i="1"/>
  <c r="L17" i="1"/>
  <c r="G18" i="1"/>
  <c r="H18" i="1"/>
  <c r="I18" i="1"/>
  <c r="L18" i="1"/>
  <c r="G19" i="1"/>
  <c r="H19" i="1"/>
  <c r="I19" i="1"/>
  <c r="J19" i="1"/>
  <c r="K19" i="1"/>
  <c r="L19" i="1"/>
  <c r="G20" i="1"/>
  <c r="H20" i="1"/>
  <c r="I20" i="1"/>
  <c r="J20" i="1"/>
  <c r="K20" i="1"/>
  <c r="L20" i="1"/>
  <c r="G21" i="1"/>
  <c r="H21" i="1"/>
  <c r="I21" i="1"/>
  <c r="J21" i="1"/>
  <c r="K21" i="1"/>
  <c r="L21" i="1"/>
  <c r="G22" i="1"/>
  <c r="H22" i="1"/>
  <c r="I22" i="1"/>
  <c r="J22" i="1"/>
  <c r="K22" i="1"/>
  <c r="L22" i="1"/>
  <c r="G23" i="1"/>
  <c r="H23" i="1"/>
  <c r="I23" i="1"/>
  <c r="J23" i="1"/>
  <c r="K23" i="1"/>
  <c r="L23" i="1"/>
  <c r="G24" i="1"/>
  <c r="H24" i="1"/>
  <c r="I24" i="1"/>
  <c r="J24" i="1"/>
  <c r="K24" i="1"/>
  <c r="L24" i="1"/>
  <c r="G25" i="1"/>
  <c r="H25" i="1"/>
  <c r="I25" i="1"/>
  <c r="J25" i="1"/>
  <c r="K25" i="1"/>
  <c r="L25" i="1"/>
  <c r="G26" i="1"/>
  <c r="H26" i="1"/>
  <c r="I26" i="1"/>
  <c r="J26" i="1"/>
  <c r="K26" i="1"/>
  <c r="L26" i="1"/>
  <c r="G27" i="1"/>
  <c r="H27" i="1"/>
  <c r="I27" i="1"/>
  <c r="J27" i="1"/>
  <c r="K27" i="1"/>
  <c r="L27" i="1"/>
  <c r="G28" i="1"/>
  <c r="H28" i="1"/>
  <c r="I28" i="1"/>
  <c r="J28" i="1"/>
  <c r="K28" i="1"/>
  <c r="L28" i="1"/>
  <c r="G29" i="1"/>
  <c r="H29" i="1"/>
  <c r="I29" i="1"/>
  <c r="J29" i="1"/>
  <c r="K29" i="1"/>
  <c r="L29" i="1"/>
  <c r="G30" i="1"/>
  <c r="H30" i="1"/>
  <c r="I30" i="1"/>
  <c r="J30" i="1"/>
  <c r="K30" i="1"/>
  <c r="L30" i="1"/>
  <c r="G31" i="1"/>
  <c r="H31" i="1"/>
  <c r="I31" i="1"/>
  <c r="J31" i="1"/>
  <c r="K31" i="1"/>
  <c r="L31" i="1"/>
  <c r="G32" i="1"/>
  <c r="H32" i="1"/>
  <c r="I32" i="1"/>
  <c r="J32" i="1"/>
  <c r="K32" i="1"/>
  <c r="L32" i="1"/>
  <c r="G33" i="1"/>
  <c r="H33" i="1"/>
  <c r="I33" i="1"/>
  <c r="J33" i="1"/>
  <c r="K33" i="1"/>
  <c r="L33" i="1"/>
  <c r="G34" i="1"/>
  <c r="H34" i="1"/>
  <c r="I34" i="1"/>
  <c r="J34" i="1"/>
  <c r="K34" i="1"/>
  <c r="L34" i="1"/>
  <c r="G35" i="1"/>
  <c r="H35" i="1"/>
  <c r="I35" i="1"/>
  <c r="J35" i="1"/>
  <c r="K35" i="1"/>
  <c r="L35" i="1"/>
  <c r="G36" i="1"/>
  <c r="H36" i="1"/>
  <c r="I36" i="1"/>
  <c r="J36" i="1"/>
  <c r="K36" i="1"/>
  <c r="L36" i="1"/>
  <c r="G37" i="1"/>
  <c r="H37" i="1"/>
  <c r="I37" i="1"/>
  <c r="J37" i="1"/>
  <c r="K37" i="1"/>
  <c r="L37" i="1"/>
  <c r="G38" i="1"/>
  <c r="H38" i="1"/>
  <c r="I38" i="1"/>
  <c r="J38" i="1"/>
  <c r="K38" i="1"/>
  <c r="L38" i="1"/>
  <c r="G39" i="1"/>
  <c r="H39" i="1"/>
  <c r="I39" i="1"/>
  <c r="J39" i="1"/>
  <c r="K39" i="1"/>
  <c r="L39" i="1"/>
  <c r="G40" i="1"/>
  <c r="H40" i="1"/>
  <c r="I40" i="1"/>
  <c r="J40" i="1"/>
  <c r="K40" i="1"/>
  <c r="L40" i="1"/>
  <c r="G41" i="1"/>
  <c r="H41" i="1"/>
  <c r="I41" i="1"/>
  <c r="J41" i="1"/>
  <c r="K41" i="1"/>
  <c r="L41" i="1"/>
  <c r="G42" i="1"/>
  <c r="H42" i="1"/>
  <c r="I42" i="1"/>
  <c r="J42" i="1"/>
  <c r="K42" i="1"/>
  <c r="L42" i="1"/>
  <c r="G43" i="1"/>
  <c r="H43" i="1"/>
  <c r="I43" i="1"/>
  <c r="J43" i="1"/>
  <c r="K43" i="1"/>
  <c r="L43" i="1"/>
  <c r="G44" i="1"/>
  <c r="H44" i="1"/>
  <c r="I44" i="1"/>
  <c r="J44" i="1"/>
  <c r="K44" i="1"/>
  <c r="L44" i="1"/>
  <c r="G45" i="1"/>
  <c r="H45" i="1"/>
  <c r="I45" i="1"/>
  <c r="J45" i="1"/>
  <c r="K45" i="1"/>
  <c r="L45" i="1"/>
  <c r="G46" i="1"/>
  <c r="H46" i="1"/>
  <c r="I46" i="1"/>
  <c r="J46" i="1"/>
  <c r="K46" i="1"/>
  <c r="L46" i="1"/>
  <c r="G47" i="1"/>
  <c r="H47" i="1"/>
  <c r="I47" i="1"/>
  <c r="J47" i="1"/>
  <c r="K47" i="1"/>
  <c r="L47" i="1"/>
  <c r="G48" i="1"/>
  <c r="H48" i="1"/>
  <c r="I48" i="1"/>
  <c r="J48" i="1"/>
  <c r="K48" i="1"/>
  <c r="L48" i="1"/>
  <c r="G49" i="1"/>
  <c r="H49" i="1"/>
  <c r="I49" i="1"/>
  <c r="J49" i="1"/>
  <c r="K49" i="1"/>
  <c r="L49" i="1"/>
  <c r="G50" i="1"/>
  <c r="H50" i="1"/>
  <c r="I50" i="1"/>
  <c r="J50" i="1"/>
  <c r="K50" i="1"/>
  <c r="L50" i="1"/>
  <c r="G51" i="1"/>
  <c r="H51" i="1"/>
  <c r="I51" i="1"/>
  <c r="J51" i="1"/>
  <c r="K51" i="1"/>
  <c r="L51" i="1"/>
  <c r="G52" i="1"/>
  <c r="H52" i="1"/>
  <c r="I52" i="1"/>
  <c r="J52" i="1"/>
  <c r="K52" i="1"/>
  <c r="L52" i="1"/>
  <c r="G53" i="1"/>
  <c r="H53" i="1"/>
  <c r="I53" i="1"/>
  <c r="J53" i="1"/>
  <c r="K53" i="1"/>
  <c r="L53" i="1"/>
  <c r="G54" i="1"/>
  <c r="H54" i="1"/>
  <c r="I54" i="1"/>
  <c r="J54" i="1"/>
  <c r="K54" i="1"/>
  <c r="L54" i="1"/>
  <c r="G55" i="1"/>
  <c r="H55" i="1"/>
  <c r="I55" i="1"/>
  <c r="J55" i="1"/>
  <c r="K55" i="1"/>
  <c r="L55" i="1"/>
  <c r="G56" i="1"/>
  <c r="H56" i="1"/>
  <c r="I56" i="1"/>
  <c r="J56" i="1"/>
  <c r="K56" i="1"/>
  <c r="L56" i="1"/>
  <c r="G57" i="1"/>
  <c r="H57" i="1"/>
  <c r="I57" i="1"/>
  <c r="J57" i="1"/>
  <c r="K57" i="1"/>
  <c r="L57" i="1"/>
  <c r="G58" i="1"/>
  <c r="H58" i="1"/>
  <c r="I58" i="1"/>
  <c r="J58" i="1"/>
  <c r="K58" i="1"/>
  <c r="L58" i="1"/>
  <c r="G59" i="1"/>
  <c r="H59" i="1"/>
  <c r="I59" i="1"/>
  <c r="J59" i="1"/>
  <c r="K59" i="1"/>
  <c r="L59" i="1"/>
  <c r="G60" i="1"/>
  <c r="H60" i="1"/>
  <c r="I60" i="1"/>
  <c r="J60" i="1"/>
  <c r="K60" i="1"/>
  <c r="L60" i="1"/>
  <c r="G61" i="1"/>
  <c r="H61" i="1"/>
  <c r="I61" i="1"/>
  <c r="J61" i="1"/>
  <c r="K61" i="1"/>
  <c r="L61" i="1"/>
  <c r="G62" i="1"/>
  <c r="H62" i="1"/>
  <c r="I62" i="1"/>
  <c r="J62" i="1"/>
  <c r="K62" i="1"/>
  <c r="L62" i="1"/>
  <c r="G63" i="1"/>
  <c r="H63" i="1"/>
  <c r="I63" i="1"/>
  <c r="J63" i="1"/>
  <c r="K63" i="1"/>
  <c r="L63" i="1"/>
  <c r="G64" i="1"/>
  <c r="H64" i="1"/>
  <c r="I64" i="1"/>
  <c r="J64" i="1"/>
  <c r="K64" i="1"/>
  <c r="L64" i="1"/>
  <c r="G65" i="1"/>
  <c r="H65" i="1"/>
  <c r="I65" i="1"/>
  <c r="J65" i="1"/>
  <c r="K65" i="1"/>
  <c r="L65" i="1"/>
  <c r="G66" i="1"/>
  <c r="H66" i="1"/>
  <c r="I66" i="1"/>
  <c r="J66" i="1"/>
  <c r="K66" i="1"/>
  <c r="L66" i="1"/>
  <c r="G67" i="1"/>
  <c r="H67" i="1"/>
  <c r="I67" i="1"/>
  <c r="J67" i="1"/>
  <c r="K67" i="1"/>
  <c r="L67" i="1"/>
  <c r="G68" i="1"/>
  <c r="H68" i="1"/>
  <c r="I68" i="1"/>
  <c r="J68" i="1"/>
  <c r="K68" i="1"/>
  <c r="L68" i="1"/>
  <c r="G69" i="1"/>
  <c r="H69" i="1"/>
  <c r="I69" i="1"/>
  <c r="J69" i="1"/>
  <c r="K69" i="1"/>
  <c r="L69" i="1"/>
  <c r="G70" i="1"/>
  <c r="H70" i="1"/>
  <c r="I70" i="1"/>
  <c r="J70" i="1"/>
  <c r="K70" i="1"/>
  <c r="L70" i="1"/>
  <c r="G71" i="1"/>
  <c r="H71" i="1"/>
  <c r="I71" i="1"/>
  <c r="J71" i="1"/>
  <c r="K71" i="1"/>
  <c r="L71" i="1"/>
  <c r="G72" i="1"/>
  <c r="H72" i="1"/>
  <c r="I72" i="1"/>
  <c r="J72" i="1"/>
  <c r="K72" i="1"/>
  <c r="L72" i="1"/>
  <c r="G73" i="1"/>
  <c r="H73" i="1"/>
  <c r="I73" i="1"/>
  <c r="J73" i="1"/>
  <c r="K73" i="1"/>
  <c r="L73" i="1"/>
  <c r="G74" i="1"/>
  <c r="H74" i="1"/>
  <c r="I74" i="1"/>
  <c r="J74" i="1"/>
  <c r="K74" i="1"/>
  <c r="L7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ANDREOTTI Carole</author>
  </authors>
  <commentList>
    <comment ref="C77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ANDREOTTI Carole:</t>
        </r>
        <r>
          <rPr>
            <sz val="9"/>
            <color indexed="81"/>
            <rFont val="Tahoma"/>
            <family val="2"/>
          </rPr>
          <t xml:space="preserve">
montant du cours actuel?
</t>
        </r>
      </text>
    </comment>
    <comment ref="C83" authorId="0" shapeId="0" xr:uid="{00000000-0006-0000-0200-000002000000}">
      <text>
        <r>
          <rPr>
            <b/>
            <sz val="9"/>
            <color indexed="81"/>
            <rFont val="Tahoma"/>
            <family val="2"/>
          </rPr>
          <t>ANDREOTTI Carole:</t>
        </r>
        <r>
          <rPr>
            <sz val="9"/>
            <color indexed="81"/>
            <rFont val="Tahoma"/>
            <family val="2"/>
          </rPr>
          <t xml:space="preserve">
valeur? Montant? Autre?</t>
        </r>
      </text>
    </comment>
    <comment ref="C91" authorId="0" shapeId="0" xr:uid="{00000000-0006-0000-0200-000003000000}">
      <text>
        <r>
          <rPr>
            <b/>
            <sz val="9"/>
            <color indexed="81"/>
            <rFont val="Tahoma"/>
            <family val="2"/>
          </rPr>
          <t>ANDREOTTI Carole:</t>
        </r>
        <r>
          <rPr>
            <sz val="9"/>
            <color indexed="81"/>
            <rFont val="Tahoma"/>
            <family val="2"/>
          </rPr>
          <t xml:space="preserve">
montant ou taux?</t>
        </r>
      </text>
    </comment>
    <comment ref="C100" authorId="0" shapeId="0" xr:uid="{00000000-0006-0000-0200-000004000000}">
      <text>
        <r>
          <rPr>
            <b/>
            <sz val="9"/>
            <color indexed="81"/>
            <rFont val="Tahoma"/>
            <family val="2"/>
          </rPr>
          <t>ANDREOTTI Carole:</t>
        </r>
        <r>
          <rPr>
            <sz val="9"/>
            <color indexed="81"/>
            <rFont val="Tahoma"/>
            <family val="2"/>
          </rPr>
          <t xml:space="preserve">
montant du cours actuel?
</t>
        </r>
      </text>
    </comment>
    <comment ref="E206" authorId="0" shapeId="0" xr:uid="{00000000-0006-0000-0200-000005000000}">
      <text>
        <r>
          <rPr>
            <b/>
            <sz val="9"/>
            <color indexed="81"/>
            <rFont val="Tahoma"/>
            <family val="2"/>
          </rPr>
          <t>ANDREOTTI Carole:</t>
        </r>
        <r>
          <rPr>
            <sz val="9"/>
            <color indexed="81"/>
            <rFont val="Tahoma"/>
            <family val="2"/>
          </rPr>
          <t xml:space="preserve">
voir si on peut laisser le mot anglais ….
</t>
        </r>
      </text>
    </comment>
    <comment ref="E208" authorId="0" shapeId="0" xr:uid="{00000000-0006-0000-0200-000006000000}">
      <text>
        <r>
          <rPr>
            <b/>
            <sz val="9"/>
            <color indexed="81"/>
            <rFont val="Tahoma"/>
            <family val="2"/>
          </rPr>
          <t>ANDREOTTI Carole:</t>
        </r>
        <r>
          <rPr>
            <sz val="9"/>
            <color indexed="81"/>
            <rFont val="Tahoma"/>
            <family val="2"/>
          </rPr>
          <t xml:space="preserve">
à vor avec les utilisateurs
</t>
        </r>
      </text>
    </comment>
    <comment ref="C230" authorId="0" shapeId="0" xr:uid="{00000000-0006-0000-0200-000007000000}">
      <text>
        <r>
          <rPr>
            <b/>
            <sz val="9"/>
            <color indexed="81"/>
            <rFont val="Tahoma"/>
            <family val="2"/>
          </rPr>
          <t>ANDREOTTI Carole:</t>
        </r>
        <r>
          <rPr>
            <sz val="9"/>
            <color indexed="81"/>
            <rFont val="Tahoma"/>
            <family val="2"/>
          </rPr>
          <t xml:space="preserve">
pas d'ODG à apporter
</t>
        </r>
      </text>
    </comment>
  </commentList>
</comments>
</file>

<file path=xl/sharedStrings.xml><?xml version="1.0" encoding="utf-8"?>
<sst xmlns="http://schemas.openxmlformats.org/spreadsheetml/2006/main" count="910" uniqueCount="596">
  <si>
    <t>Nom fr</t>
  </si>
  <si>
    <t>Nom en</t>
  </si>
  <si>
    <t xml:space="preserve"> </t>
  </si>
  <si>
    <t>,</t>
  </si>
  <si>
    <t>à</t>
  </si>
  <si>
    <t xml:space="preserve"> to</t>
  </si>
  <si>
    <t>à la</t>
  </si>
  <si>
    <t>to</t>
  </si>
  <si>
    <t>à un</t>
  </si>
  <si>
    <t>à qui</t>
  </si>
  <si>
    <t>après</t>
  </si>
  <si>
    <t>after</t>
  </si>
  <si>
    <t>au</t>
  </si>
  <si>
    <t>avec</t>
  </si>
  <si>
    <t>with</t>
  </si>
  <si>
    <t>chez</t>
  </si>
  <si>
    <t>at</t>
  </si>
  <si>
    <t>d'</t>
  </si>
  <si>
    <t xml:space="preserve"> of the</t>
  </si>
  <si>
    <t>dans</t>
  </si>
  <si>
    <t>in</t>
  </si>
  <si>
    <t>dans l'</t>
  </si>
  <si>
    <t>in the</t>
  </si>
  <si>
    <t>dans la</t>
  </si>
  <si>
    <t xml:space="preserve"> in the</t>
  </si>
  <si>
    <t>dans le</t>
  </si>
  <si>
    <t>de</t>
  </si>
  <si>
    <t>de l'</t>
  </si>
  <si>
    <t>de la</t>
  </si>
  <si>
    <t>de type</t>
  </si>
  <si>
    <t>type of</t>
  </si>
  <si>
    <t>depuis</t>
  </si>
  <si>
    <t>since</t>
  </si>
  <si>
    <t>des</t>
  </si>
  <si>
    <t>du</t>
  </si>
  <si>
    <t>d'un</t>
  </si>
  <si>
    <t>of the</t>
  </si>
  <si>
    <t>d'une</t>
  </si>
  <si>
    <t>en</t>
  </si>
  <si>
    <t>as</t>
  </si>
  <si>
    <t>entre</t>
  </si>
  <si>
    <t xml:space="preserve"> between</t>
  </si>
  <si>
    <t>et</t>
  </si>
  <si>
    <t xml:space="preserve"> and</t>
  </si>
  <si>
    <t>l'</t>
  </si>
  <si>
    <t>the</t>
  </si>
  <si>
    <t>le</t>
  </si>
  <si>
    <t>ou</t>
  </si>
  <si>
    <t>or</t>
  </si>
  <si>
    <t>par</t>
  </si>
  <si>
    <t xml:space="preserve"> by</t>
  </si>
  <si>
    <t>par la</t>
  </si>
  <si>
    <t>by the</t>
  </si>
  <si>
    <t>par le</t>
  </si>
  <si>
    <t>par les</t>
  </si>
  <si>
    <t>pour</t>
  </si>
  <si>
    <t xml:space="preserve"> for</t>
  </si>
  <si>
    <t>pour l'</t>
  </si>
  <si>
    <t>pour le</t>
  </si>
  <si>
    <t>pour les</t>
  </si>
  <si>
    <t>for</t>
  </si>
  <si>
    <t>suivant la</t>
  </si>
  <si>
    <t>after the</t>
  </si>
  <si>
    <t>sur l'</t>
  </si>
  <si>
    <t>on the</t>
  </si>
  <si>
    <t>sur la</t>
  </si>
  <si>
    <t>sur le</t>
  </si>
  <si>
    <t>Date ajout</t>
  </si>
  <si>
    <t>Used</t>
  </si>
  <si>
    <t>Nom FR</t>
  </si>
  <si>
    <t>Définition unique</t>
  </si>
  <si>
    <t>Nom EN</t>
  </si>
  <si>
    <t>Trigramme</t>
  </si>
  <si>
    <t>"a l'autorité parentale"</t>
  </si>
  <si>
    <t>"got the parental authority"</t>
  </si>
  <si>
    <t>GOTPAAAHR</t>
  </si>
  <si>
    <t>"a le pouvoir bancaire"</t>
  </si>
  <si>
    <t>"got the banking power"</t>
  </si>
  <si>
    <t>GOTBNKPOW</t>
  </si>
  <si>
    <t>"a une entreprise individuelle"</t>
  </si>
  <si>
    <t>"got an individual company"</t>
  </si>
  <si>
    <t>GOTIDVCNY</t>
  </si>
  <si>
    <t>"appartient au foyer fiscal"</t>
  </si>
  <si>
    <t>"belonging to the fiscal household"</t>
  </si>
  <si>
    <t>BLGFSCHHD</t>
  </si>
  <si>
    <t>"bénéficiaire effectif"</t>
  </si>
  <si>
    <t>"effective beneficiary"</t>
  </si>
  <si>
    <t>EFTBEN</t>
  </si>
  <si>
    <t>"Centre Est Europe"</t>
  </si>
  <si>
    <t>CEE</t>
  </si>
  <si>
    <t>36 derniers mois</t>
  </si>
  <si>
    <t>last 36 months</t>
  </si>
  <si>
    <t>LST36M</t>
  </si>
  <si>
    <t>ACAM</t>
  </si>
  <si>
    <t>Autorité de Contrôle des Assurances et des Mutuelles</t>
  </si>
  <si>
    <t>AAM</t>
  </si>
  <si>
    <t>A</t>
  </si>
  <si>
    <t>accès</t>
  </si>
  <si>
    <t>access</t>
  </si>
  <si>
    <t>AKS</t>
  </si>
  <si>
    <t>accès confidentiel</t>
  </si>
  <si>
    <t>confidential access</t>
  </si>
  <si>
    <t>CFDAKS</t>
  </si>
  <si>
    <t>accident</t>
  </si>
  <si>
    <t>ACD</t>
  </si>
  <si>
    <t>accident de circulation</t>
  </si>
  <si>
    <t>Traffic accident</t>
  </si>
  <si>
    <t>TFFACD</t>
  </si>
  <si>
    <t>accord de gestion</t>
  </si>
  <si>
    <t>management agreement</t>
  </si>
  <si>
    <t>MGTAGM</t>
  </si>
  <si>
    <t>accouchement</t>
  </si>
  <si>
    <t>delivery</t>
  </si>
  <si>
    <t>DLY</t>
  </si>
  <si>
    <t>ACEM</t>
  </si>
  <si>
    <t>Action Clé En Main</t>
  </si>
  <si>
    <t>turnkey action</t>
  </si>
  <si>
    <t>TNKACT</t>
  </si>
  <si>
    <t>ACEM réalisée</t>
  </si>
  <si>
    <t>turnkey action completion</t>
  </si>
  <si>
    <t>TNKACTCPI</t>
  </si>
  <si>
    <t>TAC</t>
  </si>
  <si>
    <t>T</t>
  </si>
  <si>
    <t>INSAOR</t>
  </si>
  <si>
    <t>M</t>
  </si>
  <si>
    <t>D</t>
  </si>
  <si>
    <t>Y</t>
  </si>
  <si>
    <t>I</t>
  </si>
  <si>
    <t>ID</t>
  </si>
  <si>
    <t>B</t>
  </si>
  <si>
    <t>HELSCA</t>
  </si>
  <si>
    <t>TRFCAMGEC</t>
  </si>
  <si>
    <t>Carte avance santé</t>
  </si>
  <si>
    <t>Advance Health Card</t>
  </si>
  <si>
    <t>AHC</t>
  </si>
  <si>
    <t>G</t>
  </si>
  <si>
    <t>K</t>
  </si>
  <si>
    <t>client</t>
  </si>
  <si>
    <t>code</t>
  </si>
  <si>
    <t>code SAS</t>
  </si>
  <si>
    <t>Insurance collaborators</t>
  </si>
  <si>
    <t>INSCBR</t>
  </si>
  <si>
    <t>Town</t>
  </si>
  <si>
    <t>TWN</t>
  </si>
  <si>
    <t>PMC</t>
  </si>
  <si>
    <t>SPS</t>
  </si>
  <si>
    <t>Console du gestionnaire</t>
  </si>
  <si>
    <t>LIT</t>
  </si>
  <si>
    <t>L</t>
  </si>
  <si>
    <t>CTR</t>
  </si>
  <si>
    <t>contrat</t>
  </si>
  <si>
    <t>contract</t>
  </si>
  <si>
    <t>INSCTR</t>
  </si>
  <si>
    <t>broker</t>
  </si>
  <si>
    <t>BRK</t>
  </si>
  <si>
    <t>Date</t>
  </si>
  <si>
    <t>Q</t>
  </si>
  <si>
    <t>DSN</t>
  </si>
  <si>
    <t>NSD</t>
  </si>
  <si>
    <t>X</t>
  </si>
  <si>
    <t>Entité gestionnaire</t>
  </si>
  <si>
    <t>établissement</t>
  </si>
  <si>
    <t>F</t>
  </si>
  <si>
    <t>Format</t>
  </si>
  <si>
    <t>W</t>
  </si>
  <si>
    <t>identifiant fonctionnel</t>
  </si>
  <si>
    <t>Identifiant unique</t>
  </si>
  <si>
    <t>ICA</t>
  </si>
  <si>
    <t>Lien</t>
  </si>
  <si>
    <t>Health insurance reimbursement</t>
  </si>
  <si>
    <t>Nature</t>
  </si>
  <si>
    <t>O</t>
  </si>
  <si>
    <t>CTY</t>
  </si>
  <si>
    <t>portefeuille</t>
  </si>
  <si>
    <t>Prestation Santé</t>
  </si>
  <si>
    <t>INSPRD</t>
  </si>
  <si>
    <t>RECNAS</t>
  </si>
  <si>
    <t>BKD</t>
  </si>
  <si>
    <t>RGS</t>
  </si>
  <si>
    <t>RTP</t>
  </si>
  <si>
    <t>ROBIN</t>
  </si>
  <si>
    <t>RBS</t>
  </si>
  <si>
    <t>INSCNY</t>
  </si>
  <si>
    <t>subscriber</t>
  </si>
  <si>
    <t>SBC</t>
  </si>
  <si>
    <t>tiers</t>
  </si>
  <si>
    <t>third party</t>
  </si>
  <si>
    <t>Type</t>
  </si>
  <si>
    <t>type de structure</t>
  </si>
  <si>
    <t>V</t>
  </si>
  <si>
    <t>Z</t>
  </si>
  <si>
    <t>IBIT</t>
  </si>
  <si>
    <t>Admin console</t>
  </si>
  <si>
    <t>ADMCSL</t>
  </si>
  <si>
    <t>Abstraction / transcodification</t>
  </si>
  <si>
    <t>TID</t>
  </si>
  <si>
    <t>Abstraction / transcoding</t>
  </si>
  <si>
    <t>Acteur en assurance</t>
  </si>
  <si>
    <t>AAC</t>
  </si>
  <si>
    <t>IBIA</t>
  </si>
  <si>
    <t>Insurance Actor</t>
  </si>
  <si>
    <t>Avantages</t>
  </si>
  <si>
    <t>FAV</t>
  </si>
  <si>
    <t>IBIF</t>
  </si>
  <si>
    <t>Advantages</t>
  </si>
  <si>
    <t>INSCTRADV</t>
  </si>
  <si>
    <t>Balances analytiques comptables</t>
  </si>
  <si>
    <t>FBA</t>
  </si>
  <si>
    <t>Analytical accounting balances</t>
  </si>
  <si>
    <t>CSTACGBAL</t>
  </si>
  <si>
    <t>Barème santé</t>
  </si>
  <si>
    <t>IBIR</t>
  </si>
  <si>
    <t>Health Scale</t>
  </si>
  <si>
    <t>Bascule CAM vers GEC</t>
  </si>
  <si>
    <t>CCG</t>
  </si>
  <si>
    <t>IBIC</t>
  </si>
  <si>
    <t>Transfer CAM to GEC</t>
  </si>
  <si>
    <t>Base collecte</t>
  </si>
  <si>
    <t>TCO</t>
  </si>
  <si>
    <t>SIAD</t>
  </si>
  <si>
    <t>Collecte database</t>
  </si>
  <si>
    <t>COLDBA</t>
  </si>
  <si>
    <t>Base organisme</t>
  </si>
  <si>
    <t>RBO</t>
  </si>
  <si>
    <t>Organisation Repository</t>
  </si>
  <si>
    <t>BSEORG</t>
  </si>
  <si>
    <t>bénéficiaires en assurance</t>
  </si>
  <si>
    <t>AIB</t>
  </si>
  <si>
    <t>insurance beneficiary</t>
  </si>
  <si>
    <t>INSBEN</t>
  </si>
  <si>
    <t>SCS</t>
  </si>
  <si>
    <t>IBIS</t>
  </si>
  <si>
    <t>COFIDIS Données externes</t>
  </si>
  <si>
    <t>OCF</t>
  </si>
  <si>
    <t>IBIO</t>
  </si>
  <si>
    <t>Cofidis external data</t>
  </si>
  <si>
    <t>Collaborateurs Assurance</t>
  </si>
  <si>
    <t>RCB</t>
  </si>
  <si>
    <t>Comptabilité</t>
  </si>
  <si>
    <t>FCO</t>
  </si>
  <si>
    <t>Accounting</t>
  </si>
  <si>
    <t>INSCNYACGREC</t>
  </si>
  <si>
    <t>Comptage Volumétrie</t>
  </si>
  <si>
    <t>TVC</t>
  </si>
  <si>
    <t>Volumetry Count</t>
  </si>
  <si>
    <t>Conditions et moyens de paiement</t>
  </si>
  <si>
    <t>CMP</t>
  </si>
  <si>
    <t>Payment means and conditions</t>
  </si>
  <si>
    <t>MCG</t>
  </si>
  <si>
    <t>IBIM</t>
  </si>
  <si>
    <t>Manager console</t>
  </si>
  <si>
    <t>INSMGRCON</t>
  </si>
  <si>
    <t>Contentieux</t>
  </si>
  <si>
    <t>CTX</t>
  </si>
  <si>
    <t>Litigation</t>
  </si>
  <si>
    <t>CCT</t>
  </si>
  <si>
    <t>Contrat assurance téléphone</t>
  </si>
  <si>
    <t>CTE</t>
  </si>
  <si>
    <t>Insurance contract telephone</t>
  </si>
  <si>
    <t>INSTEL</t>
  </si>
  <si>
    <t>correspondant</t>
  </si>
  <si>
    <t>ACO</t>
  </si>
  <si>
    <t>corresponding</t>
  </si>
  <si>
    <t>INSCOR</t>
  </si>
  <si>
    <t>Courtier</t>
  </si>
  <si>
    <t>ECO</t>
  </si>
  <si>
    <t>IBIE</t>
  </si>
  <si>
    <t>INSBRK</t>
  </si>
  <si>
    <t>Datamart Contrat</t>
  </si>
  <si>
    <t>DCT</t>
  </si>
  <si>
    <t>IBID</t>
  </si>
  <si>
    <t>contract datamart</t>
  </si>
  <si>
    <t>Déclaratif réglementaire Belgique</t>
  </si>
  <si>
    <t>OBR</t>
  </si>
  <si>
    <t xml:space="preserve">Belgian regulatory report </t>
  </si>
  <si>
    <t>BELRGLRPT</t>
  </si>
  <si>
    <t>Dettes</t>
  </si>
  <si>
    <t>SDE</t>
  </si>
  <si>
    <t>Debts</t>
  </si>
  <si>
    <t>INSDET</t>
  </si>
  <si>
    <t>Données assurances pour la Banque</t>
  </si>
  <si>
    <t>BDA</t>
  </si>
  <si>
    <t>IBIB</t>
  </si>
  <si>
    <t>Bank insurance data</t>
  </si>
  <si>
    <t>BNKINSDTA</t>
  </si>
  <si>
    <t>FDS</t>
  </si>
  <si>
    <t>Echéancier des contrats d’assurance</t>
  </si>
  <si>
    <t>FEC</t>
  </si>
  <si>
    <t>Schedule of insurance contracts</t>
  </si>
  <si>
    <t>SCHINSCTR</t>
  </si>
  <si>
    <t>Eole</t>
  </si>
  <si>
    <t>CEO</t>
  </si>
  <si>
    <t>Etude assurance</t>
  </si>
  <si>
    <t>VEA</t>
  </si>
  <si>
    <t>IBIV</t>
  </si>
  <si>
    <t>Insurance study</t>
  </si>
  <si>
    <t>INSSTU</t>
  </si>
  <si>
    <t>INSSTY</t>
  </si>
  <si>
    <t>Financier</t>
  </si>
  <si>
    <t>FFI</t>
  </si>
  <si>
    <t>Financial</t>
  </si>
  <si>
    <t>INSBUSFIN</t>
  </si>
  <si>
    <t>Fiscalité des contrats d'assurance</t>
  </si>
  <si>
    <t>FFS</t>
  </si>
  <si>
    <t>Insurance contract fiscality</t>
  </si>
  <si>
    <t>INSCTRFSC</t>
  </si>
  <si>
    <t>Générateur des modèles de données des vues du SIAD</t>
  </si>
  <si>
    <t>TMV</t>
  </si>
  <si>
    <t>View model generator</t>
  </si>
  <si>
    <t>VIEMDEGTR</t>
  </si>
  <si>
    <t>genesys</t>
  </si>
  <si>
    <t>MGE</t>
  </si>
  <si>
    <t>INSCTCPLF</t>
  </si>
  <si>
    <t>Gestion des documents assurance (IDOFCD)</t>
  </si>
  <si>
    <t>MDO</t>
  </si>
  <si>
    <t>Insurance document management</t>
  </si>
  <si>
    <t>INSDOCMGT</t>
  </si>
  <si>
    <t>Gestion des FOCUS</t>
  </si>
  <si>
    <t>MFO</t>
  </si>
  <si>
    <t>Insurance monitoring Focus</t>
  </si>
  <si>
    <t>INSMNTFOC</t>
  </si>
  <si>
    <t>Gestion du personnel assurance</t>
  </si>
  <si>
    <t>MPA</t>
  </si>
  <si>
    <t>Insurance Staff Management</t>
  </si>
  <si>
    <t>INSSFFMGT</t>
  </si>
  <si>
    <t>Images Contrats Assurance</t>
  </si>
  <si>
    <t>CIC</t>
  </si>
  <si>
    <t>Insurance Contract Image</t>
  </si>
  <si>
    <t>à créer dans MAD</t>
  </si>
  <si>
    <t>Lot Logmaster</t>
  </si>
  <si>
    <t>OIL</t>
  </si>
  <si>
    <t>LogMaster Lot</t>
  </si>
  <si>
    <t>INSLOT</t>
  </si>
  <si>
    <t>Paramétrage</t>
  </si>
  <si>
    <t>TPA</t>
  </si>
  <si>
    <t>Setting</t>
  </si>
  <si>
    <t>HIRRBT</t>
  </si>
  <si>
    <t>Prestation Santé au Contrôle</t>
  </si>
  <si>
    <t>SPC</t>
  </si>
  <si>
    <t>Health insurance reimbursement to control</t>
  </si>
  <si>
    <t>HIRRBTCTL</t>
  </si>
  <si>
    <t>primes</t>
  </si>
  <si>
    <t>FPR</t>
  </si>
  <si>
    <t>premiums</t>
  </si>
  <si>
    <t>PUMWRN</t>
  </si>
  <si>
    <t>produit</t>
  </si>
  <si>
    <t>RPR</t>
  </si>
  <si>
    <t>product</t>
  </si>
  <si>
    <t>Provisions sinistres</t>
  </si>
  <si>
    <t>SPV</t>
  </si>
  <si>
    <t>Claim provisions</t>
  </si>
  <si>
    <t>CIMPVN</t>
  </si>
  <si>
    <t>Purges</t>
  </si>
  <si>
    <t>TPU</t>
  </si>
  <si>
    <t>purges</t>
  </si>
  <si>
    <t>DTAPUG</t>
  </si>
  <si>
    <t>Qualification des contacts assurance</t>
  </si>
  <si>
    <t>MCQ</t>
  </si>
  <si>
    <t xml:space="preserve">Insurance contact qualification </t>
  </si>
  <si>
    <t>INSCTCQLN</t>
  </si>
  <si>
    <t>Qualité des données</t>
  </si>
  <si>
    <t>TQD</t>
  </si>
  <si>
    <t>Data quality</t>
  </si>
  <si>
    <t>Rapport de contrôle interne des assurances</t>
  </si>
  <si>
    <t>DCI</t>
  </si>
  <si>
    <t>Insurance internal control report</t>
  </si>
  <si>
    <t>INSINTCTLRPT</t>
  </si>
  <si>
    <t>Réclamations Clients</t>
  </si>
  <si>
    <t>DRC</t>
  </si>
  <si>
    <t>Customer complaint</t>
  </si>
  <si>
    <t>CUSCPA</t>
  </si>
  <si>
    <t>DRN</t>
  </si>
  <si>
    <t>RECNASSIO</t>
  </si>
  <si>
    <t>DRS</t>
  </si>
  <si>
    <t>Référence bancaire</t>
  </si>
  <si>
    <t>RBA</t>
  </si>
  <si>
    <t>Bank detail</t>
  </si>
  <si>
    <t>Référentiel Garantie &amp; Service</t>
  </si>
  <si>
    <t>Guaranty &amp; Service Repository</t>
  </si>
  <si>
    <t>WARSVCINS</t>
  </si>
  <si>
    <t>Référentiel Pays</t>
  </si>
  <si>
    <t>RPA</t>
  </si>
  <si>
    <t>Country</t>
  </si>
  <si>
    <t>Référentiel postal</t>
  </si>
  <si>
    <t>RPO</t>
  </si>
  <si>
    <t>Sinistres IARD</t>
  </si>
  <si>
    <t>SSI</t>
  </si>
  <si>
    <t>Property &amp; Casuality Claim</t>
  </si>
  <si>
    <t>PCACIM</t>
  </si>
  <si>
    <t>Sinistres prévoyance et emprunteur</t>
  </si>
  <si>
    <t>SRP</t>
  </si>
  <si>
    <t>Personnal risk Insurance Reimbursement</t>
  </si>
  <si>
    <t>PRKINSRBT</t>
  </si>
  <si>
    <t>Société</t>
  </si>
  <si>
    <t>RSO</t>
  </si>
  <si>
    <t>society</t>
  </si>
  <si>
    <t>Suivi de l'avant vente</t>
  </si>
  <si>
    <t>VAV</t>
  </si>
  <si>
    <t>Insurance presale following</t>
  </si>
  <si>
    <t>INSPRESALFOL</t>
  </si>
  <si>
    <t>Suivi exploitation</t>
  </si>
  <si>
    <t>TSE</t>
  </si>
  <si>
    <t>Operation monitoring</t>
  </si>
  <si>
    <t>OPE_MNT</t>
  </si>
  <si>
    <t>Tarification</t>
  </si>
  <si>
    <t>FTA</t>
  </si>
  <si>
    <t>Pricing</t>
  </si>
  <si>
    <t>INSCTRTAR</t>
  </si>
  <si>
    <t>Taux Théorique des commissions bancaire et financière d’assurance</t>
  </si>
  <si>
    <t>VTC</t>
  </si>
  <si>
    <t xml:space="preserve">Theorical rate of insurance Banking and Finance Commission </t>
  </si>
  <si>
    <t>THORATINSBFC</t>
  </si>
  <si>
    <t>Temps</t>
  </si>
  <si>
    <t>RTI</t>
  </si>
  <si>
    <t>Time</t>
  </si>
  <si>
    <t>DIMTIM</t>
  </si>
  <si>
    <t>ATI</t>
  </si>
  <si>
    <t>TDPPRY</t>
  </si>
  <si>
    <t>Transverse</t>
  </si>
  <si>
    <t>TTT</t>
  </si>
  <si>
    <t>tribu</t>
  </si>
  <si>
    <t>ATR</t>
  </si>
  <si>
    <t>Usine à contrôles</t>
  </si>
  <si>
    <t>TUC</t>
  </si>
  <si>
    <t>Control factory</t>
  </si>
  <si>
    <t>CTLFTR</t>
  </si>
  <si>
    <t>Usine à vues</t>
  </si>
  <si>
    <t>TUV</t>
  </si>
  <si>
    <t>View Factory</t>
  </si>
  <si>
    <t>VIECTR</t>
  </si>
  <si>
    <t>Zonier</t>
  </si>
  <si>
    <t>RZT</t>
  </si>
  <si>
    <t>Remarque</t>
  </si>
  <si>
    <t>Catégorie</t>
  </si>
  <si>
    <t>Nom</t>
  </si>
  <si>
    <t>libellé FR</t>
  </si>
  <si>
    <t>Libellé EN</t>
  </si>
  <si>
    <t>Technique</t>
  </si>
  <si>
    <t>Abstraction</t>
  </si>
  <si>
    <t>entité qui continet les clés techniques SID générées à partir des clés SIO</t>
  </si>
  <si>
    <t>Table d'abstraction</t>
  </si>
  <si>
    <t>Abstraction table</t>
  </si>
  <si>
    <t>Métier</t>
  </si>
  <si>
    <t>Axe d'analyse</t>
  </si>
  <si>
    <t>Dimension qui servira d'axe d'analyse</t>
  </si>
  <si>
    <t xml:space="preserve">Axe </t>
  </si>
  <si>
    <t>Axis</t>
  </si>
  <si>
    <t>Datamart</t>
  </si>
  <si>
    <t>table qui agrège une table de fait et ses dimensions attenantes pour répondre à un besoin fonctionnel</t>
  </si>
  <si>
    <t>Domaine de valeurs</t>
  </si>
  <si>
    <t>entité contenant les valeurs issus des domaines de valeur du SIO et gérés dans la transcodification SID</t>
  </si>
  <si>
    <t>List of values</t>
  </si>
  <si>
    <t>Fait</t>
  </si>
  <si>
    <t>entité contenant les faits</t>
  </si>
  <si>
    <t>Table de fait</t>
  </si>
  <si>
    <t>Fact table</t>
  </si>
  <si>
    <t>Générateur Séquence d'abstraction</t>
  </si>
  <si>
    <t>entité  générant les séquences utilisées pour la génération des tables d'abstractions</t>
  </si>
  <si>
    <t>Table génératrice de séquence d'abstraction</t>
  </si>
  <si>
    <t>Abstraction sequence generator table</t>
  </si>
  <si>
    <t>Identifiant générique</t>
  </si>
  <si>
    <t>table qui permet d'obtenir un identifiant unique pour une données de gestion définie dans plusieurs référentiels (ex garantie générique)</t>
  </si>
  <si>
    <t>Table d'identifiants génériques</t>
  </si>
  <si>
    <t>generic identifier table</t>
  </si>
  <si>
    <t>entité utilisée  dans le SID pour passer des paramètres</t>
  </si>
  <si>
    <t>Table de paramètrage</t>
  </si>
  <si>
    <t>Parameter table</t>
  </si>
  <si>
    <t>entité utilisée pour le suivi de la qualité de l'entrepot (usine a contrôle, contrainte d'intégrité,…)</t>
  </si>
  <si>
    <t>Table de qualité des données</t>
  </si>
  <si>
    <t>Data quality table</t>
  </si>
  <si>
    <t>Relation</t>
  </si>
  <si>
    <t>Dimension représentant un lien entre deux tables
la cardinalité doit forcément etre de type N/N</t>
  </si>
  <si>
    <t>Table de lien entre</t>
  </si>
  <si>
    <t>Link table between</t>
  </si>
  <si>
    <t>table qui  permet l'observation du SID</t>
  </si>
  <si>
    <t>Table de suivi d'exploitation</t>
  </si>
  <si>
    <t>operation monitoring table</t>
  </si>
  <si>
    <t>Tracking</t>
  </si>
  <si>
    <t>table permettant de tracer/suivre les entrées sur un objet</t>
  </si>
  <si>
    <t>Table de journalisation</t>
  </si>
  <si>
    <t>Tracking table</t>
  </si>
  <si>
    <t>Transcodification</t>
  </si>
  <si>
    <t>table qui permet la  consolidation des domaines de valeurs du SIO dans le SID</t>
  </si>
  <si>
    <t>Table de transcodification</t>
  </si>
  <si>
    <t>Transcoding table</t>
  </si>
  <si>
    <t>Work</t>
  </si>
  <si>
    <t>table utilisée par nos traitements de chargement et non visible des utilisateurs</t>
  </si>
  <si>
    <t>table de travail</t>
  </si>
  <si>
    <t>Work table</t>
  </si>
  <si>
    <t>Type table</t>
  </si>
  <si>
    <t>Robin</t>
  </si>
  <si>
    <t>Nb car</t>
  </si>
  <si>
    <t>Code</t>
  </si>
  <si>
    <t>Objet de gestion 1</t>
  </si>
  <si>
    <t>Objet de gestion 2</t>
  </si>
  <si>
    <t>Objet de gestion 3</t>
  </si>
  <si>
    <t>Objet de gestion 4</t>
  </si>
  <si>
    <t>Nom anglais</t>
  </si>
  <si>
    <t>Nom français</t>
  </si>
  <si>
    <t>Code du BIB</t>
  </si>
  <si>
    <t>ID Table</t>
  </si>
  <si>
    <t>Nom du BIB</t>
  </si>
  <si>
    <t>article 1</t>
  </si>
  <si>
    <t>article 2</t>
  </si>
  <si>
    <t>article 3</t>
  </si>
  <si>
    <t>article 4</t>
  </si>
  <si>
    <t>Ordre trigramme</t>
  </si>
  <si>
    <t>Périmètre</t>
  </si>
  <si>
    <t>Booléen</t>
  </si>
  <si>
    <t>Integer</t>
  </si>
  <si>
    <t>Clé</t>
  </si>
  <si>
    <t>Montant</t>
  </si>
  <si>
    <t>Nombre entier</t>
  </si>
  <si>
    <t>Nombre décimal</t>
  </si>
  <si>
    <t>Date, Heure, Timestamp</t>
  </si>
  <si>
    <t>Type de champ</t>
  </si>
  <si>
    <t>Chaine de caractère</t>
  </si>
  <si>
    <t>Type de données</t>
  </si>
  <si>
    <t>Boolean</t>
  </si>
  <si>
    <t>Varchar(??)</t>
  </si>
  <si>
    <t>Numeric(??,??)</t>
  </si>
  <si>
    <t>à payer</t>
  </si>
  <si>
    <t>abonné</t>
  </si>
  <si>
    <t>absence</t>
  </si>
  <si>
    <t>bureau</t>
  </si>
  <si>
    <t>dernière image</t>
  </si>
  <si>
    <t>guichet</t>
  </si>
  <si>
    <t>rattachement</t>
  </si>
  <si>
    <t>required to pay</t>
  </si>
  <si>
    <t>ABS</t>
  </si>
  <si>
    <t>Date de début de l'identifiant unique</t>
  </si>
  <si>
    <t>Date de fin de l'identifiant unique</t>
  </si>
  <si>
    <t>Libellé</t>
  </si>
  <si>
    <t>Document :</t>
  </si>
  <si>
    <t xml:space="preserve">Interlocuteurs : </t>
  </si>
  <si>
    <t>Angéline JACQUINOT</t>
  </si>
  <si>
    <t>Carole ANDREOTTI</t>
  </si>
  <si>
    <t>Ce document permet de générer les codes des tables et champs d'une nomenclature ainsi que des libellés anglais. Il est là pour aider à compléter la demande de nomenclature.</t>
  </si>
  <si>
    <r>
      <t xml:space="preserve">Il est décomposé en 4 parties : </t>
    </r>
    <r>
      <rPr>
        <sz val="14"/>
        <color theme="7"/>
        <rFont val="Calibri"/>
        <family val="2"/>
        <scheme val="minor"/>
      </rPr>
      <t>Tables</t>
    </r>
    <r>
      <rPr>
        <sz val="14"/>
        <color theme="1"/>
        <rFont val="Calibri"/>
        <family val="2"/>
        <scheme val="minor"/>
      </rPr>
      <t xml:space="preserve">, </t>
    </r>
    <r>
      <rPr>
        <sz val="14"/>
        <color theme="5"/>
        <rFont val="Calibri"/>
        <family val="2"/>
        <scheme val="minor"/>
      </rPr>
      <t>Champs</t>
    </r>
    <r>
      <rPr>
        <sz val="14"/>
        <rFont val="Calibri"/>
        <family val="2"/>
        <scheme val="minor"/>
      </rPr>
      <t xml:space="preserve">, </t>
    </r>
    <r>
      <rPr>
        <sz val="14"/>
        <color theme="4" tint="-0.249977111117893"/>
        <rFont val="Calibri"/>
        <family val="2"/>
        <scheme val="minor"/>
      </rPr>
      <t>Objets de gestion/Articles</t>
    </r>
    <r>
      <rPr>
        <sz val="14"/>
        <rFont val="Calibri"/>
        <family val="2"/>
        <scheme val="minor"/>
      </rPr>
      <t xml:space="preserve"> et </t>
    </r>
    <r>
      <rPr>
        <sz val="14"/>
        <color theme="9" tint="-0.249977111117893"/>
        <rFont val="Calibri"/>
        <family val="2"/>
        <scheme val="minor"/>
      </rPr>
      <t>BIB/Type de table/Type de champ</t>
    </r>
  </si>
  <si>
    <r>
      <t>La feuille "Tables" permet de générer le code des tables (</t>
    </r>
    <r>
      <rPr>
        <b/>
        <sz val="11"/>
        <color rgb="FFFF0000"/>
        <rFont val="Calibri"/>
        <family val="2"/>
        <scheme val="minor"/>
      </rPr>
      <t>Domaine de valeurs et Datamart compris</t>
    </r>
    <r>
      <rPr>
        <b/>
        <sz val="11"/>
        <color theme="1"/>
        <rFont val="Calibri"/>
        <family val="2"/>
        <scheme val="minor"/>
      </rPr>
      <t>)</t>
    </r>
  </si>
  <si>
    <t>À faire :</t>
  </si>
  <si>
    <r>
      <t>La feuille "Champs" permet de générer le code des champs (</t>
    </r>
    <r>
      <rPr>
        <b/>
        <sz val="11"/>
        <color rgb="FFFF0000"/>
        <rFont val="Calibri"/>
        <family val="2"/>
        <scheme val="minor"/>
      </rPr>
      <t>UID, code et libellé des domaines de valeurs compris</t>
    </r>
    <r>
      <rPr>
        <b/>
        <sz val="11"/>
        <rFont val="Calibri"/>
        <family val="2"/>
        <scheme val="minor"/>
      </rPr>
      <t>)</t>
    </r>
    <r>
      <rPr>
        <b/>
        <sz val="11"/>
        <color theme="1"/>
        <rFont val="Calibri"/>
        <family val="2"/>
        <scheme val="minor"/>
      </rPr>
      <t>.</t>
    </r>
  </si>
  <si>
    <r>
      <t xml:space="preserve">Complèter les colonnes (par sélection dans la liste déroulante) : </t>
    </r>
    <r>
      <rPr>
        <sz val="11"/>
        <rFont val="Calibri"/>
        <family val="2"/>
        <scheme val="minor"/>
      </rPr>
      <t>Nom du BIB, Type de table</t>
    </r>
    <r>
      <rPr>
        <sz val="11"/>
        <color theme="1"/>
        <rFont val="Calibri"/>
        <family val="2"/>
        <scheme val="minor"/>
      </rPr>
      <t xml:space="preserve"> et Objet de gestion (jusquà 4 objets de gestion possible par table)</t>
    </r>
  </si>
  <si>
    <r>
      <rPr>
        <b/>
        <sz val="11"/>
        <color theme="1"/>
        <rFont val="Calibri"/>
        <family val="2"/>
        <scheme val="minor"/>
      </rPr>
      <t>Ordre des trigrammes</t>
    </r>
    <r>
      <rPr>
        <sz val="11"/>
        <color theme="1"/>
        <rFont val="Calibri"/>
        <family val="2"/>
        <scheme val="minor"/>
      </rPr>
      <t xml:space="preserve"> : 
"Normal" pour que le dernier objet de gestion soit au début. Ex : Le code de l'état du contrat &gt; X_CTR_STT_COD &gt; Contract state code
 "Forcé" pour que l'ordre des trigrammes soit le même que le libelé. Ex : : Le code de l'état du contrat &gt; X_STT_CTR_COD &gt; State contract code</t>
    </r>
  </si>
  <si>
    <r>
      <t xml:space="preserve">Les feuilles "Objets de gestion" et "Articles" sont des référentiels. Ils peuvent être agrémenter de nouvelles lignes </t>
    </r>
    <r>
      <rPr>
        <b/>
        <sz val="11"/>
        <color rgb="FFFF0000"/>
        <rFont val="Calibri"/>
        <family val="2"/>
        <scheme val="minor"/>
      </rPr>
      <t>mais en aucun cas être mofifiés.</t>
    </r>
  </si>
  <si>
    <r>
      <t xml:space="preserve">Si un </t>
    </r>
    <r>
      <rPr>
        <b/>
        <sz val="12"/>
        <color theme="1"/>
        <rFont val="Calibri"/>
        <family val="2"/>
        <scheme val="minor"/>
      </rPr>
      <t>Objet de gestion</t>
    </r>
    <r>
      <rPr>
        <sz val="12"/>
        <color theme="1"/>
        <rFont val="Calibri"/>
        <family val="2"/>
        <scheme val="minor"/>
      </rPr>
      <t xml:space="preserve"> n'est pas présent : 
- insérer une nouvelle ligne dans le tableau (Ctrl + "+") ou placer vous à la fin du tableau
- renseigner la date du jour, le nom français, une description si besoin, le nom anglais et le trigramme (si le trigramme n'est pas présent dans LISABR, le surligner en rouge)
- trier la colonne "nom FR" de A à Z
Si un </t>
    </r>
    <r>
      <rPr>
        <b/>
        <sz val="12"/>
        <color theme="1"/>
        <rFont val="Calibri"/>
        <family val="2"/>
        <scheme val="minor"/>
      </rPr>
      <t>Article</t>
    </r>
    <r>
      <rPr>
        <sz val="12"/>
        <color theme="1"/>
        <rFont val="Calibri"/>
        <family val="2"/>
        <scheme val="minor"/>
      </rPr>
      <t xml:space="preserve"> n'est pas présent : 
- insérer une nouvelle ligne dans le tableau (Ctrl + "+") ou placer vous à la fin du tableau
- renseigner l'article en français et son équivalent anglais
- trier sur la colonne "nom FR" de A à Z</t>
    </r>
  </si>
  <si>
    <t>ATTENTION : les colonnes après la barre vertical noire sont générés par du code Excel, merci de ne pas les toucher</t>
  </si>
  <si>
    <t>FINSCHCIM</t>
  </si>
  <si>
    <t>SFS</t>
  </si>
  <si>
    <t>Merci de notifier la cellule si une information est manquante.</t>
  </si>
  <si>
    <t>Outil de nomenclature SIAD</t>
  </si>
  <si>
    <t>CFSXTRDTA</t>
  </si>
  <si>
    <t>Serveur vocal intéractif (SVI)</t>
  </si>
  <si>
    <t>MSV</t>
  </si>
  <si>
    <t>Interactive voice server</t>
  </si>
  <si>
    <t>IVS</t>
  </si>
  <si>
    <t>BIB pour stocker les tables EOLE : TAWISTF, TAWISTG...</t>
  </si>
  <si>
    <t>VSI</t>
  </si>
  <si>
    <t>SIOEOLE</t>
  </si>
  <si>
    <t>Financier et échéancier des sinistres</t>
  </si>
  <si>
    <t>Financial schedule of claim</t>
  </si>
  <si>
    <t>Datamart courtiers</t>
  </si>
  <si>
    <t>BDT</t>
  </si>
  <si>
    <t>broker datamart</t>
  </si>
  <si>
    <r>
      <t>Complèter les colonne</t>
    </r>
    <r>
      <rPr>
        <sz val="11"/>
        <rFont val="Calibri"/>
        <family val="2"/>
        <scheme val="minor"/>
      </rPr>
      <t>s (par sélection dans la liste déroulante) : Nom du BIB, Type de champ, Nature, Article + Objet de gestion et Ordre des trigrammes (jusquà 4 objets de gestion possible par champ)</t>
    </r>
  </si>
  <si>
    <t>Les feuilles "BIB", "Type de table" et "Type de champ" sont des référentiels qui ne doivent pas être modifiés.</t>
  </si>
  <si>
    <t>chargé de clientèle</t>
  </si>
  <si>
    <t>Transfert PACTE</t>
  </si>
  <si>
    <t>LTP</t>
  </si>
  <si>
    <t>IBIL</t>
  </si>
  <si>
    <t>Transfer PACTE</t>
  </si>
  <si>
    <t>TRFPTE</t>
  </si>
  <si>
    <t>Normal</t>
  </si>
  <si>
    <t xml:space="preserve">Progiciels financiers assurances </t>
  </si>
  <si>
    <t>PPF</t>
  </si>
  <si>
    <t>IBIP</t>
  </si>
  <si>
    <t xml:space="preserve">Insurance financial software </t>
  </si>
  <si>
    <t>INSFNCSFW</t>
  </si>
  <si>
    <t>type</t>
  </si>
  <si>
    <t>à l'</t>
  </si>
  <si>
    <t>sur</t>
  </si>
  <si>
    <t>on</t>
  </si>
  <si>
    <t>ou de</t>
  </si>
  <si>
    <t>due à l'</t>
  </si>
  <si>
    <t>due to</t>
  </si>
  <si>
    <t>2nd meilleur</t>
  </si>
  <si>
    <t>TO2</t>
  </si>
  <si>
    <t>date de rattachement</t>
  </si>
  <si>
    <t>fédération</t>
  </si>
  <si>
    <t>Tiers</t>
  </si>
  <si>
    <t>Identifiant fonctionnel</t>
  </si>
  <si>
    <t>P</t>
  </si>
  <si>
    <t>Permanente</t>
  </si>
  <si>
    <t>table permanente utilisée par nos traitements de chargement et non visible des utilisateurs</t>
  </si>
  <si>
    <t>Table de travail permanente</t>
  </si>
  <si>
    <t>Permanent work 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</si>
</sst>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_-* #,##0\ _€_-;\-* #,##0\ _€_-;_-* &quot;-&quot;??\ _€_-;_-@_-"/>
  </numFmts>
  <fonts count="3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2"/>
      <color rgb="FFC00000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9" tint="-0.249977111117893"/>
      <name val="Calibri"/>
      <family val="2"/>
      <scheme val="minor"/>
    </font>
    <font>
      <sz val="14"/>
      <color theme="7"/>
      <name val="Calibri"/>
      <family val="2"/>
      <scheme val="minor"/>
    </font>
    <font>
      <sz val="14"/>
      <color theme="5"/>
      <name val="Calibri"/>
      <family val="2"/>
      <scheme val="minor"/>
    </font>
    <font>
      <sz val="12"/>
      <color theme="1"/>
      <name val="Calibri"/>
      <family val="2"/>
    </font>
    <font>
      <b/>
      <sz val="11"/>
      <color rgb="FFFF0000"/>
      <name val="Calibri"/>
      <family val="2"/>
      <scheme val="minor"/>
    </font>
    <font>
      <sz val="14"/>
      <name val="Calibri"/>
      <family val="2"/>
      <scheme val="minor"/>
    </font>
    <font>
      <sz val="14"/>
      <color theme="4" tint="-0.249977111117893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</font>
    <font>
      <sz val="12"/>
      <color theme="1"/>
      <name val="Times New Roman"/>
      <family val="1"/>
    </font>
    <font>
      <sz val="11"/>
      <color rgb="FF000000"/>
      <name val="Arial"/>
      <family val="2"/>
    </font>
    <font>
      <sz val="10"/>
      <color theme="1"/>
      <name val="Arial Unicode MS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2"/>
      <name val="Calibri"/>
      <family val="2"/>
      <scheme val="minor"/>
    </font>
    <font>
      <i/>
      <sz val="10"/>
      <color theme="1"/>
      <name val="Calibri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 style="medium">
        <color indexed="64"/>
      </left>
      <right/>
      <top style="medium">
        <color indexed="64"/>
      </top>
      <bottom style="medium">
        <color theme="1"/>
      </bottom>
      <diagonal/>
    </border>
    <border>
      <left/>
      <right/>
      <top style="medium">
        <color indexed="64"/>
      </top>
      <bottom style="medium">
        <color theme="1"/>
      </bottom>
      <diagonal/>
    </border>
    <border>
      <left style="medium">
        <color indexed="64"/>
      </left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 style="medium">
        <color indexed="64"/>
      </left>
      <right/>
      <top style="medium">
        <color auto="1"/>
      </top>
      <bottom style="medium">
        <color auto="1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4" fillId="2" borderId="0" applyNumberFormat="0" applyBorder="0" applyAlignment="0" applyProtection="0"/>
    <xf numFmtId="0" fontId="25" fillId="0" borderId="0"/>
  </cellStyleXfs>
  <cellXfs count="78">
    <xf numFmtId="0" fontId="0" fillId="0" borderId="0" xfId="0"/>
    <xf numFmtId="0" fontId="0" fillId="0" borderId="0" xfId="0" applyAlignment="1">
      <alignment horizontal="center" vertical="center"/>
    </xf>
    <xf numFmtId="0" fontId="7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5" fillId="0" borderId="0" xfId="0" applyFont="1"/>
    <xf numFmtId="0" fontId="0" fillId="0" borderId="0" xfId="0" applyAlignment="1">
      <alignment wrapText="1"/>
    </xf>
    <xf numFmtId="0" fontId="10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165" fontId="3" fillId="0" borderId="0" xfId="1" applyNumberFormat="1" applyFont="1" applyAlignment="1">
      <alignment horizontal="center" vertical="center" wrapText="1"/>
    </xf>
    <xf numFmtId="49" fontId="9" fillId="0" borderId="0" xfId="1" applyNumberFormat="1" applyFont="1" applyAlignment="1">
      <alignment horizontal="left" vertical="center" wrapText="1"/>
    </xf>
    <xf numFmtId="165" fontId="8" fillId="0" borderId="0" xfId="1" applyNumberFormat="1" applyFont="1" applyAlignment="1">
      <alignment horizontal="left" vertical="center" wrapText="1"/>
    </xf>
    <xf numFmtId="49" fontId="9" fillId="0" borderId="0" xfId="0" applyNumberFormat="1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0" fillId="0" borderId="0" xfId="0" applyAlignment="1">
      <alignment horizontal="center" wrapText="1"/>
    </xf>
    <xf numFmtId="0" fontId="7" fillId="5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wrapText="1"/>
    </xf>
    <xf numFmtId="0" fontId="2" fillId="6" borderId="3" xfId="2" applyFont="1" applyFill="1" applyBorder="1" applyAlignment="1">
      <alignment horizontal="center" vertical="center" wrapText="1"/>
    </xf>
    <xf numFmtId="0" fontId="2" fillId="6" borderId="4" xfId="2" applyFont="1" applyFill="1" applyBorder="1" applyAlignment="1">
      <alignment horizontal="center" vertical="center" wrapText="1"/>
    </xf>
    <xf numFmtId="0" fontId="2" fillId="6" borderId="2" xfId="2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top"/>
    </xf>
    <xf numFmtId="0" fontId="0" fillId="0" borderId="5" xfId="0" applyBorder="1"/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/>
    </xf>
    <xf numFmtId="0" fontId="15" fillId="0" borderId="0" xfId="0" applyFont="1"/>
    <xf numFmtId="0" fontId="14" fillId="0" borderId="0" xfId="0" applyFont="1"/>
    <xf numFmtId="0" fontId="20" fillId="0" borderId="0" xfId="0" applyFont="1"/>
    <xf numFmtId="0" fontId="20" fillId="0" borderId="0" xfId="0" applyFont="1" applyAlignment="1">
      <alignment vertical="center"/>
    </xf>
    <xf numFmtId="0" fontId="20" fillId="0" borderId="0" xfId="0" applyFont="1" applyAlignment="1">
      <alignment vertical="top"/>
    </xf>
    <xf numFmtId="0" fontId="24" fillId="0" borderId="0" xfId="0" applyFont="1"/>
    <xf numFmtId="14" fontId="14" fillId="0" borderId="0" xfId="0" applyNumberFormat="1" applyFont="1" applyAlignment="1">
      <alignment horizontal="center" vertical="center"/>
    </xf>
    <xf numFmtId="14" fontId="0" fillId="0" borderId="0" xfId="0" applyNumberFormat="1"/>
    <xf numFmtId="14" fontId="24" fillId="0" borderId="0" xfId="0" applyNumberFormat="1" applyFont="1"/>
    <xf numFmtId="0" fontId="26" fillId="0" borderId="0" xfId="0" applyFont="1"/>
    <xf numFmtId="14" fontId="13" fillId="0" borderId="0" xfId="0" applyNumberFormat="1" applyFont="1"/>
    <xf numFmtId="0" fontId="27" fillId="0" borderId="0" xfId="0" applyFont="1"/>
    <xf numFmtId="0" fontId="28" fillId="0" borderId="0" xfId="0" applyFont="1" applyAlignment="1">
      <alignment horizontal="left" vertical="center"/>
    </xf>
    <xf numFmtId="0" fontId="0" fillId="9" borderId="0" xfId="0" applyFill="1"/>
    <xf numFmtId="0" fontId="13" fillId="0" borderId="0" xfId="0" applyFont="1"/>
    <xf numFmtId="14" fontId="0" fillId="0" borderId="0" xfId="0" applyNumberFormat="1" applyAlignment="1">
      <alignment vertical="center"/>
    </xf>
    <xf numFmtId="165" fontId="0" fillId="0" borderId="0" xfId="1" applyNumberFormat="1" applyFont="1" applyAlignment="1">
      <alignment vertical="center"/>
    </xf>
    <xf numFmtId="0" fontId="0" fillId="0" borderId="0" xfId="0" applyAlignment="1">
      <alignment vertical="top"/>
    </xf>
    <xf numFmtId="0" fontId="12" fillId="0" borderId="3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 wrapText="1"/>
    </xf>
    <xf numFmtId="0" fontId="12" fillId="0" borderId="2" xfId="0" applyFont="1" applyBorder="1" applyAlignment="1">
      <alignment vertical="top"/>
    </xf>
    <xf numFmtId="0" fontId="12" fillId="0" borderId="2" xfId="0" applyFont="1" applyBorder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6" xfId="0" applyFont="1" applyBorder="1"/>
    <xf numFmtId="0" fontId="13" fillId="0" borderId="5" xfId="0" applyFont="1" applyBorder="1" applyAlignment="1">
      <alignment horizontal="center" vertical="center"/>
    </xf>
    <xf numFmtId="0" fontId="13" fillId="0" borderId="0" xfId="0" applyFont="1" applyAlignment="1">
      <alignment wrapText="1"/>
    </xf>
    <xf numFmtId="0" fontId="31" fillId="0" borderId="0" xfId="0" applyFont="1" applyAlignment="1">
      <alignment vertical="center"/>
    </xf>
    <xf numFmtId="0" fontId="13" fillId="0" borderId="7" xfId="0" applyFont="1" applyBorder="1"/>
    <xf numFmtId="0" fontId="6" fillId="0" borderId="0" xfId="0" applyFont="1" applyAlignment="1">
      <alignment horizontal="left" vertical="center"/>
    </xf>
    <xf numFmtId="0" fontId="31" fillId="0" borderId="0" xfId="0" applyFont="1" applyAlignment="1">
      <alignment horizontal="left" vertical="center"/>
    </xf>
    <xf numFmtId="0" fontId="13" fillId="0" borderId="8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165" fontId="8" fillId="0" borderId="0" xfId="0" applyNumberFormat="1" applyFont="1" applyAlignment="1">
      <alignment horizontal="center" vertical="center" wrapText="1"/>
    </xf>
    <xf numFmtId="0" fontId="32" fillId="0" borderId="0" xfId="0" applyFont="1" applyAlignment="1">
      <alignment horizontal="left" vertical="center" wrapText="1"/>
    </xf>
    <xf numFmtId="0" fontId="3" fillId="8" borderId="0" xfId="0" applyFont="1" applyFill="1" applyAlignment="1">
      <alignment horizontal="center" vertical="center"/>
    </xf>
    <xf numFmtId="0" fontId="15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6" fillId="0" borderId="0" xfId="0" applyFont="1"/>
    <xf numFmtId="0" fontId="16" fillId="0" borderId="0" xfId="0" applyFont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3" fillId="3" borderId="0" xfId="0" applyFont="1" applyFill="1" applyAlignment="1">
      <alignment horizontal="center" vertical="center"/>
    </xf>
    <xf numFmtId="0" fontId="0" fillId="0" borderId="0" xfId="0"/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0" fontId="3" fillId="7" borderId="0" xfId="0" applyFont="1" applyFill="1" applyAlignment="1">
      <alignment horizontal="center" vertical="center"/>
    </xf>
  </cellXfs>
  <cellStyles count="4">
    <cellStyle name="Accent1" xfId="2" builtinId="29"/>
    <cellStyle name="Milliers" xfId="1" builtinId="3"/>
    <cellStyle name="Normal" xfId="0" builtinId="0"/>
    <cellStyle name="Normal 2" xfId="3" xr:uid="{00000000-0005-0000-0000-000003000000}"/>
  </cellStyles>
  <dxfs count="13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0" indent="0" justifyLastLine="0" shrinkToFit="0" readingOrder="0"/>
    </dxf>
    <dxf>
      <numFmt numFmtId="166" formatCode="dd/mm/yyyy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auto="1"/>
        </top>
        <bottom style="medium">
          <color auto="1"/>
        </bottom>
      </border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fgColor indexed="64"/>
          <bgColor auto="1"/>
        </patternFill>
      </fill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8"/>
          <bgColor theme="8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theme="1"/>
        </top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8"/>
          <bgColor theme="8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theme="1"/>
        </top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8"/>
          <bgColor theme="8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theme="1"/>
        </top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8"/>
          <bgColor theme="8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theme="1"/>
        </top>
        <bottom style="medium">
          <color theme="1"/>
        </bottom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8"/>
          <bgColor theme="8"/>
        </patternFill>
      </fill>
      <alignment horizontal="general" vertical="top" textRotation="0" wrapText="0" indent="0" justifyLastLine="0" shrinkToFit="0" readingOrder="0"/>
      <border diagonalUp="0" diagonalDown="0" outline="0">
        <left/>
        <right/>
        <top style="medium">
          <color theme="1"/>
        </top>
        <bottom style="medium">
          <color theme="1"/>
        </bottom>
      </border>
    </dxf>
    <dxf>
      <border diagonalUp="0" diagonalDown="0" outline="0">
        <left style="medium">
          <color indexed="64"/>
        </left>
        <right/>
        <top style="medium">
          <color auto="1"/>
        </top>
        <bottom style="medium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8"/>
          <bgColor theme="8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8"/>
          <bgColor theme="8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8"/>
          <bgColor theme="8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8"/>
          <bgColor theme="8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8"/>
          <bgColor theme="8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8"/>
          <bgColor theme="8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8"/>
          <bgColor theme="8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theme="1"/>
        </bottom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8"/>
          <bgColor theme="8"/>
        </patternFill>
      </fill>
      <alignment horizontal="center" vertical="center" textRotation="0" wrapText="1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left" vertical="center" textRotation="0" wrapText="1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C00000"/>
        <name val="Calibri"/>
        <scheme val="minor"/>
      </font>
      <alignment horizontal="left" vertical="center" textRotation="0" wrapText="1" indent="0" justifyLastLine="0" shrinkToFit="0" readingOrder="0"/>
    </dxf>
    <dxf>
      <font>
        <b/>
        <sz val="12"/>
        <color rgb="FFC00000"/>
      </font>
      <numFmt numFmtId="30" formatCode="@"/>
      <alignment horizontal="left" vertical="center" textRotation="0" wrapText="1" indent="0" justifyLastLine="0" shrinkToFit="0" readingOrder="0"/>
    </dxf>
    <dxf>
      <font>
        <b/>
        <i/>
      </font>
      <numFmt numFmtId="165" formatCode="_-* #,##0\ _€_-;\-* #,##0\ _€_-;_-* &quot;-&quot;??\ _€_-;_-@_-"/>
      <alignment horizontal="center" vertical="center" textRotation="0" wrapText="1" indent="0" justifyLastLine="0" shrinkToFit="0" readingOrder="0"/>
    </dxf>
    <dxf>
      <font>
        <b/>
        <i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_-* #,##0\ _€_-;\-* #,##0\ _€_-;_-* &quot;-&quot;??\ _€_-;_-@_-"/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f11d001\EIDDIJON\App\IBIQ\04-Application\Nomenclature\nomenclature%20SIAD%20-%20Copi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euil1"/>
      <sheetName val="Liste des Tables"/>
      <sheetName val="Liste des champs"/>
      <sheetName val="Objet de gestion"/>
      <sheetName val="Type Table"/>
      <sheetName val="Ref_Nature"/>
      <sheetName val="Contexte fonctionnel"/>
      <sheetName val="Ref_PerimFct SID"/>
      <sheetName val="Liste des articles"/>
      <sheetName val="nomenclature SIAD - Copie"/>
      <sheetName val="BIB"/>
      <sheetName val="Type de champ"/>
      <sheetName val="Objets de gestion"/>
      <sheetName val="Type de tabl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Tableau4" displayName="Tableau4" ref="A1:L74" headerRowCount="0" totalsRowShown="0" headerRowDxfId="121" headerRowBorderDxfId="120" headerRowCellStyle="Accent1">
  <tableColumns count="12">
    <tableColumn id="1" xr3:uid="{00000000-0010-0000-0000-000001000000}" name="Colonne1" headerRowDxfId="119" headerRowCellStyle="Accent1"/>
    <tableColumn id="2" xr3:uid="{00000000-0010-0000-0000-000002000000}" name="Colonne2" headerRowDxfId="118" headerRowCellStyle="Accent1"/>
    <tableColumn id="3" xr3:uid="{00000000-0010-0000-0000-000003000000}" name="Colonne3" headerRowDxfId="117" headerRowCellStyle="Accent1"/>
    <tableColumn id="4" xr3:uid="{00000000-0010-0000-0000-000004000000}" name="Colonne4" headerRowDxfId="116" headerRowCellStyle="Accent1"/>
    <tableColumn id="5" xr3:uid="{00000000-0010-0000-0000-000005000000}" name="Colonne5" headerRowDxfId="115" headerRowCellStyle="Accent1"/>
    <tableColumn id="6" xr3:uid="{00000000-0010-0000-0000-000006000000}" name="Colonne6" headerRowDxfId="114" headerRowCellStyle="Accent1"/>
    <tableColumn id="7" xr3:uid="{00000000-0010-0000-0000-000007000000}" name="Colonne7" headerRowDxfId="113" dataDxfId="112"/>
    <tableColumn id="8" xr3:uid="{00000000-0010-0000-0000-000008000000}" name="Colonne8" headerRowDxfId="111" dataDxfId="110"/>
    <tableColumn id="9" xr3:uid="{00000000-0010-0000-0000-000009000000}" name="Colonne9" headerRowDxfId="109" headerRowCellStyle="Accent1"/>
    <tableColumn id="10" xr3:uid="{00000000-0010-0000-0000-00000A000000}" name="Colonne10" headerRowDxfId="108" headerRowCellStyle="Accent1"/>
    <tableColumn id="11" xr3:uid="{00000000-0010-0000-0000-00000B000000}" name="Colonne11" headerRowDxfId="107" headerRowCellStyle="Accent1"/>
    <tableColumn id="12" xr3:uid="{00000000-0010-0000-0000-00000C000000}" name="Colonne12" headerRowDxfId="106" headerRowCellStyle="Accent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ableau47" displayName="Tableau47" ref="A1:R486" totalsRowShown="0" headerRowDxfId="105" dataDxfId="103" headerRowBorderDxfId="104" headerRowCellStyle="Accent1">
  <autoFilter ref="A1:R486" xr:uid="{00000000-0009-0000-0100-000006000000}"/>
  <tableColumns count="18">
    <tableColumn id="1" xr3:uid="{00000000-0010-0000-0100-000001000000}" name="Nom du BIB" dataDxfId="102"/>
    <tableColumn id="19" xr3:uid="{00000000-0010-0000-0100-000013000000}" name="Type de champ" dataDxfId="101"/>
    <tableColumn id="18" xr3:uid="{00000000-0010-0000-0100-000012000000}" name="Nature" dataDxfId="100"/>
    <tableColumn id="2" xr3:uid="{00000000-0010-0000-0100-000002000000}" name="article 1" dataDxfId="99"/>
    <tableColumn id="3" xr3:uid="{00000000-0010-0000-0100-000003000000}" name="Objet de gestion 1" dataDxfId="98"/>
    <tableColumn id="13" xr3:uid="{00000000-0010-0000-0100-00000D000000}" name="article 2" dataDxfId="97"/>
    <tableColumn id="4" xr3:uid="{00000000-0010-0000-0100-000004000000}" name="Objet de gestion 2" dataDxfId="96"/>
    <tableColumn id="14" xr3:uid="{00000000-0010-0000-0100-00000E000000}" name="article 3" dataDxfId="95"/>
    <tableColumn id="5" xr3:uid="{00000000-0010-0000-0100-000005000000}" name="Objet de gestion 3" dataDxfId="94"/>
    <tableColumn id="15" xr3:uid="{00000000-0010-0000-0100-00000F000000}" name="article 4" dataDxfId="93"/>
    <tableColumn id="6" xr3:uid="{00000000-0010-0000-0100-000006000000}" name="Objet de gestion 4" dataDxfId="92"/>
    <tableColumn id="17" xr3:uid="{00000000-0010-0000-0100-000011000000}" name="Ordre trigramme" dataDxfId="91"/>
    <tableColumn id="8" xr3:uid="{00000000-0010-0000-0100-000008000000}" name="Nb car" dataDxfId="90"/>
    <tableColumn id="9" xr3:uid="{00000000-0010-0000-0100-000009000000}" name="Code" dataDxfId="89">
      <calculatedColumnFormula>IF(AND(ISBLANK(A2),ISBLANK(B2),ISBLANK(C2),ISBLANK(E2),ISBLANK(L2)),"",IF(OR(ISBLANK(A2),ISBLANK(B2),ISBLANK(C2),ISBLANK(E2),ISBLANK(L2)),"à compléter",
IF(L2="Normal",
LOOKUP(B2,'Type de champ'!B:B,'Type de champ'!A:A)
&amp;IF(COUNTIF('Objets de gestion'!C:C,K2)=0,"","_"&amp;LOOKUP(K2,'Objets de gestion'!C:C,'Objets de gestion'!F:F))
&amp;IF(COUNTIF('Objets de gestion'!C:C,I2)=0,"","_"&amp;LOOKUP(I2,'Objets de gestion'!C:C,'Objets de gestion'!F:F))
&amp;IF(COUNTIF('Objets de gestion'!C:C,G2)=0,"","_"&amp;LOOKUP(G2,'Objets de gestion'!C:C,'Objets de gestion'!F:F))
&amp;IF(COUNTIF('Objets de gestion'!C:C,E2)=0,"","_"&amp;LOOKUP(E2,'Objets de gestion'!C:C,'Objets de gestion'!F:F))
&amp;IF(OR(C2="booléen",COUNTIF('Objets de gestion'!C:C,C2)=0),"","_"&amp;LOOKUP(C2,'Objets de gestion'!C:C,'Objets de gestion'!F:F)),
IF(L2="Forcé",
LOOKUP(B2,'Type de champ'!B:B,'Type de champ'!A:A)
&amp;IF(COUNTIF('Objets de gestion'!C:C,E2)=0,"","_"&amp;LOOKUP(E2,'Objets de gestion'!C:C,'Objets de gestion'!F:F))
&amp;IF(COUNTIF('Objets de gestion'!C:C,G2)=0,"","_"&amp;LOOKUP(G2,'Objets de gestion'!C:C,'Objets de gestion'!F:F))
&amp;IF(COUNTIF('Objets de gestion'!C:C,I2)=0,"","_"&amp;LOOKUP(I2,'Objets de gestion'!C:C,'Objets de gestion'!F:F))
&amp;IF(COUNTIF('Objets de gestion'!C:C,K2)=0,"","_"&amp;LOOKUP(K2,'Objets de gestion'!C:C,'Objets de gestion'!F:F))
&amp;IF(OR(C2="booléen",COUNTIF('Objets de gestion'!C:C,C2)=0),"","_"&amp;LOOKUP(C2,'Objets de gestion'!C:C,'Objets de gestion'!F:F))
))))</calculatedColumnFormula>
    </tableColumn>
    <tableColumn id="10" xr3:uid="{00000000-0010-0000-0100-00000A000000}" name="Nom français" dataDxfId="88">
      <calculatedColumnFormula>IF(AND(ISBLANK(A2),ISBLANK(B2),ISBLANK(C2),ISBLANK(E2),ISBLANK(L2)),"",IF(OR(ISBLANK(A2),ISBLANK(B2),ISBLANK(C2),ISBLANK(E2),ISBLANK(L2)),"-",
C2&amp;" "&amp;IF(ISBLANK(E2),"",D2&amp;" "&amp;E2&amp;" ")&amp;IF(ISBLANK(G2),"",F2&amp;" "&amp;G2&amp;" ")&amp;IF(ISBLANK(I2),"",H2&amp;" "&amp;I2&amp;" ")&amp;IF(ISBLANK(K2),"",J2&amp;" "&amp;K2&amp;" ")))</calculatedColumnFormula>
    </tableColumn>
    <tableColumn id="11" xr3:uid="{00000000-0010-0000-0100-00000B000000}" name="Nom anglais" dataDxfId="87">
      <calculatedColumnFormula>IF(AND(ISBLANK(A2),ISBLANK(B2),ISBLANK(C2),ISBLANK(E2),ISBLANK(L2)),"",IF(OR(ISBLANK(A2),ISBLANK(B2),ISBLANK(C2),ISBLANK(E2),ISBLANK(L2)),"-",
IF(ISBLANK(C2),"",LOOKUP(C2,'Objets de gestion'!C:C,'Objets de gestion'!E:E))
&amp;IF(ISBLANK(D2),""," "&amp;LOOKUP(D2,Articles!A:A,Articles!B:B))
&amp;IF(ISBLANK(E2),""," "&amp;LOOKUP(E2,'Objets de gestion'!C:C,'Objets de gestion'!E:E))
&amp;IF(ISBLANK(F2),""," "&amp;LOOKUP(F2,Articles!A:A,Articles!B:B))
&amp;IF(ISBLANK(G2),""," "&amp;LOOKUP(G2,'Objets de gestion'!C:C,'Objets de gestion'!E:E))
&amp;IF(ISBLANK(H2),""," "&amp;LOOKUP(H2,Articles!A:A,Articles!B:B))
&amp;IF(ISBLANK(I2),""," "&amp;LOOKUP(I2,'Objets de gestion'!C:C,'Objets de gestion'!E:E))
&amp;IF(ISBLANK(J2),""," "&amp;LOOKUP(J2,Articles!A:A,Articles!B:B))
&amp;IF(ISBLANK(K2),""," "&amp;LOOKUP(K2,'Objets de gestion'!C:C,'Objets de gestion'!E:E))
))</calculatedColumnFormula>
    </tableColumn>
    <tableColumn id="20" xr3:uid="{00000000-0010-0000-0100-000014000000}" name="Type de données" dataDxfId="86"/>
    <tableColumn id="12" xr3:uid="{00000000-0010-0000-0100-00000C000000}" name="Périmètre" dataDxfId="8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Tableau5" displayName="Tableau5" ref="A1:F2048" totalsRowShown="0" headerRowDxfId="84" headerRowCellStyle="Normal" dataCellStyle="Normal">
  <autoFilter ref="A1:F2048" xr:uid="{00000000-0009-0000-0100-000005000000}"/>
  <sortState xmlns:xlrd2="http://schemas.microsoft.com/office/spreadsheetml/2017/richdata2" ref="A2:F2048">
    <sortCondition ref="C1:C2048"/>
  </sortState>
  <tableColumns count="6">
    <tableColumn id="1" xr3:uid="{00000000-0010-0000-0200-000001000000}" name="Date ajout" dataDxfId="83" dataCellStyle="Normal"/>
    <tableColumn id="2" xr3:uid="{00000000-0010-0000-0200-000002000000}" name="Used" dataCellStyle="Normal"/>
    <tableColumn id="3" xr3:uid="{00000000-0010-0000-0200-000003000000}" name="Nom FR" dataCellStyle="Normal"/>
    <tableColumn id="4" xr3:uid="{00000000-0010-0000-0200-000004000000}" name="Définition unique" dataCellStyle="Normal"/>
    <tableColumn id="5" xr3:uid="{00000000-0010-0000-0200-000005000000}" name="Nom EN" dataCellStyle="Normal"/>
    <tableColumn id="6" xr3:uid="{00000000-0010-0000-0200-000006000000}" name="Trigramme" dataCellStyle="Norma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PerimFct" displayName="PerimFct" ref="A1:F77" totalsRowShown="0" headerRowDxfId="82">
  <autoFilter ref="A1:F77" xr:uid="{00000000-0009-0000-0100-000002000000}"/>
  <sortState xmlns:xlrd2="http://schemas.microsoft.com/office/spreadsheetml/2017/richdata2" ref="A2:F77">
    <sortCondition ref="A1:A77"/>
  </sortState>
  <tableColumns count="6">
    <tableColumn id="1" xr3:uid="{00000000-0010-0000-0300-000001000000}" name="Nom du BIB"/>
    <tableColumn id="4" xr3:uid="{00000000-0010-0000-0300-000004000000}" name="ID Table"/>
    <tableColumn id="5" xr3:uid="{00000000-0010-0000-0300-000005000000}" name="ROBIN"/>
    <tableColumn id="3" xr3:uid="{00000000-0010-0000-0300-000003000000}" name="Nom anglais"/>
    <tableColumn id="6" xr3:uid="{00000000-0010-0000-0300-000006000000}" name="Code du BIB"/>
    <tableColumn id="7" xr3:uid="{00000000-0010-0000-0300-000007000000}" name="Remarq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Nature5" displayName="Nature5" ref="A1:F16" totalsRowShown="0" headerRowDxfId="129" dataDxfId="128">
  <autoFilter ref="A1:F16" xr:uid="{00000000-0009-0000-0100-000003000000}"/>
  <sortState xmlns:xlrd2="http://schemas.microsoft.com/office/spreadsheetml/2017/richdata2" ref="A2:F15">
    <sortCondition ref="C4"/>
  </sortState>
  <tableColumns count="6">
    <tableColumn id="10" xr3:uid="{00000000-0010-0000-0400-00000A000000}" name="Catégorie" dataDxfId="127" dataCellStyle="Milliers"/>
    <tableColumn id="5" xr3:uid="{00000000-0010-0000-0400-000005000000}" name="ID" dataDxfId="126" dataCellStyle="Milliers"/>
    <tableColumn id="20" xr3:uid="{00000000-0010-0000-0400-000014000000}" name="Nom" dataDxfId="125"/>
    <tableColumn id="24" xr3:uid="{00000000-0010-0000-0400-000018000000}" name="Définition unique" dataDxfId="124"/>
    <tableColumn id="2" xr3:uid="{00000000-0010-0000-0400-000002000000}" name="libellé FR" dataDxfId="123"/>
    <tableColumn id="9" xr3:uid="{00000000-0010-0000-0400-000009000000}" name="Libellé EN" dataDxfId="122"/>
  </tableColumns>
  <tableStyleInfo name="TableStyleMedium16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5000000}" name="Tableau7" displayName="Tableau7" ref="A1:C8" totalsRowShown="0">
  <autoFilter ref="A1:C8" xr:uid="{00000000-0009-0000-0100-000007000000}"/>
  <sortState xmlns:xlrd2="http://schemas.microsoft.com/office/spreadsheetml/2017/richdata2" ref="A2:C8">
    <sortCondition ref="C1:C8"/>
  </sortState>
  <tableColumns count="3">
    <tableColumn id="1" xr3:uid="{00000000-0010-0000-0500-000001000000}" name="ID"/>
    <tableColumn id="3" xr3:uid="{00000000-0010-0000-0500-000003000000}" name="Type"/>
    <tableColumn id="2" xr3:uid="{00000000-0010-0000-0500-000002000000}" name="Forma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I22"/>
  <sheetViews>
    <sheetView workbookViewId="0">
      <selection activeCell="B13" sqref="B13:I13"/>
    </sheetView>
  </sheetViews>
  <sheetFormatPr baseColWidth="10" defaultRowHeight="14.4"/>
  <cols>
    <col min="1" max="1" width="21" bestFit="1" customWidth="1"/>
    <col min="3" max="3" width="21.5546875" bestFit="1" customWidth="1"/>
    <col min="4" max="4" width="19.109375" bestFit="1" customWidth="1"/>
    <col min="9" max="9" width="93.33203125" customWidth="1"/>
  </cols>
  <sheetData>
    <row r="1" spans="1:9" ht="21">
      <c r="A1" s="27" t="s">
        <v>533</v>
      </c>
      <c r="B1" s="27"/>
      <c r="C1" s="62" t="s">
        <v>550</v>
      </c>
      <c r="D1" s="62"/>
      <c r="E1" s="62"/>
      <c r="F1" s="62"/>
      <c r="G1" s="62"/>
      <c r="H1" s="62"/>
      <c r="I1" s="62"/>
    </row>
    <row r="2" spans="1:9" ht="21">
      <c r="A2" s="62"/>
      <c r="B2" s="62"/>
      <c r="C2" s="62"/>
      <c r="D2" s="62"/>
      <c r="E2" s="62"/>
      <c r="F2" s="62"/>
      <c r="G2" s="62"/>
      <c r="H2" s="62"/>
      <c r="I2" s="62"/>
    </row>
    <row r="3" spans="1:9" ht="15.6">
      <c r="A3" s="28" t="s">
        <v>534</v>
      </c>
      <c r="B3" s="28"/>
      <c r="C3" s="28" t="s">
        <v>535</v>
      </c>
      <c r="D3" s="28" t="s">
        <v>536</v>
      </c>
      <c r="E3" s="28"/>
      <c r="F3" s="28"/>
      <c r="G3" s="28"/>
      <c r="H3" s="28"/>
      <c r="I3" s="28"/>
    </row>
    <row r="4" spans="1:9">
      <c r="A4" s="63"/>
      <c r="B4" s="63"/>
      <c r="C4" s="63"/>
      <c r="D4" s="63"/>
      <c r="E4" s="63"/>
      <c r="F4" s="63"/>
      <c r="G4" s="63"/>
      <c r="H4" s="63"/>
      <c r="I4" s="63"/>
    </row>
    <row r="5" spans="1:9" ht="18">
      <c r="A5" s="64" t="s">
        <v>537</v>
      </c>
      <c r="B5" s="64"/>
      <c r="C5" s="64"/>
      <c r="D5" s="64"/>
      <c r="E5" s="64"/>
      <c r="F5" s="64"/>
      <c r="G5" s="64"/>
      <c r="H5" s="64"/>
      <c r="I5" s="64"/>
    </row>
    <row r="6" spans="1:9" ht="18">
      <c r="A6" s="64" t="s">
        <v>538</v>
      </c>
      <c r="B6" s="64"/>
      <c r="C6" s="64"/>
      <c r="D6" s="64"/>
      <c r="E6" s="64"/>
      <c r="F6" s="64"/>
      <c r="G6" s="64"/>
      <c r="H6" s="64"/>
      <c r="I6" s="64"/>
    </row>
    <row r="7" spans="1:9" ht="18">
      <c r="A7" s="65"/>
      <c r="B7" s="65"/>
      <c r="C7" s="65"/>
      <c r="D7" s="65"/>
      <c r="E7" s="65"/>
      <c r="F7" s="65"/>
      <c r="G7" s="65"/>
      <c r="H7" s="65"/>
      <c r="I7" s="65"/>
    </row>
    <row r="8" spans="1:9">
      <c r="A8" s="61" t="s">
        <v>539</v>
      </c>
      <c r="B8" s="61"/>
      <c r="C8" s="61"/>
      <c r="D8" s="61"/>
      <c r="E8" s="61"/>
      <c r="F8" s="61"/>
      <c r="G8" s="61"/>
      <c r="H8" s="61"/>
      <c r="I8" s="61"/>
    </row>
    <row r="9" spans="1:9" ht="15.6">
      <c r="A9" s="30" t="s">
        <v>540</v>
      </c>
      <c r="B9" s="70" t="s">
        <v>542</v>
      </c>
      <c r="C9" s="70"/>
      <c r="D9" s="70"/>
      <c r="E9" s="70"/>
      <c r="F9" s="70"/>
      <c r="G9" s="70"/>
      <c r="H9" s="70"/>
      <c r="I9" s="70"/>
    </row>
    <row r="10" spans="1:9" ht="15.6">
      <c r="A10" s="30"/>
      <c r="B10" s="71" t="s">
        <v>546</v>
      </c>
      <c r="C10" s="70"/>
      <c r="D10" s="70"/>
      <c r="E10" s="70"/>
      <c r="F10" s="70"/>
      <c r="G10" s="70"/>
      <c r="H10" s="70"/>
      <c r="I10" s="70"/>
    </row>
    <row r="11" spans="1:9" ht="20.25" customHeight="1">
      <c r="A11" s="72"/>
      <c r="B11" s="72"/>
      <c r="C11" s="72"/>
      <c r="D11" s="72"/>
      <c r="E11" s="72"/>
      <c r="F11" s="72"/>
      <c r="G11" s="72"/>
      <c r="H11" s="72"/>
      <c r="I11" s="72"/>
    </row>
    <row r="12" spans="1:9" ht="20.25" customHeight="1">
      <c r="A12" s="73" t="s">
        <v>541</v>
      </c>
      <c r="B12" s="73"/>
      <c r="C12" s="73"/>
      <c r="D12" s="73"/>
      <c r="E12" s="73"/>
      <c r="F12" s="73"/>
      <c r="G12" s="73"/>
      <c r="H12" s="73"/>
      <c r="I12" s="73"/>
    </row>
    <row r="13" spans="1:9" ht="15.6">
      <c r="A13" s="30" t="s">
        <v>540</v>
      </c>
      <c r="B13" s="66" t="s">
        <v>564</v>
      </c>
      <c r="C13" s="66"/>
      <c r="D13" s="66"/>
      <c r="E13" s="66"/>
      <c r="F13" s="66"/>
      <c r="G13" s="66"/>
      <c r="H13" s="66"/>
      <c r="I13" s="66"/>
    </row>
    <row r="14" spans="1:9" ht="50.25" customHeight="1">
      <c r="A14" s="3"/>
      <c r="B14" s="67" t="s">
        <v>543</v>
      </c>
      <c r="C14" s="68"/>
      <c r="D14" s="68"/>
      <c r="E14" s="68"/>
      <c r="F14" s="68"/>
      <c r="G14" s="68"/>
      <c r="H14" s="68"/>
      <c r="I14" s="68"/>
    </row>
    <row r="15" spans="1:9">
      <c r="A15" s="3"/>
      <c r="B15" s="71" t="s">
        <v>546</v>
      </c>
      <c r="C15" s="70"/>
      <c r="D15" s="70"/>
      <c r="E15" s="70"/>
      <c r="F15" s="70"/>
      <c r="G15" s="70"/>
      <c r="H15" s="70"/>
      <c r="I15" s="70"/>
    </row>
    <row r="16" spans="1:9" ht="18">
      <c r="A16" s="65"/>
      <c r="B16" s="65"/>
      <c r="C16" s="65"/>
      <c r="D16" s="65"/>
      <c r="E16" s="65"/>
      <c r="F16" s="65"/>
      <c r="G16" s="65"/>
      <c r="H16" s="65"/>
      <c r="I16" s="65"/>
    </row>
    <row r="17" spans="1:9">
      <c r="A17" s="69" t="s">
        <v>544</v>
      </c>
      <c r="B17" s="69"/>
      <c r="C17" s="69"/>
      <c r="D17" s="69"/>
      <c r="E17" s="69"/>
      <c r="F17" s="69"/>
      <c r="G17" s="69"/>
      <c r="H17" s="69"/>
      <c r="I17" s="69"/>
    </row>
    <row r="18" spans="1:9" ht="147" customHeight="1">
      <c r="A18" s="31" t="s">
        <v>540</v>
      </c>
      <c r="B18" s="75" t="s">
        <v>545</v>
      </c>
      <c r="C18" s="75"/>
      <c r="D18" s="75"/>
      <c r="E18" s="75"/>
      <c r="F18" s="75"/>
      <c r="G18" s="75"/>
      <c r="H18" s="75"/>
      <c r="I18" s="75"/>
    </row>
    <row r="19" spans="1:9" ht="18">
      <c r="A19" s="65"/>
      <c r="B19" s="65"/>
      <c r="C19" s="65"/>
      <c r="D19" s="65"/>
      <c r="E19" s="65"/>
      <c r="F19" s="65"/>
      <c r="G19" s="65"/>
      <c r="H19" s="65"/>
      <c r="I19" s="65"/>
    </row>
    <row r="20" spans="1:9">
      <c r="A20" s="77" t="s">
        <v>565</v>
      </c>
      <c r="B20" s="77"/>
      <c r="C20" s="77"/>
      <c r="D20" s="77"/>
      <c r="E20" s="77"/>
      <c r="F20" s="77"/>
      <c r="G20" s="77"/>
      <c r="H20" s="77"/>
      <c r="I20" s="77"/>
    </row>
    <row r="21" spans="1:9" ht="15.6">
      <c r="A21" s="29"/>
      <c r="B21" s="76" t="s">
        <v>549</v>
      </c>
      <c r="C21" s="76"/>
      <c r="D21" s="76"/>
      <c r="E21" s="76"/>
      <c r="F21" s="76"/>
      <c r="G21" s="76"/>
      <c r="H21" s="76"/>
      <c r="I21" s="76"/>
    </row>
    <row r="22" spans="1:9">
      <c r="A22" s="74"/>
      <c r="B22" s="74"/>
      <c r="C22" s="74"/>
      <c r="D22" s="74"/>
      <c r="E22" s="74"/>
      <c r="F22" s="74"/>
      <c r="G22" s="74"/>
      <c r="H22" s="74"/>
      <c r="I22" s="74"/>
    </row>
  </sheetData>
  <mergeCells count="21">
    <mergeCell ref="A22:I22"/>
    <mergeCell ref="B18:I18"/>
    <mergeCell ref="B21:I21"/>
    <mergeCell ref="B15:I15"/>
    <mergeCell ref="A19:I19"/>
    <mergeCell ref="A20:I20"/>
    <mergeCell ref="B13:I13"/>
    <mergeCell ref="B14:I14"/>
    <mergeCell ref="A16:I16"/>
    <mergeCell ref="A17:I17"/>
    <mergeCell ref="B9:I9"/>
    <mergeCell ref="B10:I10"/>
    <mergeCell ref="A11:I11"/>
    <mergeCell ref="A12:I12"/>
    <mergeCell ref="A8:I8"/>
    <mergeCell ref="C1:I1"/>
    <mergeCell ref="A2:I2"/>
    <mergeCell ref="A4:I4"/>
    <mergeCell ref="A5:I5"/>
    <mergeCell ref="A6:I6"/>
    <mergeCell ref="A7:I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59999389629810485"/>
  </sheetPr>
  <dimension ref="A1:L74"/>
  <sheetViews>
    <sheetView topLeftCell="F1" workbookViewId="0">
      <pane ySplit="1" topLeftCell="A2" activePane="bottomLeft" state="frozen"/>
      <selection pane="bottomLeft" activeCell="I3" sqref="I3:L3"/>
    </sheetView>
  </sheetViews>
  <sheetFormatPr baseColWidth="10" defaultRowHeight="14.4"/>
  <cols>
    <col min="1" max="1" width="29.5546875" bestFit="1" customWidth="1"/>
    <col min="2" max="2" width="16.5546875" bestFit="1" customWidth="1"/>
    <col min="3" max="3" width="29.44140625" customWidth="1"/>
    <col min="4" max="4" width="26.33203125" customWidth="1"/>
    <col min="5" max="5" width="28.109375" customWidth="1"/>
    <col min="6" max="6" width="26.44140625" customWidth="1"/>
    <col min="7" max="7" width="11.5546875" style="23" customWidth="1"/>
    <col min="8" max="8" width="11.5546875" style="1" customWidth="1"/>
    <col min="9" max="9" width="35" customWidth="1"/>
    <col min="10" max="10" width="56.33203125" bestFit="1" customWidth="1"/>
    <col min="11" max="11" width="55" bestFit="1" customWidth="1"/>
    <col min="12" max="12" width="15.6640625" bestFit="1" customWidth="1"/>
  </cols>
  <sheetData>
    <row r="1" spans="1:12" ht="15" thickBot="1">
      <c r="A1" s="19" t="s">
        <v>501</v>
      </c>
      <c r="B1" s="20" t="s">
        <v>489</v>
      </c>
      <c r="C1" s="20" t="s">
        <v>493</v>
      </c>
      <c r="D1" s="20" t="s">
        <v>494</v>
      </c>
      <c r="E1" s="20" t="s">
        <v>495</v>
      </c>
      <c r="F1" s="20" t="s">
        <v>496</v>
      </c>
      <c r="G1" s="22" t="s">
        <v>490</v>
      </c>
      <c r="H1" s="26" t="s">
        <v>491</v>
      </c>
      <c r="I1" s="21" t="s">
        <v>492</v>
      </c>
      <c r="J1" s="21" t="s">
        <v>498</v>
      </c>
      <c r="K1" s="21" t="s">
        <v>497</v>
      </c>
      <c r="L1" s="21" t="s">
        <v>187</v>
      </c>
    </row>
    <row r="2" spans="1:12" ht="16.5" customHeight="1">
      <c r="A2" t="s">
        <v>185</v>
      </c>
      <c r="B2" t="s">
        <v>443</v>
      </c>
      <c r="C2" t="s">
        <v>168</v>
      </c>
      <c r="D2" t="s">
        <v>185</v>
      </c>
      <c r="E2" t="s">
        <v>566</v>
      </c>
      <c r="G2" s="23" t="str">
        <f>IF(ISBLANK(A2),"",LOOKUP(A2,BIB!A:A,BIB!C:C))</f>
        <v>IBIA</v>
      </c>
      <c r="H2" s="1">
        <f>IF(AND(ISBLANK(A2),ISBLANK(B2),ISBLANK(C2)),"",IF(OR(ISBLANK(A2),ISBLANK(B2),ISBLANK(C2)),"-",LEN(Tableau4[[#This Row],[Colonne9]])))</f>
        <v>4</v>
      </c>
      <c r="I2" t="str">
        <f>IF(AND(ISBLANK(A2),ISBLANK(B2),ISBLANK(C2)),"",IF(OR(ISBLANK(A2),ISBLANK(B2),ISBLANK(C2)),"à compléter",UPPER(LOOKUP(A2,BIB!A:A,BIB!B:B)&amp;LOOKUP(B2,'Type de table'!C:C,'Type de table'!B:B)
&amp;IF(COUNTIF('Objets de gestion'!C:C,F2)=0,"","_"&amp;LOOKUP(F2,'Objets de gestion'!C:C,'Objets de gestion'!F:F))
&amp;IF(COUNTIF('Objets de gestion'!C:C,E2)=0,"","_"&amp;LOOKUP(E2,'Objets de gestion'!C:C,'Objets de gestion'!F:F))
&amp;IF(COUNTIF('Objets de gestion'!C:C,D2)=0,"","_"&amp;LOOKUP(D2,'Objets de gestion'!C:C,'Objets de gestion'!F:F))
&amp;IF(COUNTIF('Objets de gestion'!C:C,C2)=0,"","_"&amp;LOOKUP(C2,'Objets de gestion'!C:C,'Objets de gestion'!F:F))
)))</f>
        <v>ATIX</v>
      </c>
      <c r="J2" t="str">
        <f>IF(AND(ISBLANK(A2),ISBLANK(B2),ISBLANK(C2)),"",IF(OR(ISBLANK(A2),ISBLANK(B2),ISBLANK(C2)),"-",
LOOKUP(B2,'Type de table'!C:C,'Type de table'!E:E)
&amp;IF(ISBLANK(C2),""," "&amp;C2)
&amp;IF(ISBLANK(D2),""," "&amp;D2)
&amp;IF(ISBLANK(E2),""," "&amp;E2)
&amp;IF(ISBLANK(F2),""," "&amp;F2)
))</f>
        <v>Axe  Lien tiers chargé de clientèle</v>
      </c>
      <c r="K2" t="str">
        <f>IF(AND(ISBLANK(A2),ISBLANK(B2),ISBLANK(C2)),"",IF(OR(ISBLANK(A2),ISBLANK(B2),ISBLANK(C2)),"-",
LOOKUP(B2,'Type de table'!C:C,'Type de table'!F:F)
&amp;IF(ISBLANK(C2),""," "&amp;LOOKUP(C2,'Objets de gestion'!C:C,'Objets de gestion'!E:E))
&amp;IF(ISBLANK(D2),""," "&amp;LOOKUP(D2,'Objets de gestion'!C:C,'Objets de gestion'!E:E))
&amp;IF(ISBLANK(E2),""," "&amp;LOOKUP(E2,'Objets de gestion'!C:C,'Objets de gestion'!E:E))
&amp;IF(ISBLANK(F2),""," "&amp;LOOKUP(F2,'Objets de gestion'!C:C,'Objets de gestion'!E:E))
))</f>
        <v>Axis turnkey action completion turnkey action completion turnkey action completion</v>
      </c>
      <c r="L2" t="str">
        <f>IF(AND(ISBLANK(A2),ISBLANK(B2),ISBLANK(C2)),"",IF(OR(ISBLANK(A2),ISBLANK(B2),ISBLANK(C2)),"-",B2))</f>
        <v>Axe d'analyse</v>
      </c>
    </row>
    <row r="3" spans="1:12">
      <c r="A3" t="s">
        <v>185</v>
      </c>
      <c r="B3" t="s">
        <v>470</v>
      </c>
      <c r="C3" t="s">
        <v>566</v>
      </c>
      <c r="D3" t="s">
        <v>137</v>
      </c>
      <c r="G3" s="23" t="str">
        <f>IF(ISBLANK(A3),"",LOOKUP(A3,BIB!A:A,BIB!C:C))</f>
        <v>IBIA</v>
      </c>
      <c r="H3" s="1">
        <f>IF(AND(ISBLANK(A3),ISBLANK(B3),ISBLANK(C3)),"",IF(OR(ISBLANK(A3),ISBLANK(B3),ISBLANK(C3)),"-",LEN(Tableau4[[#This Row],[Colonne9]])))</f>
        <v>4</v>
      </c>
      <c r="I3" t="str">
        <f>IF(AND(ISBLANK(A3),ISBLANK(B3),ISBLANK(C3)),"",IF(OR(ISBLANK(A3),ISBLANK(B3),ISBLANK(C3)),"à compléter",UPPER(LOOKUP(A3,BIB!A:A,BIB!B:B)&amp;LOOKUP(B3,'Type de table'!C:C,'Type de table'!B:B)
&amp;IF(COUNTIF('Objets de gestion'!C:C,F3)=0,"","_"&amp;LOOKUP(F3,'Objets de gestion'!C:C,'Objets de gestion'!F:F))
&amp;IF(COUNTIF('Objets de gestion'!C:C,E3)=0,"","_"&amp;LOOKUP(E3,'Objets de gestion'!C:C,'Objets de gestion'!F:F))
&amp;IF(COUNTIF('Objets de gestion'!C:C,D3)=0,"","_"&amp;LOOKUP(D3,'Objets de gestion'!C:C,'Objets de gestion'!F:F))
&amp;IF(COUNTIF('Objets de gestion'!C:C,C3)=0,"","_"&amp;LOOKUP(C3,'Objets de gestion'!C:C,'Objets de gestion'!F:F))
)))</f>
        <v>ATIL</v>
      </c>
      <c r="J3" t="str">
        <f>IF(AND(ISBLANK(A3),ISBLANK(B3),ISBLANK(C3)),"",IF(OR(ISBLANK(A3),ISBLANK(B3),ISBLANK(C3)),"-",
LOOKUP(B3,'Type de table'!C:C,'Type de table'!E:E)
&amp;IF(ISBLANK(C3),""," "&amp;C3)
&amp;IF(ISBLANK(D3),""," "&amp;D3)
&amp;IF(ISBLANK(E3),""," "&amp;E3)
&amp;IF(ISBLANK(F3),""," "&amp;F3)
))</f>
        <v>Table de lien entre chargé de clientèle client</v>
      </c>
      <c r="K3" t="str">
        <f>IF(AND(ISBLANK(A3),ISBLANK(B3),ISBLANK(C3)),"",IF(OR(ISBLANK(A3),ISBLANK(B3),ISBLANK(C3)),"-",
LOOKUP(B3,'Type de table'!C:C,'Type de table'!F:F)
&amp;IF(ISBLANK(C3),""," "&amp;LOOKUP(C3,'Objets de gestion'!C:C,'Objets de gestion'!E:E))
&amp;IF(ISBLANK(D3),""," "&amp;LOOKUP(D3,'Objets de gestion'!C:C,'Objets de gestion'!E:E))
&amp;IF(ISBLANK(E3),""," "&amp;LOOKUP(E3,'Objets de gestion'!C:C,'Objets de gestion'!E:E))
&amp;IF(ISBLANK(F3),""," "&amp;LOOKUP(F3,'Objets de gestion'!C:C,'Objets de gestion'!E:E))
))</f>
        <v>Link table between turnkey action completion turnkey action completion</v>
      </c>
      <c r="L3" t="str">
        <f>IF(AND(ISBLANK(A3),ISBLANK(B3),ISBLANK(C3)),"",IF(OR(ISBLANK(A3),ISBLANK(B3),ISBLANK(C3)),"-",B3))</f>
        <v>Relation</v>
      </c>
    </row>
    <row r="4" spans="1:12">
      <c r="G4" s="23" t="str">
        <f>IF(ISBLANK(A4),"",LOOKUP(A4,BIB!A:A,BIB!C:C))</f>
        <v/>
      </c>
    </row>
    <row r="5" spans="1:12">
      <c r="G5" s="23" t="str">
        <f>IF(ISBLANK(A5),"",LOOKUP(A5,BIB!A:A,BIB!C:C))</f>
        <v/>
      </c>
    </row>
    <row r="6" spans="1:12">
      <c r="G6" s="23" t="str">
        <f>IF(ISBLANK(A6),"",LOOKUP(A6,BIB!A:A,BIB!C:C))</f>
        <v/>
      </c>
    </row>
    <row r="7" spans="1:12">
      <c r="G7" s="23" t="str">
        <f>IF(ISBLANK(A7),"",LOOKUP(A7,BIB!A:A,BIB!C:C))</f>
        <v/>
      </c>
    </row>
    <row r="8" spans="1:12">
      <c r="G8" s="23" t="str">
        <f>IF(ISBLANK(A8),"",LOOKUP(A8,BIB!A:A,BIB!C:C))</f>
        <v/>
      </c>
    </row>
    <row r="9" spans="1:12">
      <c r="G9" s="23" t="str">
        <f>IF(ISBLANK(A9),"",LOOKUP(A9,BIB!A:A,BIB!C:C))</f>
        <v/>
      </c>
    </row>
    <row r="10" spans="1:12">
      <c r="G10" s="23" t="str">
        <f>IF(ISBLANK(A10),"",LOOKUP(A10,BIB!A:A,BIB!C:C))</f>
        <v/>
      </c>
    </row>
    <row r="11" spans="1:12">
      <c r="G11" s="23" t="str">
        <f>IF(ISBLANK(A11),"",LOOKUP(A11,BIB!A:A,BIB!C:C))</f>
        <v/>
      </c>
    </row>
    <row r="12" spans="1:12">
      <c r="G12" s="23" t="str">
        <f>IF(ISBLANK(A12),"",LOOKUP(A12,BIB!A:A,BIB!C:C))</f>
        <v/>
      </c>
    </row>
    <row r="13" spans="1:12">
      <c r="G13" s="23" t="str">
        <f>IF(ISBLANK(A13),"",LOOKUP(A13,BIB!A:A,BIB!C:C))</f>
        <v/>
      </c>
    </row>
    <row r="14" spans="1:12">
      <c r="G14" s="23" t="str">
        <f>IF(ISBLANK(A14),"",LOOKUP(A14,BIB!A:A,BIB!C:C))</f>
        <v/>
      </c>
    </row>
    <row r="15" spans="1:12">
      <c r="G15" s="23" t="str">
        <f>IF(ISBLANK(A15),"",LOOKUP(A15,BIB!A:A,BIB!C:C))</f>
        <v/>
      </c>
    </row>
    <row r="16" spans="1:12">
      <c r="G16" s="23" t="str">
        <f>IF(ISBLANK(A16),"",LOOKUP(A16,BIB!A:A,BIB!C:C))</f>
        <v/>
      </c>
      <c r="H16" s="1" t="str">
        <f>IF(AND(ISBLANK(A16),ISBLANK(B16),ISBLANK(C16)),"",IF(OR(ISBLANK(A16),ISBLANK(B16),ISBLANK(C16)),"-",LEN(Tableau4[[#This Row],[Colonne9]])))</f>
        <v/>
      </c>
      <c r="I16" t="str">
        <f>IF(AND(ISBLANK(A16),ISBLANK(B16),ISBLANK(C16)),"",IF(OR(ISBLANK(A16),ISBLANK(B16),ISBLANK(C16)),"à compléter",UPPER(LOOKUP(A16,BIB!A:A,BIB!B:B)&amp;LOOKUP(B16,'Type de table'!C:C,'Type de table'!B:B)
&amp;IF(COUNTIF('Objets de gestion'!C:C,F16)=0,"","_"&amp;LOOKUP(F16,'Objets de gestion'!C:C,'Objets de gestion'!F:F))
&amp;IF(COUNTIF('Objets de gestion'!C:C,E16)=0,"","_"&amp;LOOKUP(E16,'Objets de gestion'!C:C,'Objets de gestion'!F:F))
&amp;IF(COUNTIF('Objets de gestion'!C:C,D16)=0,"","_"&amp;LOOKUP(D16,'Objets de gestion'!C:C,'Objets de gestion'!F:F))
&amp;IF(COUNTIF('Objets de gestion'!C:C,C16)=0,"","_"&amp;LOOKUP(C16,'Objets de gestion'!C:C,'Objets de gestion'!F:F))
)))</f>
        <v/>
      </c>
      <c r="J16" t="str">
        <f>IF(AND(ISBLANK(A16),ISBLANK(B16),ISBLANK(C16)),"",IF(OR(ISBLANK(A16),ISBLANK(B16),ISBLANK(C16)),"-",
LOOKUP(B16,'Type de table'!C:C,'Type de table'!E:E)
&amp;IF(ISBLANK(C16),""," "&amp;C16)
&amp;IF(ISBLANK(D16),""," "&amp;D16)
&amp;IF(ISBLANK(E16),""," "&amp;E16)
&amp;IF(ISBLANK(F16),""," "&amp;F16)
))</f>
        <v/>
      </c>
      <c r="K16" t="str">
        <f>IF(AND(ISBLANK(A16),ISBLANK(B16),ISBLANK(C16)),"",IF(OR(ISBLANK(A16),ISBLANK(B16),ISBLANK(C16)),"-",
LOOKUP(B16,'Type de table'!C:C,'Type de table'!F:F)
&amp;IF(ISBLANK(C16),""," "&amp;LOOKUP(C16,'Objets de gestion'!C:C,'Objets de gestion'!E:E))
&amp;IF(ISBLANK(D16),""," "&amp;LOOKUP(D16,'Objets de gestion'!C:C,'Objets de gestion'!E:E))
&amp;IF(ISBLANK(E16),""," "&amp;LOOKUP(E16,'Objets de gestion'!C:C,'Objets de gestion'!E:E))
&amp;IF(ISBLANK(F16),""," "&amp;LOOKUP(F16,'Objets de gestion'!C:C,'Objets de gestion'!E:E))
))</f>
        <v/>
      </c>
      <c r="L16" t="str">
        <f t="shared" ref="L16:L66" si="0">IF(AND(ISBLANK(A16),ISBLANK(B16),ISBLANK(C16)),"",IF(OR(ISBLANK(A16),ISBLANK(B16),ISBLANK(C16)),"-",B16))</f>
        <v/>
      </c>
    </row>
    <row r="17" spans="7:12">
      <c r="G17" s="23" t="str">
        <f>IF(ISBLANK(A17),"",LOOKUP(A17,BIB!A:A,BIB!C:C))</f>
        <v/>
      </c>
      <c r="H17" s="1" t="str">
        <f>IF(AND(ISBLANK(A17),ISBLANK(B17),ISBLANK(C17)),"",IF(OR(ISBLANK(A17),ISBLANK(B17),ISBLANK(C17)),"-",LEN(Tableau4[[#This Row],[Colonne9]])))</f>
        <v/>
      </c>
      <c r="I17" t="str">
        <f>IF(AND(ISBLANK(A17),ISBLANK(B17),ISBLANK(C17)),"",IF(OR(ISBLANK(A17),ISBLANK(B17),ISBLANK(C17)),"à compléter",UPPER(LOOKUP(A17,BIB!A:A,BIB!B:B)&amp;LOOKUP(B17,'Type de table'!C:C,'Type de table'!B:B)
&amp;IF(COUNTIF('Objets de gestion'!C:C,F17)=0,"","_"&amp;LOOKUP(F17,'Objets de gestion'!C:C,'Objets de gestion'!F:F))
&amp;IF(COUNTIF('Objets de gestion'!C:C,E17)=0,"","_"&amp;LOOKUP(E17,'Objets de gestion'!C:C,'Objets de gestion'!F:F))
&amp;IF(COUNTIF('Objets de gestion'!C:C,D17)=0,"","_"&amp;LOOKUP(D17,'Objets de gestion'!C:C,'Objets de gestion'!F:F))
&amp;IF(COUNTIF('Objets de gestion'!C:C,C17)=0,"","_"&amp;LOOKUP(C17,'Objets de gestion'!C:C,'Objets de gestion'!F:F))
)))</f>
        <v/>
      </c>
      <c r="J17" t="str">
        <f>IF(AND(ISBLANK(A17),ISBLANK(B17),ISBLANK(C17)),"",IF(OR(ISBLANK(A17),ISBLANK(B17),ISBLANK(C17)),"-",
LOOKUP(B17,'Type de table'!C:C,'Type de table'!E:E)
&amp;IF(ISBLANK(C17),""," "&amp;C17)
&amp;IF(ISBLANK(D17),""," "&amp;D17)
&amp;IF(ISBLANK(E17),""," "&amp;E17)
&amp;IF(ISBLANK(F17),""," "&amp;F17)
))</f>
        <v/>
      </c>
      <c r="K17" t="str">
        <f>IF(AND(ISBLANK(A17),ISBLANK(B17),ISBLANK(C17)),"",IF(OR(ISBLANK(A17),ISBLANK(B17),ISBLANK(C17)),"-",
LOOKUP(B17,'Type de table'!C:C,'Type de table'!F:F)
&amp;IF(ISBLANK(C17),""," "&amp;LOOKUP(C17,'Objets de gestion'!C:C,'Objets de gestion'!E:E))
&amp;IF(ISBLANK(D17),""," "&amp;LOOKUP(D17,'Objets de gestion'!C:C,'Objets de gestion'!E:E))
&amp;IF(ISBLANK(E17),""," "&amp;LOOKUP(E17,'Objets de gestion'!C:C,'Objets de gestion'!E:E))
&amp;IF(ISBLANK(F17),""," "&amp;LOOKUP(F17,'Objets de gestion'!C:C,'Objets de gestion'!E:E))
))</f>
        <v/>
      </c>
      <c r="L17" t="str">
        <f t="shared" si="0"/>
        <v/>
      </c>
    </row>
    <row r="18" spans="7:12">
      <c r="G18" s="23" t="str">
        <f>IF(ISBLANK(A18),"",LOOKUP(A18,BIB!A:A,BIB!C:C))</f>
        <v/>
      </c>
      <c r="H18" s="1" t="str">
        <f>IF(AND(ISBLANK(A18),ISBLANK(B18),ISBLANK(C18)),"",IF(OR(ISBLANK(A18),ISBLANK(B18),ISBLANK(C18)),"-",LEN(Tableau4[[#This Row],[Colonne9]])))</f>
        <v/>
      </c>
      <c r="I18" t="str">
        <f>IF(AND(ISBLANK(A18),ISBLANK(B18),ISBLANK(C18)),"",IF(OR(ISBLANK(A18),ISBLANK(B18),ISBLANK(C18)),"à compléter",UPPER(LOOKUP(A18,BIB!A:A,BIB!B:B)&amp;LOOKUP(B18,'Type de table'!C:C,'Type de table'!B:B)
&amp;IF(COUNTIF('Objets de gestion'!C:C,F18)=0,"","_"&amp;LOOKUP(F18,'Objets de gestion'!C:C,'Objets de gestion'!F:F))
&amp;IF(COUNTIF('Objets de gestion'!C:C,E18)=0,"","_"&amp;LOOKUP(E18,'Objets de gestion'!C:C,'Objets de gestion'!F:F))
&amp;IF(COUNTIF('Objets de gestion'!C:C,D18)=0,"","_"&amp;LOOKUP(D18,'Objets de gestion'!C:C,'Objets de gestion'!F:F))
&amp;IF(COUNTIF('Objets de gestion'!C:C,C18)=0,"","_"&amp;LOOKUP(C18,'Objets de gestion'!C:C,'Objets de gestion'!F:F))
)))</f>
        <v/>
      </c>
      <c r="J18" t="str">
        <f>IF(AND(ISBLANK(A18),ISBLANK(B18),ISBLANK(C18)),"",IF(OR(ISBLANK(A18),ISBLANK(B18),ISBLANK(C18)),"-",
LOOKUP(B18,'Type de table'!C:C,'Type de table'!E:E)
&amp;IF(ISBLANK(C18),""," "&amp;C18)
&amp;IF(ISBLANK(D18),""," "&amp;D18)
&amp;IF(ISBLANK(E18),""," "&amp;E18)
&amp;IF(ISBLANK(F18),""," "&amp;F18)
))</f>
        <v/>
      </c>
      <c r="K18" t="str">
        <f>IF(AND(ISBLANK(A18),ISBLANK(B18),ISBLANK(C18)),"",IF(OR(ISBLANK(A18),ISBLANK(B18),ISBLANK(C18)),"-",
LOOKUP(B18,'Type de table'!C:C,'Type de table'!F:F)
&amp;IF(ISBLANK(C18),""," "&amp;LOOKUP(C18,'Objets de gestion'!C:C,'Objets de gestion'!E:E))
&amp;IF(ISBLANK(D18),""," "&amp;LOOKUP(D18,'Objets de gestion'!C:C,'Objets de gestion'!E:E))
&amp;IF(ISBLANK(E18),""," "&amp;LOOKUP(E18,'Objets de gestion'!C:C,'Objets de gestion'!E:E))
&amp;IF(ISBLANK(F18),""," "&amp;LOOKUP(F18,'Objets de gestion'!C:C,'Objets de gestion'!E:E))
))</f>
        <v/>
      </c>
      <c r="L18" t="str">
        <f t="shared" si="0"/>
        <v/>
      </c>
    </row>
    <row r="19" spans="7:12">
      <c r="G19" s="23" t="str">
        <f>IF(ISBLANK(A19),"",LOOKUP(A19,BIB!A:A,BIB!C:C))</f>
        <v/>
      </c>
      <c r="H19" s="1" t="str">
        <f>IF(AND(ISBLANK(A19),ISBLANK(B19),ISBLANK(C19)),"",IF(OR(ISBLANK(A19),ISBLANK(B19),ISBLANK(C19)),"-",LEN(Tableau4[[#This Row],[Colonne9]])))</f>
        <v/>
      </c>
      <c r="I19" t="str">
        <f>IF(AND(ISBLANK(A19),ISBLANK(B19),ISBLANK(C19)),"",IF(OR(ISBLANK(A19),ISBLANK(B19),ISBLANK(C19)),"à compléter",UPPER(LOOKUP(A19,BIB!A:A,BIB!B:B)&amp;LOOKUP(B19,'Type de table'!C:C,'Type de table'!B:B)
&amp;IF(COUNTIF('Objets de gestion'!C:C,F19)=0,"","_"&amp;LOOKUP(F19,'Objets de gestion'!C:C,'Objets de gestion'!F:F))
&amp;IF(COUNTIF('Objets de gestion'!C:C,E19)=0,"","_"&amp;LOOKUP(E19,'Objets de gestion'!C:C,'Objets de gestion'!F:F))
&amp;IF(COUNTIF('Objets de gestion'!C:C,D19)=0,"","_"&amp;LOOKUP(D19,'Objets de gestion'!C:C,'Objets de gestion'!F:F))
&amp;IF(COUNTIF('Objets de gestion'!C:C,C19)=0,"","_"&amp;LOOKUP(C19,'Objets de gestion'!C:C,'Objets de gestion'!F:F))
)))</f>
        <v/>
      </c>
      <c r="J19" t="str">
        <f>IF(AND(ISBLANK(A19),ISBLANK(B19),ISBLANK(C19)),"",IF(OR(ISBLANK(A19),ISBLANK(B19),ISBLANK(C19)),"-",
LOOKUP(B19,'Type de table'!C:C,'Type de table'!E:E)
&amp;IF(ISBLANK(C19),""," "&amp;C19)
&amp;IF(ISBLANK(D19),""," "&amp;D19)
&amp;IF(ISBLANK(E19),""," "&amp;E19)
&amp;IF(ISBLANK(F19),""," "&amp;F19)
))</f>
        <v/>
      </c>
      <c r="K19" t="str">
        <f>IF(AND(ISBLANK(A19),ISBLANK(B19),ISBLANK(C19)),"",IF(OR(ISBLANK(A19),ISBLANK(B19),ISBLANK(C19)),"-",
LOOKUP(B19,'Type de table'!C:C,'Type de table'!F:F)
&amp;IF(ISBLANK(C19),""," "&amp;LOOKUP(C19,'Objets de gestion'!C:C,'Objets de gestion'!E:E))
&amp;IF(ISBLANK(D19),""," "&amp;LOOKUP(D19,'Objets de gestion'!C:C,'Objets de gestion'!E:E))
&amp;IF(ISBLANK(E19),""," "&amp;LOOKUP(E19,'Objets de gestion'!C:C,'Objets de gestion'!E:E))
&amp;IF(ISBLANK(F19),""," "&amp;LOOKUP(F19,'Objets de gestion'!C:C,'Objets de gestion'!E:E))
))</f>
        <v/>
      </c>
      <c r="L19" t="str">
        <f t="shared" si="0"/>
        <v/>
      </c>
    </row>
    <row r="20" spans="7:12">
      <c r="G20" s="23" t="str">
        <f>IF(ISBLANK(A20),"",LOOKUP(A20,BIB!A:A,BIB!C:C))</f>
        <v/>
      </c>
      <c r="H20" s="1" t="str">
        <f>IF(AND(ISBLANK(A20),ISBLANK(B20),ISBLANK(C20)),"",IF(OR(ISBLANK(A20),ISBLANK(B20),ISBLANK(C20)),"-",LEN(Tableau4[[#This Row],[Colonne9]])))</f>
        <v/>
      </c>
      <c r="I20" t="str">
        <f>IF(AND(ISBLANK(A20),ISBLANK(B20),ISBLANK(C20)),"",IF(OR(ISBLANK(A20),ISBLANK(B20),ISBLANK(C20)),"à compléter",UPPER(LOOKUP(A20,BIB!A:A,BIB!B:B)&amp;LOOKUP(B20,'Type de table'!C:C,'Type de table'!B:B)
&amp;IF(COUNTIF('Objets de gestion'!C:C,F20)=0,"","_"&amp;LOOKUP(F20,'Objets de gestion'!C:C,'Objets de gestion'!F:F))
&amp;IF(COUNTIF('Objets de gestion'!C:C,E20)=0,"","_"&amp;LOOKUP(E20,'Objets de gestion'!C:C,'Objets de gestion'!F:F))
&amp;IF(COUNTIF('Objets de gestion'!C:C,D20)=0,"","_"&amp;LOOKUP(D20,'Objets de gestion'!C:C,'Objets de gestion'!F:F))
&amp;IF(COUNTIF('Objets de gestion'!C:C,C20)=0,"","_"&amp;LOOKUP(C20,'Objets de gestion'!C:C,'Objets de gestion'!F:F))
)))</f>
        <v/>
      </c>
      <c r="J20" t="str">
        <f>IF(AND(ISBLANK(A20),ISBLANK(B20),ISBLANK(C20)),"",IF(OR(ISBLANK(A20),ISBLANK(B20),ISBLANK(C20)),"-",
LOOKUP(B20,'Type de table'!C:C,'Type de table'!E:E)
&amp;IF(ISBLANK(C20),""," "&amp;C20)
&amp;IF(ISBLANK(D20),""," "&amp;D20)
&amp;IF(ISBLANK(E20),""," "&amp;E20)
&amp;IF(ISBLANK(F20),""," "&amp;F20)
))</f>
        <v/>
      </c>
      <c r="K20" t="str">
        <f>IF(AND(ISBLANK(A20),ISBLANK(B20),ISBLANK(C20)),"",IF(OR(ISBLANK(A20),ISBLANK(B20),ISBLANK(C20)),"-",
LOOKUP(B20,'Type de table'!C:C,'Type de table'!F:F)
&amp;IF(ISBLANK(C20),""," "&amp;LOOKUP(C20,'Objets de gestion'!C:C,'Objets de gestion'!E:E))
&amp;IF(ISBLANK(D20),""," "&amp;LOOKUP(D20,'Objets de gestion'!C:C,'Objets de gestion'!E:E))
&amp;IF(ISBLANK(E20),""," "&amp;LOOKUP(E20,'Objets de gestion'!C:C,'Objets de gestion'!E:E))
&amp;IF(ISBLANK(F20),""," "&amp;LOOKUP(F20,'Objets de gestion'!C:C,'Objets de gestion'!E:E))
))</f>
        <v/>
      </c>
      <c r="L20" t="str">
        <f t="shared" si="0"/>
        <v/>
      </c>
    </row>
    <row r="21" spans="7:12">
      <c r="G21" s="23" t="str">
        <f>IF(ISBLANK(A21),"",LOOKUP(A21,BIB!A:A,BIB!C:C))</f>
        <v/>
      </c>
      <c r="H21" s="1" t="str">
        <f>IF(AND(ISBLANK(A21),ISBLANK(B21),ISBLANK(C21)),"",IF(OR(ISBLANK(A21),ISBLANK(B21),ISBLANK(C21)),"-",LEN(Tableau4[[#This Row],[Colonne9]])))</f>
        <v/>
      </c>
      <c r="I21" t="str">
        <f>IF(AND(ISBLANK(A21),ISBLANK(B21),ISBLANK(C21)),"",IF(OR(ISBLANK(A21),ISBLANK(B21),ISBLANK(C21)),"à compléter",UPPER(LOOKUP(A21,BIB!A:A,BIB!B:B)&amp;LOOKUP(B21,'Type de table'!C:C,'Type de table'!B:B)
&amp;IF(COUNTIF('Objets de gestion'!C:C,F21)=0,"","_"&amp;LOOKUP(F21,'Objets de gestion'!C:C,'Objets de gestion'!F:F))
&amp;IF(COUNTIF('Objets de gestion'!C:C,E21)=0,"","_"&amp;LOOKUP(E21,'Objets de gestion'!C:C,'Objets de gestion'!F:F))
&amp;IF(COUNTIF('Objets de gestion'!C:C,D21)=0,"","_"&amp;LOOKUP(D21,'Objets de gestion'!C:C,'Objets de gestion'!F:F))
&amp;IF(COUNTIF('Objets de gestion'!C:C,C21)=0,"","_"&amp;LOOKUP(C21,'Objets de gestion'!C:C,'Objets de gestion'!F:F))
)))</f>
        <v/>
      </c>
      <c r="J21" t="str">
        <f>IF(AND(ISBLANK(A21),ISBLANK(B21),ISBLANK(C21)),"",IF(OR(ISBLANK(A21),ISBLANK(B21),ISBLANK(C21)),"-",
LOOKUP(B21,'Type de table'!C:C,'Type de table'!E:E)
&amp;IF(ISBLANK(C21),""," "&amp;C21)
&amp;IF(ISBLANK(D21),""," "&amp;D21)
&amp;IF(ISBLANK(E21),""," "&amp;E21)
&amp;IF(ISBLANK(F21),""," "&amp;F21)
))</f>
        <v/>
      </c>
      <c r="K21" t="str">
        <f>IF(AND(ISBLANK(A21),ISBLANK(B21),ISBLANK(C21)),"",IF(OR(ISBLANK(A21),ISBLANK(B21),ISBLANK(C21)),"-",
LOOKUP(B21,'Type de table'!C:C,'Type de table'!F:F)
&amp;IF(ISBLANK(C21),""," "&amp;LOOKUP(C21,'Objets de gestion'!C:C,'Objets de gestion'!E:E))
&amp;IF(ISBLANK(D21),""," "&amp;LOOKUP(D21,'Objets de gestion'!C:C,'Objets de gestion'!E:E))
&amp;IF(ISBLANK(E21),""," "&amp;LOOKUP(E21,'Objets de gestion'!C:C,'Objets de gestion'!E:E))
&amp;IF(ISBLANK(F21),""," "&amp;LOOKUP(F21,'Objets de gestion'!C:C,'Objets de gestion'!E:E))
))</f>
        <v/>
      </c>
      <c r="L21" t="str">
        <f t="shared" si="0"/>
        <v/>
      </c>
    </row>
    <row r="22" spans="7:12">
      <c r="G22" s="23" t="str">
        <f>IF(ISBLANK(A22),"",LOOKUP(A22,BIB!A:A,BIB!C:C))</f>
        <v/>
      </c>
      <c r="H22" s="1" t="str">
        <f>IF(AND(ISBLANK(A22),ISBLANK(B22),ISBLANK(C22)),"",IF(OR(ISBLANK(A22),ISBLANK(B22),ISBLANK(C22)),"-",LEN(Tableau4[[#This Row],[Colonne9]])))</f>
        <v/>
      </c>
      <c r="I22" t="str">
        <f>IF(AND(ISBLANK(A22),ISBLANK(B22),ISBLANK(C22)),"",IF(OR(ISBLANK(A22),ISBLANK(B22),ISBLANK(C22)),"à compléter",UPPER(LOOKUP(A22,BIB!A:A,BIB!B:B)&amp;LOOKUP(B22,'Type de table'!C:C,'Type de table'!B:B)
&amp;IF(COUNTIF('Objets de gestion'!C:C,F22)=0,"","_"&amp;LOOKUP(F22,'Objets de gestion'!C:C,'Objets de gestion'!F:F))
&amp;IF(COUNTIF('Objets de gestion'!C:C,E22)=0,"","_"&amp;LOOKUP(E22,'Objets de gestion'!C:C,'Objets de gestion'!F:F))
&amp;IF(COUNTIF('Objets de gestion'!C:C,D22)=0,"","_"&amp;LOOKUP(D22,'Objets de gestion'!C:C,'Objets de gestion'!F:F))
&amp;IF(COUNTIF('Objets de gestion'!C:C,C22)=0,"","_"&amp;LOOKUP(C22,'Objets de gestion'!C:C,'Objets de gestion'!F:F))
)))</f>
        <v/>
      </c>
      <c r="J22" t="str">
        <f>IF(AND(ISBLANK(A22),ISBLANK(B22),ISBLANK(C22)),"",IF(OR(ISBLANK(A22),ISBLANK(B22),ISBLANK(C22)),"-",
LOOKUP(B22,'Type de table'!C:C,'Type de table'!E:E)
&amp;IF(ISBLANK(C22),""," "&amp;C22)
&amp;IF(ISBLANK(D22),""," "&amp;D22)
&amp;IF(ISBLANK(E22),""," "&amp;E22)
&amp;IF(ISBLANK(F22),""," "&amp;F22)
))</f>
        <v/>
      </c>
      <c r="K22" t="str">
        <f>IF(AND(ISBLANK(A22),ISBLANK(B22),ISBLANK(C22)),"",IF(OR(ISBLANK(A22),ISBLANK(B22),ISBLANK(C22)),"-",
LOOKUP(B22,'Type de table'!C:C,'Type de table'!F:F)
&amp;IF(ISBLANK(C22),""," "&amp;LOOKUP(C22,'Objets de gestion'!C:C,'Objets de gestion'!E:E))
&amp;IF(ISBLANK(D22),""," "&amp;LOOKUP(D22,'Objets de gestion'!C:C,'Objets de gestion'!E:E))
&amp;IF(ISBLANK(E22),""," "&amp;LOOKUP(E22,'Objets de gestion'!C:C,'Objets de gestion'!E:E))
&amp;IF(ISBLANK(F22),""," "&amp;LOOKUP(F22,'Objets de gestion'!C:C,'Objets de gestion'!E:E))
))</f>
        <v/>
      </c>
      <c r="L22" t="str">
        <f t="shared" si="0"/>
        <v/>
      </c>
    </row>
    <row r="23" spans="7:12">
      <c r="G23" s="23" t="str">
        <f>IF(ISBLANK(A23),"",LOOKUP(A23,BIB!A:A,BIB!C:C))</f>
        <v/>
      </c>
      <c r="H23" s="1" t="str">
        <f>IF(AND(ISBLANK(A23),ISBLANK(B23),ISBLANK(C23)),"",IF(OR(ISBLANK(A23),ISBLANK(B23),ISBLANK(C23)),"-",LEN(Tableau4[[#This Row],[Colonne9]])))</f>
        <v/>
      </c>
      <c r="I23" t="str">
        <f>IF(AND(ISBLANK(A23),ISBLANK(B23),ISBLANK(C23)),"",IF(OR(ISBLANK(A23),ISBLANK(B23),ISBLANK(C23)),"à compléter",UPPER(LOOKUP(A23,BIB!A:A,BIB!B:B)&amp;LOOKUP(B23,'Type de table'!C:C,'Type de table'!B:B)
&amp;IF(COUNTIF('Objets de gestion'!C:C,F23)=0,"","_"&amp;LOOKUP(F23,'Objets de gestion'!C:C,'Objets de gestion'!F:F))
&amp;IF(COUNTIF('Objets de gestion'!C:C,E23)=0,"","_"&amp;LOOKUP(E23,'Objets de gestion'!C:C,'Objets de gestion'!F:F))
&amp;IF(COUNTIF('Objets de gestion'!C:C,D23)=0,"","_"&amp;LOOKUP(D23,'Objets de gestion'!C:C,'Objets de gestion'!F:F))
&amp;IF(COUNTIF('Objets de gestion'!C:C,C23)=0,"","_"&amp;LOOKUP(C23,'Objets de gestion'!C:C,'Objets de gestion'!F:F))
)))</f>
        <v/>
      </c>
      <c r="J23" t="str">
        <f>IF(AND(ISBLANK(A23),ISBLANK(B23),ISBLANK(C23)),"",IF(OR(ISBLANK(A23),ISBLANK(B23),ISBLANK(C23)),"-",
LOOKUP(B23,'Type de table'!C:C,'Type de table'!E:E)
&amp;IF(ISBLANK(C23),""," "&amp;C23)
&amp;IF(ISBLANK(D23),""," "&amp;D23)
&amp;IF(ISBLANK(E23),""," "&amp;E23)
&amp;IF(ISBLANK(F23),""," "&amp;F23)
))</f>
        <v/>
      </c>
      <c r="K23" t="str">
        <f>IF(AND(ISBLANK(A23),ISBLANK(B23),ISBLANK(C23)),"",IF(OR(ISBLANK(A23),ISBLANK(B23),ISBLANK(C23)),"-",
LOOKUP(B23,'Type de table'!C:C,'Type de table'!F:F)
&amp;IF(ISBLANK(C23),""," "&amp;LOOKUP(C23,'Objets de gestion'!C:C,'Objets de gestion'!E:E))
&amp;IF(ISBLANK(D23),""," "&amp;LOOKUP(D23,'Objets de gestion'!C:C,'Objets de gestion'!E:E))
&amp;IF(ISBLANK(E23),""," "&amp;LOOKUP(E23,'Objets de gestion'!C:C,'Objets de gestion'!E:E))
&amp;IF(ISBLANK(F23),""," "&amp;LOOKUP(F23,'Objets de gestion'!C:C,'Objets de gestion'!E:E))
))</f>
        <v/>
      </c>
      <c r="L23" t="str">
        <f t="shared" si="0"/>
        <v/>
      </c>
    </row>
    <row r="24" spans="7:12">
      <c r="G24" s="23" t="str">
        <f>IF(ISBLANK(A24),"",LOOKUP(A24,BIB!A:A,BIB!C:C))</f>
        <v/>
      </c>
      <c r="H24" s="1" t="str">
        <f>IF(AND(ISBLANK(A24),ISBLANK(B24),ISBLANK(C24)),"",IF(OR(ISBLANK(A24),ISBLANK(B24),ISBLANK(C24)),"-",LEN(Tableau4[[#This Row],[Colonne9]])))</f>
        <v/>
      </c>
      <c r="I24" t="str">
        <f>IF(AND(ISBLANK(A24),ISBLANK(B24),ISBLANK(C24)),"",IF(OR(ISBLANK(A24),ISBLANK(B24),ISBLANK(C24)),"à compléter",UPPER(LOOKUP(A24,BIB!A:A,BIB!B:B)&amp;LOOKUP(B24,'Type de table'!C:C,'Type de table'!B:B)
&amp;IF(COUNTIF('Objets de gestion'!C:C,F24)=0,"","_"&amp;LOOKUP(F24,'Objets de gestion'!C:C,'Objets de gestion'!F:F))
&amp;IF(COUNTIF('Objets de gestion'!C:C,E24)=0,"","_"&amp;LOOKUP(E24,'Objets de gestion'!C:C,'Objets de gestion'!F:F))
&amp;IF(COUNTIF('Objets de gestion'!C:C,D24)=0,"","_"&amp;LOOKUP(D24,'Objets de gestion'!C:C,'Objets de gestion'!F:F))
&amp;IF(COUNTIF('Objets de gestion'!C:C,C24)=0,"","_"&amp;LOOKUP(C24,'Objets de gestion'!C:C,'Objets de gestion'!F:F))
)))</f>
        <v/>
      </c>
      <c r="J24" t="str">
        <f>IF(AND(ISBLANK(A24),ISBLANK(B24),ISBLANK(C24)),"",IF(OR(ISBLANK(A24),ISBLANK(B24),ISBLANK(C24)),"-",
LOOKUP(B24,'Type de table'!C:C,'Type de table'!E:E)
&amp;IF(ISBLANK(C24),""," "&amp;C24)
&amp;IF(ISBLANK(D24),""," "&amp;D24)
&amp;IF(ISBLANK(E24),""," "&amp;E24)
&amp;IF(ISBLANK(F24),""," "&amp;F24)
))</f>
        <v/>
      </c>
      <c r="K24" t="str">
        <f>IF(AND(ISBLANK(A24),ISBLANK(B24),ISBLANK(C24)),"",IF(OR(ISBLANK(A24),ISBLANK(B24),ISBLANK(C24)),"-",
LOOKUP(B24,'Type de table'!C:C,'Type de table'!F:F)
&amp;IF(ISBLANK(C24),""," "&amp;LOOKUP(C24,'Objets de gestion'!C:C,'Objets de gestion'!E:E))
&amp;IF(ISBLANK(D24),""," "&amp;LOOKUP(D24,'Objets de gestion'!C:C,'Objets de gestion'!E:E))
&amp;IF(ISBLANK(E24),""," "&amp;LOOKUP(E24,'Objets de gestion'!C:C,'Objets de gestion'!E:E))
&amp;IF(ISBLANK(F24),""," "&amp;LOOKUP(F24,'Objets de gestion'!C:C,'Objets de gestion'!E:E))
))</f>
        <v/>
      </c>
      <c r="L24" t="str">
        <f t="shared" si="0"/>
        <v/>
      </c>
    </row>
    <row r="25" spans="7:12">
      <c r="G25" s="23" t="str">
        <f>IF(ISBLANK(A25),"",LOOKUP(A25,BIB!A:A,BIB!C:C))</f>
        <v/>
      </c>
      <c r="H25" s="1" t="str">
        <f>IF(AND(ISBLANK(A25),ISBLANK(B25),ISBLANK(C25)),"",IF(OR(ISBLANK(A25),ISBLANK(B25),ISBLANK(C25)),"-",LEN(Tableau4[[#This Row],[Colonne9]])))</f>
        <v/>
      </c>
      <c r="I25" t="str">
        <f>IF(AND(ISBLANK(A25),ISBLANK(B25),ISBLANK(C25)),"",IF(OR(ISBLANK(A25),ISBLANK(B25),ISBLANK(C25)),"à compléter",UPPER(LOOKUP(A25,BIB!A:A,BIB!B:B)&amp;LOOKUP(B25,'Type de table'!C:C,'Type de table'!B:B)
&amp;IF(COUNTIF('Objets de gestion'!C:C,F25)=0,"","_"&amp;LOOKUP(F25,'Objets de gestion'!C:C,'Objets de gestion'!F:F))
&amp;IF(COUNTIF('Objets de gestion'!C:C,E25)=0,"","_"&amp;LOOKUP(E25,'Objets de gestion'!C:C,'Objets de gestion'!F:F))
&amp;IF(COUNTIF('Objets de gestion'!C:C,D25)=0,"","_"&amp;LOOKUP(D25,'Objets de gestion'!C:C,'Objets de gestion'!F:F))
&amp;IF(COUNTIF('Objets de gestion'!C:C,C25)=0,"","_"&amp;LOOKUP(C25,'Objets de gestion'!C:C,'Objets de gestion'!F:F))
)))</f>
        <v/>
      </c>
      <c r="J25" t="str">
        <f>IF(AND(ISBLANK(A25),ISBLANK(B25),ISBLANK(C25)),"",IF(OR(ISBLANK(A25),ISBLANK(B25),ISBLANK(C25)),"-",
LOOKUP(B25,'Type de table'!C:C,'Type de table'!E:E)
&amp;IF(ISBLANK(C25),""," "&amp;C25)
&amp;IF(ISBLANK(D25),""," "&amp;D25)
&amp;IF(ISBLANK(E25),""," "&amp;E25)
&amp;IF(ISBLANK(F25),""," "&amp;F25)
))</f>
        <v/>
      </c>
      <c r="K25" t="str">
        <f>IF(AND(ISBLANK(A25),ISBLANK(B25),ISBLANK(C25)),"",IF(OR(ISBLANK(A25),ISBLANK(B25),ISBLANK(C25)),"-",
LOOKUP(B25,'Type de table'!C:C,'Type de table'!F:F)
&amp;IF(ISBLANK(C25),""," "&amp;LOOKUP(C25,'Objets de gestion'!C:C,'Objets de gestion'!E:E))
&amp;IF(ISBLANK(D25),""," "&amp;LOOKUP(D25,'Objets de gestion'!C:C,'Objets de gestion'!E:E))
&amp;IF(ISBLANK(E25),""," "&amp;LOOKUP(E25,'Objets de gestion'!C:C,'Objets de gestion'!E:E))
&amp;IF(ISBLANK(F25),""," "&amp;LOOKUP(F25,'Objets de gestion'!C:C,'Objets de gestion'!E:E))
))</f>
        <v/>
      </c>
      <c r="L25" t="str">
        <f t="shared" si="0"/>
        <v/>
      </c>
    </row>
    <row r="26" spans="7:12">
      <c r="G26" s="23" t="str">
        <f>IF(ISBLANK(A26),"",LOOKUP(A26,BIB!A:A,BIB!C:C))</f>
        <v/>
      </c>
      <c r="H26" s="1" t="str">
        <f>IF(AND(ISBLANK(A26),ISBLANK(B26),ISBLANK(C26)),"",IF(OR(ISBLANK(A26),ISBLANK(B26),ISBLANK(C26)),"-",LEN(Tableau4[[#This Row],[Colonne9]])))</f>
        <v/>
      </c>
      <c r="I26" t="str">
        <f>IF(AND(ISBLANK(A26),ISBLANK(B26),ISBLANK(C26)),"",IF(OR(ISBLANK(A26),ISBLANK(B26),ISBLANK(C26)),"à compléter",UPPER(LOOKUP(A26,BIB!A:A,BIB!B:B)&amp;LOOKUP(B26,'Type de table'!C:C,'Type de table'!B:B)
&amp;IF(COUNTIF('Objets de gestion'!C:C,F26)=0,"","_"&amp;LOOKUP(F26,'Objets de gestion'!C:C,'Objets de gestion'!F:F))
&amp;IF(COUNTIF('Objets de gestion'!C:C,E26)=0,"","_"&amp;LOOKUP(E26,'Objets de gestion'!C:C,'Objets de gestion'!F:F))
&amp;IF(COUNTIF('Objets de gestion'!C:C,D26)=0,"","_"&amp;LOOKUP(D26,'Objets de gestion'!C:C,'Objets de gestion'!F:F))
&amp;IF(COUNTIF('Objets de gestion'!C:C,C26)=0,"","_"&amp;LOOKUP(C26,'Objets de gestion'!C:C,'Objets de gestion'!F:F))
)))</f>
        <v/>
      </c>
      <c r="J26" t="str">
        <f>IF(AND(ISBLANK(A26),ISBLANK(B26),ISBLANK(C26)),"",IF(OR(ISBLANK(A26),ISBLANK(B26),ISBLANK(C26)),"-",
LOOKUP(B26,'Type de table'!C:C,'Type de table'!E:E)
&amp;IF(ISBLANK(C26),""," "&amp;C26)
&amp;IF(ISBLANK(D26),""," "&amp;D26)
&amp;IF(ISBLANK(E26),""," "&amp;E26)
&amp;IF(ISBLANK(F26),""," "&amp;F26)
))</f>
        <v/>
      </c>
      <c r="K26" t="str">
        <f>IF(AND(ISBLANK(A26),ISBLANK(B26),ISBLANK(C26)),"",IF(OR(ISBLANK(A26),ISBLANK(B26),ISBLANK(C26)),"-",
LOOKUP(B26,'Type de table'!C:C,'Type de table'!F:F)
&amp;IF(ISBLANK(C26),""," "&amp;LOOKUP(C26,'Objets de gestion'!C:C,'Objets de gestion'!E:E))
&amp;IF(ISBLANK(D26),""," "&amp;LOOKUP(D26,'Objets de gestion'!C:C,'Objets de gestion'!E:E))
&amp;IF(ISBLANK(E26),""," "&amp;LOOKUP(E26,'Objets de gestion'!C:C,'Objets de gestion'!E:E))
&amp;IF(ISBLANK(F26),""," "&amp;LOOKUP(F26,'Objets de gestion'!C:C,'Objets de gestion'!E:E))
))</f>
        <v/>
      </c>
      <c r="L26" t="str">
        <f t="shared" si="0"/>
        <v/>
      </c>
    </row>
    <row r="27" spans="7:12">
      <c r="G27" s="23" t="str">
        <f>IF(ISBLANK(A27),"",LOOKUP(A27,BIB!A:A,BIB!C:C))</f>
        <v/>
      </c>
      <c r="H27" s="1" t="str">
        <f>IF(AND(ISBLANK(A27),ISBLANK(B27),ISBLANK(C27)),"",IF(OR(ISBLANK(A27),ISBLANK(B27),ISBLANK(C27)),"-",LEN(Tableau4[[#This Row],[Colonne9]])))</f>
        <v/>
      </c>
      <c r="I27" t="str">
        <f>IF(AND(ISBLANK(A27),ISBLANK(B27),ISBLANK(C27)),"",IF(OR(ISBLANK(A27),ISBLANK(B27),ISBLANK(C27)),"à compléter",UPPER(LOOKUP(A27,BIB!A:A,BIB!B:B)&amp;LOOKUP(B27,'Type de table'!C:C,'Type de table'!B:B)
&amp;IF(COUNTIF('Objets de gestion'!C:C,F27)=0,"","_"&amp;LOOKUP(F27,'Objets de gestion'!C:C,'Objets de gestion'!F:F))
&amp;IF(COUNTIF('Objets de gestion'!C:C,E27)=0,"","_"&amp;LOOKUP(E27,'Objets de gestion'!C:C,'Objets de gestion'!F:F))
&amp;IF(COUNTIF('Objets de gestion'!C:C,D27)=0,"","_"&amp;LOOKUP(D27,'Objets de gestion'!C:C,'Objets de gestion'!F:F))
&amp;IF(COUNTIF('Objets de gestion'!C:C,C27)=0,"","_"&amp;LOOKUP(C27,'Objets de gestion'!C:C,'Objets de gestion'!F:F))
)))</f>
        <v/>
      </c>
      <c r="J27" t="str">
        <f>IF(AND(ISBLANK(A27),ISBLANK(B27),ISBLANK(C27)),"",IF(OR(ISBLANK(A27),ISBLANK(B27),ISBLANK(C27)),"-",
LOOKUP(B27,'Type de table'!C:C,'Type de table'!E:E)
&amp;IF(ISBLANK(C27),""," "&amp;C27)
&amp;IF(ISBLANK(D27),""," "&amp;D27)
&amp;IF(ISBLANK(E27),""," "&amp;E27)
&amp;IF(ISBLANK(F27),""," "&amp;F27)
))</f>
        <v/>
      </c>
      <c r="K27" t="str">
        <f>IF(AND(ISBLANK(A27),ISBLANK(B27),ISBLANK(C27)),"",IF(OR(ISBLANK(A27),ISBLANK(B27),ISBLANK(C27)),"-",
LOOKUP(B27,'Type de table'!C:C,'Type de table'!F:F)
&amp;IF(ISBLANK(C27),""," "&amp;LOOKUP(C27,'Objets de gestion'!C:C,'Objets de gestion'!E:E))
&amp;IF(ISBLANK(D27),""," "&amp;LOOKUP(D27,'Objets de gestion'!C:C,'Objets de gestion'!E:E))
&amp;IF(ISBLANK(E27),""," "&amp;LOOKUP(E27,'Objets de gestion'!C:C,'Objets de gestion'!E:E))
&amp;IF(ISBLANK(F27),""," "&amp;LOOKUP(F27,'Objets de gestion'!C:C,'Objets de gestion'!E:E))
))</f>
        <v/>
      </c>
      <c r="L27" t="str">
        <f t="shared" si="0"/>
        <v/>
      </c>
    </row>
    <row r="28" spans="7:12">
      <c r="G28" s="23" t="str">
        <f>IF(ISBLANK(A28),"",LOOKUP(A28,BIB!A:A,BIB!C:C))</f>
        <v/>
      </c>
      <c r="H28" s="1" t="str">
        <f>IF(AND(ISBLANK(A28),ISBLANK(B28),ISBLANK(C28)),"",IF(OR(ISBLANK(A28),ISBLANK(B28),ISBLANK(C28)),"-",LEN(Tableau4[[#This Row],[Colonne9]])))</f>
        <v/>
      </c>
      <c r="I28" t="str">
        <f>IF(AND(ISBLANK(A28),ISBLANK(B28),ISBLANK(C28)),"",IF(OR(ISBLANK(A28),ISBLANK(B28),ISBLANK(C28)),"à compléter",UPPER(LOOKUP(A28,BIB!A:A,BIB!B:B)&amp;LOOKUP(B28,'Type de table'!C:C,'Type de table'!B:B)
&amp;IF(COUNTIF('Objets de gestion'!C:C,F28)=0,"","_"&amp;LOOKUP(F28,'Objets de gestion'!C:C,'Objets de gestion'!F:F))
&amp;IF(COUNTIF('Objets de gestion'!C:C,E28)=0,"","_"&amp;LOOKUP(E28,'Objets de gestion'!C:C,'Objets de gestion'!F:F))
&amp;IF(COUNTIF('Objets de gestion'!C:C,D28)=0,"","_"&amp;LOOKUP(D28,'Objets de gestion'!C:C,'Objets de gestion'!F:F))
&amp;IF(COUNTIF('Objets de gestion'!C:C,C28)=0,"","_"&amp;LOOKUP(C28,'Objets de gestion'!C:C,'Objets de gestion'!F:F))
)))</f>
        <v/>
      </c>
      <c r="J28" t="str">
        <f>IF(AND(ISBLANK(A28),ISBLANK(B28),ISBLANK(C28)),"",IF(OR(ISBLANK(A28),ISBLANK(B28),ISBLANK(C28)),"-",
LOOKUP(B28,'Type de table'!C:C,'Type de table'!E:E)
&amp;IF(ISBLANK(C28),""," "&amp;C28)
&amp;IF(ISBLANK(D28),""," "&amp;D28)
&amp;IF(ISBLANK(E28),""," "&amp;E28)
&amp;IF(ISBLANK(F28),""," "&amp;F28)
))</f>
        <v/>
      </c>
      <c r="K28" t="str">
        <f>IF(AND(ISBLANK(A28),ISBLANK(B28),ISBLANK(C28)),"",IF(OR(ISBLANK(A28),ISBLANK(B28),ISBLANK(C28)),"-",
LOOKUP(B28,'Type de table'!C:C,'Type de table'!F:F)
&amp;IF(ISBLANK(C28),""," "&amp;LOOKUP(C28,'Objets de gestion'!C:C,'Objets de gestion'!E:E))
&amp;IF(ISBLANK(D28),""," "&amp;LOOKUP(D28,'Objets de gestion'!C:C,'Objets de gestion'!E:E))
&amp;IF(ISBLANK(E28),""," "&amp;LOOKUP(E28,'Objets de gestion'!C:C,'Objets de gestion'!E:E))
&amp;IF(ISBLANK(F28),""," "&amp;LOOKUP(F28,'Objets de gestion'!C:C,'Objets de gestion'!E:E))
))</f>
        <v/>
      </c>
      <c r="L28" t="str">
        <f t="shared" si="0"/>
        <v/>
      </c>
    </row>
    <row r="29" spans="7:12">
      <c r="G29" s="23" t="str">
        <f>IF(ISBLANK(A29),"",LOOKUP(A29,BIB!A:A,BIB!C:C))</f>
        <v/>
      </c>
      <c r="H29" s="1" t="str">
        <f>IF(AND(ISBLANK(A29),ISBLANK(B29),ISBLANK(C29)),"",IF(OR(ISBLANK(A29),ISBLANK(B29),ISBLANK(C29)),"-",LEN(Tableau4[[#This Row],[Colonne9]])))</f>
        <v/>
      </c>
      <c r="I29" t="str">
        <f>IF(AND(ISBLANK(A29),ISBLANK(B29),ISBLANK(C29)),"",IF(OR(ISBLANK(A29),ISBLANK(B29),ISBLANK(C29)),"à compléter",UPPER(LOOKUP(A29,BIB!A:A,BIB!B:B)&amp;LOOKUP(B29,'Type de table'!C:C,'Type de table'!B:B)
&amp;IF(COUNTIF('Objets de gestion'!C:C,F29)=0,"","_"&amp;LOOKUP(F29,'Objets de gestion'!C:C,'Objets de gestion'!F:F))
&amp;IF(COUNTIF('Objets de gestion'!C:C,E29)=0,"","_"&amp;LOOKUP(E29,'Objets de gestion'!C:C,'Objets de gestion'!F:F))
&amp;IF(COUNTIF('Objets de gestion'!C:C,D29)=0,"","_"&amp;LOOKUP(D29,'Objets de gestion'!C:C,'Objets de gestion'!F:F))
&amp;IF(COUNTIF('Objets de gestion'!C:C,C29)=0,"","_"&amp;LOOKUP(C29,'Objets de gestion'!C:C,'Objets de gestion'!F:F))
)))</f>
        <v/>
      </c>
      <c r="J29" t="str">
        <f>IF(AND(ISBLANK(A29),ISBLANK(B29),ISBLANK(C29)),"",IF(OR(ISBLANK(A29),ISBLANK(B29),ISBLANK(C29)),"-",
LOOKUP(B29,'Type de table'!C:C,'Type de table'!E:E)
&amp;IF(ISBLANK(C29),""," "&amp;C29)
&amp;IF(ISBLANK(D29),""," "&amp;D29)
&amp;IF(ISBLANK(E29),""," "&amp;E29)
&amp;IF(ISBLANK(F29),""," "&amp;F29)
))</f>
        <v/>
      </c>
      <c r="K29" t="str">
        <f>IF(AND(ISBLANK(A29),ISBLANK(B29),ISBLANK(C29)),"",IF(OR(ISBLANK(A29),ISBLANK(B29),ISBLANK(C29)),"-",
LOOKUP(B29,'Type de table'!C:C,'Type de table'!F:F)
&amp;IF(ISBLANK(C29),""," "&amp;LOOKUP(C29,'Objets de gestion'!C:C,'Objets de gestion'!E:E))
&amp;IF(ISBLANK(D29),""," "&amp;LOOKUP(D29,'Objets de gestion'!C:C,'Objets de gestion'!E:E))
&amp;IF(ISBLANK(E29),""," "&amp;LOOKUP(E29,'Objets de gestion'!C:C,'Objets de gestion'!E:E))
&amp;IF(ISBLANK(F29),""," "&amp;LOOKUP(F29,'Objets de gestion'!C:C,'Objets de gestion'!E:E))
))</f>
        <v/>
      </c>
      <c r="L29" t="str">
        <f t="shared" si="0"/>
        <v/>
      </c>
    </row>
    <row r="30" spans="7:12">
      <c r="G30" s="23" t="str">
        <f>IF(ISBLANK(A30),"",LOOKUP(A30,BIB!A:A,BIB!C:C))</f>
        <v/>
      </c>
      <c r="H30" s="1" t="str">
        <f>IF(AND(ISBLANK(A30),ISBLANK(B30),ISBLANK(C30)),"",IF(OR(ISBLANK(A30),ISBLANK(B30),ISBLANK(C30)),"-",LEN(Tableau4[[#This Row],[Colonne9]])))</f>
        <v/>
      </c>
      <c r="I30" t="str">
        <f>IF(AND(ISBLANK(A30),ISBLANK(B30),ISBLANK(C30)),"",IF(OR(ISBLANK(A30),ISBLANK(B30),ISBLANK(C30)),"à compléter",UPPER(LOOKUP(A30,BIB!A:A,BIB!B:B)&amp;LOOKUP(B30,'Type de table'!C:C,'Type de table'!B:B)
&amp;IF(COUNTIF('Objets de gestion'!C:C,F30)=0,"","_"&amp;LOOKUP(F30,'Objets de gestion'!C:C,'Objets de gestion'!F:F))
&amp;IF(COUNTIF('Objets de gestion'!C:C,E30)=0,"","_"&amp;LOOKUP(E30,'Objets de gestion'!C:C,'Objets de gestion'!F:F))
&amp;IF(COUNTIF('Objets de gestion'!C:C,D30)=0,"","_"&amp;LOOKUP(D30,'Objets de gestion'!C:C,'Objets de gestion'!F:F))
&amp;IF(COUNTIF('Objets de gestion'!C:C,C30)=0,"","_"&amp;LOOKUP(C30,'Objets de gestion'!C:C,'Objets de gestion'!F:F))
)))</f>
        <v/>
      </c>
      <c r="J30" t="str">
        <f>IF(AND(ISBLANK(A30),ISBLANK(B30),ISBLANK(C30)),"",IF(OR(ISBLANK(A30),ISBLANK(B30),ISBLANK(C30)),"-",
LOOKUP(B30,'Type de table'!C:C,'Type de table'!E:E)
&amp;IF(ISBLANK(C30),""," "&amp;C30)
&amp;IF(ISBLANK(D30),""," "&amp;D30)
&amp;IF(ISBLANK(E30),""," "&amp;E30)
&amp;IF(ISBLANK(F30),""," "&amp;F30)
))</f>
        <v/>
      </c>
      <c r="K30" t="str">
        <f>IF(AND(ISBLANK(A30),ISBLANK(B30),ISBLANK(C30)),"",IF(OR(ISBLANK(A30),ISBLANK(B30),ISBLANK(C30)),"-",
LOOKUP(B30,'Type de table'!C:C,'Type de table'!F:F)
&amp;IF(ISBLANK(C30),""," "&amp;LOOKUP(C30,'Objets de gestion'!C:C,'Objets de gestion'!E:E))
&amp;IF(ISBLANK(D30),""," "&amp;LOOKUP(D30,'Objets de gestion'!C:C,'Objets de gestion'!E:E))
&amp;IF(ISBLANK(E30),""," "&amp;LOOKUP(E30,'Objets de gestion'!C:C,'Objets de gestion'!E:E))
&amp;IF(ISBLANK(F30),""," "&amp;LOOKUP(F30,'Objets de gestion'!C:C,'Objets de gestion'!E:E))
))</f>
        <v/>
      </c>
      <c r="L30" t="str">
        <f t="shared" si="0"/>
        <v/>
      </c>
    </row>
    <row r="31" spans="7:12">
      <c r="G31" s="23" t="str">
        <f>IF(ISBLANK(A31),"",LOOKUP(A31,BIB!A:A,BIB!C:C))</f>
        <v/>
      </c>
      <c r="H31" s="1" t="str">
        <f>IF(AND(ISBLANK(A31),ISBLANK(B31),ISBLANK(C31)),"",IF(OR(ISBLANK(A31),ISBLANK(B31),ISBLANK(C31)),"-",LEN(Tableau4[[#This Row],[Colonne9]])))</f>
        <v/>
      </c>
      <c r="I31" t="str">
        <f>IF(AND(ISBLANK(A31),ISBLANK(B31),ISBLANK(C31)),"",IF(OR(ISBLANK(A31),ISBLANK(B31),ISBLANK(C31)),"à compléter",UPPER(LOOKUP(A31,BIB!A:A,BIB!B:B)&amp;LOOKUP(B31,'Type de table'!C:C,'Type de table'!B:B)
&amp;IF(COUNTIF('Objets de gestion'!C:C,F31)=0,"","_"&amp;LOOKUP(F31,'Objets de gestion'!C:C,'Objets de gestion'!F:F))
&amp;IF(COUNTIF('Objets de gestion'!C:C,E31)=0,"","_"&amp;LOOKUP(E31,'Objets de gestion'!C:C,'Objets de gestion'!F:F))
&amp;IF(COUNTIF('Objets de gestion'!C:C,D31)=0,"","_"&amp;LOOKUP(D31,'Objets de gestion'!C:C,'Objets de gestion'!F:F))
&amp;IF(COUNTIF('Objets de gestion'!C:C,C31)=0,"","_"&amp;LOOKUP(C31,'Objets de gestion'!C:C,'Objets de gestion'!F:F))
)))</f>
        <v/>
      </c>
      <c r="J31" t="str">
        <f>IF(AND(ISBLANK(A31),ISBLANK(B31),ISBLANK(C31)),"",IF(OR(ISBLANK(A31),ISBLANK(B31),ISBLANK(C31)),"-",
LOOKUP(B31,'Type de table'!C:C,'Type de table'!E:E)
&amp;IF(ISBLANK(C31),""," "&amp;C31)
&amp;IF(ISBLANK(D31),""," "&amp;D31)
&amp;IF(ISBLANK(E31),""," "&amp;E31)
&amp;IF(ISBLANK(F31),""," "&amp;F31)
))</f>
        <v/>
      </c>
      <c r="K31" t="str">
        <f>IF(AND(ISBLANK(A31),ISBLANK(B31),ISBLANK(C31)),"",IF(OR(ISBLANK(A31),ISBLANK(B31),ISBLANK(C31)),"-",
LOOKUP(B31,'Type de table'!C:C,'Type de table'!F:F)
&amp;IF(ISBLANK(C31),""," "&amp;LOOKUP(C31,'Objets de gestion'!C:C,'Objets de gestion'!E:E))
&amp;IF(ISBLANK(D31),""," "&amp;LOOKUP(D31,'Objets de gestion'!C:C,'Objets de gestion'!E:E))
&amp;IF(ISBLANK(E31),""," "&amp;LOOKUP(E31,'Objets de gestion'!C:C,'Objets de gestion'!E:E))
&amp;IF(ISBLANK(F31),""," "&amp;LOOKUP(F31,'Objets de gestion'!C:C,'Objets de gestion'!E:E))
))</f>
        <v/>
      </c>
      <c r="L31" t="str">
        <f t="shared" si="0"/>
        <v/>
      </c>
    </row>
    <row r="32" spans="7:12">
      <c r="G32" s="23" t="str">
        <f>IF(ISBLANK(A32),"",LOOKUP(A32,BIB!A:A,BIB!C:C))</f>
        <v/>
      </c>
      <c r="H32" s="1" t="str">
        <f>IF(AND(ISBLANK(A32),ISBLANK(B32),ISBLANK(C32)),"",IF(OR(ISBLANK(A32),ISBLANK(B32),ISBLANK(C32)),"-",LEN(Tableau4[[#This Row],[Colonne9]])))</f>
        <v/>
      </c>
      <c r="I32" t="str">
        <f>IF(AND(ISBLANK(A32),ISBLANK(B32),ISBLANK(C32)),"",IF(OR(ISBLANK(A32),ISBLANK(B32),ISBLANK(C32)),"à compléter",UPPER(LOOKUP(A32,BIB!A:A,BIB!B:B)&amp;LOOKUP(B32,'Type de table'!C:C,'Type de table'!B:B)
&amp;IF(COUNTIF('Objets de gestion'!C:C,F32)=0,"","_"&amp;LOOKUP(F32,'Objets de gestion'!C:C,'Objets de gestion'!F:F))
&amp;IF(COUNTIF('Objets de gestion'!C:C,E32)=0,"","_"&amp;LOOKUP(E32,'Objets de gestion'!C:C,'Objets de gestion'!F:F))
&amp;IF(COUNTIF('Objets de gestion'!C:C,D32)=0,"","_"&amp;LOOKUP(D32,'Objets de gestion'!C:C,'Objets de gestion'!F:F))
&amp;IF(COUNTIF('Objets de gestion'!C:C,C32)=0,"","_"&amp;LOOKUP(C32,'Objets de gestion'!C:C,'Objets de gestion'!F:F))
)))</f>
        <v/>
      </c>
      <c r="J32" t="str">
        <f>IF(AND(ISBLANK(A32),ISBLANK(B32),ISBLANK(C32)),"",IF(OR(ISBLANK(A32),ISBLANK(B32),ISBLANK(C32)),"-",
LOOKUP(B32,'Type de table'!C:C,'Type de table'!E:E)
&amp;IF(ISBLANK(C32),""," "&amp;C32)
&amp;IF(ISBLANK(D32),""," "&amp;D32)
&amp;IF(ISBLANK(E32),""," "&amp;E32)
&amp;IF(ISBLANK(F32),""," "&amp;F32)
))</f>
        <v/>
      </c>
      <c r="K32" t="str">
        <f>IF(AND(ISBLANK(A32),ISBLANK(B32),ISBLANK(C32)),"",IF(OR(ISBLANK(A32),ISBLANK(B32),ISBLANK(C32)),"-",
LOOKUP(B32,'Type de table'!C:C,'Type de table'!F:F)
&amp;IF(ISBLANK(C32),""," "&amp;LOOKUP(C32,'Objets de gestion'!C:C,'Objets de gestion'!E:E))
&amp;IF(ISBLANK(D32),""," "&amp;LOOKUP(D32,'Objets de gestion'!C:C,'Objets de gestion'!E:E))
&amp;IF(ISBLANK(E32),""," "&amp;LOOKUP(E32,'Objets de gestion'!C:C,'Objets de gestion'!E:E))
&amp;IF(ISBLANK(F32),""," "&amp;LOOKUP(F32,'Objets de gestion'!C:C,'Objets de gestion'!E:E))
))</f>
        <v/>
      </c>
      <c r="L32" t="str">
        <f t="shared" si="0"/>
        <v/>
      </c>
    </row>
    <row r="33" spans="7:12">
      <c r="G33" s="23" t="str">
        <f>IF(ISBLANK(A33),"",LOOKUP(A33,BIB!A:A,BIB!C:C))</f>
        <v/>
      </c>
      <c r="H33" s="1" t="str">
        <f>IF(AND(ISBLANK(A33),ISBLANK(B33),ISBLANK(C33)),"",IF(OR(ISBLANK(A33),ISBLANK(B33),ISBLANK(C33)),"-",LEN(Tableau4[[#This Row],[Colonne9]])))</f>
        <v/>
      </c>
      <c r="I33" t="str">
        <f>IF(AND(ISBLANK(A33),ISBLANK(B33),ISBLANK(C33)),"",IF(OR(ISBLANK(A33),ISBLANK(B33),ISBLANK(C33)),"à compléter",UPPER(LOOKUP(A33,BIB!A:A,BIB!B:B)&amp;LOOKUP(B33,'Type de table'!C:C,'Type de table'!B:B)
&amp;IF(COUNTIF('Objets de gestion'!C:C,F33)=0,"","_"&amp;LOOKUP(F33,'Objets de gestion'!C:C,'Objets de gestion'!F:F))
&amp;IF(COUNTIF('Objets de gestion'!C:C,E33)=0,"","_"&amp;LOOKUP(E33,'Objets de gestion'!C:C,'Objets de gestion'!F:F))
&amp;IF(COUNTIF('Objets de gestion'!C:C,D33)=0,"","_"&amp;LOOKUP(D33,'Objets de gestion'!C:C,'Objets de gestion'!F:F))
&amp;IF(COUNTIF('Objets de gestion'!C:C,C33)=0,"","_"&amp;LOOKUP(C33,'Objets de gestion'!C:C,'Objets de gestion'!F:F))
)))</f>
        <v/>
      </c>
      <c r="J33" t="str">
        <f>IF(AND(ISBLANK(A33),ISBLANK(B33),ISBLANK(C33)),"",IF(OR(ISBLANK(A33),ISBLANK(B33),ISBLANK(C33)),"-",
LOOKUP(B33,'Type de table'!C:C,'Type de table'!E:E)
&amp;IF(ISBLANK(C33),""," "&amp;C33)
&amp;IF(ISBLANK(D33),""," "&amp;D33)
&amp;IF(ISBLANK(E33),""," "&amp;E33)
&amp;IF(ISBLANK(F33),""," "&amp;F33)
))</f>
        <v/>
      </c>
      <c r="K33" t="str">
        <f>IF(AND(ISBLANK(A33),ISBLANK(B33),ISBLANK(C33)),"",IF(OR(ISBLANK(A33),ISBLANK(B33),ISBLANK(C33)),"-",
LOOKUP(B33,'Type de table'!C:C,'Type de table'!F:F)
&amp;IF(ISBLANK(C33),""," "&amp;LOOKUP(C33,'Objets de gestion'!C:C,'Objets de gestion'!E:E))
&amp;IF(ISBLANK(D33),""," "&amp;LOOKUP(D33,'Objets de gestion'!C:C,'Objets de gestion'!E:E))
&amp;IF(ISBLANK(E33),""," "&amp;LOOKUP(E33,'Objets de gestion'!C:C,'Objets de gestion'!E:E))
&amp;IF(ISBLANK(F33),""," "&amp;LOOKUP(F33,'Objets de gestion'!C:C,'Objets de gestion'!E:E))
))</f>
        <v/>
      </c>
      <c r="L33" t="str">
        <f t="shared" si="0"/>
        <v/>
      </c>
    </row>
    <row r="34" spans="7:12">
      <c r="G34" s="23" t="str">
        <f>IF(ISBLANK(A34),"",LOOKUP(A34,BIB!A:A,BIB!C:C))</f>
        <v/>
      </c>
      <c r="H34" s="1" t="str">
        <f>IF(AND(ISBLANK(A34),ISBLANK(B34),ISBLANK(C34)),"",IF(OR(ISBLANK(A34),ISBLANK(B34),ISBLANK(C34)),"-",LEN(Tableau4[[#This Row],[Colonne9]])))</f>
        <v/>
      </c>
      <c r="I34" t="str">
        <f>IF(AND(ISBLANK(A34),ISBLANK(B34),ISBLANK(C34)),"",IF(OR(ISBLANK(A34),ISBLANK(B34),ISBLANK(C34)),"à compléter",UPPER(LOOKUP(A34,BIB!A:A,BIB!B:B)&amp;LOOKUP(B34,'Type de table'!C:C,'Type de table'!B:B)
&amp;IF(COUNTIF('Objets de gestion'!C:C,F34)=0,"","_"&amp;LOOKUP(F34,'Objets de gestion'!C:C,'Objets de gestion'!F:F))
&amp;IF(COUNTIF('Objets de gestion'!C:C,E34)=0,"","_"&amp;LOOKUP(E34,'Objets de gestion'!C:C,'Objets de gestion'!F:F))
&amp;IF(COUNTIF('Objets de gestion'!C:C,D34)=0,"","_"&amp;LOOKUP(D34,'Objets de gestion'!C:C,'Objets de gestion'!F:F))
&amp;IF(COUNTIF('Objets de gestion'!C:C,C34)=0,"","_"&amp;LOOKUP(C34,'Objets de gestion'!C:C,'Objets de gestion'!F:F))
)))</f>
        <v/>
      </c>
      <c r="J34" t="str">
        <f>IF(AND(ISBLANK(A34),ISBLANK(B34),ISBLANK(C34)),"",IF(OR(ISBLANK(A34),ISBLANK(B34),ISBLANK(C34)),"-",
LOOKUP(B34,'Type de table'!C:C,'Type de table'!E:E)
&amp;IF(ISBLANK(C34),""," "&amp;C34)
&amp;IF(ISBLANK(D34),""," "&amp;D34)
&amp;IF(ISBLANK(E34),""," "&amp;E34)
&amp;IF(ISBLANK(F34),""," "&amp;F34)
))</f>
        <v/>
      </c>
      <c r="K34" t="str">
        <f>IF(AND(ISBLANK(A34),ISBLANK(B34),ISBLANK(C34)),"",IF(OR(ISBLANK(A34),ISBLANK(B34),ISBLANK(C34)),"-",
LOOKUP(B34,'Type de table'!C:C,'Type de table'!F:F)
&amp;IF(ISBLANK(C34),""," "&amp;LOOKUP(C34,'Objets de gestion'!C:C,'Objets de gestion'!E:E))
&amp;IF(ISBLANK(D34),""," "&amp;LOOKUP(D34,'Objets de gestion'!C:C,'Objets de gestion'!E:E))
&amp;IF(ISBLANK(E34),""," "&amp;LOOKUP(E34,'Objets de gestion'!C:C,'Objets de gestion'!E:E))
&amp;IF(ISBLANK(F34),""," "&amp;LOOKUP(F34,'Objets de gestion'!C:C,'Objets de gestion'!E:E))
))</f>
        <v/>
      </c>
      <c r="L34" t="str">
        <f t="shared" si="0"/>
        <v/>
      </c>
    </row>
    <row r="35" spans="7:12">
      <c r="G35" s="23" t="str">
        <f>IF(ISBLANK(A35),"",LOOKUP(A35,BIB!A:A,BIB!C:C))</f>
        <v/>
      </c>
      <c r="H35" s="1" t="str">
        <f>IF(AND(ISBLANK(A35),ISBLANK(B35),ISBLANK(C35)),"",IF(OR(ISBLANK(A35),ISBLANK(B35),ISBLANK(C35)),"-",LEN(Tableau4[[#This Row],[Colonne9]])))</f>
        <v/>
      </c>
      <c r="I35" t="str">
        <f>IF(AND(ISBLANK(A35),ISBLANK(B35),ISBLANK(C35)),"",IF(OR(ISBLANK(A35),ISBLANK(B35),ISBLANK(C35)),"à compléter",UPPER(LOOKUP(A35,BIB!A:A,BIB!B:B)&amp;LOOKUP(B35,'Type de table'!C:C,'Type de table'!B:B)
&amp;IF(COUNTIF('Objets de gestion'!C:C,F35)=0,"","_"&amp;LOOKUP(F35,'Objets de gestion'!C:C,'Objets de gestion'!F:F))
&amp;IF(COUNTIF('Objets de gestion'!C:C,E35)=0,"","_"&amp;LOOKUP(E35,'Objets de gestion'!C:C,'Objets de gestion'!F:F))
&amp;IF(COUNTIF('Objets de gestion'!C:C,D35)=0,"","_"&amp;LOOKUP(D35,'Objets de gestion'!C:C,'Objets de gestion'!F:F))
&amp;IF(COUNTIF('Objets de gestion'!C:C,C35)=0,"","_"&amp;LOOKUP(C35,'Objets de gestion'!C:C,'Objets de gestion'!F:F))
)))</f>
        <v/>
      </c>
      <c r="J35" t="str">
        <f>IF(AND(ISBLANK(A35),ISBLANK(B35),ISBLANK(C35)),"",IF(OR(ISBLANK(A35),ISBLANK(B35),ISBLANK(C35)),"-",
LOOKUP(B35,'Type de table'!C:C,'Type de table'!E:E)
&amp;IF(ISBLANK(C35),""," "&amp;C35)
&amp;IF(ISBLANK(D35),""," "&amp;D35)
&amp;IF(ISBLANK(E35),""," "&amp;E35)
&amp;IF(ISBLANK(F35),""," "&amp;F35)
))</f>
        <v/>
      </c>
      <c r="K35" t="str">
        <f>IF(AND(ISBLANK(A35),ISBLANK(B35),ISBLANK(C35)),"",IF(OR(ISBLANK(A35),ISBLANK(B35),ISBLANK(C35)),"-",
LOOKUP(B35,'Type de table'!C:C,'Type de table'!F:F)
&amp;IF(ISBLANK(C35),""," "&amp;LOOKUP(C35,'Objets de gestion'!C:C,'Objets de gestion'!E:E))
&amp;IF(ISBLANK(D35),""," "&amp;LOOKUP(D35,'Objets de gestion'!C:C,'Objets de gestion'!E:E))
&amp;IF(ISBLANK(E35),""," "&amp;LOOKUP(E35,'Objets de gestion'!C:C,'Objets de gestion'!E:E))
&amp;IF(ISBLANK(F35),""," "&amp;LOOKUP(F35,'Objets de gestion'!C:C,'Objets de gestion'!E:E))
))</f>
        <v/>
      </c>
      <c r="L35" t="str">
        <f t="shared" si="0"/>
        <v/>
      </c>
    </row>
    <row r="36" spans="7:12">
      <c r="G36" s="23" t="str">
        <f>IF(ISBLANK(A36),"",LOOKUP(A36,BIB!A:A,BIB!C:C))</f>
        <v/>
      </c>
      <c r="H36" s="1" t="str">
        <f>IF(AND(ISBLANK(A36),ISBLANK(B36),ISBLANK(C36)),"",IF(OR(ISBLANK(A36),ISBLANK(B36),ISBLANK(C36)),"-",LEN(Tableau4[[#This Row],[Colonne9]])))</f>
        <v/>
      </c>
      <c r="I36" t="str">
        <f>IF(AND(ISBLANK(A36),ISBLANK(B36),ISBLANK(C36)),"",IF(OR(ISBLANK(A36),ISBLANK(B36),ISBLANK(C36)),"à compléter",UPPER(LOOKUP(A36,BIB!A:A,BIB!B:B)&amp;LOOKUP(B36,'Type de table'!C:C,'Type de table'!B:B)
&amp;IF(COUNTIF('Objets de gestion'!C:C,F36)=0,"","_"&amp;LOOKUP(F36,'Objets de gestion'!C:C,'Objets de gestion'!F:F))
&amp;IF(COUNTIF('Objets de gestion'!C:C,E36)=0,"","_"&amp;LOOKUP(E36,'Objets de gestion'!C:C,'Objets de gestion'!F:F))
&amp;IF(COUNTIF('Objets de gestion'!C:C,D36)=0,"","_"&amp;LOOKUP(D36,'Objets de gestion'!C:C,'Objets de gestion'!F:F))
&amp;IF(COUNTIF('Objets de gestion'!C:C,C36)=0,"","_"&amp;LOOKUP(C36,'Objets de gestion'!C:C,'Objets de gestion'!F:F))
)))</f>
        <v/>
      </c>
      <c r="J36" t="str">
        <f>IF(AND(ISBLANK(A36),ISBLANK(B36),ISBLANK(C36)),"",IF(OR(ISBLANK(A36),ISBLANK(B36),ISBLANK(C36)),"-",
LOOKUP(B36,'Type de table'!C:C,'Type de table'!E:E)
&amp;IF(ISBLANK(C36),""," "&amp;C36)
&amp;IF(ISBLANK(D36),""," "&amp;D36)
&amp;IF(ISBLANK(E36),""," "&amp;E36)
&amp;IF(ISBLANK(F36),""," "&amp;F36)
))</f>
        <v/>
      </c>
      <c r="K36" t="str">
        <f>IF(AND(ISBLANK(A36),ISBLANK(B36),ISBLANK(C36)),"",IF(OR(ISBLANK(A36),ISBLANK(B36),ISBLANK(C36)),"-",
LOOKUP(B36,'Type de table'!C:C,'Type de table'!F:F)
&amp;IF(ISBLANK(C36),""," "&amp;LOOKUP(C36,'Objets de gestion'!C:C,'Objets de gestion'!E:E))
&amp;IF(ISBLANK(D36),""," "&amp;LOOKUP(D36,'Objets de gestion'!C:C,'Objets de gestion'!E:E))
&amp;IF(ISBLANK(E36),""," "&amp;LOOKUP(E36,'Objets de gestion'!C:C,'Objets de gestion'!E:E))
&amp;IF(ISBLANK(F36),""," "&amp;LOOKUP(F36,'Objets de gestion'!C:C,'Objets de gestion'!E:E))
))</f>
        <v/>
      </c>
      <c r="L36" t="str">
        <f t="shared" si="0"/>
        <v/>
      </c>
    </row>
    <row r="37" spans="7:12">
      <c r="G37" s="23" t="str">
        <f>IF(ISBLANK(A37),"",LOOKUP(A37,BIB!A:A,BIB!C:C))</f>
        <v/>
      </c>
      <c r="H37" s="1" t="str">
        <f>IF(AND(ISBLANK(A37),ISBLANK(B37),ISBLANK(C37)),"",IF(OR(ISBLANK(A37),ISBLANK(B37),ISBLANK(C37)),"-",LEN(Tableau4[[#This Row],[Colonne9]])))</f>
        <v/>
      </c>
      <c r="I37" t="str">
        <f>IF(AND(ISBLANK(A37),ISBLANK(B37),ISBLANK(C37)),"",IF(OR(ISBLANK(A37),ISBLANK(B37),ISBLANK(C37)),"à compléter",UPPER(LOOKUP(A37,BIB!A:A,BIB!B:B)&amp;LOOKUP(B37,'Type de table'!C:C,'Type de table'!B:B)
&amp;IF(COUNTIF('Objets de gestion'!C:C,F37)=0,"","_"&amp;LOOKUP(F37,'Objets de gestion'!C:C,'Objets de gestion'!F:F))
&amp;IF(COUNTIF('Objets de gestion'!C:C,E37)=0,"","_"&amp;LOOKUP(E37,'Objets de gestion'!C:C,'Objets de gestion'!F:F))
&amp;IF(COUNTIF('Objets de gestion'!C:C,D37)=0,"","_"&amp;LOOKUP(D37,'Objets de gestion'!C:C,'Objets de gestion'!F:F))
&amp;IF(COUNTIF('Objets de gestion'!C:C,C37)=0,"","_"&amp;LOOKUP(C37,'Objets de gestion'!C:C,'Objets de gestion'!F:F))
)))</f>
        <v/>
      </c>
      <c r="J37" t="str">
        <f>IF(AND(ISBLANK(A37),ISBLANK(B37),ISBLANK(C37)),"",IF(OR(ISBLANK(A37),ISBLANK(B37),ISBLANK(C37)),"-",
LOOKUP(B37,'Type de table'!C:C,'Type de table'!E:E)
&amp;IF(ISBLANK(C37),""," "&amp;C37)
&amp;IF(ISBLANK(D37),""," "&amp;D37)
&amp;IF(ISBLANK(E37),""," "&amp;E37)
&amp;IF(ISBLANK(F37),""," "&amp;F37)
))</f>
        <v/>
      </c>
      <c r="K37" t="str">
        <f>IF(AND(ISBLANK(A37),ISBLANK(B37),ISBLANK(C37)),"",IF(OR(ISBLANK(A37),ISBLANK(B37),ISBLANK(C37)),"-",
LOOKUP(B37,'Type de table'!C:C,'Type de table'!F:F)
&amp;IF(ISBLANK(C37),""," "&amp;LOOKUP(C37,'Objets de gestion'!C:C,'Objets de gestion'!E:E))
&amp;IF(ISBLANK(D37),""," "&amp;LOOKUP(D37,'Objets de gestion'!C:C,'Objets de gestion'!E:E))
&amp;IF(ISBLANK(E37),""," "&amp;LOOKUP(E37,'Objets de gestion'!C:C,'Objets de gestion'!E:E))
&amp;IF(ISBLANK(F37),""," "&amp;LOOKUP(F37,'Objets de gestion'!C:C,'Objets de gestion'!E:E))
))</f>
        <v/>
      </c>
      <c r="L37" t="str">
        <f t="shared" si="0"/>
        <v/>
      </c>
    </row>
    <row r="38" spans="7:12">
      <c r="G38" s="23" t="str">
        <f>IF(ISBLANK(A38),"",LOOKUP(A38,BIB!A:A,BIB!C:C))</f>
        <v/>
      </c>
      <c r="H38" s="1" t="str">
        <f>IF(AND(ISBLANK(A38),ISBLANK(B38),ISBLANK(C38)),"",IF(OR(ISBLANK(A38),ISBLANK(B38),ISBLANK(C38)),"-",LEN(Tableau4[[#This Row],[Colonne9]])))</f>
        <v/>
      </c>
      <c r="I38" t="str">
        <f>IF(AND(ISBLANK(A38),ISBLANK(B38),ISBLANK(C38)),"",IF(OR(ISBLANK(A38),ISBLANK(B38),ISBLANK(C38)),"à compléter",UPPER(LOOKUP(A38,BIB!A:A,BIB!B:B)&amp;LOOKUP(B38,'Type de table'!C:C,'Type de table'!B:B)
&amp;IF(COUNTIF('Objets de gestion'!C:C,F38)=0,"","_"&amp;LOOKUP(F38,'Objets de gestion'!C:C,'Objets de gestion'!F:F))
&amp;IF(COUNTIF('Objets de gestion'!C:C,E38)=0,"","_"&amp;LOOKUP(E38,'Objets de gestion'!C:C,'Objets de gestion'!F:F))
&amp;IF(COUNTIF('Objets de gestion'!C:C,D38)=0,"","_"&amp;LOOKUP(D38,'Objets de gestion'!C:C,'Objets de gestion'!F:F))
&amp;IF(COUNTIF('Objets de gestion'!C:C,C38)=0,"","_"&amp;LOOKUP(C38,'Objets de gestion'!C:C,'Objets de gestion'!F:F))
)))</f>
        <v/>
      </c>
      <c r="J38" t="str">
        <f>IF(AND(ISBLANK(A38),ISBLANK(B38),ISBLANK(C38)),"",IF(OR(ISBLANK(A38),ISBLANK(B38),ISBLANK(C38)),"-",
LOOKUP(B38,'Type de table'!C:C,'Type de table'!E:E)
&amp;IF(ISBLANK(C38),""," "&amp;C38)
&amp;IF(ISBLANK(D38),""," "&amp;D38)
&amp;IF(ISBLANK(E38),""," "&amp;E38)
&amp;IF(ISBLANK(F38),""," "&amp;F38)
))</f>
        <v/>
      </c>
      <c r="K38" t="str">
        <f>IF(AND(ISBLANK(A38),ISBLANK(B38),ISBLANK(C38)),"",IF(OR(ISBLANK(A38),ISBLANK(B38),ISBLANK(C38)),"-",
LOOKUP(B38,'Type de table'!C:C,'Type de table'!F:F)
&amp;IF(ISBLANK(C38),""," "&amp;LOOKUP(C38,'Objets de gestion'!C:C,'Objets de gestion'!E:E))
&amp;IF(ISBLANK(D38),""," "&amp;LOOKUP(D38,'Objets de gestion'!C:C,'Objets de gestion'!E:E))
&amp;IF(ISBLANK(E38),""," "&amp;LOOKUP(E38,'Objets de gestion'!C:C,'Objets de gestion'!E:E))
&amp;IF(ISBLANK(F38),""," "&amp;LOOKUP(F38,'Objets de gestion'!C:C,'Objets de gestion'!E:E))
))</f>
        <v/>
      </c>
      <c r="L38" t="str">
        <f t="shared" si="0"/>
        <v/>
      </c>
    </row>
    <row r="39" spans="7:12">
      <c r="G39" s="23" t="str">
        <f>IF(ISBLANK(A39),"",LOOKUP(A39,BIB!A:A,BIB!C:C))</f>
        <v/>
      </c>
      <c r="H39" s="1" t="str">
        <f>IF(AND(ISBLANK(A39),ISBLANK(B39),ISBLANK(C39)),"",IF(OR(ISBLANK(A39),ISBLANK(B39),ISBLANK(C39)),"-",LEN(Tableau4[[#This Row],[Colonne9]])))</f>
        <v/>
      </c>
      <c r="I39" t="str">
        <f>IF(AND(ISBLANK(A39),ISBLANK(B39),ISBLANK(C39)),"",IF(OR(ISBLANK(A39),ISBLANK(B39),ISBLANK(C39)),"à compléter",UPPER(LOOKUP(A39,BIB!A:A,BIB!B:B)&amp;LOOKUP(B39,'Type de table'!C:C,'Type de table'!B:B)
&amp;IF(COUNTIF('Objets de gestion'!C:C,F39)=0,"","_"&amp;LOOKUP(F39,'Objets de gestion'!C:C,'Objets de gestion'!F:F))
&amp;IF(COUNTIF('Objets de gestion'!C:C,E39)=0,"","_"&amp;LOOKUP(E39,'Objets de gestion'!C:C,'Objets de gestion'!F:F))
&amp;IF(COUNTIF('Objets de gestion'!C:C,D39)=0,"","_"&amp;LOOKUP(D39,'Objets de gestion'!C:C,'Objets de gestion'!F:F))
&amp;IF(COUNTIF('Objets de gestion'!C:C,C39)=0,"","_"&amp;LOOKUP(C39,'Objets de gestion'!C:C,'Objets de gestion'!F:F))
)))</f>
        <v/>
      </c>
      <c r="J39" t="str">
        <f>IF(AND(ISBLANK(A39),ISBLANK(B39),ISBLANK(C39)),"",IF(OR(ISBLANK(A39),ISBLANK(B39),ISBLANK(C39)),"-",
LOOKUP(B39,'Type de table'!C:C,'Type de table'!E:E)
&amp;IF(ISBLANK(C39),""," "&amp;C39)
&amp;IF(ISBLANK(D39),""," "&amp;D39)
&amp;IF(ISBLANK(E39),""," "&amp;E39)
&amp;IF(ISBLANK(F39),""," "&amp;F39)
))</f>
        <v/>
      </c>
      <c r="K39" t="str">
        <f>IF(AND(ISBLANK(A39),ISBLANK(B39),ISBLANK(C39)),"",IF(OR(ISBLANK(A39),ISBLANK(B39),ISBLANK(C39)),"-",
LOOKUP(B39,'Type de table'!C:C,'Type de table'!F:F)
&amp;IF(ISBLANK(C39),""," "&amp;LOOKUP(C39,'Objets de gestion'!C:C,'Objets de gestion'!E:E))
&amp;IF(ISBLANK(D39),""," "&amp;LOOKUP(D39,'Objets de gestion'!C:C,'Objets de gestion'!E:E))
&amp;IF(ISBLANK(E39),""," "&amp;LOOKUP(E39,'Objets de gestion'!C:C,'Objets de gestion'!E:E))
&amp;IF(ISBLANK(F39),""," "&amp;LOOKUP(F39,'Objets de gestion'!C:C,'Objets de gestion'!E:E))
))</f>
        <v/>
      </c>
      <c r="L39" t="str">
        <f t="shared" si="0"/>
        <v/>
      </c>
    </row>
    <row r="40" spans="7:12">
      <c r="G40" s="23" t="str">
        <f>IF(ISBLANK(A40),"",LOOKUP(A40,BIB!A:A,BIB!C:C))</f>
        <v/>
      </c>
      <c r="H40" s="1" t="str">
        <f>IF(AND(ISBLANK(A40),ISBLANK(B40),ISBLANK(C40)),"",IF(OR(ISBLANK(A40),ISBLANK(B40),ISBLANK(C40)),"-",LEN(Tableau4[[#This Row],[Colonne9]])))</f>
        <v/>
      </c>
      <c r="I40" t="str">
        <f>IF(AND(ISBLANK(A40),ISBLANK(B40),ISBLANK(C40)),"",IF(OR(ISBLANK(A40),ISBLANK(B40),ISBLANK(C40)),"à compléter",UPPER(LOOKUP(A40,BIB!A:A,BIB!B:B)&amp;LOOKUP(B40,'Type de table'!C:C,'Type de table'!B:B)
&amp;IF(COUNTIF('Objets de gestion'!C:C,F40)=0,"","_"&amp;LOOKUP(F40,'Objets de gestion'!C:C,'Objets de gestion'!F:F))
&amp;IF(COUNTIF('Objets de gestion'!C:C,E40)=0,"","_"&amp;LOOKUP(E40,'Objets de gestion'!C:C,'Objets de gestion'!F:F))
&amp;IF(COUNTIF('Objets de gestion'!C:C,D40)=0,"","_"&amp;LOOKUP(D40,'Objets de gestion'!C:C,'Objets de gestion'!F:F))
&amp;IF(COUNTIF('Objets de gestion'!C:C,C40)=0,"","_"&amp;LOOKUP(C40,'Objets de gestion'!C:C,'Objets de gestion'!F:F))
)))</f>
        <v/>
      </c>
      <c r="J40" t="str">
        <f>IF(AND(ISBLANK(A40),ISBLANK(B40),ISBLANK(C40)),"",IF(OR(ISBLANK(A40),ISBLANK(B40),ISBLANK(C40)),"-",
LOOKUP(B40,'Type de table'!C:C,'Type de table'!E:E)
&amp;IF(ISBLANK(C40),""," "&amp;C40)
&amp;IF(ISBLANK(D40),""," "&amp;D40)
&amp;IF(ISBLANK(E40),""," "&amp;E40)
&amp;IF(ISBLANK(F40),""," "&amp;F40)
))</f>
        <v/>
      </c>
      <c r="K40" t="str">
        <f>IF(AND(ISBLANK(A40),ISBLANK(B40),ISBLANK(C40)),"",IF(OR(ISBLANK(A40),ISBLANK(B40),ISBLANK(C40)),"-",
LOOKUP(B40,'Type de table'!C:C,'Type de table'!F:F)
&amp;IF(ISBLANK(C40),""," "&amp;LOOKUP(C40,'Objets de gestion'!C:C,'Objets de gestion'!E:E))
&amp;IF(ISBLANK(D40),""," "&amp;LOOKUP(D40,'Objets de gestion'!C:C,'Objets de gestion'!E:E))
&amp;IF(ISBLANK(E40),""," "&amp;LOOKUP(E40,'Objets de gestion'!C:C,'Objets de gestion'!E:E))
&amp;IF(ISBLANK(F40),""," "&amp;LOOKUP(F40,'Objets de gestion'!C:C,'Objets de gestion'!E:E))
))</f>
        <v/>
      </c>
      <c r="L40" t="str">
        <f t="shared" si="0"/>
        <v/>
      </c>
    </row>
    <row r="41" spans="7:12">
      <c r="G41" s="23" t="str">
        <f>IF(ISBLANK(A41),"",LOOKUP(A41,BIB!A:A,BIB!C:C))</f>
        <v/>
      </c>
      <c r="H41" s="1" t="str">
        <f>IF(AND(ISBLANK(A41),ISBLANK(B41),ISBLANK(C41)),"",IF(OR(ISBLANK(A41),ISBLANK(B41),ISBLANK(C41)),"-",LEN(Tableau4[[#This Row],[Colonne9]])))</f>
        <v/>
      </c>
      <c r="I41" t="str">
        <f>IF(AND(ISBLANK(A41),ISBLANK(B41),ISBLANK(C41)),"",IF(OR(ISBLANK(A41),ISBLANK(B41),ISBLANK(C41)),"à compléter",UPPER(LOOKUP(A41,BIB!A:A,BIB!B:B)&amp;LOOKUP(B41,'Type de table'!C:C,'Type de table'!B:B)
&amp;IF(COUNTIF('Objets de gestion'!C:C,F41)=0,"","_"&amp;LOOKUP(F41,'Objets de gestion'!C:C,'Objets de gestion'!F:F))
&amp;IF(COUNTIF('Objets de gestion'!C:C,E41)=0,"","_"&amp;LOOKUP(E41,'Objets de gestion'!C:C,'Objets de gestion'!F:F))
&amp;IF(COUNTIF('Objets de gestion'!C:C,D41)=0,"","_"&amp;LOOKUP(D41,'Objets de gestion'!C:C,'Objets de gestion'!F:F))
&amp;IF(COUNTIF('Objets de gestion'!C:C,C41)=0,"","_"&amp;LOOKUP(C41,'Objets de gestion'!C:C,'Objets de gestion'!F:F))
)))</f>
        <v/>
      </c>
      <c r="J41" t="str">
        <f>IF(AND(ISBLANK(A41),ISBLANK(B41),ISBLANK(C41)),"",IF(OR(ISBLANK(A41),ISBLANK(B41),ISBLANK(C41)),"-",
LOOKUP(B41,'Type de table'!C:C,'Type de table'!E:E)
&amp;IF(ISBLANK(C41),""," "&amp;C41)
&amp;IF(ISBLANK(D41),""," "&amp;D41)
&amp;IF(ISBLANK(E41),""," "&amp;E41)
&amp;IF(ISBLANK(F41),""," "&amp;F41)
))</f>
        <v/>
      </c>
      <c r="K41" t="str">
        <f>IF(AND(ISBLANK(A41),ISBLANK(B41),ISBLANK(C41)),"",IF(OR(ISBLANK(A41),ISBLANK(B41),ISBLANK(C41)),"-",
LOOKUP(B41,'Type de table'!C:C,'Type de table'!F:F)
&amp;IF(ISBLANK(C41),""," "&amp;LOOKUP(C41,'Objets de gestion'!C:C,'Objets de gestion'!E:E))
&amp;IF(ISBLANK(D41),""," "&amp;LOOKUP(D41,'Objets de gestion'!C:C,'Objets de gestion'!E:E))
&amp;IF(ISBLANK(E41),""," "&amp;LOOKUP(E41,'Objets de gestion'!C:C,'Objets de gestion'!E:E))
&amp;IF(ISBLANK(F41),""," "&amp;LOOKUP(F41,'Objets de gestion'!C:C,'Objets de gestion'!E:E))
))</f>
        <v/>
      </c>
      <c r="L41" t="str">
        <f t="shared" si="0"/>
        <v/>
      </c>
    </row>
    <row r="42" spans="7:12">
      <c r="G42" s="23" t="str">
        <f>IF(ISBLANK(A42),"",LOOKUP(A42,BIB!A:A,BIB!C:C))</f>
        <v/>
      </c>
      <c r="H42" s="1" t="str">
        <f>IF(AND(ISBLANK(A42),ISBLANK(B42),ISBLANK(C42)),"",IF(OR(ISBLANK(A42),ISBLANK(B42),ISBLANK(C42)),"-",LEN(Tableau4[[#This Row],[Colonne9]])))</f>
        <v/>
      </c>
      <c r="I42" t="str">
        <f>IF(AND(ISBLANK(A42),ISBLANK(B42),ISBLANK(C42)),"",IF(OR(ISBLANK(A42),ISBLANK(B42),ISBLANK(C42)),"à compléter",UPPER(LOOKUP(A42,BIB!A:A,BIB!B:B)&amp;LOOKUP(B42,'Type de table'!C:C,'Type de table'!B:B)
&amp;IF(COUNTIF('Objets de gestion'!C:C,F42)=0,"","_"&amp;LOOKUP(F42,'Objets de gestion'!C:C,'Objets de gestion'!F:F))
&amp;IF(COUNTIF('Objets de gestion'!C:C,E42)=0,"","_"&amp;LOOKUP(E42,'Objets de gestion'!C:C,'Objets de gestion'!F:F))
&amp;IF(COUNTIF('Objets de gestion'!C:C,D42)=0,"","_"&amp;LOOKUP(D42,'Objets de gestion'!C:C,'Objets de gestion'!F:F))
&amp;IF(COUNTIF('Objets de gestion'!C:C,C42)=0,"","_"&amp;LOOKUP(C42,'Objets de gestion'!C:C,'Objets de gestion'!F:F))
)))</f>
        <v/>
      </c>
      <c r="J42" t="str">
        <f>IF(AND(ISBLANK(A42),ISBLANK(B42),ISBLANK(C42)),"",IF(OR(ISBLANK(A42),ISBLANK(B42),ISBLANK(C42)),"-",
LOOKUP(B42,'Type de table'!C:C,'Type de table'!E:E)
&amp;IF(ISBLANK(C42),""," "&amp;C42)
&amp;IF(ISBLANK(D42),""," "&amp;D42)
&amp;IF(ISBLANK(E42),""," "&amp;E42)
&amp;IF(ISBLANK(F42),""," "&amp;F42)
))</f>
        <v/>
      </c>
      <c r="K42" t="str">
        <f>IF(AND(ISBLANK(A42),ISBLANK(B42),ISBLANK(C42)),"",IF(OR(ISBLANK(A42),ISBLANK(B42),ISBLANK(C42)),"-",
LOOKUP(B42,'Type de table'!C:C,'Type de table'!F:F)
&amp;IF(ISBLANK(C42),""," "&amp;LOOKUP(C42,'Objets de gestion'!C:C,'Objets de gestion'!E:E))
&amp;IF(ISBLANK(D42),""," "&amp;LOOKUP(D42,'Objets de gestion'!C:C,'Objets de gestion'!E:E))
&amp;IF(ISBLANK(E42),""," "&amp;LOOKUP(E42,'Objets de gestion'!C:C,'Objets de gestion'!E:E))
&amp;IF(ISBLANK(F42),""," "&amp;LOOKUP(F42,'Objets de gestion'!C:C,'Objets de gestion'!E:E))
))</f>
        <v/>
      </c>
      <c r="L42" t="str">
        <f t="shared" si="0"/>
        <v/>
      </c>
    </row>
    <row r="43" spans="7:12">
      <c r="G43" s="23" t="str">
        <f>IF(ISBLANK(A43),"",LOOKUP(A43,BIB!A:A,BIB!C:C))</f>
        <v/>
      </c>
      <c r="H43" s="1" t="str">
        <f>IF(AND(ISBLANK(A43),ISBLANK(B43),ISBLANK(C43)),"",IF(OR(ISBLANK(A43),ISBLANK(B43),ISBLANK(C43)),"-",LEN(Tableau4[[#This Row],[Colonne9]])))</f>
        <v/>
      </c>
      <c r="I43" t="str">
        <f>IF(AND(ISBLANK(A43),ISBLANK(B43),ISBLANK(C43)),"",IF(OR(ISBLANK(A43),ISBLANK(B43),ISBLANK(C43)),"à compléter",UPPER(LOOKUP(A43,BIB!A:A,BIB!B:B)&amp;LOOKUP(B43,'Type de table'!C:C,'Type de table'!B:B)
&amp;IF(COUNTIF('Objets de gestion'!C:C,F43)=0,"","_"&amp;LOOKUP(F43,'Objets de gestion'!C:C,'Objets de gestion'!F:F))
&amp;IF(COUNTIF('Objets de gestion'!C:C,E43)=0,"","_"&amp;LOOKUP(E43,'Objets de gestion'!C:C,'Objets de gestion'!F:F))
&amp;IF(COUNTIF('Objets de gestion'!C:C,D43)=0,"","_"&amp;LOOKUP(D43,'Objets de gestion'!C:C,'Objets de gestion'!F:F))
&amp;IF(COUNTIF('Objets de gestion'!C:C,C43)=0,"","_"&amp;LOOKUP(C43,'Objets de gestion'!C:C,'Objets de gestion'!F:F))
)))</f>
        <v/>
      </c>
      <c r="J43" t="str">
        <f>IF(AND(ISBLANK(A43),ISBLANK(B43),ISBLANK(C43)),"",IF(OR(ISBLANK(A43),ISBLANK(B43),ISBLANK(C43)),"-",
LOOKUP(B43,'Type de table'!C:C,'Type de table'!E:E)
&amp;IF(ISBLANK(C43),""," "&amp;C43)
&amp;IF(ISBLANK(D43),""," "&amp;D43)
&amp;IF(ISBLANK(E43),""," "&amp;E43)
&amp;IF(ISBLANK(F43),""," "&amp;F43)
))</f>
        <v/>
      </c>
      <c r="K43" t="str">
        <f>IF(AND(ISBLANK(A43),ISBLANK(B43),ISBLANK(C43)),"",IF(OR(ISBLANK(A43),ISBLANK(B43),ISBLANK(C43)),"-",
LOOKUP(B43,'Type de table'!C:C,'Type de table'!F:F)
&amp;IF(ISBLANK(C43),""," "&amp;LOOKUP(C43,'Objets de gestion'!C:C,'Objets de gestion'!E:E))
&amp;IF(ISBLANK(D43),""," "&amp;LOOKUP(D43,'Objets de gestion'!C:C,'Objets de gestion'!E:E))
&amp;IF(ISBLANK(E43),""," "&amp;LOOKUP(E43,'Objets de gestion'!C:C,'Objets de gestion'!E:E))
&amp;IF(ISBLANK(F43),""," "&amp;LOOKUP(F43,'Objets de gestion'!C:C,'Objets de gestion'!E:E))
))</f>
        <v/>
      </c>
      <c r="L43" t="str">
        <f t="shared" si="0"/>
        <v/>
      </c>
    </row>
    <row r="44" spans="7:12">
      <c r="G44" s="23" t="str">
        <f>IF(ISBLANK(A44),"",LOOKUP(A44,BIB!A:A,BIB!C:C))</f>
        <v/>
      </c>
      <c r="H44" s="1" t="str">
        <f>IF(AND(ISBLANK(A44),ISBLANK(B44),ISBLANK(C44)),"",IF(OR(ISBLANK(A44),ISBLANK(B44),ISBLANK(C44)),"-",LEN(Tableau4[[#This Row],[Colonne9]])))</f>
        <v/>
      </c>
      <c r="I44" t="str">
        <f>IF(AND(ISBLANK(A44),ISBLANK(B44),ISBLANK(C44)),"",IF(OR(ISBLANK(A44),ISBLANK(B44),ISBLANK(C44)),"à compléter",UPPER(LOOKUP(A44,BIB!A:A,BIB!B:B)&amp;LOOKUP(B44,'Type de table'!C:C,'Type de table'!B:B)
&amp;IF(COUNTIF('Objets de gestion'!C:C,F44)=0,"","_"&amp;LOOKUP(F44,'Objets de gestion'!C:C,'Objets de gestion'!F:F))
&amp;IF(COUNTIF('Objets de gestion'!C:C,E44)=0,"","_"&amp;LOOKUP(E44,'Objets de gestion'!C:C,'Objets de gestion'!F:F))
&amp;IF(COUNTIF('Objets de gestion'!C:C,D44)=0,"","_"&amp;LOOKUP(D44,'Objets de gestion'!C:C,'Objets de gestion'!F:F))
&amp;IF(COUNTIF('Objets de gestion'!C:C,C44)=0,"","_"&amp;LOOKUP(C44,'Objets de gestion'!C:C,'Objets de gestion'!F:F))
)))</f>
        <v/>
      </c>
      <c r="J44" t="str">
        <f>IF(AND(ISBLANK(A44),ISBLANK(B44),ISBLANK(C44)),"",IF(OR(ISBLANK(A44),ISBLANK(B44),ISBLANK(C44)),"-",
LOOKUP(B44,'Type de table'!C:C,'Type de table'!E:E)
&amp;IF(ISBLANK(C44),""," "&amp;C44)
&amp;IF(ISBLANK(D44),""," "&amp;D44)
&amp;IF(ISBLANK(E44),""," "&amp;E44)
&amp;IF(ISBLANK(F44),""," "&amp;F44)
))</f>
        <v/>
      </c>
      <c r="K44" t="str">
        <f>IF(AND(ISBLANK(A44),ISBLANK(B44),ISBLANK(C44)),"",IF(OR(ISBLANK(A44),ISBLANK(B44),ISBLANK(C44)),"-",
LOOKUP(B44,'Type de table'!C:C,'Type de table'!F:F)
&amp;IF(ISBLANK(C44),""," "&amp;LOOKUP(C44,'Objets de gestion'!C:C,'Objets de gestion'!E:E))
&amp;IF(ISBLANK(D44),""," "&amp;LOOKUP(D44,'Objets de gestion'!C:C,'Objets de gestion'!E:E))
&amp;IF(ISBLANK(E44),""," "&amp;LOOKUP(E44,'Objets de gestion'!C:C,'Objets de gestion'!E:E))
&amp;IF(ISBLANK(F44),""," "&amp;LOOKUP(F44,'Objets de gestion'!C:C,'Objets de gestion'!E:E))
))</f>
        <v/>
      </c>
      <c r="L44" t="str">
        <f t="shared" si="0"/>
        <v/>
      </c>
    </row>
    <row r="45" spans="7:12">
      <c r="G45" s="23" t="str">
        <f>IF(ISBLANK(A45),"",LOOKUP(A45,BIB!A:A,BIB!C:C))</f>
        <v/>
      </c>
      <c r="H45" s="1" t="str">
        <f>IF(AND(ISBLANK(A45),ISBLANK(B45),ISBLANK(C45)),"",IF(OR(ISBLANK(A45),ISBLANK(B45),ISBLANK(C45)),"-",LEN(Tableau4[[#This Row],[Colonne9]])))</f>
        <v/>
      </c>
      <c r="I45" t="str">
        <f>IF(AND(ISBLANK(A45),ISBLANK(B45),ISBLANK(C45)),"",IF(OR(ISBLANK(A45),ISBLANK(B45),ISBLANK(C45)),"à compléter",UPPER(LOOKUP(A45,BIB!A:A,BIB!B:B)&amp;LOOKUP(B45,'Type de table'!C:C,'Type de table'!B:B)
&amp;IF(COUNTIF('Objets de gestion'!C:C,F45)=0,"","_"&amp;LOOKUP(F45,'Objets de gestion'!C:C,'Objets de gestion'!F:F))
&amp;IF(COUNTIF('Objets de gestion'!C:C,E45)=0,"","_"&amp;LOOKUP(E45,'Objets de gestion'!C:C,'Objets de gestion'!F:F))
&amp;IF(COUNTIF('Objets de gestion'!C:C,D45)=0,"","_"&amp;LOOKUP(D45,'Objets de gestion'!C:C,'Objets de gestion'!F:F))
&amp;IF(COUNTIF('Objets de gestion'!C:C,C45)=0,"","_"&amp;LOOKUP(C45,'Objets de gestion'!C:C,'Objets de gestion'!F:F))
)))</f>
        <v/>
      </c>
      <c r="J45" t="str">
        <f>IF(AND(ISBLANK(A45),ISBLANK(B45),ISBLANK(C45)),"",IF(OR(ISBLANK(A45),ISBLANK(B45),ISBLANK(C45)),"-",
LOOKUP(B45,'Type de table'!C:C,'Type de table'!E:E)
&amp;IF(ISBLANK(C45),""," "&amp;C45)
&amp;IF(ISBLANK(D45),""," "&amp;D45)
&amp;IF(ISBLANK(E45),""," "&amp;E45)
&amp;IF(ISBLANK(F45),""," "&amp;F45)
))</f>
        <v/>
      </c>
      <c r="K45" t="str">
        <f>IF(AND(ISBLANK(A45),ISBLANK(B45),ISBLANK(C45)),"",IF(OR(ISBLANK(A45),ISBLANK(B45),ISBLANK(C45)),"-",
LOOKUP(B45,'Type de table'!C:C,'Type de table'!F:F)
&amp;IF(ISBLANK(C45),""," "&amp;LOOKUP(C45,'Objets de gestion'!C:C,'Objets de gestion'!E:E))
&amp;IF(ISBLANK(D45),""," "&amp;LOOKUP(D45,'Objets de gestion'!C:C,'Objets de gestion'!E:E))
&amp;IF(ISBLANK(E45),""," "&amp;LOOKUP(E45,'Objets de gestion'!C:C,'Objets de gestion'!E:E))
&amp;IF(ISBLANK(F45),""," "&amp;LOOKUP(F45,'Objets de gestion'!C:C,'Objets de gestion'!E:E))
))</f>
        <v/>
      </c>
      <c r="L45" t="str">
        <f t="shared" si="0"/>
        <v/>
      </c>
    </row>
    <row r="46" spans="7:12">
      <c r="G46" s="23" t="str">
        <f>IF(ISBLANK(A46),"",LOOKUP(A46,BIB!A:A,BIB!C:C))</f>
        <v/>
      </c>
      <c r="H46" s="1" t="str">
        <f>IF(AND(ISBLANK(A46),ISBLANK(B46),ISBLANK(C46)),"",IF(OR(ISBLANK(A46),ISBLANK(B46),ISBLANK(C46)),"-",LEN(Tableau4[[#This Row],[Colonne9]])))</f>
        <v/>
      </c>
      <c r="I46" t="str">
        <f>IF(AND(ISBLANK(A46),ISBLANK(B46),ISBLANK(C46)),"",IF(OR(ISBLANK(A46),ISBLANK(B46),ISBLANK(C46)),"à compléter",UPPER(LOOKUP(A46,BIB!A:A,BIB!B:B)&amp;LOOKUP(B46,'Type de table'!C:C,'Type de table'!B:B)
&amp;IF(COUNTIF('Objets de gestion'!C:C,F46)=0,"","_"&amp;LOOKUP(F46,'Objets de gestion'!C:C,'Objets de gestion'!F:F))
&amp;IF(COUNTIF('Objets de gestion'!C:C,E46)=0,"","_"&amp;LOOKUP(E46,'Objets de gestion'!C:C,'Objets de gestion'!F:F))
&amp;IF(COUNTIF('Objets de gestion'!C:C,D46)=0,"","_"&amp;LOOKUP(D46,'Objets de gestion'!C:C,'Objets de gestion'!F:F))
&amp;IF(COUNTIF('Objets de gestion'!C:C,C46)=0,"","_"&amp;LOOKUP(C46,'Objets de gestion'!C:C,'Objets de gestion'!F:F))
)))</f>
        <v/>
      </c>
      <c r="J46" t="str">
        <f>IF(AND(ISBLANK(A46),ISBLANK(B46),ISBLANK(C46)),"",IF(OR(ISBLANK(A46),ISBLANK(B46),ISBLANK(C46)),"-",
LOOKUP(B46,'Type de table'!C:C,'Type de table'!E:E)
&amp;IF(ISBLANK(C46),""," "&amp;C46)
&amp;IF(ISBLANK(D46),""," "&amp;D46)
&amp;IF(ISBLANK(E46),""," "&amp;E46)
&amp;IF(ISBLANK(F46),""," "&amp;F46)
))</f>
        <v/>
      </c>
      <c r="K46" t="str">
        <f>IF(AND(ISBLANK(A46),ISBLANK(B46),ISBLANK(C46)),"",IF(OR(ISBLANK(A46),ISBLANK(B46),ISBLANK(C46)),"-",
LOOKUP(B46,'Type de table'!C:C,'Type de table'!F:F)
&amp;IF(ISBLANK(C46),""," "&amp;LOOKUP(C46,'Objets de gestion'!C:C,'Objets de gestion'!E:E))
&amp;IF(ISBLANK(D46),""," "&amp;LOOKUP(D46,'Objets de gestion'!C:C,'Objets de gestion'!E:E))
&amp;IF(ISBLANK(E46),""," "&amp;LOOKUP(E46,'Objets de gestion'!C:C,'Objets de gestion'!E:E))
&amp;IF(ISBLANK(F46),""," "&amp;LOOKUP(F46,'Objets de gestion'!C:C,'Objets de gestion'!E:E))
))</f>
        <v/>
      </c>
      <c r="L46" t="str">
        <f t="shared" si="0"/>
        <v/>
      </c>
    </row>
    <row r="47" spans="7:12">
      <c r="G47" s="23" t="str">
        <f>IF(ISBLANK(A47),"",LOOKUP(A47,BIB!A:A,BIB!C:C))</f>
        <v/>
      </c>
      <c r="H47" s="1" t="str">
        <f>IF(AND(ISBLANK(A47),ISBLANK(B47),ISBLANK(C47)),"",IF(OR(ISBLANK(A47),ISBLANK(B47),ISBLANK(C47)),"-",LEN(Tableau4[[#This Row],[Colonne9]])))</f>
        <v/>
      </c>
      <c r="I47" t="str">
        <f>IF(AND(ISBLANK(A47),ISBLANK(B47),ISBLANK(C47)),"",IF(OR(ISBLANK(A47),ISBLANK(B47),ISBLANK(C47)),"à compléter",UPPER(LOOKUP(A47,BIB!A:A,BIB!B:B)&amp;LOOKUP(B47,'Type de table'!C:C,'Type de table'!B:B)
&amp;IF(COUNTIF('Objets de gestion'!C:C,F47)=0,"","_"&amp;LOOKUP(F47,'Objets de gestion'!C:C,'Objets de gestion'!F:F))
&amp;IF(COUNTIF('Objets de gestion'!C:C,E47)=0,"","_"&amp;LOOKUP(E47,'Objets de gestion'!C:C,'Objets de gestion'!F:F))
&amp;IF(COUNTIF('Objets de gestion'!C:C,D47)=0,"","_"&amp;LOOKUP(D47,'Objets de gestion'!C:C,'Objets de gestion'!F:F))
&amp;IF(COUNTIF('Objets de gestion'!C:C,C47)=0,"","_"&amp;LOOKUP(C47,'Objets de gestion'!C:C,'Objets de gestion'!F:F))
)))</f>
        <v/>
      </c>
      <c r="J47" t="str">
        <f>IF(AND(ISBLANK(A47),ISBLANK(B47),ISBLANK(C47)),"",IF(OR(ISBLANK(A47),ISBLANK(B47),ISBLANK(C47)),"-",
LOOKUP(B47,'Type de table'!C:C,'Type de table'!E:E)
&amp;IF(ISBLANK(C47),""," "&amp;C47)
&amp;IF(ISBLANK(D47),""," "&amp;D47)
&amp;IF(ISBLANK(E47),""," "&amp;E47)
&amp;IF(ISBLANK(F47),""," "&amp;F47)
))</f>
        <v/>
      </c>
      <c r="K47" t="str">
        <f>IF(AND(ISBLANK(A47),ISBLANK(B47),ISBLANK(C47)),"",IF(OR(ISBLANK(A47),ISBLANK(B47),ISBLANK(C47)),"-",
LOOKUP(B47,'Type de table'!C:C,'Type de table'!F:F)
&amp;IF(ISBLANK(C47),""," "&amp;LOOKUP(C47,'Objets de gestion'!C:C,'Objets de gestion'!E:E))
&amp;IF(ISBLANK(D47),""," "&amp;LOOKUP(D47,'Objets de gestion'!C:C,'Objets de gestion'!E:E))
&amp;IF(ISBLANK(E47),""," "&amp;LOOKUP(E47,'Objets de gestion'!C:C,'Objets de gestion'!E:E))
&amp;IF(ISBLANK(F47),""," "&amp;LOOKUP(F47,'Objets de gestion'!C:C,'Objets de gestion'!E:E))
))</f>
        <v/>
      </c>
      <c r="L47" t="str">
        <f t="shared" si="0"/>
        <v/>
      </c>
    </row>
    <row r="48" spans="7:12">
      <c r="G48" s="23" t="str">
        <f>IF(ISBLANK(A48),"",LOOKUP(A48,BIB!A:A,BIB!C:C))</f>
        <v/>
      </c>
      <c r="H48" s="1" t="str">
        <f>IF(AND(ISBLANK(A48),ISBLANK(B48),ISBLANK(C48)),"",IF(OR(ISBLANK(A48),ISBLANK(B48),ISBLANK(C48)),"-",LEN(Tableau4[[#This Row],[Colonne9]])))</f>
        <v/>
      </c>
      <c r="I48" t="str">
        <f>IF(AND(ISBLANK(A48),ISBLANK(B48),ISBLANK(C48)),"",IF(OR(ISBLANK(A48),ISBLANK(B48),ISBLANK(C48)),"à compléter",UPPER(LOOKUP(A48,BIB!A:A,BIB!B:B)&amp;LOOKUP(B48,'Type de table'!C:C,'Type de table'!B:B)
&amp;IF(COUNTIF('Objets de gestion'!C:C,F48)=0,"","_"&amp;LOOKUP(F48,'Objets de gestion'!C:C,'Objets de gestion'!F:F))
&amp;IF(COUNTIF('Objets de gestion'!C:C,E48)=0,"","_"&amp;LOOKUP(E48,'Objets de gestion'!C:C,'Objets de gestion'!F:F))
&amp;IF(COUNTIF('Objets de gestion'!C:C,D48)=0,"","_"&amp;LOOKUP(D48,'Objets de gestion'!C:C,'Objets de gestion'!F:F))
&amp;IF(COUNTIF('Objets de gestion'!C:C,C48)=0,"","_"&amp;LOOKUP(C48,'Objets de gestion'!C:C,'Objets de gestion'!F:F))
)))</f>
        <v/>
      </c>
      <c r="J48" t="str">
        <f>IF(AND(ISBLANK(A48),ISBLANK(B48),ISBLANK(C48)),"",IF(OR(ISBLANK(A48),ISBLANK(B48),ISBLANK(C48)),"-",
LOOKUP(B48,'Type de table'!C:C,'Type de table'!E:E)
&amp;IF(ISBLANK(C48),""," "&amp;C48)
&amp;IF(ISBLANK(D48),""," "&amp;D48)
&amp;IF(ISBLANK(E48),""," "&amp;E48)
&amp;IF(ISBLANK(F48),""," "&amp;F48)
))</f>
        <v/>
      </c>
      <c r="K48" t="str">
        <f>IF(AND(ISBLANK(A48),ISBLANK(B48),ISBLANK(C48)),"",IF(OR(ISBLANK(A48),ISBLANK(B48),ISBLANK(C48)),"-",
LOOKUP(B48,'Type de table'!C:C,'Type de table'!F:F)
&amp;IF(ISBLANK(C48),""," "&amp;LOOKUP(C48,'Objets de gestion'!C:C,'Objets de gestion'!E:E))
&amp;IF(ISBLANK(D48),""," "&amp;LOOKUP(D48,'Objets de gestion'!C:C,'Objets de gestion'!E:E))
&amp;IF(ISBLANK(E48),""," "&amp;LOOKUP(E48,'Objets de gestion'!C:C,'Objets de gestion'!E:E))
&amp;IF(ISBLANK(F48),""," "&amp;LOOKUP(F48,'Objets de gestion'!C:C,'Objets de gestion'!E:E))
))</f>
        <v/>
      </c>
      <c r="L48" t="str">
        <f t="shared" si="0"/>
        <v/>
      </c>
    </row>
    <row r="49" spans="7:12">
      <c r="G49" s="23" t="str">
        <f>IF(ISBLANK(A49),"",LOOKUP(A49,BIB!A:A,BIB!C:C))</f>
        <v/>
      </c>
      <c r="H49" s="1" t="str">
        <f>IF(AND(ISBLANK(A49),ISBLANK(B49),ISBLANK(C49)),"",IF(OR(ISBLANK(A49),ISBLANK(B49),ISBLANK(C49)),"-",LEN(Tableau4[[#This Row],[Colonne9]])))</f>
        <v/>
      </c>
      <c r="I49" t="str">
        <f>IF(AND(ISBLANK(A49),ISBLANK(B49),ISBLANK(C49)),"",IF(OR(ISBLANK(A49),ISBLANK(B49),ISBLANK(C49)),"à compléter",UPPER(LOOKUP(A49,BIB!A:A,BIB!B:B)&amp;LOOKUP(B49,'Type de table'!C:C,'Type de table'!B:B)
&amp;IF(COUNTIF('Objets de gestion'!C:C,F49)=0,"","_"&amp;LOOKUP(F49,'Objets de gestion'!C:C,'Objets de gestion'!F:F))
&amp;IF(COUNTIF('Objets de gestion'!C:C,E49)=0,"","_"&amp;LOOKUP(E49,'Objets de gestion'!C:C,'Objets de gestion'!F:F))
&amp;IF(COUNTIF('Objets de gestion'!C:C,D49)=0,"","_"&amp;LOOKUP(D49,'Objets de gestion'!C:C,'Objets de gestion'!F:F))
&amp;IF(COUNTIF('Objets de gestion'!C:C,C49)=0,"","_"&amp;LOOKUP(C49,'Objets de gestion'!C:C,'Objets de gestion'!F:F))
)))</f>
        <v/>
      </c>
      <c r="J49" t="str">
        <f>IF(AND(ISBLANK(A49),ISBLANK(B49),ISBLANK(C49)),"",IF(OR(ISBLANK(A49),ISBLANK(B49),ISBLANK(C49)),"-",
LOOKUP(B49,'Type de table'!C:C,'Type de table'!E:E)
&amp;IF(ISBLANK(C49),""," "&amp;C49)
&amp;IF(ISBLANK(D49),""," "&amp;D49)
&amp;IF(ISBLANK(E49),""," "&amp;E49)
&amp;IF(ISBLANK(F49),""," "&amp;F49)
))</f>
        <v/>
      </c>
      <c r="K49" t="str">
        <f>IF(AND(ISBLANK(A49),ISBLANK(B49),ISBLANK(C49)),"",IF(OR(ISBLANK(A49),ISBLANK(B49),ISBLANK(C49)),"-",
LOOKUP(B49,'Type de table'!C:C,'Type de table'!F:F)
&amp;IF(ISBLANK(C49),""," "&amp;LOOKUP(C49,'Objets de gestion'!C:C,'Objets de gestion'!E:E))
&amp;IF(ISBLANK(D49),""," "&amp;LOOKUP(D49,'Objets de gestion'!C:C,'Objets de gestion'!E:E))
&amp;IF(ISBLANK(E49),""," "&amp;LOOKUP(E49,'Objets de gestion'!C:C,'Objets de gestion'!E:E))
&amp;IF(ISBLANK(F49),""," "&amp;LOOKUP(F49,'Objets de gestion'!C:C,'Objets de gestion'!E:E))
))</f>
        <v/>
      </c>
      <c r="L49" t="str">
        <f t="shared" si="0"/>
        <v/>
      </c>
    </row>
    <row r="50" spans="7:12">
      <c r="G50" s="23" t="str">
        <f>IF(ISBLANK(A50),"",LOOKUP(A50,BIB!A:A,BIB!C:C))</f>
        <v/>
      </c>
      <c r="H50" s="1" t="str">
        <f>IF(AND(ISBLANK(A50),ISBLANK(B50),ISBLANK(C50)),"",IF(OR(ISBLANK(A50),ISBLANK(B50),ISBLANK(C50)),"-",LEN(Tableau4[[#This Row],[Colonne9]])))</f>
        <v/>
      </c>
      <c r="I50" t="str">
        <f>IF(AND(ISBLANK(A50),ISBLANK(B50),ISBLANK(C50)),"",IF(OR(ISBLANK(A50),ISBLANK(B50),ISBLANK(C50)),"à compléter",UPPER(LOOKUP(A50,BIB!A:A,BIB!B:B)&amp;LOOKUP(B50,'Type de table'!C:C,'Type de table'!B:B)
&amp;IF(COUNTIF('Objets de gestion'!C:C,F50)=0,"","_"&amp;LOOKUP(F50,'Objets de gestion'!C:C,'Objets de gestion'!F:F))
&amp;IF(COUNTIF('Objets de gestion'!C:C,E50)=0,"","_"&amp;LOOKUP(E50,'Objets de gestion'!C:C,'Objets de gestion'!F:F))
&amp;IF(COUNTIF('Objets de gestion'!C:C,D50)=0,"","_"&amp;LOOKUP(D50,'Objets de gestion'!C:C,'Objets de gestion'!F:F))
&amp;IF(COUNTIF('Objets de gestion'!C:C,C50)=0,"","_"&amp;LOOKUP(C50,'Objets de gestion'!C:C,'Objets de gestion'!F:F))
)))</f>
        <v/>
      </c>
      <c r="J50" t="str">
        <f>IF(AND(ISBLANK(A50),ISBLANK(B50),ISBLANK(C50)),"",IF(OR(ISBLANK(A50),ISBLANK(B50),ISBLANK(C50)),"-",
LOOKUP(B50,'Type de table'!C:C,'Type de table'!E:E)
&amp;IF(ISBLANK(C50),""," "&amp;C50)
&amp;IF(ISBLANK(D50),""," "&amp;D50)
&amp;IF(ISBLANK(E50),""," "&amp;E50)
&amp;IF(ISBLANK(F50),""," "&amp;F50)
))</f>
        <v/>
      </c>
      <c r="K50" t="str">
        <f>IF(AND(ISBLANK(A50),ISBLANK(B50),ISBLANK(C50)),"",IF(OR(ISBLANK(A50),ISBLANK(B50),ISBLANK(C50)),"-",
LOOKUP(B50,'Type de table'!C:C,'Type de table'!F:F)
&amp;IF(ISBLANK(C50),""," "&amp;LOOKUP(C50,'Objets de gestion'!C:C,'Objets de gestion'!E:E))
&amp;IF(ISBLANK(D50),""," "&amp;LOOKUP(D50,'Objets de gestion'!C:C,'Objets de gestion'!E:E))
&amp;IF(ISBLANK(E50),""," "&amp;LOOKUP(E50,'Objets de gestion'!C:C,'Objets de gestion'!E:E))
&amp;IF(ISBLANK(F50),""," "&amp;LOOKUP(F50,'Objets de gestion'!C:C,'Objets de gestion'!E:E))
))</f>
        <v/>
      </c>
      <c r="L50" t="str">
        <f t="shared" si="0"/>
        <v/>
      </c>
    </row>
    <row r="51" spans="7:12">
      <c r="G51" s="23" t="str">
        <f>IF(ISBLANK(A51),"",LOOKUP(A51,BIB!A:A,BIB!C:C))</f>
        <v/>
      </c>
      <c r="H51" s="1" t="str">
        <f>IF(AND(ISBLANK(A51),ISBLANK(B51),ISBLANK(C51)),"",IF(OR(ISBLANK(A51),ISBLANK(B51),ISBLANK(C51)),"-",LEN(Tableau4[[#This Row],[Colonne9]])))</f>
        <v/>
      </c>
      <c r="I51" t="str">
        <f>IF(AND(ISBLANK(A51),ISBLANK(B51),ISBLANK(C51)),"",IF(OR(ISBLANK(A51),ISBLANK(B51),ISBLANK(C51)),"à compléter",UPPER(LOOKUP(A51,BIB!A:A,BIB!B:B)&amp;LOOKUP(B51,'Type de table'!C:C,'Type de table'!B:B)
&amp;IF(COUNTIF('Objets de gestion'!C:C,F51)=0,"","_"&amp;LOOKUP(F51,'Objets de gestion'!C:C,'Objets de gestion'!F:F))
&amp;IF(COUNTIF('Objets de gestion'!C:C,E51)=0,"","_"&amp;LOOKUP(E51,'Objets de gestion'!C:C,'Objets de gestion'!F:F))
&amp;IF(COUNTIF('Objets de gestion'!C:C,D51)=0,"","_"&amp;LOOKUP(D51,'Objets de gestion'!C:C,'Objets de gestion'!F:F))
&amp;IF(COUNTIF('Objets de gestion'!C:C,C51)=0,"","_"&amp;LOOKUP(C51,'Objets de gestion'!C:C,'Objets de gestion'!F:F))
)))</f>
        <v/>
      </c>
      <c r="J51" t="str">
        <f>IF(AND(ISBLANK(A51),ISBLANK(B51),ISBLANK(C51)),"",IF(OR(ISBLANK(A51),ISBLANK(B51),ISBLANK(C51)),"-",
LOOKUP(B51,'Type de table'!C:C,'Type de table'!E:E)
&amp;IF(ISBLANK(C51),""," "&amp;C51)
&amp;IF(ISBLANK(D51),""," "&amp;D51)
&amp;IF(ISBLANK(E51),""," "&amp;E51)
&amp;IF(ISBLANK(F51),""," "&amp;F51)
))</f>
        <v/>
      </c>
      <c r="K51" t="str">
        <f>IF(AND(ISBLANK(A51),ISBLANK(B51),ISBLANK(C51)),"",IF(OR(ISBLANK(A51),ISBLANK(B51),ISBLANK(C51)),"-",
LOOKUP(B51,'Type de table'!C:C,'Type de table'!F:F)
&amp;IF(ISBLANK(C51),""," "&amp;LOOKUP(C51,'Objets de gestion'!C:C,'Objets de gestion'!E:E))
&amp;IF(ISBLANK(D51),""," "&amp;LOOKUP(D51,'Objets de gestion'!C:C,'Objets de gestion'!E:E))
&amp;IF(ISBLANK(E51),""," "&amp;LOOKUP(E51,'Objets de gestion'!C:C,'Objets de gestion'!E:E))
&amp;IF(ISBLANK(F51),""," "&amp;LOOKUP(F51,'Objets de gestion'!C:C,'Objets de gestion'!E:E))
))</f>
        <v/>
      </c>
      <c r="L51" t="str">
        <f t="shared" si="0"/>
        <v/>
      </c>
    </row>
    <row r="52" spans="7:12">
      <c r="G52" s="23" t="str">
        <f>IF(ISBLANK(A52),"",LOOKUP(A52,BIB!A:A,BIB!C:C))</f>
        <v/>
      </c>
      <c r="H52" s="1" t="str">
        <f>IF(AND(ISBLANK(A52),ISBLANK(B52),ISBLANK(C52)),"",IF(OR(ISBLANK(A52),ISBLANK(B52),ISBLANK(C52)),"-",LEN(Tableau4[[#This Row],[Colonne9]])))</f>
        <v/>
      </c>
      <c r="I52" t="str">
        <f>IF(AND(ISBLANK(A52),ISBLANK(B52),ISBLANK(C52)),"",IF(OR(ISBLANK(A52),ISBLANK(B52),ISBLANK(C52)),"à compléter",UPPER(LOOKUP(A52,BIB!A:A,BIB!B:B)&amp;LOOKUP(B52,'Type de table'!C:C,'Type de table'!B:B)
&amp;IF(COUNTIF('Objets de gestion'!C:C,F52)=0,"","_"&amp;LOOKUP(F52,'Objets de gestion'!C:C,'Objets de gestion'!F:F))
&amp;IF(COUNTIF('Objets de gestion'!C:C,E52)=0,"","_"&amp;LOOKUP(E52,'Objets de gestion'!C:C,'Objets de gestion'!F:F))
&amp;IF(COUNTIF('Objets de gestion'!C:C,D52)=0,"","_"&amp;LOOKUP(D52,'Objets de gestion'!C:C,'Objets de gestion'!F:F))
&amp;IF(COUNTIF('Objets de gestion'!C:C,C52)=0,"","_"&amp;LOOKUP(C52,'Objets de gestion'!C:C,'Objets de gestion'!F:F))
)))</f>
        <v/>
      </c>
      <c r="J52" t="str">
        <f>IF(AND(ISBLANK(A52),ISBLANK(B52),ISBLANK(C52)),"",IF(OR(ISBLANK(A52),ISBLANK(B52),ISBLANK(C52)),"-",
LOOKUP(B52,'Type de table'!C:C,'Type de table'!E:E)
&amp;IF(ISBLANK(C52),""," "&amp;C52)
&amp;IF(ISBLANK(D52),""," "&amp;D52)
&amp;IF(ISBLANK(E52),""," "&amp;E52)
&amp;IF(ISBLANK(F52),""," "&amp;F52)
))</f>
        <v/>
      </c>
      <c r="K52" t="str">
        <f>IF(AND(ISBLANK(A52),ISBLANK(B52),ISBLANK(C52)),"",IF(OR(ISBLANK(A52),ISBLANK(B52),ISBLANK(C52)),"-",
LOOKUP(B52,'Type de table'!C:C,'Type de table'!F:F)
&amp;IF(ISBLANK(C52),""," "&amp;LOOKUP(C52,'Objets de gestion'!C:C,'Objets de gestion'!E:E))
&amp;IF(ISBLANK(D52),""," "&amp;LOOKUP(D52,'Objets de gestion'!C:C,'Objets de gestion'!E:E))
&amp;IF(ISBLANK(E52),""," "&amp;LOOKUP(E52,'Objets de gestion'!C:C,'Objets de gestion'!E:E))
&amp;IF(ISBLANK(F52),""," "&amp;LOOKUP(F52,'Objets de gestion'!C:C,'Objets de gestion'!E:E))
))</f>
        <v/>
      </c>
      <c r="L52" t="str">
        <f t="shared" si="0"/>
        <v/>
      </c>
    </row>
    <row r="53" spans="7:12">
      <c r="G53" s="23" t="str">
        <f>IF(ISBLANK(A53),"",LOOKUP(A53,BIB!A:A,BIB!C:C))</f>
        <v/>
      </c>
      <c r="H53" s="1" t="str">
        <f>IF(AND(ISBLANK(A53),ISBLANK(B53),ISBLANK(C53)),"",IF(OR(ISBLANK(A53),ISBLANK(B53),ISBLANK(C53)),"-",LEN(Tableau4[[#This Row],[Colonne9]])))</f>
        <v/>
      </c>
      <c r="I53" t="str">
        <f>IF(AND(ISBLANK(A53),ISBLANK(B53),ISBLANK(C53)),"",IF(OR(ISBLANK(A53),ISBLANK(B53),ISBLANK(C53)),"à compléter",UPPER(LOOKUP(A53,BIB!A:A,BIB!B:B)&amp;LOOKUP(B53,'Type de table'!C:C,'Type de table'!B:B)
&amp;IF(COUNTIF('Objets de gestion'!C:C,F53)=0,"","_"&amp;LOOKUP(F53,'Objets de gestion'!C:C,'Objets de gestion'!F:F))
&amp;IF(COUNTIF('Objets de gestion'!C:C,E53)=0,"","_"&amp;LOOKUP(E53,'Objets de gestion'!C:C,'Objets de gestion'!F:F))
&amp;IF(COUNTIF('Objets de gestion'!C:C,D53)=0,"","_"&amp;LOOKUP(D53,'Objets de gestion'!C:C,'Objets de gestion'!F:F))
&amp;IF(COUNTIF('Objets de gestion'!C:C,C53)=0,"","_"&amp;LOOKUP(C53,'Objets de gestion'!C:C,'Objets de gestion'!F:F))
)))</f>
        <v/>
      </c>
      <c r="J53" t="str">
        <f>IF(AND(ISBLANK(A53),ISBLANK(B53),ISBLANK(C53)),"",IF(OR(ISBLANK(A53),ISBLANK(B53),ISBLANK(C53)),"-",
LOOKUP(B53,'Type de table'!C:C,'Type de table'!E:E)
&amp;IF(ISBLANK(C53),""," "&amp;C53)
&amp;IF(ISBLANK(D53),""," "&amp;D53)
&amp;IF(ISBLANK(E53),""," "&amp;E53)
&amp;IF(ISBLANK(F53),""," "&amp;F53)
))</f>
        <v/>
      </c>
      <c r="K53" t="str">
        <f>IF(AND(ISBLANK(A53),ISBLANK(B53),ISBLANK(C53)),"",IF(OR(ISBLANK(A53),ISBLANK(B53),ISBLANK(C53)),"-",
LOOKUP(B53,'Type de table'!C:C,'Type de table'!F:F)
&amp;IF(ISBLANK(C53),""," "&amp;LOOKUP(C53,'Objets de gestion'!C:C,'Objets de gestion'!E:E))
&amp;IF(ISBLANK(D53),""," "&amp;LOOKUP(D53,'Objets de gestion'!C:C,'Objets de gestion'!E:E))
&amp;IF(ISBLANK(E53),""," "&amp;LOOKUP(E53,'Objets de gestion'!C:C,'Objets de gestion'!E:E))
&amp;IF(ISBLANK(F53),""," "&amp;LOOKUP(F53,'Objets de gestion'!C:C,'Objets de gestion'!E:E))
))</f>
        <v/>
      </c>
      <c r="L53" t="str">
        <f t="shared" si="0"/>
        <v/>
      </c>
    </row>
    <row r="54" spans="7:12">
      <c r="G54" s="23" t="str">
        <f>IF(ISBLANK(A54),"",LOOKUP(A54,BIB!A:A,BIB!C:C))</f>
        <v/>
      </c>
      <c r="H54" s="1" t="str">
        <f>IF(AND(ISBLANK(A54),ISBLANK(B54),ISBLANK(C54)),"",IF(OR(ISBLANK(A54),ISBLANK(B54),ISBLANK(C54)),"-",LEN(Tableau4[[#This Row],[Colonne9]])))</f>
        <v/>
      </c>
      <c r="I54" t="str">
        <f>IF(AND(ISBLANK(A54),ISBLANK(B54),ISBLANK(C54)),"",IF(OR(ISBLANK(A54),ISBLANK(B54),ISBLANK(C54)),"à compléter",UPPER(LOOKUP(A54,BIB!A:A,BIB!B:B)&amp;LOOKUP(B54,'Type de table'!C:C,'Type de table'!B:B)
&amp;IF(COUNTIF('Objets de gestion'!C:C,F54)=0,"","_"&amp;LOOKUP(F54,'Objets de gestion'!C:C,'Objets de gestion'!F:F))
&amp;IF(COUNTIF('Objets de gestion'!C:C,E54)=0,"","_"&amp;LOOKUP(E54,'Objets de gestion'!C:C,'Objets de gestion'!F:F))
&amp;IF(COUNTIF('Objets de gestion'!C:C,D54)=0,"","_"&amp;LOOKUP(D54,'Objets de gestion'!C:C,'Objets de gestion'!F:F))
&amp;IF(COUNTIF('Objets de gestion'!C:C,C54)=0,"","_"&amp;LOOKUP(C54,'Objets de gestion'!C:C,'Objets de gestion'!F:F))
)))</f>
        <v/>
      </c>
      <c r="J54" t="str">
        <f>IF(AND(ISBLANK(A54),ISBLANK(B54),ISBLANK(C54)),"",IF(OR(ISBLANK(A54),ISBLANK(B54),ISBLANK(C54)),"-",
LOOKUP(B54,'Type de table'!C:C,'Type de table'!E:E)
&amp;IF(ISBLANK(C54),""," "&amp;C54)
&amp;IF(ISBLANK(D54),""," "&amp;D54)
&amp;IF(ISBLANK(E54),""," "&amp;E54)
&amp;IF(ISBLANK(F54),""," "&amp;F54)
))</f>
        <v/>
      </c>
      <c r="K54" t="str">
        <f>IF(AND(ISBLANK(A54),ISBLANK(B54),ISBLANK(C54)),"",IF(OR(ISBLANK(A54),ISBLANK(B54),ISBLANK(C54)),"-",
LOOKUP(B54,'Type de table'!C:C,'Type de table'!F:F)
&amp;IF(ISBLANK(C54),""," "&amp;LOOKUP(C54,'Objets de gestion'!C:C,'Objets de gestion'!E:E))
&amp;IF(ISBLANK(D54),""," "&amp;LOOKUP(D54,'Objets de gestion'!C:C,'Objets de gestion'!E:E))
&amp;IF(ISBLANK(E54),""," "&amp;LOOKUP(E54,'Objets de gestion'!C:C,'Objets de gestion'!E:E))
&amp;IF(ISBLANK(F54),""," "&amp;LOOKUP(F54,'Objets de gestion'!C:C,'Objets de gestion'!E:E))
))</f>
        <v/>
      </c>
      <c r="L54" t="str">
        <f t="shared" si="0"/>
        <v/>
      </c>
    </row>
    <row r="55" spans="7:12">
      <c r="G55" s="23" t="str">
        <f>IF(ISBLANK(A55),"",LOOKUP(A55,BIB!A:A,BIB!C:C))</f>
        <v/>
      </c>
      <c r="H55" s="1" t="str">
        <f>IF(AND(ISBLANK(A55),ISBLANK(B55),ISBLANK(C55)),"",IF(OR(ISBLANK(A55),ISBLANK(B55),ISBLANK(C55)),"-",LEN(Tableau4[[#This Row],[Colonne9]])))</f>
        <v/>
      </c>
      <c r="I55" t="str">
        <f>IF(AND(ISBLANK(A55),ISBLANK(B55),ISBLANK(C55)),"",IF(OR(ISBLANK(A55),ISBLANK(B55),ISBLANK(C55)),"à compléter",UPPER(LOOKUP(A55,BIB!A:A,BIB!B:B)&amp;LOOKUP(B55,'Type de table'!C:C,'Type de table'!B:B)
&amp;IF(COUNTIF('Objets de gestion'!C:C,F55)=0,"","_"&amp;LOOKUP(F55,'Objets de gestion'!C:C,'Objets de gestion'!F:F))
&amp;IF(COUNTIF('Objets de gestion'!C:C,E55)=0,"","_"&amp;LOOKUP(E55,'Objets de gestion'!C:C,'Objets de gestion'!F:F))
&amp;IF(COUNTIF('Objets de gestion'!C:C,D55)=0,"","_"&amp;LOOKUP(D55,'Objets de gestion'!C:C,'Objets de gestion'!F:F))
&amp;IF(COUNTIF('Objets de gestion'!C:C,C55)=0,"","_"&amp;LOOKUP(C55,'Objets de gestion'!C:C,'Objets de gestion'!F:F))
)))</f>
        <v/>
      </c>
      <c r="J55" t="str">
        <f>IF(AND(ISBLANK(A55),ISBLANK(B55),ISBLANK(C55)),"",IF(OR(ISBLANK(A55),ISBLANK(B55),ISBLANK(C55)),"-",
LOOKUP(B55,'Type de table'!C:C,'Type de table'!E:E)
&amp;IF(ISBLANK(C55),""," "&amp;C55)
&amp;IF(ISBLANK(D55),""," "&amp;D55)
&amp;IF(ISBLANK(E55),""," "&amp;E55)
&amp;IF(ISBLANK(F55),""," "&amp;F55)
))</f>
        <v/>
      </c>
      <c r="K55" t="str">
        <f>IF(AND(ISBLANK(A55),ISBLANK(B55),ISBLANK(C55)),"",IF(OR(ISBLANK(A55),ISBLANK(B55),ISBLANK(C55)),"-",
LOOKUP(B55,'Type de table'!C:C,'Type de table'!F:F)
&amp;IF(ISBLANK(C55),""," "&amp;LOOKUP(C55,'Objets de gestion'!C:C,'Objets de gestion'!E:E))
&amp;IF(ISBLANK(D55),""," "&amp;LOOKUP(D55,'Objets de gestion'!C:C,'Objets de gestion'!E:E))
&amp;IF(ISBLANK(E55),""," "&amp;LOOKUP(E55,'Objets de gestion'!C:C,'Objets de gestion'!E:E))
&amp;IF(ISBLANK(F55),""," "&amp;LOOKUP(F55,'Objets de gestion'!C:C,'Objets de gestion'!E:E))
))</f>
        <v/>
      </c>
      <c r="L55" t="str">
        <f t="shared" si="0"/>
        <v/>
      </c>
    </row>
    <row r="56" spans="7:12">
      <c r="G56" s="23" t="str">
        <f>IF(ISBLANK(A56),"",LOOKUP(A56,BIB!A:A,BIB!C:C))</f>
        <v/>
      </c>
      <c r="H56" s="1" t="str">
        <f>IF(AND(ISBLANK(A56),ISBLANK(B56),ISBLANK(C56)),"",IF(OR(ISBLANK(A56),ISBLANK(B56),ISBLANK(C56)),"-",LEN(Tableau4[[#This Row],[Colonne9]])))</f>
        <v/>
      </c>
      <c r="I56" t="str">
        <f>IF(AND(ISBLANK(A56),ISBLANK(B56),ISBLANK(C56)),"",IF(OR(ISBLANK(A56),ISBLANK(B56),ISBLANK(C56)),"à compléter",UPPER(LOOKUP(A56,BIB!A:A,BIB!B:B)&amp;LOOKUP(B56,'Type de table'!C:C,'Type de table'!B:B)
&amp;IF(COUNTIF('Objets de gestion'!C:C,F56)=0,"","_"&amp;LOOKUP(F56,'Objets de gestion'!C:C,'Objets de gestion'!F:F))
&amp;IF(COUNTIF('Objets de gestion'!C:C,E56)=0,"","_"&amp;LOOKUP(E56,'Objets de gestion'!C:C,'Objets de gestion'!F:F))
&amp;IF(COUNTIF('Objets de gestion'!C:C,D56)=0,"","_"&amp;LOOKUP(D56,'Objets de gestion'!C:C,'Objets de gestion'!F:F))
&amp;IF(COUNTIF('Objets de gestion'!C:C,C56)=0,"","_"&amp;LOOKUP(C56,'Objets de gestion'!C:C,'Objets de gestion'!F:F))
)))</f>
        <v/>
      </c>
      <c r="J56" t="str">
        <f>IF(AND(ISBLANK(A56),ISBLANK(B56),ISBLANK(C56)),"",IF(OR(ISBLANK(A56),ISBLANK(B56),ISBLANK(C56)),"-",
LOOKUP(B56,'Type de table'!C:C,'Type de table'!E:E)
&amp;IF(ISBLANK(C56),""," "&amp;C56)
&amp;IF(ISBLANK(D56),""," "&amp;D56)
&amp;IF(ISBLANK(E56),""," "&amp;E56)
&amp;IF(ISBLANK(F56),""," "&amp;F56)
))</f>
        <v/>
      </c>
      <c r="K56" t="str">
        <f>IF(AND(ISBLANK(A56),ISBLANK(B56),ISBLANK(C56)),"",IF(OR(ISBLANK(A56),ISBLANK(B56),ISBLANK(C56)),"-",
LOOKUP(B56,'Type de table'!C:C,'Type de table'!F:F)
&amp;IF(ISBLANK(C56),""," "&amp;LOOKUP(C56,'Objets de gestion'!C:C,'Objets de gestion'!E:E))
&amp;IF(ISBLANK(D56),""," "&amp;LOOKUP(D56,'Objets de gestion'!C:C,'Objets de gestion'!E:E))
&amp;IF(ISBLANK(E56),""," "&amp;LOOKUP(E56,'Objets de gestion'!C:C,'Objets de gestion'!E:E))
&amp;IF(ISBLANK(F56),""," "&amp;LOOKUP(F56,'Objets de gestion'!C:C,'Objets de gestion'!E:E))
))</f>
        <v/>
      </c>
      <c r="L56" t="str">
        <f t="shared" si="0"/>
        <v/>
      </c>
    </row>
    <row r="57" spans="7:12">
      <c r="G57" s="23" t="str">
        <f>IF(ISBLANK(A57),"",LOOKUP(A57,BIB!A:A,BIB!C:C))</f>
        <v/>
      </c>
      <c r="H57" s="1" t="str">
        <f>IF(AND(ISBLANK(A57),ISBLANK(B57),ISBLANK(C57)),"",IF(OR(ISBLANK(A57),ISBLANK(B57),ISBLANK(C57)),"-",LEN(Tableau4[[#This Row],[Colonne9]])))</f>
        <v/>
      </c>
      <c r="I57" t="str">
        <f>IF(AND(ISBLANK(A57),ISBLANK(B57),ISBLANK(C57)),"",IF(OR(ISBLANK(A57),ISBLANK(B57),ISBLANK(C57)),"à compléter",UPPER(LOOKUP(A57,BIB!A:A,BIB!B:B)&amp;LOOKUP(B57,'Type de table'!C:C,'Type de table'!B:B)
&amp;IF(COUNTIF('Objets de gestion'!C:C,F57)=0,"","_"&amp;LOOKUP(F57,'Objets de gestion'!C:C,'Objets de gestion'!F:F))
&amp;IF(COUNTIF('Objets de gestion'!C:C,E57)=0,"","_"&amp;LOOKUP(E57,'Objets de gestion'!C:C,'Objets de gestion'!F:F))
&amp;IF(COUNTIF('Objets de gestion'!C:C,D57)=0,"","_"&amp;LOOKUP(D57,'Objets de gestion'!C:C,'Objets de gestion'!F:F))
&amp;IF(COUNTIF('Objets de gestion'!C:C,C57)=0,"","_"&amp;LOOKUP(C57,'Objets de gestion'!C:C,'Objets de gestion'!F:F))
)))</f>
        <v/>
      </c>
      <c r="J57" t="str">
        <f>IF(AND(ISBLANK(A57),ISBLANK(B57),ISBLANK(C57)),"",IF(OR(ISBLANK(A57),ISBLANK(B57),ISBLANK(C57)),"-",
LOOKUP(B57,'Type de table'!C:C,'Type de table'!E:E)
&amp;IF(ISBLANK(C57),""," "&amp;C57)
&amp;IF(ISBLANK(D57),""," "&amp;D57)
&amp;IF(ISBLANK(E57),""," "&amp;E57)
&amp;IF(ISBLANK(F57),""," "&amp;F57)
))</f>
        <v/>
      </c>
      <c r="K57" t="str">
        <f>IF(AND(ISBLANK(A57),ISBLANK(B57),ISBLANK(C57)),"",IF(OR(ISBLANK(A57),ISBLANK(B57),ISBLANK(C57)),"-",
LOOKUP(B57,'Type de table'!C:C,'Type de table'!F:F)
&amp;IF(ISBLANK(C57),""," "&amp;LOOKUP(C57,'Objets de gestion'!C:C,'Objets de gestion'!E:E))
&amp;IF(ISBLANK(D57),""," "&amp;LOOKUP(D57,'Objets de gestion'!C:C,'Objets de gestion'!E:E))
&amp;IF(ISBLANK(E57),""," "&amp;LOOKUP(E57,'Objets de gestion'!C:C,'Objets de gestion'!E:E))
&amp;IF(ISBLANK(F57),""," "&amp;LOOKUP(F57,'Objets de gestion'!C:C,'Objets de gestion'!E:E))
))</f>
        <v/>
      </c>
      <c r="L57" t="str">
        <f t="shared" si="0"/>
        <v/>
      </c>
    </row>
    <row r="58" spans="7:12">
      <c r="G58" s="23" t="str">
        <f>IF(ISBLANK(A58),"",LOOKUP(A58,BIB!A:A,BIB!C:C))</f>
        <v/>
      </c>
      <c r="H58" s="1" t="str">
        <f>IF(AND(ISBLANK(A58),ISBLANK(B58),ISBLANK(C58)),"",IF(OR(ISBLANK(A58),ISBLANK(B58),ISBLANK(C58)),"-",LEN(Tableau4[[#This Row],[Colonne9]])))</f>
        <v/>
      </c>
      <c r="I58" t="str">
        <f>IF(AND(ISBLANK(A58),ISBLANK(B58),ISBLANK(C58)),"",IF(OR(ISBLANK(A58),ISBLANK(B58),ISBLANK(C58)),"à compléter",UPPER(LOOKUP(A58,BIB!A:A,BIB!B:B)&amp;LOOKUP(B58,'Type de table'!C:C,'Type de table'!B:B)
&amp;IF(COUNTIF('Objets de gestion'!C:C,F58)=0,"","_"&amp;LOOKUP(F58,'Objets de gestion'!C:C,'Objets de gestion'!F:F))
&amp;IF(COUNTIF('Objets de gestion'!C:C,E58)=0,"","_"&amp;LOOKUP(E58,'Objets de gestion'!C:C,'Objets de gestion'!F:F))
&amp;IF(COUNTIF('Objets de gestion'!C:C,D58)=0,"","_"&amp;LOOKUP(D58,'Objets de gestion'!C:C,'Objets de gestion'!F:F))
&amp;IF(COUNTIF('Objets de gestion'!C:C,C58)=0,"","_"&amp;LOOKUP(C58,'Objets de gestion'!C:C,'Objets de gestion'!F:F))
)))</f>
        <v/>
      </c>
      <c r="J58" t="str">
        <f>IF(AND(ISBLANK(A58),ISBLANK(B58),ISBLANK(C58)),"",IF(OR(ISBLANK(A58),ISBLANK(B58),ISBLANK(C58)),"-",
LOOKUP(B58,'Type de table'!C:C,'Type de table'!E:E)
&amp;IF(ISBLANK(C58),""," "&amp;C58)
&amp;IF(ISBLANK(D58),""," "&amp;D58)
&amp;IF(ISBLANK(E58),""," "&amp;E58)
&amp;IF(ISBLANK(F58),""," "&amp;F58)
))</f>
        <v/>
      </c>
      <c r="K58" t="str">
        <f>IF(AND(ISBLANK(A58),ISBLANK(B58),ISBLANK(C58)),"",IF(OR(ISBLANK(A58),ISBLANK(B58),ISBLANK(C58)),"-",
LOOKUP(B58,'Type de table'!C:C,'Type de table'!F:F)
&amp;IF(ISBLANK(C58),""," "&amp;LOOKUP(C58,'Objets de gestion'!C:C,'Objets de gestion'!E:E))
&amp;IF(ISBLANK(D58),""," "&amp;LOOKUP(D58,'Objets de gestion'!C:C,'Objets de gestion'!E:E))
&amp;IF(ISBLANK(E58),""," "&amp;LOOKUP(E58,'Objets de gestion'!C:C,'Objets de gestion'!E:E))
&amp;IF(ISBLANK(F58),""," "&amp;LOOKUP(F58,'Objets de gestion'!C:C,'Objets de gestion'!E:E))
))</f>
        <v/>
      </c>
      <c r="L58" t="str">
        <f t="shared" si="0"/>
        <v/>
      </c>
    </row>
    <row r="59" spans="7:12">
      <c r="G59" s="23" t="str">
        <f>IF(ISBLANK(A59),"",LOOKUP(A59,BIB!A:A,BIB!C:C))</f>
        <v/>
      </c>
      <c r="H59" s="1" t="str">
        <f>IF(AND(ISBLANK(A59),ISBLANK(B59),ISBLANK(C59)),"",IF(OR(ISBLANK(A59),ISBLANK(B59),ISBLANK(C59)),"-",LEN(Tableau4[[#This Row],[Colonne9]])))</f>
        <v/>
      </c>
      <c r="I59" t="str">
        <f>IF(AND(ISBLANK(A59),ISBLANK(B59),ISBLANK(C59)),"",IF(OR(ISBLANK(A59),ISBLANK(B59),ISBLANK(C59)),"à compléter",UPPER(LOOKUP(A59,BIB!A:A,BIB!B:B)&amp;LOOKUP(B59,'Type de table'!C:C,'Type de table'!B:B)
&amp;IF(COUNTIF('Objets de gestion'!C:C,F59)=0,"","_"&amp;LOOKUP(F59,'Objets de gestion'!C:C,'Objets de gestion'!F:F))
&amp;IF(COUNTIF('Objets de gestion'!C:C,E59)=0,"","_"&amp;LOOKUP(E59,'Objets de gestion'!C:C,'Objets de gestion'!F:F))
&amp;IF(COUNTIF('Objets de gestion'!C:C,D59)=0,"","_"&amp;LOOKUP(D59,'Objets de gestion'!C:C,'Objets de gestion'!F:F))
&amp;IF(COUNTIF('Objets de gestion'!C:C,C59)=0,"","_"&amp;LOOKUP(C59,'Objets de gestion'!C:C,'Objets de gestion'!F:F))
)))</f>
        <v/>
      </c>
      <c r="J59" t="str">
        <f>IF(AND(ISBLANK(A59),ISBLANK(B59),ISBLANK(C59)),"",IF(OR(ISBLANK(A59),ISBLANK(B59),ISBLANK(C59)),"-",
LOOKUP(B59,'Type de table'!C:C,'Type de table'!E:E)
&amp;IF(ISBLANK(C59),""," "&amp;C59)
&amp;IF(ISBLANK(D59),""," "&amp;D59)
&amp;IF(ISBLANK(E59),""," "&amp;E59)
&amp;IF(ISBLANK(F59),""," "&amp;F59)
))</f>
        <v/>
      </c>
      <c r="K59" t="str">
        <f>IF(AND(ISBLANK(A59),ISBLANK(B59),ISBLANK(C59)),"",IF(OR(ISBLANK(A59),ISBLANK(B59),ISBLANK(C59)),"-",
LOOKUP(B59,'Type de table'!C:C,'Type de table'!F:F)
&amp;IF(ISBLANK(C59),""," "&amp;LOOKUP(C59,'Objets de gestion'!C:C,'Objets de gestion'!E:E))
&amp;IF(ISBLANK(D59),""," "&amp;LOOKUP(D59,'Objets de gestion'!C:C,'Objets de gestion'!E:E))
&amp;IF(ISBLANK(E59),""," "&amp;LOOKUP(E59,'Objets de gestion'!C:C,'Objets de gestion'!E:E))
&amp;IF(ISBLANK(F59),""," "&amp;LOOKUP(F59,'Objets de gestion'!C:C,'Objets de gestion'!E:E))
))</f>
        <v/>
      </c>
      <c r="L59" t="str">
        <f t="shared" si="0"/>
        <v/>
      </c>
    </row>
    <row r="60" spans="7:12">
      <c r="G60" s="23" t="str">
        <f>IF(ISBLANK(A60),"",LOOKUP(A60,BIB!A:A,BIB!C:C))</f>
        <v/>
      </c>
      <c r="H60" s="1" t="str">
        <f>IF(AND(ISBLANK(A60),ISBLANK(B60),ISBLANK(C60)),"",IF(OR(ISBLANK(A60),ISBLANK(B60),ISBLANK(C60)),"-",LEN(Tableau4[[#This Row],[Colonne9]])))</f>
        <v/>
      </c>
      <c r="I60" t="str">
        <f>IF(AND(ISBLANK(A60),ISBLANK(B60),ISBLANK(C60)),"",IF(OR(ISBLANK(A60),ISBLANK(B60),ISBLANK(C60)),"à compléter",UPPER(LOOKUP(A60,BIB!A:A,BIB!B:B)&amp;LOOKUP(B60,'Type de table'!C:C,'Type de table'!B:B)
&amp;IF(COUNTIF('Objets de gestion'!C:C,F60)=0,"","_"&amp;LOOKUP(F60,'Objets de gestion'!C:C,'Objets de gestion'!F:F))
&amp;IF(COUNTIF('Objets de gestion'!C:C,E60)=0,"","_"&amp;LOOKUP(E60,'Objets de gestion'!C:C,'Objets de gestion'!F:F))
&amp;IF(COUNTIF('Objets de gestion'!C:C,D60)=0,"","_"&amp;LOOKUP(D60,'Objets de gestion'!C:C,'Objets de gestion'!F:F))
&amp;IF(COUNTIF('Objets de gestion'!C:C,C60)=0,"","_"&amp;LOOKUP(C60,'Objets de gestion'!C:C,'Objets de gestion'!F:F))
)))</f>
        <v/>
      </c>
      <c r="J60" t="str">
        <f>IF(AND(ISBLANK(A60),ISBLANK(B60),ISBLANK(C60)),"",IF(OR(ISBLANK(A60),ISBLANK(B60),ISBLANK(C60)),"-",
LOOKUP(B60,'Type de table'!C:C,'Type de table'!E:E)
&amp;IF(ISBLANK(C60),""," "&amp;C60)
&amp;IF(ISBLANK(D60),""," "&amp;D60)
&amp;IF(ISBLANK(E60),""," "&amp;E60)
&amp;IF(ISBLANK(F60),""," "&amp;F60)
))</f>
        <v/>
      </c>
      <c r="K60" t="str">
        <f>IF(AND(ISBLANK(A60),ISBLANK(B60),ISBLANK(C60)),"",IF(OR(ISBLANK(A60),ISBLANK(B60),ISBLANK(C60)),"-",
LOOKUP(B60,'Type de table'!C:C,'Type de table'!F:F)
&amp;IF(ISBLANK(C60),""," "&amp;LOOKUP(C60,'Objets de gestion'!C:C,'Objets de gestion'!E:E))
&amp;IF(ISBLANK(D60),""," "&amp;LOOKUP(D60,'Objets de gestion'!C:C,'Objets de gestion'!E:E))
&amp;IF(ISBLANK(E60),""," "&amp;LOOKUP(E60,'Objets de gestion'!C:C,'Objets de gestion'!E:E))
&amp;IF(ISBLANK(F60),""," "&amp;LOOKUP(F60,'Objets de gestion'!C:C,'Objets de gestion'!E:E))
))</f>
        <v/>
      </c>
      <c r="L60" t="str">
        <f t="shared" si="0"/>
        <v/>
      </c>
    </row>
    <row r="61" spans="7:12">
      <c r="G61" s="23" t="str">
        <f>IF(ISBLANK(A61),"",LOOKUP(A61,BIB!A:A,BIB!C:C))</f>
        <v/>
      </c>
      <c r="H61" s="1" t="str">
        <f>IF(AND(ISBLANK(A61),ISBLANK(B61),ISBLANK(C61)),"",IF(OR(ISBLANK(A61),ISBLANK(B61),ISBLANK(C61)),"-",LEN(Tableau4[[#This Row],[Colonne9]])))</f>
        <v/>
      </c>
      <c r="I61" t="str">
        <f>IF(AND(ISBLANK(A61),ISBLANK(B61),ISBLANK(C61)),"",IF(OR(ISBLANK(A61),ISBLANK(B61),ISBLANK(C61)),"à compléter",UPPER(LOOKUP(A61,BIB!A:A,BIB!B:B)&amp;LOOKUP(B61,'Type de table'!C:C,'Type de table'!B:B)
&amp;IF(COUNTIF('Objets de gestion'!C:C,F61)=0,"","_"&amp;LOOKUP(F61,'Objets de gestion'!C:C,'Objets de gestion'!F:F))
&amp;IF(COUNTIF('Objets de gestion'!C:C,E61)=0,"","_"&amp;LOOKUP(E61,'Objets de gestion'!C:C,'Objets de gestion'!F:F))
&amp;IF(COUNTIF('Objets de gestion'!C:C,D61)=0,"","_"&amp;LOOKUP(D61,'Objets de gestion'!C:C,'Objets de gestion'!F:F))
&amp;IF(COUNTIF('Objets de gestion'!C:C,C61)=0,"","_"&amp;LOOKUP(C61,'Objets de gestion'!C:C,'Objets de gestion'!F:F))
)))</f>
        <v/>
      </c>
      <c r="J61" t="str">
        <f>IF(AND(ISBLANK(A61),ISBLANK(B61),ISBLANK(C61)),"",IF(OR(ISBLANK(A61),ISBLANK(B61),ISBLANK(C61)),"-",
LOOKUP(B61,'Type de table'!C:C,'Type de table'!E:E)
&amp;IF(ISBLANK(C61),""," "&amp;C61)
&amp;IF(ISBLANK(D61),""," "&amp;D61)
&amp;IF(ISBLANK(E61),""," "&amp;E61)
&amp;IF(ISBLANK(F61),""," "&amp;F61)
))</f>
        <v/>
      </c>
      <c r="K61" t="str">
        <f>IF(AND(ISBLANK(A61),ISBLANK(B61),ISBLANK(C61)),"",IF(OR(ISBLANK(A61),ISBLANK(B61),ISBLANK(C61)),"-",
LOOKUP(B61,'Type de table'!C:C,'Type de table'!F:F)
&amp;IF(ISBLANK(C61),""," "&amp;LOOKUP(C61,'Objets de gestion'!C:C,'Objets de gestion'!E:E))
&amp;IF(ISBLANK(D61),""," "&amp;LOOKUP(D61,'Objets de gestion'!C:C,'Objets de gestion'!E:E))
&amp;IF(ISBLANK(E61),""," "&amp;LOOKUP(E61,'Objets de gestion'!C:C,'Objets de gestion'!E:E))
&amp;IF(ISBLANK(F61),""," "&amp;LOOKUP(F61,'Objets de gestion'!C:C,'Objets de gestion'!E:E))
))</f>
        <v/>
      </c>
      <c r="L61" t="str">
        <f t="shared" si="0"/>
        <v/>
      </c>
    </row>
    <row r="62" spans="7:12">
      <c r="G62" s="23" t="str">
        <f>IF(ISBLANK(A62),"",LOOKUP(A62,BIB!A:A,BIB!C:C))</f>
        <v/>
      </c>
      <c r="H62" s="1" t="str">
        <f>IF(AND(ISBLANK(A62),ISBLANK(B62),ISBLANK(C62)),"",IF(OR(ISBLANK(A62),ISBLANK(B62),ISBLANK(C62)),"-",LEN(Tableau4[[#This Row],[Colonne9]])))</f>
        <v/>
      </c>
      <c r="I62" t="str">
        <f>IF(AND(ISBLANK(A62),ISBLANK(B62),ISBLANK(C62)),"",IF(OR(ISBLANK(A62),ISBLANK(B62),ISBLANK(C62)),"à compléter",UPPER(LOOKUP(A62,BIB!A:A,BIB!B:B)&amp;LOOKUP(B62,'Type de table'!C:C,'Type de table'!B:B)
&amp;IF(COUNTIF('Objets de gestion'!C:C,F62)=0,"","_"&amp;LOOKUP(F62,'Objets de gestion'!C:C,'Objets de gestion'!F:F))
&amp;IF(COUNTIF('Objets de gestion'!C:C,E62)=0,"","_"&amp;LOOKUP(E62,'Objets de gestion'!C:C,'Objets de gestion'!F:F))
&amp;IF(COUNTIF('Objets de gestion'!C:C,D62)=0,"","_"&amp;LOOKUP(D62,'Objets de gestion'!C:C,'Objets de gestion'!F:F))
&amp;IF(COUNTIF('Objets de gestion'!C:C,C62)=0,"","_"&amp;LOOKUP(C62,'Objets de gestion'!C:C,'Objets de gestion'!F:F))
)))</f>
        <v/>
      </c>
      <c r="J62" t="str">
        <f>IF(AND(ISBLANK(A62),ISBLANK(B62),ISBLANK(C62)),"",IF(OR(ISBLANK(A62),ISBLANK(B62),ISBLANK(C62)),"-",
LOOKUP(B62,'Type de table'!C:C,'Type de table'!E:E)
&amp;IF(ISBLANK(C62),""," "&amp;C62)
&amp;IF(ISBLANK(D62),""," "&amp;D62)
&amp;IF(ISBLANK(E62),""," "&amp;E62)
&amp;IF(ISBLANK(F62),""," "&amp;F62)
))</f>
        <v/>
      </c>
      <c r="K62" t="str">
        <f>IF(AND(ISBLANK(A62),ISBLANK(B62),ISBLANK(C62)),"",IF(OR(ISBLANK(A62),ISBLANK(B62),ISBLANK(C62)),"-",
LOOKUP(B62,'Type de table'!C:C,'Type de table'!F:F)
&amp;IF(ISBLANK(C62),""," "&amp;LOOKUP(C62,'Objets de gestion'!C:C,'Objets de gestion'!E:E))
&amp;IF(ISBLANK(D62),""," "&amp;LOOKUP(D62,'Objets de gestion'!C:C,'Objets de gestion'!E:E))
&amp;IF(ISBLANK(E62),""," "&amp;LOOKUP(E62,'Objets de gestion'!C:C,'Objets de gestion'!E:E))
&amp;IF(ISBLANK(F62),""," "&amp;LOOKUP(F62,'Objets de gestion'!C:C,'Objets de gestion'!E:E))
))</f>
        <v/>
      </c>
      <c r="L62" t="str">
        <f t="shared" si="0"/>
        <v/>
      </c>
    </row>
    <row r="63" spans="7:12">
      <c r="G63" s="23" t="str">
        <f>IF(ISBLANK(A63),"",LOOKUP(A63,BIB!A:A,BIB!C:C))</f>
        <v/>
      </c>
      <c r="H63" s="1" t="str">
        <f>IF(AND(ISBLANK(A63),ISBLANK(B63),ISBLANK(C63)),"",IF(OR(ISBLANK(A63),ISBLANK(B63),ISBLANK(C63)),"-",LEN(Tableau4[[#This Row],[Colonne9]])))</f>
        <v/>
      </c>
      <c r="I63" t="str">
        <f>IF(AND(ISBLANK(A63),ISBLANK(B63),ISBLANK(C63)),"",IF(OR(ISBLANK(A63),ISBLANK(B63),ISBLANK(C63)),"à compléter",UPPER(LOOKUP(A63,BIB!A:A,BIB!B:B)&amp;LOOKUP(B63,'Type de table'!C:C,'Type de table'!B:B)
&amp;IF(COUNTIF('Objets de gestion'!C:C,F63)=0,"","_"&amp;LOOKUP(F63,'Objets de gestion'!C:C,'Objets de gestion'!F:F))
&amp;IF(COUNTIF('Objets de gestion'!C:C,E63)=0,"","_"&amp;LOOKUP(E63,'Objets de gestion'!C:C,'Objets de gestion'!F:F))
&amp;IF(COUNTIF('Objets de gestion'!C:C,D63)=0,"","_"&amp;LOOKUP(D63,'Objets de gestion'!C:C,'Objets de gestion'!F:F))
&amp;IF(COUNTIF('Objets de gestion'!C:C,C63)=0,"","_"&amp;LOOKUP(C63,'Objets de gestion'!C:C,'Objets de gestion'!F:F))
)))</f>
        <v/>
      </c>
      <c r="J63" t="str">
        <f>IF(AND(ISBLANK(A63),ISBLANK(B63),ISBLANK(C63)),"",IF(OR(ISBLANK(A63),ISBLANK(B63),ISBLANK(C63)),"-",
LOOKUP(B63,'Type de table'!C:C,'Type de table'!E:E)
&amp;IF(ISBLANK(C63),""," "&amp;C63)
&amp;IF(ISBLANK(D63),""," "&amp;D63)
&amp;IF(ISBLANK(E63),""," "&amp;E63)
&amp;IF(ISBLANK(F63),""," "&amp;F63)
))</f>
        <v/>
      </c>
      <c r="K63" t="str">
        <f>IF(AND(ISBLANK(A63),ISBLANK(B63),ISBLANK(C63)),"",IF(OR(ISBLANK(A63),ISBLANK(B63),ISBLANK(C63)),"-",
LOOKUP(B63,'Type de table'!C:C,'Type de table'!F:F)
&amp;IF(ISBLANK(C63),""," "&amp;LOOKUP(C63,'Objets de gestion'!C:C,'Objets de gestion'!E:E))
&amp;IF(ISBLANK(D63),""," "&amp;LOOKUP(D63,'Objets de gestion'!C:C,'Objets de gestion'!E:E))
&amp;IF(ISBLANK(E63),""," "&amp;LOOKUP(E63,'Objets de gestion'!C:C,'Objets de gestion'!E:E))
&amp;IF(ISBLANK(F63),""," "&amp;LOOKUP(F63,'Objets de gestion'!C:C,'Objets de gestion'!E:E))
))</f>
        <v/>
      </c>
      <c r="L63" t="str">
        <f t="shared" si="0"/>
        <v/>
      </c>
    </row>
    <row r="64" spans="7:12">
      <c r="G64" s="23" t="str">
        <f>IF(ISBLANK(A64),"",LOOKUP(A64,BIB!A:A,BIB!C:C))</f>
        <v/>
      </c>
      <c r="H64" s="1" t="str">
        <f>IF(AND(ISBLANK(A64),ISBLANK(B64),ISBLANK(C64)),"",IF(OR(ISBLANK(A64),ISBLANK(B64),ISBLANK(C64)),"-",LEN(Tableau4[[#This Row],[Colonne9]])))</f>
        <v/>
      </c>
      <c r="I64" t="str">
        <f>IF(AND(ISBLANK(A64),ISBLANK(B64),ISBLANK(C64)),"",IF(OR(ISBLANK(A64),ISBLANK(B64),ISBLANK(C64)),"à compléter",UPPER(LOOKUP(A64,BIB!A:A,BIB!B:B)&amp;LOOKUP(B64,'Type de table'!C:C,'Type de table'!B:B)
&amp;IF(COUNTIF('Objets de gestion'!C:C,F64)=0,"","_"&amp;LOOKUP(F64,'Objets de gestion'!C:C,'Objets de gestion'!F:F))
&amp;IF(COUNTIF('Objets de gestion'!C:C,E64)=0,"","_"&amp;LOOKUP(E64,'Objets de gestion'!C:C,'Objets de gestion'!F:F))
&amp;IF(COUNTIF('Objets de gestion'!C:C,D64)=0,"","_"&amp;LOOKUP(D64,'Objets de gestion'!C:C,'Objets de gestion'!F:F))
&amp;IF(COUNTIF('Objets de gestion'!C:C,C64)=0,"","_"&amp;LOOKUP(C64,'Objets de gestion'!C:C,'Objets de gestion'!F:F))
)))</f>
        <v/>
      </c>
      <c r="J64" t="str">
        <f>IF(AND(ISBLANK(A64),ISBLANK(B64),ISBLANK(C64)),"",IF(OR(ISBLANK(A64),ISBLANK(B64),ISBLANK(C64)),"-",
LOOKUP(B64,'Type de table'!C:C,'Type de table'!E:E)
&amp;IF(ISBLANK(C64),""," "&amp;C64)
&amp;IF(ISBLANK(D64),""," "&amp;D64)
&amp;IF(ISBLANK(E64),""," "&amp;E64)
&amp;IF(ISBLANK(F64),""," "&amp;F64)
))</f>
        <v/>
      </c>
      <c r="K64" t="str">
        <f>IF(AND(ISBLANK(A64),ISBLANK(B64),ISBLANK(C64)),"",IF(OR(ISBLANK(A64),ISBLANK(B64),ISBLANK(C64)),"-",
LOOKUP(B64,'Type de table'!C:C,'Type de table'!F:F)
&amp;IF(ISBLANK(C64),""," "&amp;LOOKUP(C64,'Objets de gestion'!C:C,'Objets de gestion'!E:E))
&amp;IF(ISBLANK(D64),""," "&amp;LOOKUP(D64,'Objets de gestion'!C:C,'Objets de gestion'!E:E))
&amp;IF(ISBLANK(E64),""," "&amp;LOOKUP(E64,'Objets de gestion'!C:C,'Objets de gestion'!E:E))
&amp;IF(ISBLANK(F64),""," "&amp;LOOKUP(F64,'Objets de gestion'!C:C,'Objets de gestion'!E:E))
))</f>
        <v/>
      </c>
      <c r="L64" t="str">
        <f t="shared" si="0"/>
        <v/>
      </c>
    </row>
    <row r="65" spans="7:12">
      <c r="G65" s="23" t="str">
        <f>IF(ISBLANK(A65),"",LOOKUP(A65,BIB!A:A,BIB!C:C))</f>
        <v/>
      </c>
      <c r="H65" s="1" t="str">
        <f>IF(AND(ISBLANK(A65),ISBLANK(B65),ISBLANK(C65)),"",IF(OR(ISBLANK(A65),ISBLANK(B65),ISBLANK(C65)),"-",LEN(Tableau4[[#This Row],[Colonne9]])))</f>
        <v/>
      </c>
      <c r="I65" t="str">
        <f>IF(AND(ISBLANK(A65),ISBLANK(B65),ISBLANK(C65)),"",IF(OR(ISBLANK(A65),ISBLANK(B65),ISBLANK(C65)),"à compléter",UPPER(LOOKUP(A65,BIB!A:A,BIB!B:B)&amp;LOOKUP(B65,'Type de table'!C:C,'Type de table'!B:B)
&amp;IF(COUNTIF('Objets de gestion'!C:C,F65)=0,"","_"&amp;LOOKUP(F65,'Objets de gestion'!C:C,'Objets de gestion'!F:F))
&amp;IF(COUNTIF('Objets de gestion'!C:C,E65)=0,"","_"&amp;LOOKUP(E65,'Objets de gestion'!C:C,'Objets de gestion'!F:F))
&amp;IF(COUNTIF('Objets de gestion'!C:C,D65)=0,"","_"&amp;LOOKUP(D65,'Objets de gestion'!C:C,'Objets de gestion'!F:F))
&amp;IF(COUNTIF('Objets de gestion'!C:C,C65)=0,"","_"&amp;LOOKUP(C65,'Objets de gestion'!C:C,'Objets de gestion'!F:F))
)))</f>
        <v/>
      </c>
      <c r="J65" t="str">
        <f>IF(AND(ISBLANK(A65),ISBLANK(B65),ISBLANK(C65)),"",IF(OR(ISBLANK(A65),ISBLANK(B65),ISBLANK(C65)),"-",
LOOKUP(B65,'Type de table'!C:C,'Type de table'!E:E)
&amp;IF(ISBLANK(C65),""," "&amp;C65)
&amp;IF(ISBLANK(D65),""," "&amp;D65)
&amp;IF(ISBLANK(E65),""," "&amp;E65)
&amp;IF(ISBLANK(F65),""," "&amp;F65)
))</f>
        <v/>
      </c>
      <c r="K65" t="str">
        <f>IF(AND(ISBLANK(A65),ISBLANK(B65),ISBLANK(C65)),"",IF(OR(ISBLANK(A65),ISBLANK(B65),ISBLANK(C65)),"-",
LOOKUP(B65,'Type de table'!C:C,'Type de table'!F:F)
&amp;IF(ISBLANK(C65),""," "&amp;LOOKUP(C65,'Objets de gestion'!C:C,'Objets de gestion'!E:E))
&amp;IF(ISBLANK(D65),""," "&amp;LOOKUP(D65,'Objets de gestion'!C:C,'Objets de gestion'!E:E))
&amp;IF(ISBLANK(E65),""," "&amp;LOOKUP(E65,'Objets de gestion'!C:C,'Objets de gestion'!E:E))
&amp;IF(ISBLANK(F65),""," "&amp;LOOKUP(F65,'Objets de gestion'!C:C,'Objets de gestion'!E:E))
))</f>
        <v/>
      </c>
      <c r="L65" t="str">
        <f t="shared" si="0"/>
        <v/>
      </c>
    </row>
    <row r="66" spans="7:12">
      <c r="G66" s="23" t="str">
        <f>IF(ISBLANK(A66),"",LOOKUP(A66,BIB!A:A,BIB!C:C))</f>
        <v/>
      </c>
      <c r="H66" s="1" t="str">
        <f>IF(AND(ISBLANK(A66),ISBLANK(B66),ISBLANK(C66)),"",IF(OR(ISBLANK(A66),ISBLANK(B66),ISBLANK(C66)),"-",LEN(Tableau4[[#This Row],[Colonne9]])))</f>
        <v/>
      </c>
      <c r="I66" t="str">
        <f>IF(AND(ISBLANK(A66),ISBLANK(B66),ISBLANK(C66)),"",IF(OR(ISBLANK(A66),ISBLANK(B66),ISBLANK(C66)),"à compléter",UPPER(LOOKUP(A66,BIB!A:A,BIB!B:B)&amp;LOOKUP(B66,'Type de table'!C:C,'Type de table'!B:B)
&amp;IF(COUNTIF('Objets de gestion'!C:C,F66)=0,"","_"&amp;LOOKUP(F66,'Objets de gestion'!C:C,'Objets de gestion'!F:F))
&amp;IF(COUNTIF('Objets de gestion'!C:C,E66)=0,"","_"&amp;LOOKUP(E66,'Objets de gestion'!C:C,'Objets de gestion'!F:F))
&amp;IF(COUNTIF('Objets de gestion'!C:C,D66)=0,"","_"&amp;LOOKUP(D66,'Objets de gestion'!C:C,'Objets de gestion'!F:F))
&amp;IF(COUNTIF('Objets de gestion'!C:C,C66)=0,"","_"&amp;LOOKUP(C66,'Objets de gestion'!C:C,'Objets de gestion'!F:F))
)))</f>
        <v/>
      </c>
      <c r="J66" t="str">
        <f>IF(AND(ISBLANK(A66),ISBLANK(B66),ISBLANK(C66)),"",IF(OR(ISBLANK(A66),ISBLANK(B66),ISBLANK(C66)),"-",
LOOKUP(B66,'Type de table'!C:C,'Type de table'!E:E)
&amp;IF(ISBLANK(C66),""," "&amp;C66)
&amp;IF(ISBLANK(D66),""," "&amp;D66)
&amp;IF(ISBLANK(E66),""," "&amp;E66)
&amp;IF(ISBLANK(F66),""," "&amp;F66)
))</f>
        <v/>
      </c>
      <c r="K66" t="str">
        <f>IF(AND(ISBLANK(A66),ISBLANK(B66),ISBLANK(C66)),"",IF(OR(ISBLANK(A66),ISBLANK(B66),ISBLANK(C66)),"-",
LOOKUP(B66,'Type de table'!C:C,'Type de table'!F:F)
&amp;IF(ISBLANK(C66),""," "&amp;LOOKUP(C66,'Objets de gestion'!C:C,'Objets de gestion'!E:E))
&amp;IF(ISBLANK(D66),""," "&amp;LOOKUP(D66,'Objets de gestion'!C:C,'Objets de gestion'!E:E))
&amp;IF(ISBLANK(E66),""," "&amp;LOOKUP(E66,'Objets de gestion'!C:C,'Objets de gestion'!E:E))
&amp;IF(ISBLANK(F66),""," "&amp;LOOKUP(F66,'Objets de gestion'!C:C,'Objets de gestion'!E:E))
))</f>
        <v/>
      </c>
      <c r="L66" t="str">
        <f t="shared" si="0"/>
        <v/>
      </c>
    </row>
    <row r="67" spans="7:12">
      <c r="G67" s="23" t="str">
        <f>IF(ISBLANK(A67),"",LOOKUP(A67,BIB!A:A,BIB!C:C))</f>
        <v/>
      </c>
      <c r="H67" s="1" t="str">
        <f>IF(AND(ISBLANK(A67),ISBLANK(B67),ISBLANK(C67)),"",IF(OR(ISBLANK(A67),ISBLANK(B67),ISBLANK(C67)),"-",LEN(Tableau4[[#This Row],[Colonne9]])))</f>
        <v/>
      </c>
      <c r="I67" t="str">
        <f>IF(AND(ISBLANK(A67),ISBLANK(B67),ISBLANK(C67)),"",IF(OR(ISBLANK(A67),ISBLANK(B67),ISBLANK(C67)),"à compléter",UPPER(LOOKUP(A67,BIB!A:A,BIB!B:B)&amp;LOOKUP(B67,'Type de table'!C:C,'Type de table'!B:B)
&amp;IF(COUNTIF('Objets de gestion'!C:C,F67)=0,"","_"&amp;LOOKUP(F67,'Objets de gestion'!C:C,'Objets de gestion'!F:F))
&amp;IF(COUNTIF('Objets de gestion'!C:C,E67)=0,"","_"&amp;LOOKUP(E67,'Objets de gestion'!C:C,'Objets de gestion'!F:F))
&amp;IF(COUNTIF('Objets de gestion'!C:C,D67)=0,"","_"&amp;LOOKUP(D67,'Objets de gestion'!C:C,'Objets de gestion'!F:F))
&amp;IF(COUNTIF('Objets de gestion'!C:C,C67)=0,"","_"&amp;LOOKUP(C67,'Objets de gestion'!C:C,'Objets de gestion'!F:F))
)))</f>
        <v/>
      </c>
      <c r="J67" t="str">
        <f>IF(AND(ISBLANK(A67),ISBLANK(B67),ISBLANK(C67)),"",IF(OR(ISBLANK(A67),ISBLANK(B67),ISBLANK(C67)),"-",
LOOKUP(B67,'Type de table'!C:C,'Type de table'!E:E)
&amp;IF(ISBLANK(C67),""," "&amp;C67)
&amp;IF(ISBLANK(D67),""," "&amp;D67)
&amp;IF(ISBLANK(E67),""," "&amp;E67)
&amp;IF(ISBLANK(F67),""," "&amp;F67)
))</f>
        <v/>
      </c>
      <c r="K67" t="str">
        <f>IF(AND(ISBLANK(A67),ISBLANK(B67),ISBLANK(C67)),"",IF(OR(ISBLANK(A67),ISBLANK(B67),ISBLANK(C67)),"-",
LOOKUP(B67,'Type de table'!C:C,'Type de table'!F:F)
&amp;IF(ISBLANK(C67),""," "&amp;LOOKUP(C67,'Objets de gestion'!C:C,'Objets de gestion'!E:E))
&amp;IF(ISBLANK(D67),""," "&amp;LOOKUP(D67,'Objets de gestion'!C:C,'Objets de gestion'!E:E))
&amp;IF(ISBLANK(E67),""," "&amp;LOOKUP(E67,'Objets de gestion'!C:C,'Objets de gestion'!E:E))
&amp;IF(ISBLANK(F67),""," "&amp;LOOKUP(F67,'Objets de gestion'!C:C,'Objets de gestion'!E:E))
))</f>
        <v/>
      </c>
      <c r="L67" t="str">
        <f t="shared" ref="L67:L74" si="1">IF(AND(ISBLANK(A67),ISBLANK(B67),ISBLANK(C67)),"",IF(OR(ISBLANK(A67),ISBLANK(B67),ISBLANK(C67)),"-",B67))</f>
        <v/>
      </c>
    </row>
    <row r="68" spans="7:12">
      <c r="G68" s="23" t="str">
        <f>IF(ISBLANK(A68),"",LOOKUP(A68,BIB!A:A,BIB!C:C))</f>
        <v/>
      </c>
      <c r="H68" s="1" t="str">
        <f>IF(AND(ISBLANK(A68),ISBLANK(B68),ISBLANK(C68)),"",IF(OR(ISBLANK(A68),ISBLANK(B68),ISBLANK(C68)),"-",LEN(Tableau4[[#This Row],[Colonne9]])))</f>
        <v/>
      </c>
      <c r="I68" t="str">
        <f>IF(AND(ISBLANK(A68),ISBLANK(B68),ISBLANK(C68)),"",IF(OR(ISBLANK(A68),ISBLANK(B68),ISBLANK(C68)),"à compléter",UPPER(LOOKUP(A68,BIB!A:A,BIB!B:B)&amp;LOOKUP(B68,'Type de table'!C:C,'Type de table'!B:B)
&amp;IF(COUNTIF('Objets de gestion'!C:C,F68)=0,"","_"&amp;LOOKUP(F68,'Objets de gestion'!C:C,'Objets de gestion'!F:F))
&amp;IF(COUNTIF('Objets de gestion'!C:C,E68)=0,"","_"&amp;LOOKUP(E68,'Objets de gestion'!C:C,'Objets de gestion'!F:F))
&amp;IF(COUNTIF('Objets de gestion'!C:C,D68)=0,"","_"&amp;LOOKUP(D68,'Objets de gestion'!C:C,'Objets de gestion'!F:F))
&amp;IF(COUNTIF('Objets de gestion'!C:C,C68)=0,"","_"&amp;LOOKUP(C68,'Objets de gestion'!C:C,'Objets de gestion'!F:F))
)))</f>
        <v/>
      </c>
      <c r="J68" t="str">
        <f>IF(AND(ISBLANK(A68),ISBLANK(B68),ISBLANK(C68)),"",IF(OR(ISBLANK(A68),ISBLANK(B68),ISBLANK(C68)),"-",
LOOKUP(B68,'Type de table'!C:C,'Type de table'!E:E)
&amp;IF(ISBLANK(C68),""," "&amp;C68)
&amp;IF(ISBLANK(D68),""," "&amp;D68)
&amp;IF(ISBLANK(E68),""," "&amp;E68)
&amp;IF(ISBLANK(F68),""," "&amp;F68)
))</f>
        <v/>
      </c>
      <c r="K68" t="str">
        <f>IF(AND(ISBLANK(A68),ISBLANK(B68),ISBLANK(C68)),"",IF(OR(ISBLANK(A68),ISBLANK(B68),ISBLANK(C68)),"-",
LOOKUP(B68,'Type de table'!C:C,'Type de table'!F:F)
&amp;IF(ISBLANK(C68),""," "&amp;LOOKUP(C68,'Objets de gestion'!C:C,'Objets de gestion'!E:E))
&amp;IF(ISBLANK(D68),""," "&amp;LOOKUP(D68,'Objets de gestion'!C:C,'Objets de gestion'!E:E))
&amp;IF(ISBLANK(E68),""," "&amp;LOOKUP(E68,'Objets de gestion'!C:C,'Objets de gestion'!E:E))
&amp;IF(ISBLANK(F68),""," "&amp;LOOKUP(F68,'Objets de gestion'!C:C,'Objets de gestion'!E:E))
))</f>
        <v/>
      </c>
      <c r="L68" t="str">
        <f t="shared" si="1"/>
        <v/>
      </c>
    </row>
    <row r="69" spans="7:12">
      <c r="G69" s="23" t="str">
        <f>IF(ISBLANK(A69),"",LOOKUP(A69,BIB!A:A,BIB!C:C))</f>
        <v/>
      </c>
      <c r="H69" s="1" t="str">
        <f>IF(AND(ISBLANK(A69),ISBLANK(B69),ISBLANK(C69)),"",IF(OR(ISBLANK(A69),ISBLANK(B69),ISBLANK(C69)),"-",LEN(Tableau4[[#This Row],[Colonne9]])))</f>
        <v/>
      </c>
      <c r="I69" t="str">
        <f>IF(AND(ISBLANK(A69),ISBLANK(B69),ISBLANK(C69)),"",IF(OR(ISBLANK(A69),ISBLANK(B69),ISBLANK(C69)),"à compléter",UPPER(LOOKUP(A69,BIB!A:A,BIB!B:B)&amp;LOOKUP(B69,'Type de table'!C:C,'Type de table'!B:B)
&amp;IF(COUNTIF('Objets de gestion'!C:C,F69)=0,"","_"&amp;LOOKUP(F69,'Objets de gestion'!C:C,'Objets de gestion'!F:F))
&amp;IF(COUNTIF('Objets de gestion'!C:C,E69)=0,"","_"&amp;LOOKUP(E69,'Objets de gestion'!C:C,'Objets de gestion'!F:F))
&amp;IF(COUNTIF('Objets de gestion'!C:C,D69)=0,"","_"&amp;LOOKUP(D69,'Objets de gestion'!C:C,'Objets de gestion'!F:F))
&amp;IF(COUNTIF('Objets de gestion'!C:C,C69)=0,"","_"&amp;LOOKUP(C69,'Objets de gestion'!C:C,'Objets de gestion'!F:F))
)))</f>
        <v/>
      </c>
      <c r="J69" t="str">
        <f>IF(AND(ISBLANK(A69),ISBLANK(B69),ISBLANK(C69)),"",IF(OR(ISBLANK(A69),ISBLANK(B69),ISBLANK(C69)),"-",
LOOKUP(B69,'Type de table'!C:C,'Type de table'!E:E)
&amp;IF(ISBLANK(C69),""," "&amp;C69)
&amp;IF(ISBLANK(D69),""," "&amp;D69)
&amp;IF(ISBLANK(E69),""," "&amp;E69)
&amp;IF(ISBLANK(F69),""," "&amp;F69)
))</f>
        <v/>
      </c>
      <c r="K69" t="str">
        <f>IF(AND(ISBLANK(A69),ISBLANK(B69),ISBLANK(C69)),"",IF(OR(ISBLANK(A69),ISBLANK(B69),ISBLANK(C69)),"-",
LOOKUP(B69,'Type de table'!C:C,'Type de table'!F:F)
&amp;IF(ISBLANK(C69),""," "&amp;LOOKUP(C69,'Objets de gestion'!C:C,'Objets de gestion'!E:E))
&amp;IF(ISBLANK(D69),""," "&amp;LOOKUP(D69,'Objets de gestion'!C:C,'Objets de gestion'!E:E))
&amp;IF(ISBLANK(E69),""," "&amp;LOOKUP(E69,'Objets de gestion'!C:C,'Objets de gestion'!E:E))
&amp;IF(ISBLANK(F69),""," "&amp;LOOKUP(F69,'Objets de gestion'!C:C,'Objets de gestion'!E:E))
))</f>
        <v/>
      </c>
      <c r="L69" t="str">
        <f t="shared" si="1"/>
        <v/>
      </c>
    </row>
    <row r="70" spans="7:12">
      <c r="G70" s="23" t="str">
        <f>IF(ISBLANK(A70),"",LOOKUP(A70,BIB!A:A,BIB!C:C))</f>
        <v/>
      </c>
      <c r="H70" s="1" t="str">
        <f>IF(AND(ISBLANK(A70),ISBLANK(B70),ISBLANK(C70)),"",IF(OR(ISBLANK(A70),ISBLANK(B70),ISBLANK(C70)),"-",LEN(Tableau4[[#This Row],[Colonne9]])))</f>
        <v/>
      </c>
      <c r="I70" t="str">
        <f>IF(AND(ISBLANK(A70),ISBLANK(B70),ISBLANK(C70)),"",IF(OR(ISBLANK(A70),ISBLANK(B70),ISBLANK(C70)),"à compléter",UPPER(LOOKUP(A70,BIB!A:A,BIB!B:B)&amp;LOOKUP(B70,'Type de table'!C:C,'Type de table'!B:B)
&amp;IF(COUNTIF('Objets de gestion'!C:C,F70)=0,"","_"&amp;LOOKUP(F70,'Objets de gestion'!C:C,'Objets de gestion'!F:F))
&amp;IF(COUNTIF('Objets de gestion'!C:C,E70)=0,"","_"&amp;LOOKUP(E70,'Objets de gestion'!C:C,'Objets de gestion'!F:F))
&amp;IF(COUNTIF('Objets de gestion'!C:C,D70)=0,"","_"&amp;LOOKUP(D70,'Objets de gestion'!C:C,'Objets de gestion'!F:F))
&amp;IF(COUNTIF('Objets de gestion'!C:C,C70)=0,"","_"&amp;LOOKUP(C70,'Objets de gestion'!C:C,'Objets de gestion'!F:F))
)))</f>
        <v/>
      </c>
      <c r="J70" t="str">
        <f>IF(AND(ISBLANK(A70),ISBLANK(B70),ISBLANK(C70)),"",IF(OR(ISBLANK(A70),ISBLANK(B70),ISBLANK(C70)),"-",
LOOKUP(B70,'Type de table'!C:C,'Type de table'!E:E)
&amp;IF(ISBLANK(C70),""," "&amp;C70)
&amp;IF(ISBLANK(D70),""," "&amp;D70)
&amp;IF(ISBLANK(E70),""," "&amp;E70)
&amp;IF(ISBLANK(F70),""," "&amp;F70)
))</f>
        <v/>
      </c>
      <c r="K70" t="str">
        <f>IF(AND(ISBLANK(A70),ISBLANK(B70),ISBLANK(C70)),"",IF(OR(ISBLANK(A70),ISBLANK(B70),ISBLANK(C70)),"-",
LOOKUP(B70,'Type de table'!C:C,'Type de table'!F:F)
&amp;IF(ISBLANK(C70),""," "&amp;LOOKUP(C70,'Objets de gestion'!C:C,'Objets de gestion'!E:E))
&amp;IF(ISBLANK(D70),""," "&amp;LOOKUP(D70,'Objets de gestion'!C:C,'Objets de gestion'!E:E))
&amp;IF(ISBLANK(E70),""," "&amp;LOOKUP(E70,'Objets de gestion'!C:C,'Objets de gestion'!E:E))
&amp;IF(ISBLANK(F70),""," "&amp;LOOKUP(F70,'Objets de gestion'!C:C,'Objets de gestion'!E:E))
))</f>
        <v/>
      </c>
      <c r="L70" t="str">
        <f t="shared" si="1"/>
        <v/>
      </c>
    </row>
    <row r="71" spans="7:12">
      <c r="G71" s="23" t="str">
        <f>IF(ISBLANK(A71),"",LOOKUP(A71,BIB!A:A,BIB!C:C))</f>
        <v/>
      </c>
      <c r="H71" s="1" t="str">
        <f>IF(AND(ISBLANK(A71),ISBLANK(B71),ISBLANK(C71)),"",IF(OR(ISBLANK(A71),ISBLANK(B71),ISBLANK(C71)),"-",LEN(Tableau4[[#This Row],[Colonne9]])))</f>
        <v/>
      </c>
      <c r="I71" t="str">
        <f>IF(AND(ISBLANK(A71),ISBLANK(B71),ISBLANK(C71)),"",IF(OR(ISBLANK(A71),ISBLANK(B71),ISBLANK(C71)),"à compléter",UPPER(LOOKUP(A71,BIB!A:A,BIB!B:B)&amp;LOOKUP(B71,'Type de table'!C:C,'Type de table'!B:B)
&amp;IF(COUNTIF('Objets de gestion'!C:C,F71)=0,"","_"&amp;LOOKUP(F71,'Objets de gestion'!C:C,'Objets de gestion'!F:F))
&amp;IF(COUNTIF('Objets de gestion'!C:C,E71)=0,"","_"&amp;LOOKUP(E71,'Objets de gestion'!C:C,'Objets de gestion'!F:F))
&amp;IF(COUNTIF('Objets de gestion'!C:C,D71)=0,"","_"&amp;LOOKUP(D71,'Objets de gestion'!C:C,'Objets de gestion'!F:F))
&amp;IF(COUNTIF('Objets de gestion'!C:C,C71)=0,"","_"&amp;LOOKUP(C71,'Objets de gestion'!C:C,'Objets de gestion'!F:F))
)))</f>
        <v/>
      </c>
      <c r="J71" t="str">
        <f>IF(AND(ISBLANK(A71),ISBLANK(B71),ISBLANK(C71)),"",IF(OR(ISBLANK(A71),ISBLANK(B71),ISBLANK(C71)),"-",
LOOKUP(B71,'Type de table'!C:C,'Type de table'!E:E)
&amp;IF(ISBLANK(C71),""," "&amp;C71)
&amp;IF(ISBLANK(D71),""," "&amp;D71)
&amp;IF(ISBLANK(E71),""," "&amp;E71)
&amp;IF(ISBLANK(F71),""," "&amp;F71)
))</f>
        <v/>
      </c>
      <c r="K71" t="str">
        <f>IF(AND(ISBLANK(A71),ISBLANK(B71),ISBLANK(C71)),"",IF(OR(ISBLANK(A71),ISBLANK(B71),ISBLANK(C71)),"-",
LOOKUP(B71,'Type de table'!C:C,'Type de table'!F:F)
&amp;IF(ISBLANK(C71),""," "&amp;LOOKUP(C71,'Objets de gestion'!C:C,'Objets de gestion'!E:E))
&amp;IF(ISBLANK(D71),""," "&amp;LOOKUP(D71,'Objets de gestion'!C:C,'Objets de gestion'!E:E))
&amp;IF(ISBLANK(E71),""," "&amp;LOOKUP(E71,'Objets de gestion'!C:C,'Objets de gestion'!E:E))
&amp;IF(ISBLANK(F71),""," "&amp;LOOKUP(F71,'Objets de gestion'!C:C,'Objets de gestion'!E:E))
))</f>
        <v/>
      </c>
      <c r="L71" t="str">
        <f t="shared" si="1"/>
        <v/>
      </c>
    </row>
    <row r="72" spans="7:12">
      <c r="G72" s="23" t="str">
        <f>IF(ISBLANK(A72),"",LOOKUP(A72,BIB!A:A,BIB!C:C))</f>
        <v/>
      </c>
      <c r="H72" s="1" t="str">
        <f>IF(AND(ISBLANK(A72),ISBLANK(B72),ISBLANK(C72)),"",IF(OR(ISBLANK(A72),ISBLANK(B72),ISBLANK(C72)),"-",LEN(Tableau4[[#This Row],[Colonne9]])))</f>
        <v/>
      </c>
      <c r="I72" t="str">
        <f>IF(AND(ISBLANK(A72),ISBLANK(B72),ISBLANK(C72)),"",IF(OR(ISBLANK(A72),ISBLANK(B72),ISBLANK(C72)),"à compléter",UPPER(LOOKUP(A72,BIB!A:A,BIB!B:B)&amp;LOOKUP(B72,'Type de table'!C:C,'Type de table'!B:B)
&amp;IF(COUNTIF('Objets de gestion'!C:C,F72)=0,"","_"&amp;LOOKUP(F72,'Objets de gestion'!C:C,'Objets de gestion'!F:F))
&amp;IF(COUNTIF('Objets de gestion'!C:C,E72)=0,"","_"&amp;LOOKUP(E72,'Objets de gestion'!C:C,'Objets de gestion'!F:F))
&amp;IF(COUNTIF('Objets de gestion'!C:C,D72)=0,"","_"&amp;LOOKUP(D72,'Objets de gestion'!C:C,'Objets de gestion'!F:F))
&amp;IF(COUNTIF('Objets de gestion'!C:C,C72)=0,"","_"&amp;LOOKUP(C72,'Objets de gestion'!C:C,'Objets de gestion'!F:F))
)))</f>
        <v/>
      </c>
      <c r="J72" t="str">
        <f>IF(AND(ISBLANK(A72),ISBLANK(B72),ISBLANK(C72)),"",IF(OR(ISBLANK(A72),ISBLANK(B72),ISBLANK(C72)),"-",
LOOKUP(B72,'Type de table'!C:C,'Type de table'!E:E)
&amp;IF(ISBLANK(C72),""," "&amp;C72)
&amp;IF(ISBLANK(D72),""," "&amp;D72)
&amp;IF(ISBLANK(E72),""," "&amp;E72)
&amp;IF(ISBLANK(F72),""," "&amp;F72)
))</f>
        <v/>
      </c>
      <c r="K72" t="str">
        <f>IF(AND(ISBLANK(A72),ISBLANK(B72),ISBLANK(C72)),"",IF(OR(ISBLANK(A72),ISBLANK(B72),ISBLANK(C72)),"-",
LOOKUP(B72,'Type de table'!C:C,'Type de table'!F:F)
&amp;IF(ISBLANK(C72),""," "&amp;LOOKUP(C72,'Objets de gestion'!C:C,'Objets de gestion'!E:E))
&amp;IF(ISBLANK(D72),""," "&amp;LOOKUP(D72,'Objets de gestion'!C:C,'Objets de gestion'!E:E))
&amp;IF(ISBLANK(E72),""," "&amp;LOOKUP(E72,'Objets de gestion'!C:C,'Objets de gestion'!E:E))
&amp;IF(ISBLANK(F72),""," "&amp;LOOKUP(F72,'Objets de gestion'!C:C,'Objets de gestion'!E:E))
))</f>
        <v/>
      </c>
      <c r="L72" t="str">
        <f t="shared" si="1"/>
        <v/>
      </c>
    </row>
    <row r="73" spans="7:12">
      <c r="G73" s="23" t="str">
        <f>IF(ISBLANK(A73),"",LOOKUP(A73,BIB!A:A,BIB!C:C))</f>
        <v/>
      </c>
      <c r="H73" s="1" t="str">
        <f>IF(AND(ISBLANK(A73),ISBLANK(B73),ISBLANK(C73)),"",IF(OR(ISBLANK(A73),ISBLANK(B73),ISBLANK(C73)),"-",LEN(Tableau4[[#This Row],[Colonne9]])))</f>
        <v/>
      </c>
      <c r="I73" t="str">
        <f>IF(AND(ISBLANK(A73),ISBLANK(B73),ISBLANK(C73)),"",IF(OR(ISBLANK(A73),ISBLANK(B73),ISBLANK(C73)),"à compléter",UPPER(LOOKUP(A73,BIB!A:A,BIB!B:B)&amp;LOOKUP(B73,'Type de table'!C:C,'Type de table'!B:B)
&amp;IF(COUNTIF('Objets de gestion'!C:C,F73)=0,"","_"&amp;LOOKUP(F73,'Objets de gestion'!C:C,'Objets de gestion'!F:F))
&amp;IF(COUNTIF('Objets de gestion'!C:C,E73)=0,"","_"&amp;LOOKUP(E73,'Objets de gestion'!C:C,'Objets de gestion'!F:F))
&amp;IF(COUNTIF('Objets de gestion'!C:C,D73)=0,"","_"&amp;LOOKUP(D73,'Objets de gestion'!C:C,'Objets de gestion'!F:F))
&amp;IF(COUNTIF('Objets de gestion'!C:C,C73)=0,"","_"&amp;LOOKUP(C73,'Objets de gestion'!C:C,'Objets de gestion'!F:F))
)))</f>
        <v/>
      </c>
      <c r="J73" t="str">
        <f>IF(AND(ISBLANK(A73),ISBLANK(B73),ISBLANK(C73)),"",IF(OR(ISBLANK(A73),ISBLANK(B73),ISBLANK(C73)),"-",
LOOKUP(B73,'Type de table'!C:C,'Type de table'!E:E)
&amp;IF(ISBLANK(C73),""," "&amp;C73)
&amp;IF(ISBLANK(D73),""," "&amp;D73)
&amp;IF(ISBLANK(E73),""," "&amp;E73)
&amp;IF(ISBLANK(F73),""," "&amp;F73)
))</f>
        <v/>
      </c>
      <c r="K73" t="str">
        <f>IF(AND(ISBLANK(A73),ISBLANK(B73),ISBLANK(C73)),"",IF(OR(ISBLANK(A73),ISBLANK(B73),ISBLANK(C73)),"-",
LOOKUP(B73,'Type de table'!C:C,'Type de table'!F:F)
&amp;IF(ISBLANK(C73),""," "&amp;LOOKUP(C73,'Objets de gestion'!C:C,'Objets de gestion'!E:E))
&amp;IF(ISBLANK(D73),""," "&amp;LOOKUP(D73,'Objets de gestion'!C:C,'Objets de gestion'!E:E))
&amp;IF(ISBLANK(E73),""," "&amp;LOOKUP(E73,'Objets de gestion'!C:C,'Objets de gestion'!E:E))
&amp;IF(ISBLANK(F73),""," "&amp;LOOKUP(F73,'Objets de gestion'!C:C,'Objets de gestion'!E:E))
))</f>
        <v/>
      </c>
      <c r="L73" t="str">
        <f t="shared" si="1"/>
        <v/>
      </c>
    </row>
    <row r="74" spans="7:12">
      <c r="G74" s="23" t="str">
        <f>IF(ISBLANK(A74),"",LOOKUP(A74,BIB!A:A,BIB!C:C))</f>
        <v/>
      </c>
      <c r="H74" s="1" t="str">
        <f>IF(AND(ISBLANK(A74),ISBLANK(B74),ISBLANK(C74)),"",IF(OR(ISBLANK(A74),ISBLANK(B74),ISBLANK(C74)),"-",LEN(Tableau4[[#This Row],[Colonne9]])))</f>
        <v/>
      </c>
      <c r="I74" t="str">
        <f>IF(AND(ISBLANK(A74),ISBLANK(B74),ISBLANK(C74)),"",IF(OR(ISBLANK(A74),ISBLANK(B74),ISBLANK(C74)),"à compléter",UPPER(LOOKUP(A74,BIB!A:A,BIB!B:B)&amp;LOOKUP(B74,'Type de table'!C:C,'Type de table'!B:B)
&amp;IF(COUNTIF('Objets de gestion'!C:C,F74)=0,"","_"&amp;LOOKUP(F74,'Objets de gestion'!C:C,'Objets de gestion'!F:F))
&amp;IF(COUNTIF('Objets de gestion'!C:C,E74)=0,"","_"&amp;LOOKUP(E74,'Objets de gestion'!C:C,'Objets de gestion'!F:F))
&amp;IF(COUNTIF('Objets de gestion'!C:C,D74)=0,"","_"&amp;LOOKUP(D74,'Objets de gestion'!C:C,'Objets de gestion'!F:F))
&amp;IF(COUNTIF('Objets de gestion'!C:C,C74)=0,"","_"&amp;LOOKUP(C74,'Objets de gestion'!C:C,'Objets de gestion'!F:F))
)))</f>
        <v/>
      </c>
      <c r="J74" t="str">
        <f>IF(AND(ISBLANK(A74),ISBLANK(B74),ISBLANK(C74)),"",IF(OR(ISBLANK(A74),ISBLANK(B74),ISBLANK(C74)),"-",
LOOKUP(B74,'Type de table'!C:C,'Type de table'!E:E)
&amp;IF(ISBLANK(C74),""," "&amp;C74)
&amp;IF(ISBLANK(D74),""," "&amp;D74)
&amp;IF(ISBLANK(E74),""," "&amp;E74)
&amp;IF(ISBLANK(F74),""," "&amp;F74)
))</f>
        <v/>
      </c>
      <c r="K74" t="str">
        <f>IF(AND(ISBLANK(A74),ISBLANK(B74),ISBLANK(C74)),"",IF(OR(ISBLANK(A74),ISBLANK(B74),ISBLANK(C74)),"-",
LOOKUP(B74,'Type de table'!C:C,'Type de table'!F:F)
&amp;IF(ISBLANK(C74),""," "&amp;LOOKUP(C74,'Objets de gestion'!C:C,'Objets de gestion'!E:E))
&amp;IF(ISBLANK(D74),""," "&amp;LOOKUP(D74,'Objets de gestion'!C:C,'Objets de gestion'!E:E))
&amp;IF(ISBLANK(E74),""," "&amp;LOOKUP(E74,'Objets de gestion'!C:C,'Objets de gestion'!E:E))
&amp;IF(ISBLANK(F74),""," "&amp;LOOKUP(F74,'Objets de gestion'!C:C,'Objets de gestion'!E:E))
))</f>
        <v/>
      </c>
      <c r="L74" t="str">
        <f t="shared" si="1"/>
        <v/>
      </c>
    </row>
  </sheetData>
  <conditionalFormatting sqref="C7">
    <cfRule type="duplicateValues" dxfId="81" priority="3" stopIfTrue="1"/>
  </conditionalFormatting>
  <conditionalFormatting sqref="D9:D15">
    <cfRule type="duplicateValues" dxfId="80" priority="1" stopIfTrue="1"/>
  </conditionalFormatting>
  <conditionalFormatting sqref="F9:F15">
    <cfRule type="duplicateValues" dxfId="79" priority="2" stopIfTrue="1"/>
  </conditionalFormatting>
  <dataValidations count="1">
    <dataValidation type="list" allowBlank="1" showInputMessage="1" showErrorMessage="1" sqref="B2" xr:uid="{00000000-0002-0000-0100-000000000000}">
      <formula1>$C$2:$C$16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0000000-0002-0000-0100-000001000000}">
          <x14:formula1>
            <xm:f>'Type de table'!$C$2:$C$16</xm:f>
          </x14:formula1>
          <xm:sqref>B4:B74</xm:sqref>
        </x14:dataValidation>
        <x14:dataValidation type="list" allowBlank="1" showInputMessage="1" showErrorMessage="1" xr:uid="{00000000-0002-0000-0100-000002000000}">
          <x14:formula1>
            <xm:f>BIB!$A$2:$A$273</xm:f>
          </x14:formula1>
          <xm:sqref>A4:A1048576 A2</xm:sqref>
        </x14:dataValidation>
        <x14:dataValidation type="list" allowBlank="1" showInputMessage="1" showErrorMessage="1" xr:uid="{00000000-0002-0000-0100-000003000000}">
          <x14:formula1>
            <xm:f>'Objets de gestion'!$C$2:$C$10390</xm:f>
          </x14:formula1>
          <xm:sqref>C4:F74 C2:F2</xm:sqref>
        </x14:dataValidation>
        <x14:dataValidation type="list" allowBlank="1" showInputMessage="1" showErrorMessage="1" xr:uid="{00000000-0002-0000-0100-000004000000}">
          <x14:formula1>
            <xm:f>'\\uf11d001\EIDDIJON\App\IBIQ\04-Application\Nomenclature\[nomenclature SIAD - Copie.xlsx]Objets de gestion'!#REF!</xm:f>
          </x14:formula1>
          <xm:sqref>C3:E3</xm:sqref>
        </x14:dataValidation>
        <x14:dataValidation type="list" allowBlank="1" showInputMessage="1" showErrorMessage="1" xr:uid="{00000000-0002-0000-0100-000005000000}">
          <x14:formula1>
            <xm:f>'\\uf11d001\EIDDIJON\App\IBIQ\04-Application\Nomenclature\[nomenclature SIAD - Copie.xlsx]BIB'!#REF!</xm:f>
          </x14:formula1>
          <xm:sqref>A3</xm:sqref>
        </x14:dataValidation>
        <x14:dataValidation type="list" allowBlank="1" showInputMessage="1" showErrorMessage="1" xr:uid="{00000000-0002-0000-0100-000006000000}">
          <x14:formula1>
            <xm:f>'\\uf11d001\EIDDIJON\App\IBIQ\04-Application\Nomenclature\[nomenclature SIAD - Copie.xlsx]Type de table'!#REF!</xm:f>
          </x14:formula1>
          <xm:sqref>B3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59999389629810485"/>
  </sheetPr>
  <dimension ref="A1:R486"/>
  <sheetViews>
    <sheetView topLeftCell="P1" workbookViewId="0">
      <pane ySplit="1" topLeftCell="A2" activePane="bottomLeft" state="frozen"/>
      <selection activeCell="B1" sqref="B1"/>
      <selection pane="bottomLeft" activeCell="N20" sqref="N20:R23"/>
    </sheetView>
  </sheetViews>
  <sheetFormatPr baseColWidth="10" defaultColWidth="11.44140625" defaultRowHeight="14.4"/>
  <cols>
    <col min="1" max="1" width="46.109375" style="41" bestFit="1" customWidth="1"/>
    <col min="2" max="2" width="22.6640625" style="41" bestFit="1" customWidth="1"/>
    <col min="3" max="3" width="38.109375" style="41" customWidth="1"/>
    <col min="4" max="4" width="12.88671875" style="41" customWidth="1"/>
    <col min="5" max="5" width="29.44140625" style="41" customWidth="1"/>
    <col min="6" max="6" width="12.109375" style="41" customWidth="1"/>
    <col min="7" max="7" width="26.33203125" style="41" customWidth="1"/>
    <col min="8" max="8" width="12.44140625" style="41" customWidth="1"/>
    <col min="9" max="9" width="28.109375" style="41" customWidth="1"/>
    <col min="10" max="10" width="12.5546875" style="41" customWidth="1"/>
    <col min="11" max="11" width="26.44140625" style="41" customWidth="1"/>
    <col min="12" max="12" width="16.33203125" style="41" customWidth="1"/>
    <col min="13" max="13" width="11.5546875" style="51" customWidth="1"/>
    <col min="14" max="14" width="34.109375" style="41" customWidth="1"/>
    <col min="15" max="15" width="70.44140625" style="41" customWidth="1"/>
    <col min="16" max="16" width="88.6640625" style="41" customWidth="1"/>
    <col min="17" max="17" width="16.33203125" style="41" bestFit="1" customWidth="1"/>
    <col min="18" max="18" width="46.109375" style="41" bestFit="1" customWidth="1"/>
    <col min="19" max="16384" width="11.44140625" style="41"/>
  </cols>
  <sheetData>
    <row r="1" spans="1:18" s="49" customFormat="1" ht="15" thickBot="1">
      <c r="A1" s="45" t="s">
        <v>501</v>
      </c>
      <c r="B1" s="45" t="s">
        <v>515</v>
      </c>
      <c r="C1" s="45" t="s">
        <v>170</v>
      </c>
      <c r="D1" s="46" t="s">
        <v>502</v>
      </c>
      <c r="E1" s="46" t="s">
        <v>493</v>
      </c>
      <c r="F1" s="46" t="s">
        <v>503</v>
      </c>
      <c r="G1" s="46" t="s">
        <v>494</v>
      </c>
      <c r="H1" s="46" t="s">
        <v>504</v>
      </c>
      <c r="I1" s="46" t="s">
        <v>495</v>
      </c>
      <c r="J1" s="46" t="s">
        <v>505</v>
      </c>
      <c r="K1" s="46" t="s">
        <v>496</v>
      </c>
      <c r="L1" s="46" t="s">
        <v>506</v>
      </c>
      <c r="M1" s="47" t="s">
        <v>491</v>
      </c>
      <c r="N1" s="48" t="s">
        <v>492</v>
      </c>
      <c r="O1" s="48" t="s">
        <v>498</v>
      </c>
      <c r="P1" s="48" t="s">
        <v>497</v>
      </c>
      <c r="Q1" s="48" t="s">
        <v>517</v>
      </c>
      <c r="R1" s="48" t="s">
        <v>507</v>
      </c>
    </row>
    <row r="2" spans="1:18" s="49" customFormat="1">
      <c r="A2" s="58"/>
      <c r="B2" s="58"/>
      <c r="C2" s="41"/>
      <c r="D2" s="58"/>
      <c r="E2" s="58"/>
      <c r="F2" s="58"/>
      <c r="G2" s="58"/>
      <c r="H2" s="58"/>
      <c r="I2" s="58"/>
      <c r="J2" s="58"/>
      <c r="K2" s="58"/>
      <c r="L2" s="58"/>
      <c r="M2" s="51" t="str">
        <f>IF(AND(ISBLANK(A2),ISBLANK(B2),ISBLANK(E2),ISBLANK(G2),ISBLANK(L2)),"",IF(OR(ISBLANK(A2),ISBLANK(B2),ISBLANK(E2),ISBLANK(G2),ISBLANK(L2)),"-",LEN(Tableau47[[#This Row],[Code]])))</f>
        <v/>
      </c>
      <c r="N2" s="52" t="str">
        <f>IF(AND(ISBLANK(A2),ISBLANK(B2),ISBLANK(C2),ISBLANK(E2),ISBLANK(L2)),"",IF(OR(ISBLANK(A2),ISBLANK(B2),ISBLANK(C2),ISBLANK(E2),ISBLANK(L2)),"à compléter",
IF(L2="Normal",
LOOKUP(B2,'Type de champ'!B:B,'Type de champ'!A:A)
&amp;IF(COUNTIF('Objets de gestion'!C:C,K2)=0,"","_"&amp;LOOKUP(K2,'Objets de gestion'!C:C,'Objets de gestion'!F:F))
&amp;IF(COUNTIF('Objets de gestion'!C:C,I2)=0,"","_"&amp;LOOKUP(I2,'Objets de gestion'!C:C,'Objets de gestion'!F:F))
&amp;IF(COUNTIF('Objets de gestion'!C:C,G2)=0,"","_"&amp;LOOKUP(G2,'Objets de gestion'!C:C,'Objets de gestion'!F:F))
&amp;IF(COUNTIF('Objets de gestion'!C:C,E2)=0,"","_"&amp;LOOKUP(E2,'Objets de gestion'!C:C,'Objets de gestion'!F:F))
&amp;IF(OR(C2="booléen",COUNTIF('Objets de gestion'!C:C,C2)=0),"","_"&amp;LOOKUP(C2,'Objets de gestion'!C:C,'Objets de gestion'!F:F)),
IF(L2="Forcé",
LOOKUP(B2,'Type de champ'!B:B,'Type de champ'!A:A)
&amp;IF(COUNTIF('Objets de gestion'!C:C,E2)=0,"","_"&amp;LOOKUP(E2,'Objets de gestion'!C:C,'Objets de gestion'!F:F))
&amp;IF(COUNTIF('Objets de gestion'!C:C,G2)=0,"","_"&amp;LOOKUP(G2,'Objets de gestion'!C:C,'Objets de gestion'!F:F))
&amp;IF(COUNTIF('Objets de gestion'!C:C,I2)=0,"","_"&amp;LOOKUP(I2,'Objets de gestion'!C:C,'Objets de gestion'!F:F))
&amp;IF(COUNTIF('Objets de gestion'!C:C,K2)=0,"","_"&amp;LOOKUP(K2,'Objets de gestion'!C:C,'Objets de gestion'!F:F))
&amp;IF(OR(C2="booléen",COUNTIF('Objets de gestion'!C:C,C2)=0),"","_"&amp;LOOKUP(C2,'Objets de gestion'!C:C,'Objets de gestion'!F:F))
))))</f>
        <v/>
      </c>
      <c r="O2" s="41" t="str">
        <f t="shared" ref="O2:O32" si="0">IF(AND(ISBLANK(A2),ISBLANK(B2),ISBLANK(C2),ISBLANK(E2),ISBLANK(L2)),"",IF(OR(ISBLANK(A2),ISBLANK(B2),ISBLANK(C2),ISBLANK(E2),ISBLANK(L2)),"-",
C2&amp;" "&amp;IF(ISBLANK(E2),"",D2&amp;" "&amp;E2&amp;" ")&amp;IF(ISBLANK(G2),"",F2&amp;" "&amp;G2&amp;" ")&amp;IF(ISBLANK(I2),"",H2&amp;" "&amp;I2&amp;" ")&amp;IF(ISBLANK(K2),"",J2&amp;" "&amp;K2&amp;" ")))</f>
        <v/>
      </c>
      <c r="P2" s="41" t="str">
        <f>IF(AND(ISBLANK(A2),ISBLANK(B2),ISBLANK(C2),ISBLANK(E2),ISBLANK(L2)),"",IF(OR(ISBLANK(A2),ISBLANK(B2),ISBLANK(C2),ISBLANK(E2),ISBLANK(L2)),"-",
IF(ISBLANK(C2),"",LOOKUP(C2,'Objets de gestion'!C:C,'Objets de gestion'!E:E))
&amp;IF(ISBLANK(D2),""," "&amp;LOOKUP(D2,Articles!A:A,Articles!B:B))
&amp;IF(ISBLANK(E2),""," "&amp;LOOKUP(E2,'Objets de gestion'!C:C,'Objets de gestion'!E:E))
&amp;IF(ISBLANK(F2),""," "&amp;LOOKUP(F2,Articles!A:A,Articles!B:B))
&amp;IF(ISBLANK(G2),""," "&amp;LOOKUP(G2,'Objets de gestion'!C:C,'Objets de gestion'!E:E))
&amp;IF(ISBLANK(H2),""," "&amp;LOOKUP(H2,Articles!A:A,Articles!B:B))
&amp;IF(ISBLANK(I2),""," "&amp;LOOKUP(I2,'Objets de gestion'!C:C,'Objets de gestion'!E:E))
&amp;IF(ISBLANK(J2),""," "&amp;LOOKUP(J2,Articles!A:A,Articles!B:B))
&amp;IF(ISBLANK(K2),""," "&amp;LOOKUP(K2,'Objets de gestion'!C:C,'Objets de gestion'!E:E))
))</f>
        <v/>
      </c>
      <c r="Q2" s="41" t="str">
        <f>IF(AND(ISBLANK(A2),ISBLANK(B2),ISBLANK(C2),ISBLANK(E2),ISBLANK(L2)),"",IF(OR(ISBLANK(A2),ISBLANK(B2),ISBLANK(C2),ISBLANK(E2),ISBLANK(L2)),"-",
LOOKUP(B2,'Type de champ'!B:B,'Type de champ'!C:C)))</f>
        <v/>
      </c>
      <c r="R2" s="41" t="str">
        <f t="shared" ref="R2:R32" si="1">IF(AND(ISBLANK(A2),ISBLANK(B2),ISBLANK(E2),ISBLANK(G2),ISBLANK(L2)),"",IF(OR(ISBLANK(A2),ISBLANK(B2),ISBLANK(E2),ISBLANK(G2),ISBLANK(L2)),"-",
A2))</f>
        <v/>
      </c>
    </row>
    <row r="3" spans="1:18" s="49" customFormat="1">
      <c r="A3" s="58"/>
      <c r="B3" s="58"/>
      <c r="C3" s="41"/>
      <c r="D3" s="58"/>
      <c r="E3" s="58"/>
      <c r="F3" s="58"/>
      <c r="G3" s="58"/>
      <c r="H3" s="58"/>
      <c r="I3" s="58"/>
      <c r="J3" s="58"/>
      <c r="K3" s="58"/>
      <c r="L3" s="58"/>
      <c r="M3" s="51" t="str">
        <f>IF(AND(ISBLANK(A3),ISBLANK(B3),ISBLANK(E3),ISBLANK(G3),ISBLANK(L3)),"",IF(OR(ISBLANK(A3),ISBLANK(B3),ISBLANK(E3),ISBLANK(G3),ISBLANK(L3)),"-",LEN(Tableau47[[#This Row],[Code]])))</f>
        <v/>
      </c>
      <c r="N3" s="52" t="str">
        <f>IF(AND(ISBLANK(A3),ISBLANK(B3),ISBLANK(C3),ISBLANK(E3),ISBLANK(L3)),"",IF(OR(ISBLANK(A3),ISBLANK(B3),ISBLANK(C3),ISBLANK(E3),ISBLANK(L3)),"à compléter",
IF(L3="Normal",
LOOKUP(B3,'Type de champ'!B:B,'Type de champ'!A:A)
&amp;IF(COUNTIF('Objets de gestion'!C:C,K3)=0,"","_"&amp;LOOKUP(K3,'Objets de gestion'!C:C,'Objets de gestion'!F:F))
&amp;IF(COUNTIF('Objets de gestion'!C:C,I3)=0,"","_"&amp;LOOKUP(I3,'Objets de gestion'!C:C,'Objets de gestion'!F:F))
&amp;IF(COUNTIF('Objets de gestion'!C:C,G3)=0,"","_"&amp;LOOKUP(G3,'Objets de gestion'!C:C,'Objets de gestion'!F:F))
&amp;IF(COUNTIF('Objets de gestion'!C:C,E3)=0,"","_"&amp;LOOKUP(E3,'Objets de gestion'!C:C,'Objets de gestion'!F:F))
&amp;IF(OR(C3="booléen",COUNTIF('Objets de gestion'!C:C,C3)=0),"","_"&amp;LOOKUP(C3,'Objets de gestion'!C:C,'Objets de gestion'!F:F)),
IF(L3="Forcé",
LOOKUP(B3,'Type de champ'!B:B,'Type de champ'!A:A)
&amp;IF(COUNTIF('Objets de gestion'!C:C,E3)=0,"","_"&amp;LOOKUP(E3,'Objets de gestion'!C:C,'Objets de gestion'!F:F))
&amp;IF(COUNTIF('Objets de gestion'!C:C,G3)=0,"","_"&amp;LOOKUP(G3,'Objets de gestion'!C:C,'Objets de gestion'!F:F))
&amp;IF(COUNTIF('Objets de gestion'!C:C,I3)=0,"","_"&amp;LOOKUP(I3,'Objets de gestion'!C:C,'Objets de gestion'!F:F))
&amp;IF(COUNTIF('Objets de gestion'!C:C,K3)=0,"","_"&amp;LOOKUP(K3,'Objets de gestion'!C:C,'Objets de gestion'!F:F))
&amp;IF(OR(C3="booléen",COUNTIF('Objets de gestion'!C:C,C3)=0),"","_"&amp;LOOKUP(C3,'Objets de gestion'!C:C,'Objets de gestion'!F:F))
))))</f>
        <v/>
      </c>
      <c r="O3" s="41" t="str">
        <f t="shared" si="0"/>
        <v/>
      </c>
      <c r="P3" s="41" t="str">
        <f>IF(AND(ISBLANK(A3),ISBLANK(B3),ISBLANK(C3),ISBLANK(E3),ISBLANK(L3)),"",IF(OR(ISBLANK(A3),ISBLANK(B3),ISBLANK(C3),ISBLANK(E3),ISBLANK(L3)),"-",
IF(ISBLANK(C3),"",LOOKUP(C3,'Objets de gestion'!C:C,'Objets de gestion'!E:E))
&amp;IF(ISBLANK(D3),""," "&amp;LOOKUP(D3,Articles!A:A,Articles!B:B))
&amp;IF(ISBLANK(E3),""," "&amp;LOOKUP(E3,'Objets de gestion'!C:C,'Objets de gestion'!E:E))
&amp;IF(ISBLANK(F3),""," "&amp;LOOKUP(F3,Articles!A:A,Articles!B:B))
&amp;IF(ISBLANK(G3),""," "&amp;LOOKUP(G3,'Objets de gestion'!C:C,'Objets de gestion'!E:E))
&amp;IF(ISBLANK(H3),""," "&amp;LOOKUP(H3,Articles!A:A,Articles!B:B))
&amp;IF(ISBLANK(I3),""," "&amp;LOOKUP(I3,'Objets de gestion'!C:C,'Objets de gestion'!E:E))
&amp;IF(ISBLANK(J3),""," "&amp;LOOKUP(J3,Articles!A:A,Articles!B:B))
&amp;IF(ISBLANK(K3),""," "&amp;LOOKUP(K3,'Objets de gestion'!C:C,'Objets de gestion'!E:E))
))</f>
        <v/>
      </c>
      <c r="Q3" s="41" t="str">
        <f>IF(AND(ISBLANK(A3),ISBLANK(B3),ISBLANK(C3),ISBLANK(E3),ISBLANK(L3)),"",IF(OR(ISBLANK(A3),ISBLANK(B3),ISBLANK(C3),ISBLANK(E3),ISBLANK(L3)),"-",
LOOKUP(B3,'Type de champ'!B:B,'Type de champ'!C:C)))</f>
        <v/>
      </c>
      <c r="R3" s="41" t="str">
        <f t="shared" si="1"/>
        <v/>
      </c>
    </row>
    <row r="4" spans="1:18" s="49" customFormat="1">
      <c r="A4" s="58"/>
      <c r="B4" s="58"/>
      <c r="C4" s="41"/>
      <c r="D4" s="58"/>
      <c r="E4" s="58"/>
      <c r="F4" s="58"/>
      <c r="G4" s="58"/>
      <c r="H4" s="58"/>
      <c r="I4" s="58"/>
      <c r="J4" s="58"/>
      <c r="K4" s="58"/>
      <c r="L4" s="58"/>
      <c r="M4" s="51" t="str">
        <f>IF(AND(ISBLANK(A4),ISBLANK(B4),ISBLANK(E4),ISBLANK(G4),ISBLANK(L4)),"",IF(OR(ISBLANK(A4),ISBLANK(B4),ISBLANK(E4),ISBLANK(G4),ISBLANK(L4)),"-",LEN(Tableau47[[#This Row],[Code]])))</f>
        <v/>
      </c>
      <c r="N4" s="52" t="str">
        <f>IF(AND(ISBLANK(A4),ISBLANK(B4),ISBLANK(C4),ISBLANK(E4),ISBLANK(L4)),"",IF(OR(ISBLANK(A4),ISBLANK(B4),ISBLANK(C4),ISBLANK(E4),ISBLANK(L4)),"à compléter",
IF(L4="Normal",
LOOKUP(B4,'Type de champ'!B:B,'Type de champ'!A:A)
&amp;IF(COUNTIF('Objets de gestion'!C:C,K4)=0,"","_"&amp;LOOKUP(K4,'Objets de gestion'!C:C,'Objets de gestion'!F:F))
&amp;IF(COUNTIF('Objets de gestion'!C:C,I4)=0,"","_"&amp;LOOKUP(I4,'Objets de gestion'!C:C,'Objets de gestion'!F:F))
&amp;IF(COUNTIF('Objets de gestion'!C:C,G4)=0,"","_"&amp;LOOKUP(G4,'Objets de gestion'!C:C,'Objets de gestion'!F:F))
&amp;IF(COUNTIF('Objets de gestion'!C:C,E4)=0,"","_"&amp;LOOKUP(E4,'Objets de gestion'!C:C,'Objets de gestion'!F:F))
&amp;IF(OR(C4="booléen",COUNTIF('Objets de gestion'!C:C,C4)=0),"","_"&amp;LOOKUP(C4,'Objets de gestion'!C:C,'Objets de gestion'!F:F)),
IF(L4="Forcé",
LOOKUP(B4,'Type de champ'!B:B,'Type de champ'!A:A)
&amp;IF(COUNTIF('Objets de gestion'!C:C,E4)=0,"","_"&amp;LOOKUP(E4,'Objets de gestion'!C:C,'Objets de gestion'!F:F))
&amp;IF(COUNTIF('Objets de gestion'!C:C,G4)=0,"","_"&amp;LOOKUP(G4,'Objets de gestion'!C:C,'Objets de gestion'!F:F))
&amp;IF(COUNTIF('Objets de gestion'!C:C,I4)=0,"","_"&amp;LOOKUP(I4,'Objets de gestion'!C:C,'Objets de gestion'!F:F))
&amp;IF(COUNTIF('Objets de gestion'!C:C,K4)=0,"","_"&amp;LOOKUP(K4,'Objets de gestion'!C:C,'Objets de gestion'!F:F))
&amp;IF(OR(C4="booléen",COUNTIF('Objets de gestion'!C:C,C4)=0),"","_"&amp;LOOKUP(C4,'Objets de gestion'!C:C,'Objets de gestion'!F:F))
))))</f>
        <v/>
      </c>
      <c r="O4" s="41" t="str">
        <f t="shared" si="0"/>
        <v/>
      </c>
      <c r="P4" s="41" t="str">
        <f>IF(AND(ISBLANK(A4),ISBLANK(B4),ISBLANK(C4),ISBLANK(E4),ISBLANK(L4)),"",IF(OR(ISBLANK(A4),ISBLANK(B4),ISBLANK(C4),ISBLANK(E4),ISBLANK(L4)),"-",
IF(ISBLANK(C4),"",LOOKUP(C4,'Objets de gestion'!C:C,'Objets de gestion'!E:E))
&amp;IF(ISBLANK(D4),""," "&amp;LOOKUP(D4,Articles!A:A,Articles!B:B))
&amp;IF(ISBLANK(E4),""," "&amp;LOOKUP(E4,'Objets de gestion'!C:C,'Objets de gestion'!E:E))
&amp;IF(ISBLANK(F4),""," "&amp;LOOKUP(F4,Articles!A:A,Articles!B:B))
&amp;IF(ISBLANK(G4),""," "&amp;LOOKUP(G4,'Objets de gestion'!C:C,'Objets de gestion'!E:E))
&amp;IF(ISBLANK(H4),""," "&amp;LOOKUP(H4,Articles!A:A,Articles!B:B))
&amp;IF(ISBLANK(I4),""," "&amp;LOOKUP(I4,'Objets de gestion'!C:C,'Objets de gestion'!E:E))
&amp;IF(ISBLANK(J4),""," "&amp;LOOKUP(J4,Articles!A:A,Articles!B:B))
&amp;IF(ISBLANK(K4),""," "&amp;LOOKUP(K4,'Objets de gestion'!C:C,'Objets de gestion'!E:E))
))</f>
        <v/>
      </c>
      <c r="Q4" s="41" t="str">
        <f>IF(AND(ISBLANK(A4),ISBLANK(B4),ISBLANK(C4),ISBLANK(E4),ISBLANK(L4)),"",IF(OR(ISBLANK(A4),ISBLANK(B4),ISBLANK(C4),ISBLANK(E4),ISBLANK(L4)),"-",
LOOKUP(B4,'Type de champ'!B:B,'Type de champ'!C:C)))</f>
        <v/>
      </c>
      <c r="R4" s="41" t="str">
        <f t="shared" si="1"/>
        <v/>
      </c>
    </row>
    <row r="5" spans="1:18" s="49" customFormat="1">
      <c r="A5" s="58"/>
      <c r="B5" s="58"/>
      <c r="C5" s="41"/>
      <c r="D5" s="58"/>
      <c r="E5" s="58"/>
      <c r="F5" s="58"/>
      <c r="G5" s="58"/>
      <c r="H5" s="58"/>
      <c r="I5" s="58"/>
      <c r="J5" s="58"/>
      <c r="K5" s="58"/>
      <c r="L5" s="58"/>
      <c r="M5" s="51" t="str">
        <f>IF(AND(ISBLANK(A5),ISBLANK(B5),ISBLANK(E5),ISBLANK(G5),ISBLANK(L5)),"",IF(OR(ISBLANK(A5),ISBLANK(B5),ISBLANK(E5),ISBLANK(G5),ISBLANK(L5)),"-",LEN(Tableau47[[#This Row],[Code]])))</f>
        <v/>
      </c>
      <c r="N5" s="52" t="str">
        <f>IF(AND(ISBLANK(A5),ISBLANK(B5),ISBLANK(C5),ISBLANK(E5),ISBLANK(L5)),"",IF(OR(ISBLANK(A5),ISBLANK(B5),ISBLANK(C5),ISBLANK(E5),ISBLANK(L5)),"à compléter",
IF(L5="Normal",
LOOKUP(B5,'Type de champ'!B:B,'Type de champ'!A:A)
&amp;IF(COUNTIF('Objets de gestion'!C:C,K5)=0,"","_"&amp;LOOKUP(K5,'Objets de gestion'!C:C,'Objets de gestion'!F:F))
&amp;IF(COUNTIF('Objets de gestion'!C:C,I5)=0,"","_"&amp;LOOKUP(I5,'Objets de gestion'!C:C,'Objets de gestion'!F:F))
&amp;IF(COUNTIF('Objets de gestion'!C:C,G5)=0,"","_"&amp;LOOKUP(G5,'Objets de gestion'!C:C,'Objets de gestion'!F:F))
&amp;IF(COUNTIF('Objets de gestion'!C:C,E5)=0,"","_"&amp;LOOKUP(E5,'Objets de gestion'!C:C,'Objets de gestion'!F:F))
&amp;IF(OR(C5="booléen",COUNTIF('Objets de gestion'!C:C,C5)=0),"","_"&amp;LOOKUP(C5,'Objets de gestion'!C:C,'Objets de gestion'!F:F)),
IF(L5="Forcé",
LOOKUP(B5,'Type de champ'!B:B,'Type de champ'!A:A)
&amp;IF(COUNTIF('Objets de gestion'!C:C,E5)=0,"","_"&amp;LOOKUP(E5,'Objets de gestion'!C:C,'Objets de gestion'!F:F))
&amp;IF(COUNTIF('Objets de gestion'!C:C,G5)=0,"","_"&amp;LOOKUP(G5,'Objets de gestion'!C:C,'Objets de gestion'!F:F))
&amp;IF(COUNTIF('Objets de gestion'!C:C,I5)=0,"","_"&amp;LOOKUP(I5,'Objets de gestion'!C:C,'Objets de gestion'!F:F))
&amp;IF(COUNTIF('Objets de gestion'!C:C,K5)=0,"","_"&amp;LOOKUP(K5,'Objets de gestion'!C:C,'Objets de gestion'!F:F))
&amp;IF(OR(C5="booléen",COUNTIF('Objets de gestion'!C:C,C5)=0),"","_"&amp;LOOKUP(C5,'Objets de gestion'!C:C,'Objets de gestion'!F:F))
))))</f>
        <v/>
      </c>
      <c r="O5" s="41" t="str">
        <f t="shared" si="0"/>
        <v/>
      </c>
      <c r="P5" s="41" t="str">
        <f>IF(AND(ISBLANK(A5),ISBLANK(B5),ISBLANK(C5),ISBLANK(E5),ISBLANK(L5)),"",IF(OR(ISBLANK(A5),ISBLANK(B5),ISBLANK(C5),ISBLANK(E5),ISBLANK(L5)),"-",
IF(ISBLANK(C5),"",LOOKUP(C5,'Objets de gestion'!C:C,'Objets de gestion'!E:E))
&amp;IF(ISBLANK(D5),""," "&amp;LOOKUP(D5,Articles!A:A,Articles!B:B))
&amp;IF(ISBLANK(E5),""," "&amp;LOOKUP(E5,'Objets de gestion'!C:C,'Objets de gestion'!E:E))
&amp;IF(ISBLANK(F5),""," "&amp;LOOKUP(F5,Articles!A:A,Articles!B:B))
&amp;IF(ISBLANK(G5),""," "&amp;LOOKUP(G5,'Objets de gestion'!C:C,'Objets de gestion'!E:E))
&amp;IF(ISBLANK(H5),""," "&amp;LOOKUP(H5,Articles!A:A,Articles!B:B))
&amp;IF(ISBLANK(I5),""," "&amp;LOOKUP(I5,'Objets de gestion'!C:C,'Objets de gestion'!E:E))
&amp;IF(ISBLANK(J5),""," "&amp;LOOKUP(J5,Articles!A:A,Articles!B:B))
&amp;IF(ISBLANK(K5),""," "&amp;LOOKUP(K5,'Objets de gestion'!C:C,'Objets de gestion'!E:E))
))</f>
        <v/>
      </c>
      <c r="Q5" s="41" t="str">
        <f>IF(AND(ISBLANK(A5),ISBLANK(B5),ISBLANK(C5),ISBLANK(E5),ISBLANK(L5)),"",IF(OR(ISBLANK(A5),ISBLANK(B5),ISBLANK(C5),ISBLANK(E5),ISBLANK(L5)),"-",
LOOKUP(B5,'Type de champ'!B:B,'Type de champ'!C:C)))</f>
        <v/>
      </c>
      <c r="R5" s="41" t="str">
        <f t="shared" si="1"/>
        <v/>
      </c>
    </row>
    <row r="6" spans="1:18" s="49" customFormat="1">
      <c r="A6" s="58"/>
      <c r="B6" s="58"/>
      <c r="C6" s="41"/>
      <c r="D6" s="58"/>
      <c r="E6" s="58"/>
      <c r="F6" s="58"/>
      <c r="G6" s="58"/>
      <c r="H6" s="58"/>
      <c r="I6" s="58"/>
      <c r="J6" s="58"/>
      <c r="K6" s="58"/>
      <c r="L6" s="58"/>
      <c r="M6" s="51" t="str">
        <f>IF(AND(ISBLANK(A6),ISBLANK(B6),ISBLANK(E6),ISBLANK(G6),ISBLANK(L6)),"",IF(OR(ISBLANK(A6),ISBLANK(B6),ISBLANK(E6),ISBLANK(G6),ISBLANK(L6)),"-",LEN(Tableau47[[#This Row],[Code]])))</f>
        <v/>
      </c>
      <c r="N6" s="52" t="str">
        <f>IF(AND(ISBLANK(A6),ISBLANK(B6),ISBLANK(C6),ISBLANK(E6),ISBLANK(L6)),"",IF(OR(ISBLANK(A6),ISBLANK(B6),ISBLANK(C6),ISBLANK(E6),ISBLANK(L6)),"à compléter",
IF(L6="Normal",
LOOKUP(B6,'Type de champ'!B:B,'Type de champ'!A:A)
&amp;IF(COUNTIF('Objets de gestion'!C:C,K6)=0,"","_"&amp;LOOKUP(K6,'Objets de gestion'!C:C,'Objets de gestion'!F:F))
&amp;IF(COUNTIF('Objets de gestion'!C:C,I6)=0,"","_"&amp;LOOKUP(I6,'Objets de gestion'!C:C,'Objets de gestion'!F:F))
&amp;IF(COUNTIF('Objets de gestion'!C:C,G6)=0,"","_"&amp;LOOKUP(G6,'Objets de gestion'!C:C,'Objets de gestion'!F:F))
&amp;IF(COUNTIF('Objets de gestion'!C:C,E6)=0,"","_"&amp;LOOKUP(E6,'Objets de gestion'!C:C,'Objets de gestion'!F:F))
&amp;IF(OR(C6="booléen",COUNTIF('Objets de gestion'!C:C,C6)=0),"","_"&amp;LOOKUP(C6,'Objets de gestion'!C:C,'Objets de gestion'!F:F)),
IF(L6="Forcé",
LOOKUP(B6,'Type de champ'!B:B,'Type de champ'!A:A)
&amp;IF(COUNTIF('Objets de gestion'!C:C,E6)=0,"","_"&amp;LOOKUP(E6,'Objets de gestion'!C:C,'Objets de gestion'!F:F))
&amp;IF(COUNTIF('Objets de gestion'!C:C,G6)=0,"","_"&amp;LOOKUP(G6,'Objets de gestion'!C:C,'Objets de gestion'!F:F))
&amp;IF(COUNTIF('Objets de gestion'!C:C,I6)=0,"","_"&amp;LOOKUP(I6,'Objets de gestion'!C:C,'Objets de gestion'!F:F))
&amp;IF(COUNTIF('Objets de gestion'!C:C,K6)=0,"","_"&amp;LOOKUP(K6,'Objets de gestion'!C:C,'Objets de gestion'!F:F))
&amp;IF(OR(C6="booléen",COUNTIF('Objets de gestion'!C:C,C6)=0),"","_"&amp;LOOKUP(C6,'Objets de gestion'!C:C,'Objets de gestion'!F:F))
))))</f>
        <v/>
      </c>
      <c r="O6" s="41" t="str">
        <f t="shared" si="0"/>
        <v/>
      </c>
      <c r="P6" s="41" t="str">
        <f>IF(AND(ISBLANK(A6),ISBLANK(B6),ISBLANK(C6),ISBLANK(E6),ISBLANK(L6)),"",IF(OR(ISBLANK(A6),ISBLANK(B6),ISBLANK(C6),ISBLANK(E6),ISBLANK(L6)),"-",
IF(ISBLANK(C6),"",LOOKUP(C6,'Objets de gestion'!C:C,'Objets de gestion'!E:E))
&amp;IF(ISBLANK(D6),""," "&amp;LOOKUP(D6,Articles!A:A,Articles!B:B))
&amp;IF(ISBLANK(E6),""," "&amp;LOOKUP(E6,'Objets de gestion'!C:C,'Objets de gestion'!E:E))
&amp;IF(ISBLANK(F6),""," "&amp;LOOKUP(F6,Articles!A:A,Articles!B:B))
&amp;IF(ISBLANK(G6),""," "&amp;LOOKUP(G6,'Objets de gestion'!C:C,'Objets de gestion'!E:E))
&amp;IF(ISBLANK(H6),""," "&amp;LOOKUP(H6,Articles!A:A,Articles!B:B))
&amp;IF(ISBLANK(I6),""," "&amp;LOOKUP(I6,'Objets de gestion'!C:C,'Objets de gestion'!E:E))
&amp;IF(ISBLANK(J6),""," "&amp;LOOKUP(J6,Articles!A:A,Articles!B:B))
&amp;IF(ISBLANK(K6),""," "&amp;LOOKUP(K6,'Objets de gestion'!C:C,'Objets de gestion'!E:E))
))</f>
        <v/>
      </c>
      <c r="Q6" s="41" t="str">
        <f>IF(AND(ISBLANK(A6),ISBLANK(B6),ISBLANK(C6),ISBLANK(E6),ISBLANK(L6)),"",IF(OR(ISBLANK(A6),ISBLANK(B6),ISBLANK(C6),ISBLANK(E6),ISBLANK(L6)),"-",
LOOKUP(B6,'Type de champ'!B:B,'Type de champ'!C:C)))</f>
        <v/>
      </c>
      <c r="R6" s="41" t="str">
        <f t="shared" si="1"/>
        <v/>
      </c>
    </row>
    <row r="7" spans="1:18" s="49" customFormat="1">
      <c r="A7" s="58"/>
      <c r="B7" s="58"/>
      <c r="C7" s="41"/>
      <c r="D7" s="58"/>
      <c r="E7" s="58"/>
      <c r="F7" s="58"/>
      <c r="G7" s="58"/>
      <c r="H7" s="58"/>
      <c r="I7" s="58"/>
      <c r="J7" s="58"/>
      <c r="K7" s="58"/>
      <c r="L7" s="58"/>
      <c r="M7" s="51" t="str">
        <f>IF(AND(ISBLANK(A7),ISBLANK(B7),ISBLANK(E7),ISBLANK(G7),ISBLANK(L7)),"",IF(OR(ISBLANK(A7),ISBLANK(B7),ISBLANK(E7),ISBLANK(G7),ISBLANK(L7)),"-",LEN(Tableau47[[#This Row],[Code]])))</f>
        <v/>
      </c>
      <c r="N7" s="52" t="str">
        <f>IF(AND(ISBLANK(A7),ISBLANK(B7),ISBLANK(C7),ISBLANK(E7),ISBLANK(L7)),"",IF(OR(ISBLANK(A7),ISBLANK(B7),ISBLANK(C7),ISBLANK(E7),ISBLANK(L7)),"à compléter",
IF(L7="Normal",
LOOKUP(B7,'Type de champ'!B:B,'Type de champ'!A:A)
&amp;IF(COUNTIF('Objets de gestion'!C:C,K7)=0,"","_"&amp;LOOKUP(K7,'Objets de gestion'!C:C,'Objets de gestion'!F:F))
&amp;IF(COUNTIF('Objets de gestion'!C:C,I7)=0,"","_"&amp;LOOKUP(I7,'Objets de gestion'!C:C,'Objets de gestion'!F:F))
&amp;IF(COUNTIF('Objets de gestion'!C:C,G7)=0,"","_"&amp;LOOKUP(G7,'Objets de gestion'!C:C,'Objets de gestion'!F:F))
&amp;IF(COUNTIF('Objets de gestion'!C:C,E7)=0,"","_"&amp;LOOKUP(E7,'Objets de gestion'!C:C,'Objets de gestion'!F:F))
&amp;IF(OR(C7="booléen",COUNTIF('Objets de gestion'!C:C,C7)=0),"","_"&amp;LOOKUP(C7,'Objets de gestion'!C:C,'Objets de gestion'!F:F)),
IF(L7="Forcé",
LOOKUP(B7,'Type de champ'!B:B,'Type de champ'!A:A)
&amp;IF(COUNTIF('Objets de gestion'!C:C,E7)=0,"","_"&amp;LOOKUP(E7,'Objets de gestion'!C:C,'Objets de gestion'!F:F))
&amp;IF(COUNTIF('Objets de gestion'!C:C,G7)=0,"","_"&amp;LOOKUP(G7,'Objets de gestion'!C:C,'Objets de gestion'!F:F))
&amp;IF(COUNTIF('Objets de gestion'!C:C,I7)=0,"","_"&amp;LOOKUP(I7,'Objets de gestion'!C:C,'Objets de gestion'!F:F))
&amp;IF(COUNTIF('Objets de gestion'!C:C,K7)=0,"","_"&amp;LOOKUP(K7,'Objets de gestion'!C:C,'Objets de gestion'!F:F))
&amp;IF(OR(C7="booléen",COUNTIF('Objets de gestion'!C:C,C7)=0),"","_"&amp;LOOKUP(C7,'Objets de gestion'!C:C,'Objets de gestion'!F:F))
))))</f>
        <v/>
      </c>
      <c r="O7" s="41" t="str">
        <f t="shared" si="0"/>
        <v/>
      </c>
      <c r="P7" s="41" t="str">
        <f>IF(AND(ISBLANK(A7),ISBLANK(B7),ISBLANK(C7),ISBLANK(E7),ISBLANK(L7)),"",IF(OR(ISBLANK(A7),ISBLANK(B7),ISBLANK(C7),ISBLANK(E7),ISBLANK(L7)),"-",
IF(ISBLANK(C7),"",LOOKUP(C7,'Objets de gestion'!C:C,'Objets de gestion'!E:E))
&amp;IF(ISBLANK(D7),""," "&amp;LOOKUP(D7,Articles!A:A,Articles!B:B))
&amp;IF(ISBLANK(E7),""," "&amp;LOOKUP(E7,'Objets de gestion'!C:C,'Objets de gestion'!E:E))
&amp;IF(ISBLANK(F7),""," "&amp;LOOKUP(F7,Articles!A:A,Articles!B:B))
&amp;IF(ISBLANK(G7),""," "&amp;LOOKUP(G7,'Objets de gestion'!C:C,'Objets de gestion'!E:E))
&amp;IF(ISBLANK(H7),""," "&amp;LOOKUP(H7,Articles!A:A,Articles!B:B))
&amp;IF(ISBLANK(I7),""," "&amp;LOOKUP(I7,'Objets de gestion'!C:C,'Objets de gestion'!E:E))
&amp;IF(ISBLANK(J7),""," "&amp;LOOKUP(J7,Articles!A:A,Articles!B:B))
&amp;IF(ISBLANK(K7),""," "&amp;LOOKUP(K7,'Objets de gestion'!C:C,'Objets de gestion'!E:E))
))</f>
        <v/>
      </c>
      <c r="Q7" s="41" t="str">
        <f>IF(AND(ISBLANK(A7),ISBLANK(B7),ISBLANK(C7),ISBLANK(E7),ISBLANK(L7)),"",IF(OR(ISBLANK(A7),ISBLANK(B7),ISBLANK(C7),ISBLANK(E7),ISBLANK(L7)),"-",
LOOKUP(B7,'Type de champ'!B:B,'Type de champ'!C:C)))</f>
        <v/>
      </c>
      <c r="R7" s="41" t="str">
        <f t="shared" si="1"/>
        <v/>
      </c>
    </row>
    <row r="8" spans="1:18" s="49" customFormat="1">
      <c r="A8" s="58"/>
      <c r="B8" s="58"/>
      <c r="C8" s="41"/>
      <c r="D8" s="58"/>
      <c r="E8" s="58"/>
      <c r="F8" s="58"/>
      <c r="G8" s="58"/>
      <c r="H8" s="58"/>
      <c r="I8" s="58"/>
      <c r="J8" s="58"/>
      <c r="K8" s="58"/>
      <c r="L8" s="58"/>
      <c r="M8" s="51" t="str">
        <f>IF(AND(ISBLANK(A8),ISBLANK(B8),ISBLANK(E8),ISBLANK(G8),ISBLANK(L8)),"",IF(OR(ISBLANK(A8),ISBLANK(B8),ISBLANK(E8),ISBLANK(G8),ISBLANK(L8)),"-",LEN(Tableau47[[#This Row],[Code]])))</f>
        <v/>
      </c>
      <c r="N8" s="52" t="str">
        <f>IF(AND(ISBLANK(A8),ISBLANK(B8),ISBLANK(C8),ISBLANK(E8),ISBLANK(L8)),"",IF(OR(ISBLANK(A8),ISBLANK(B8),ISBLANK(C8),ISBLANK(E8),ISBLANK(L8)),"à compléter",
IF(L8="Normal",
LOOKUP(B8,'Type de champ'!B:B,'Type de champ'!A:A)
&amp;IF(COUNTIF('Objets de gestion'!C:C,K8)=0,"","_"&amp;LOOKUP(K8,'Objets de gestion'!C:C,'Objets de gestion'!F:F))
&amp;IF(COUNTIF('Objets de gestion'!C:C,I8)=0,"","_"&amp;LOOKUP(I8,'Objets de gestion'!C:C,'Objets de gestion'!F:F))
&amp;IF(COUNTIF('Objets de gestion'!C:C,G8)=0,"","_"&amp;LOOKUP(G8,'Objets de gestion'!C:C,'Objets de gestion'!F:F))
&amp;IF(COUNTIF('Objets de gestion'!C:C,E8)=0,"","_"&amp;LOOKUP(E8,'Objets de gestion'!C:C,'Objets de gestion'!F:F))
&amp;IF(OR(C8="booléen",COUNTIF('Objets de gestion'!C:C,C8)=0),"","_"&amp;LOOKUP(C8,'Objets de gestion'!C:C,'Objets de gestion'!F:F)),
IF(L8="Forcé",
LOOKUP(B8,'Type de champ'!B:B,'Type de champ'!A:A)
&amp;IF(COUNTIF('Objets de gestion'!C:C,E8)=0,"","_"&amp;LOOKUP(E8,'Objets de gestion'!C:C,'Objets de gestion'!F:F))
&amp;IF(COUNTIF('Objets de gestion'!C:C,G8)=0,"","_"&amp;LOOKUP(G8,'Objets de gestion'!C:C,'Objets de gestion'!F:F))
&amp;IF(COUNTIF('Objets de gestion'!C:C,I8)=0,"","_"&amp;LOOKUP(I8,'Objets de gestion'!C:C,'Objets de gestion'!F:F))
&amp;IF(COUNTIF('Objets de gestion'!C:C,K8)=0,"","_"&amp;LOOKUP(K8,'Objets de gestion'!C:C,'Objets de gestion'!F:F))
&amp;IF(OR(C8="booléen",COUNTIF('Objets de gestion'!C:C,C8)=0),"","_"&amp;LOOKUP(C8,'Objets de gestion'!C:C,'Objets de gestion'!F:F))
))))</f>
        <v/>
      </c>
      <c r="O8" s="41" t="str">
        <f t="shared" si="0"/>
        <v/>
      </c>
      <c r="P8" s="41" t="str">
        <f>IF(AND(ISBLANK(A8),ISBLANK(B8),ISBLANK(C8),ISBLANK(E8),ISBLANK(L8)),"",IF(OR(ISBLANK(A8),ISBLANK(B8),ISBLANK(C8),ISBLANK(E8),ISBLANK(L8)),"-",
IF(ISBLANK(C8),"",LOOKUP(C8,'Objets de gestion'!C:C,'Objets de gestion'!E:E))
&amp;IF(ISBLANK(D8),""," "&amp;LOOKUP(D8,Articles!A:A,Articles!B:B))
&amp;IF(ISBLANK(E8),""," "&amp;LOOKUP(E8,'Objets de gestion'!C:C,'Objets de gestion'!E:E))
&amp;IF(ISBLANK(F8),""," "&amp;LOOKUP(F8,Articles!A:A,Articles!B:B))
&amp;IF(ISBLANK(G8),""," "&amp;LOOKUP(G8,'Objets de gestion'!C:C,'Objets de gestion'!E:E))
&amp;IF(ISBLANK(H8),""," "&amp;LOOKUP(H8,Articles!A:A,Articles!B:B))
&amp;IF(ISBLANK(I8),""," "&amp;LOOKUP(I8,'Objets de gestion'!C:C,'Objets de gestion'!E:E))
&amp;IF(ISBLANK(J8),""," "&amp;LOOKUP(J8,Articles!A:A,Articles!B:B))
&amp;IF(ISBLANK(K8),""," "&amp;LOOKUP(K8,'Objets de gestion'!C:C,'Objets de gestion'!E:E))
))</f>
        <v/>
      </c>
      <c r="Q8" s="41" t="str">
        <f>IF(AND(ISBLANK(A8),ISBLANK(B8),ISBLANK(C8),ISBLANK(E8),ISBLANK(L8)),"",IF(OR(ISBLANK(A8),ISBLANK(B8),ISBLANK(C8),ISBLANK(E8),ISBLANK(L8)),"-",
LOOKUP(B8,'Type de champ'!B:B,'Type de champ'!C:C)))</f>
        <v/>
      </c>
      <c r="R8" s="41" t="str">
        <f t="shared" si="1"/>
        <v/>
      </c>
    </row>
    <row r="9" spans="1:18" s="49" customFormat="1">
      <c r="A9" s="58"/>
      <c r="B9" s="58"/>
      <c r="C9" s="41"/>
      <c r="D9" s="58"/>
      <c r="E9" s="58"/>
      <c r="F9" s="58"/>
      <c r="G9" s="58"/>
      <c r="H9" s="58"/>
      <c r="I9" s="58"/>
      <c r="J9" s="58"/>
      <c r="K9" s="58"/>
      <c r="L9" s="58"/>
      <c r="M9" s="51" t="str">
        <f>IF(AND(ISBLANK(A9),ISBLANK(B9),ISBLANK(E9),ISBLANK(G9),ISBLANK(L9)),"",IF(OR(ISBLANK(A9),ISBLANK(B9),ISBLANK(E9),ISBLANK(G9),ISBLANK(L9)),"-",LEN(Tableau47[[#This Row],[Code]])))</f>
        <v/>
      </c>
      <c r="N9" s="52" t="str">
        <f>IF(AND(ISBLANK(A9),ISBLANK(B9),ISBLANK(C9),ISBLANK(E9),ISBLANK(L9)),"",IF(OR(ISBLANK(A9),ISBLANK(B9),ISBLANK(C9),ISBLANK(E9),ISBLANK(L9)),"à compléter",
IF(L9="Normal",
LOOKUP(B9,'Type de champ'!B:B,'Type de champ'!A:A)
&amp;IF(COUNTIF('Objets de gestion'!C:C,K9)=0,"","_"&amp;LOOKUP(K9,'Objets de gestion'!C:C,'Objets de gestion'!F:F))
&amp;IF(COUNTIF('Objets de gestion'!C:C,I9)=0,"","_"&amp;LOOKUP(I9,'Objets de gestion'!C:C,'Objets de gestion'!F:F))
&amp;IF(COUNTIF('Objets de gestion'!C:C,G9)=0,"","_"&amp;LOOKUP(G9,'Objets de gestion'!C:C,'Objets de gestion'!F:F))
&amp;IF(COUNTIF('Objets de gestion'!C:C,E9)=0,"","_"&amp;LOOKUP(E9,'Objets de gestion'!C:C,'Objets de gestion'!F:F))
&amp;IF(OR(C9="booléen",COUNTIF('Objets de gestion'!C:C,C9)=0),"","_"&amp;LOOKUP(C9,'Objets de gestion'!C:C,'Objets de gestion'!F:F)),
IF(L9="Forcé",
LOOKUP(B9,'Type de champ'!B:B,'Type de champ'!A:A)
&amp;IF(COUNTIF('Objets de gestion'!C:C,E9)=0,"","_"&amp;LOOKUP(E9,'Objets de gestion'!C:C,'Objets de gestion'!F:F))
&amp;IF(COUNTIF('Objets de gestion'!C:C,G9)=0,"","_"&amp;LOOKUP(G9,'Objets de gestion'!C:C,'Objets de gestion'!F:F))
&amp;IF(COUNTIF('Objets de gestion'!C:C,I9)=0,"","_"&amp;LOOKUP(I9,'Objets de gestion'!C:C,'Objets de gestion'!F:F))
&amp;IF(COUNTIF('Objets de gestion'!C:C,K9)=0,"","_"&amp;LOOKUP(K9,'Objets de gestion'!C:C,'Objets de gestion'!F:F))
&amp;IF(OR(C9="booléen",COUNTIF('Objets de gestion'!C:C,C9)=0),"","_"&amp;LOOKUP(C9,'Objets de gestion'!C:C,'Objets de gestion'!F:F))
))))</f>
        <v/>
      </c>
      <c r="O9" s="41" t="str">
        <f t="shared" si="0"/>
        <v/>
      </c>
      <c r="P9" s="41" t="str">
        <f>IF(AND(ISBLANK(A9),ISBLANK(B9),ISBLANK(C9),ISBLANK(E9),ISBLANK(L9)),"",IF(OR(ISBLANK(A9),ISBLANK(B9),ISBLANK(C9),ISBLANK(E9),ISBLANK(L9)),"-",
IF(ISBLANK(C9),"",LOOKUP(C9,'Objets de gestion'!C:C,'Objets de gestion'!E:E))
&amp;IF(ISBLANK(D9),""," "&amp;LOOKUP(D9,Articles!A:A,Articles!B:B))
&amp;IF(ISBLANK(E9),""," "&amp;LOOKUP(E9,'Objets de gestion'!C:C,'Objets de gestion'!E:E))
&amp;IF(ISBLANK(F9),""," "&amp;LOOKUP(F9,Articles!A:A,Articles!B:B))
&amp;IF(ISBLANK(G9),""," "&amp;LOOKUP(G9,'Objets de gestion'!C:C,'Objets de gestion'!E:E))
&amp;IF(ISBLANK(H9),""," "&amp;LOOKUP(H9,Articles!A:A,Articles!B:B))
&amp;IF(ISBLANK(I9),""," "&amp;LOOKUP(I9,'Objets de gestion'!C:C,'Objets de gestion'!E:E))
&amp;IF(ISBLANK(J9),""," "&amp;LOOKUP(J9,Articles!A:A,Articles!B:B))
&amp;IF(ISBLANK(K9),""," "&amp;LOOKUP(K9,'Objets de gestion'!C:C,'Objets de gestion'!E:E))
))</f>
        <v/>
      </c>
      <c r="Q9" s="41" t="str">
        <f>IF(AND(ISBLANK(A9),ISBLANK(B9),ISBLANK(C9),ISBLANK(E9),ISBLANK(L9)),"",IF(OR(ISBLANK(A9),ISBLANK(B9),ISBLANK(C9),ISBLANK(E9),ISBLANK(L9)),"-",
LOOKUP(B9,'Type de champ'!B:B,'Type de champ'!C:C)))</f>
        <v/>
      </c>
      <c r="R9" s="41" t="str">
        <f t="shared" si="1"/>
        <v/>
      </c>
    </row>
    <row r="10" spans="1:18">
      <c r="M10" s="51" t="str">
        <f>IF(AND(ISBLANK(A10),ISBLANK(B10),ISBLANK(E10),ISBLANK(G10),ISBLANK(L10)),"",IF(OR(ISBLANK(A10),ISBLANK(B10),ISBLANK(E10),ISBLANK(G10),ISBLANK(L10)),"-",LEN(Tableau47[[#This Row],[Code]])))</f>
        <v/>
      </c>
      <c r="N10" s="52" t="str">
        <f>IF(AND(ISBLANK(A10),ISBLANK(B10),ISBLANK(C10),ISBLANK(E10),ISBLANK(L10)),"",IF(OR(ISBLANK(A10),ISBLANK(B10),ISBLANK(C10),ISBLANK(E10),ISBLANK(L10)),"à compléter",
IF(L10="Normal",
LOOKUP(B10,'Type de champ'!B:B,'Type de champ'!A:A)
&amp;IF(COUNTIF('Objets de gestion'!C:C,K10)=0,"","_"&amp;LOOKUP(K10,'Objets de gestion'!C:C,'Objets de gestion'!F:F))
&amp;IF(COUNTIF('Objets de gestion'!C:C,I10)=0,"","_"&amp;LOOKUP(I10,'Objets de gestion'!C:C,'Objets de gestion'!F:F))
&amp;IF(COUNTIF('Objets de gestion'!C:C,G10)=0,"","_"&amp;LOOKUP(G10,'Objets de gestion'!C:C,'Objets de gestion'!F:F))
&amp;IF(COUNTIF('Objets de gestion'!C:C,E10)=0,"","_"&amp;LOOKUP(E10,'Objets de gestion'!C:C,'Objets de gestion'!F:F))
&amp;IF(OR(C10="booléen",COUNTIF('Objets de gestion'!C:C,C10)=0),"","_"&amp;LOOKUP(C10,'Objets de gestion'!C:C,'Objets de gestion'!F:F)),
IF(L10="Forcé",
LOOKUP(B10,'Type de champ'!B:B,'Type de champ'!A:A)
&amp;IF(COUNTIF('Objets de gestion'!C:C,E10)=0,"","_"&amp;LOOKUP(E10,'Objets de gestion'!C:C,'Objets de gestion'!F:F))
&amp;IF(COUNTIF('Objets de gestion'!C:C,G10)=0,"","_"&amp;LOOKUP(G10,'Objets de gestion'!C:C,'Objets de gestion'!F:F))
&amp;IF(COUNTIF('Objets de gestion'!C:C,I10)=0,"","_"&amp;LOOKUP(I10,'Objets de gestion'!C:C,'Objets de gestion'!F:F))
&amp;IF(COUNTIF('Objets de gestion'!C:C,K10)=0,"","_"&amp;LOOKUP(K10,'Objets de gestion'!C:C,'Objets de gestion'!F:F))
&amp;IF(OR(C10="booléen",COUNTIF('Objets de gestion'!C:C,C10)=0),"","_"&amp;LOOKUP(C10,'Objets de gestion'!C:C,'Objets de gestion'!F:F))
))))</f>
        <v/>
      </c>
      <c r="O10" s="41" t="str">
        <f t="shared" si="0"/>
        <v/>
      </c>
      <c r="P10" s="41" t="str">
        <f>IF(AND(ISBLANK(A10),ISBLANK(B10),ISBLANK(C10),ISBLANK(E10),ISBLANK(L10)),"",IF(OR(ISBLANK(A10),ISBLANK(B10),ISBLANK(C10),ISBLANK(E10),ISBLANK(L10)),"-",
IF(ISBLANK(C10),"",LOOKUP(C10,'Objets de gestion'!C:C,'Objets de gestion'!E:E))
&amp;IF(ISBLANK(D10),""," "&amp;LOOKUP(D10,Articles!A:A,Articles!B:B))
&amp;IF(ISBLANK(E10),""," "&amp;LOOKUP(E10,'Objets de gestion'!C:C,'Objets de gestion'!E:E))
&amp;IF(ISBLANK(F10),""," "&amp;LOOKUP(F10,Articles!A:A,Articles!B:B))
&amp;IF(ISBLANK(G10),""," "&amp;LOOKUP(G10,'Objets de gestion'!C:C,'Objets de gestion'!E:E))
&amp;IF(ISBLANK(H10),""," "&amp;LOOKUP(H10,Articles!A:A,Articles!B:B))
&amp;IF(ISBLANK(I10),""," "&amp;LOOKUP(I10,'Objets de gestion'!C:C,'Objets de gestion'!E:E))
&amp;IF(ISBLANK(J10),""," "&amp;LOOKUP(J10,Articles!A:A,Articles!B:B))
&amp;IF(ISBLANK(K10),""," "&amp;LOOKUP(K10,'Objets de gestion'!C:C,'Objets de gestion'!E:E))
))</f>
        <v/>
      </c>
      <c r="Q10" s="41" t="str">
        <f>IF(AND(ISBLANK(A10),ISBLANK(B10),ISBLANK(C10),ISBLANK(E10),ISBLANK(L10)),"",IF(OR(ISBLANK(A10),ISBLANK(B10),ISBLANK(C10),ISBLANK(E10),ISBLANK(L10)),"-",
LOOKUP(B10,'Type de champ'!B:B,'Type de champ'!C:C)))</f>
        <v/>
      </c>
      <c r="R10" s="41" t="str">
        <f t="shared" si="1"/>
        <v/>
      </c>
    </row>
    <row r="11" spans="1:18">
      <c r="M11" s="51" t="str">
        <f>IF(AND(ISBLANK(A11),ISBLANK(B11),ISBLANK(E11),ISBLANK(G11),ISBLANK(L11)),"",IF(OR(ISBLANK(A11),ISBLANK(B11),ISBLANK(E11),ISBLANK(G11),ISBLANK(L11)),"-",LEN(Tableau47[[#This Row],[Code]])))</f>
        <v/>
      </c>
      <c r="N11" s="52" t="str">
        <f>IF(AND(ISBLANK(A11),ISBLANK(B11),ISBLANK(C11),ISBLANK(E11),ISBLANK(L11)),"",IF(OR(ISBLANK(A11),ISBLANK(B11),ISBLANK(C11),ISBLANK(E11),ISBLANK(L11)),"à compléter",
IF(L11="Normal",
LOOKUP(B11,'Type de champ'!B:B,'Type de champ'!A:A)
&amp;IF(COUNTIF('Objets de gestion'!C:C,K11)=0,"","_"&amp;LOOKUP(K11,'Objets de gestion'!C:C,'Objets de gestion'!F:F))
&amp;IF(COUNTIF('Objets de gestion'!C:C,I11)=0,"","_"&amp;LOOKUP(I11,'Objets de gestion'!C:C,'Objets de gestion'!F:F))
&amp;IF(COUNTIF('Objets de gestion'!C:C,G11)=0,"","_"&amp;LOOKUP(G11,'Objets de gestion'!C:C,'Objets de gestion'!F:F))
&amp;IF(COUNTIF('Objets de gestion'!C:C,E11)=0,"","_"&amp;LOOKUP(E11,'Objets de gestion'!C:C,'Objets de gestion'!F:F))
&amp;IF(OR(C11="booléen",COUNTIF('Objets de gestion'!C:C,C11)=0),"","_"&amp;LOOKUP(C11,'Objets de gestion'!C:C,'Objets de gestion'!F:F)),
IF(L11="Forcé",
LOOKUP(B11,'Type de champ'!B:B,'Type de champ'!A:A)
&amp;IF(COUNTIF('Objets de gestion'!C:C,E11)=0,"","_"&amp;LOOKUP(E11,'Objets de gestion'!C:C,'Objets de gestion'!F:F))
&amp;IF(COUNTIF('Objets de gestion'!C:C,G11)=0,"","_"&amp;LOOKUP(G11,'Objets de gestion'!C:C,'Objets de gestion'!F:F))
&amp;IF(COUNTIF('Objets de gestion'!C:C,I11)=0,"","_"&amp;LOOKUP(I11,'Objets de gestion'!C:C,'Objets de gestion'!F:F))
&amp;IF(COUNTIF('Objets de gestion'!C:C,K11)=0,"","_"&amp;LOOKUP(K11,'Objets de gestion'!C:C,'Objets de gestion'!F:F))
&amp;IF(OR(C11="booléen",COUNTIF('Objets de gestion'!C:C,C11)=0),"","_"&amp;LOOKUP(C11,'Objets de gestion'!C:C,'Objets de gestion'!F:F))
))))</f>
        <v/>
      </c>
      <c r="O11" s="41" t="str">
        <f t="shared" si="0"/>
        <v/>
      </c>
      <c r="P11" s="41" t="str">
        <f>IF(AND(ISBLANK(A11),ISBLANK(B11),ISBLANK(C11),ISBLANK(E11),ISBLANK(L11)),"",IF(OR(ISBLANK(A11),ISBLANK(B11),ISBLANK(C11),ISBLANK(E11),ISBLANK(L11)),"-",
IF(ISBLANK(C11),"",LOOKUP(C11,'Objets de gestion'!C:C,'Objets de gestion'!E:E))
&amp;IF(ISBLANK(D11),""," "&amp;LOOKUP(D11,Articles!A:A,Articles!B:B))
&amp;IF(ISBLANK(E11),""," "&amp;LOOKUP(E11,'Objets de gestion'!C:C,'Objets de gestion'!E:E))
&amp;IF(ISBLANK(F11),""," "&amp;LOOKUP(F11,Articles!A:A,Articles!B:B))
&amp;IF(ISBLANK(G11),""," "&amp;LOOKUP(G11,'Objets de gestion'!C:C,'Objets de gestion'!E:E))
&amp;IF(ISBLANK(H11),""," "&amp;LOOKUP(H11,Articles!A:A,Articles!B:B))
&amp;IF(ISBLANK(I11),""," "&amp;LOOKUP(I11,'Objets de gestion'!C:C,'Objets de gestion'!E:E))
&amp;IF(ISBLANK(J11),""," "&amp;LOOKUP(J11,Articles!A:A,Articles!B:B))
&amp;IF(ISBLANK(K11),""," "&amp;LOOKUP(K11,'Objets de gestion'!C:C,'Objets de gestion'!E:E))
))</f>
        <v/>
      </c>
      <c r="Q11" s="41" t="str">
        <f>IF(AND(ISBLANK(A11),ISBLANK(B11),ISBLANK(C11),ISBLANK(E11),ISBLANK(L11)),"",IF(OR(ISBLANK(A11),ISBLANK(B11),ISBLANK(C11),ISBLANK(E11),ISBLANK(L11)),"-",
LOOKUP(B11,'Type de champ'!B:B,'Type de champ'!C:C)))</f>
        <v/>
      </c>
      <c r="R11" s="41" t="str">
        <f t="shared" si="1"/>
        <v/>
      </c>
    </row>
    <row r="12" spans="1:18">
      <c r="A12" s="50" t="s">
        <v>589</v>
      </c>
      <c r="B12" s="41" t="s">
        <v>510</v>
      </c>
      <c r="C12" s="41" t="s">
        <v>166</v>
      </c>
      <c r="D12" s="41" t="s">
        <v>40</v>
      </c>
      <c r="E12" s="41" t="s">
        <v>137</v>
      </c>
      <c r="F12" s="41" t="s">
        <v>42</v>
      </c>
      <c r="G12" s="41" t="s">
        <v>566</v>
      </c>
      <c r="J12" s="58"/>
      <c r="K12" s="58"/>
      <c r="L12" s="41" t="s">
        <v>572</v>
      </c>
      <c r="M12" s="51">
        <f>IF(AND(ISBLANK(A12),ISBLANK(B12),ISBLANK(E12),ISBLANK(G12),ISBLANK(L12)),"",IF(OR(ISBLANK(A12),ISBLANK(B12),ISBLANK(E12),ISBLANK(G12),ISBLANK(L12)),"-",LEN(Tableau47[[#This Row],[Code]])))</f>
        <v>1</v>
      </c>
      <c r="N12" s="52" t="str">
        <f>IF(AND(ISBLANK(A12),ISBLANK(B12),ISBLANK(C12),ISBLANK(E12),ISBLANK(L12)),"",IF(OR(ISBLANK(A12),ISBLANK(B12),ISBLANK(C12),ISBLANK(E12),ISBLANK(L12)),"à compléter",
IF(L12="Normal",
LOOKUP(B12,'Type de champ'!B:B,'Type de champ'!A:A)
&amp;IF(COUNTIF('Objets de gestion'!C:C,K12)=0,"","_"&amp;LOOKUP(K12,'Objets de gestion'!C:C,'Objets de gestion'!F:F))
&amp;IF(COUNTIF('Objets de gestion'!C:C,I12)=0,"","_"&amp;LOOKUP(I12,'Objets de gestion'!C:C,'Objets de gestion'!F:F))
&amp;IF(COUNTIF('Objets de gestion'!C:C,G12)=0,"","_"&amp;LOOKUP(G12,'Objets de gestion'!C:C,'Objets de gestion'!F:F))
&amp;IF(COUNTIF('Objets de gestion'!C:C,E12)=0,"","_"&amp;LOOKUP(E12,'Objets de gestion'!C:C,'Objets de gestion'!F:F))
&amp;IF(OR(C12="booléen",COUNTIF('Objets de gestion'!C:C,C12)=0),"","_"&amp;LOOKUP(C12,'Objets de gestion'!C:C,'Objets de gestion'!F:F)),
IF(L12="Forcé",
LOOKUP(B12,'Type de champ'!B:B,'Type de champ'!A:A)
&amp;IF(COUNTIF('Objets de gestion'!C:C,E12)=0,"","_"&amp;LOOKUP(E12,'Objets de gestion'!C:C,'Objets de gestion'!F:F))
&amp;IF(COUNTIF('Objets de gestion'!C:C,G12)=0,"","_"&amp;LOOKUP(G12,'Objets de gestion'!C:C,'Objets de gestion'!F:F))
&amp;IF(COUNTIF('Objets de gestion'!C:C,I12)=0,"","_"&amp;LOOKUP(I12,'Objets de gestion'!C:C,'Objets de gestion'!F:F))
&amp;IF(COUNTIF('Objets de gestion'!C:C,K12)=0,"","_"&amp;LOOKUP(K12,'Objets de gestion'!C:C,'Objets de gestion'!F:F))
&amp;IF(OR(C12="booléen",COUNTIF('Objets de gestion'!C:C,C12)=0),"","_"&amp;LOOKUP(C12,'Objets de gestion'!C:C,'Objets de gestion'!F:F))
))))</f>
        <v>K</v>
      </c>
      <c r="O12" s="41" t="str">
        <f t="shared" si="0"/>
        <v xml:space="preserve">Identifiant unique entre client et chargé de clientèle </v>
      </c>
      <c r="P12" s="41" t="str">
        <f>IF(AND(ISBLANK(A12),ISBLANK(B12),ISBLANK(C12),ISBLANK(E12),ISBLANK(L12)),"",IF(OR(ISBLANK(A12),ISBLANK(B12),ISBLANK(C12),ISBLANK(E12),ISBLANK(L12)),"-",
IF(ISBLANK(C12),"",LOOKUP(C12,'Objets de gestion'!C:C,'Objets de gestion'!E:E))
&amp;IF(ISBLANK(D12),""," "&amp;LOOKUP(D12,Articles!A:A,Articles!B:B))
&amp;IF(ISBLANK(E12),""," "&amp;LOOKUP(E12,'Objets de gestion'!C:C,'Objets de gestion'!E:E))
&amp;IF(ISBLANK(F12),""," "&amp;LOOKUP(F12,Articles!A:A,Articles!B:B))
&amp;IF(ISBLANK(G12),""," "&amp;LOOKUP(G12,'Objets de gestion'!C:C,'Objets de gestion'!E:E))
&amp;IF(ISBLANK(H12),""," "&amp;LOOKUP(H12,Articles!A:A,Articles!B:B))
&amp;IF(ISBLANK(I12),""," "&amp;LOOKUP(I12,'Objets de gestion'!C:C,'Objets de gestion'!E:E))
&amp;IF(ISBLANK(J12),""," "&amp;LOOKUP(J12,Articles!A:A,Articles!B:B))
&amp;IF(ISBLANK(K12),""," "&amp;LOOKUP(K12,'Objets de gestion'!C:C,'Objets de gestion'!E:E))
))</f>
        <v>turnkey action completion  between turnkey action completion  and turnkey action completion</v>
      </c>
      <c r="Q12" s="41" t="str">
        <f>IF(AND(ISBLANK(A12),ISBLANK(B12),ISBLANK(C12),ISBLANK(E12),ISBLANK(L12)),"",IF(OR(ISBLANK(A12),ISBLANK(B12),ISBLANK(C12),ISBLANK(E12),ISBLANK(L12)),"-",
LOOKUP(B12,'Type de champ'!B:B,'Type de champ'!C:C)))</f>
        <v>Integer</v>
      </c>
      <c r="R12" s="41" t="str">
        <f t="shared" si="1"/>
        <v>Tiers</v>
      </c>
    </row>
    <row r="13" spans="1:18">
      <c r="A13" s="50" t="s">
        <v>589</v>
      </c>
      <c r="B13" s="41" t="s">
        <v>516</v>
      </c>
      <c r="C13" s="41" t="s">
        <v>590</v>
      </c>
      <c r="D13" s="41" t="s">
        <v>40</v>
      </c>
      <c r="E13" s="41" t="s">
        <v>137</v>
      </c>
      <c r="F13" s="41" t="s">
        <v>42</v>
      </c>
      <c r="G13" s="41" t="s">
        <v>566</v>
      </c>
      <c r="J13" s="58"/>
      <c r="K13" s="58"/>
      <c r="L13" s="41" t="s">
        <v>572</v>
      </c>
      <c r="M13" s="51">
        <f>IF(AND(ISBLANK(A13),ISBLANK(B13),ISBLANK(E13),ISBLANK(G13),ISBLANK(L13)),"",IF(OR(ISBLANK(A13),ISBLANK(B13),ISBLANK(E13),ISBLANK(G13),ISBLANK(L13)),"-",LEN(Tableau47[[#This Row],[Code]])))</f>
        <v>1</v>
      </c>
      <c r="N13" s="52" t="str">
        <f>IF(AND(ISBLANK(A13),ISBLANK(B13),ISBLANK(C13),ISBLANK(E13),ISBLANK(L13)),"",IF(OR(ISBLANK(A13),ISBLANK(B13),ISBLANK(C13),ISBLANK(E13),ISBLANK(L13)),"à compléter",
IF(L13="Normal",
LOOKUP(B13,'Type de champ'!B:B,'Type de champ'!A:A)
&amp;IF(COUNTIF('Objets de gestion'!C:C,K13)=0,"","_"&amp;LOOKUP(K13,'Objets de gestion'!C:C,'Objets de gestion'!F:F))
&amp;IF(COUNTIF('Objets de gestion'!C:C,I13)=0,"","_"&amp;LOOKUP(I13,'Objets de gestion'!C:C,'Objets de gestion'!F:F))
&amp;IF(COUNTIF('Objets de gestion'!C:C,G13)=0,"","_"&amp;LOOKUP(G13,'Objets de gestion'!C:C,'Objets de gestion'!F:F))
&amp;IF(COUNTIF('Objets de gestion'!C:C,E13)=0,"","_"&amp;LOOKUP(E13,'Objets de gestion'!C:C,'Objets de gestion'!F:F))
&amp;IF(OR(C13="booléen",COUNTIF('Objets de gestion'!C:C,C13)=0),"","_"&amp;LOOKUP(C13,'Objets de gestion'!C:C,'Objets de gestion'!F:F)),
IF(L13="Forcé",
LOOKUP(B13,'Type de champ'!B:B,'Type de champ'!A:A)
&amp;IF(COUNTIF('Objets de gestion'!C:C,E13)=0,"","_"&amp;LOOKUP(E13,'Objets de gestion'!C:C,'Objets de gestion'!F:F))
&amp;IF(COUNTIF('Objets de gestion'!C:C,G13)=0,"","_"&amp;LOOKUP(G13,'Objets de gestion'!C:C,'Objets de gestion'!F:F))
&amp;IF(COUNTIF('Objets de gestion'!C:C,I13)=0,"","_"&amp;LOOKUP(I13,'Objets de gestion'!C:C,'Objets de gestion'!F:F))
&amp;IF(COUNTIF('Objets de gestion'!C:C,K13)=0,"","_"&amp;LOOKUP(K13,'Objets de gestion'!C:C,'Objets de gestion'!F:F))
&amp;IF(OR(C13="booléen",COUNTIF('Objets de gestion'!C:C,C13)=0),"","_"&amp;LOOKUP(C13,'Objets de gestion'!C:C,'Objets de gestion'!F:F))
))))</f>
        <v>X</v>
      </c>
      <c r="O13" s="41" t="str">
        <f t="shared" si="0"/>
        <v xml:space="preserve">Identifiant fonctionnel entre client et chargé de clientèle </v>
      </c>
      <c r="P13" s="41" t="str">
        <f>IF(AND(ISBLANK(A13),ISBLANK(B13),ISBLANK(C13),ISBLANK(E13),ISBLANK(L13)),"",IF(OR(ISBLANK(A13),ISBLANK(B13),ISBLANK(C13),ISBLANK(E13),ISBLANK(L13)),"-",
IF(ISBLANK(C13),"",LOOKUP(C13,'Objets de gestion'!C:C,'Objets de gestion'!E:E))
&amp;IF(ISBLANK(D13),""," "&amp;LOOKUP(D13,Articles!A:A,Articles!B:B))
&amp;IF(ISBLANK(E13),""," "&amp;LOOKUP(E13,'Objets de gestion'!C:C,'Objets de gestion'!E:E))
&amp;IF(ISBLANK(F13),""," "&amp;LOOKUP(F13,Articles!A:A,Articles!B:B))
&amp;IF(ISBLANK(G13),""," "&amp;LOOKUP(G13,'Objets de gestion'!C:C,'Objets de gestion'!E:E))
&amp;IF(ISBLANK(H13),""," "&amp;LOOKUP(H13,Articles!A:A,Articles!B:B))
&amp;IF(ISBLANK(I13),""," "&amp;LOOKUP(I13,'Objets de gestion'!C:C,'Objets de gestion'!E:E))
&amp;IF(ISBLANK(J13),""," "&amp;LOOKUP(J13,Articles!A:A,Articles!B:B))
&amp;IF(ISBLANK(K13),""," "&amp;LOOKUP(K13,'Objets de gestion'!C:C,'Objets de gestion'!E:E))
))</f>
        <v>turnkey action completion  between turnkey action completion  and turnkey action completion</v>
      </c>
      <c r="Q13" s="41" t="str">
        <f>IF(AND(ISBLANK(A13),ISBLANK(B13),ISBLANK(C13),ISBLANK(E13),ISBLANK(L13)),"",IF(OR(ISBLANK(A13),ISBLANK(B13),ISBLANK(C13),ISBLANK(E13),ISBLANK(L13)),"-",
LOOKUP(B13,'Type de champ'!B:B,'Type de champ'!C:C)))</f>
        <v>Varchar(??)</v>
      </c>
      <c r="R13" s="41" t="str">
        <f t="shared" si="1"/>
        <v>Tiers</v>
      </c>
    </row>
    <row r="14" spans="1:18">
      <c r="A14" s="50" t="s">
        <v>589</v>
      </c>
      <c r="B14" s="41" t="s">
        <v>514</v>
      </c>
      <c r="C14" s="41" t="s">
        <v>530</v>
      </c>
      <c r="D14" s="41" t="s">
        <v>40</v>
      </c>
      <c r="E14" s="41" t="s">
        <v>137</v>
      </c>
      <c r="F14" s="41" t="s">
        <v>42</v>
      </c>
      <c r="G14" s="41" t="s">
        <v>566</v>
      </c>
      <c r="L14" s="41" t="s">
        <v>572</v>
      </c>
      <c r="M14" s="51">
        <f>IF(AND(ISBLANK(A14),ISBLANK(B14),ISBLANK(E14),ISBLANK(G14),ISBLANK(L14)),"",IF(OR(ISBLANK(A14),ISBLANK(B14),ISBLANK(E14),ISBLANK(G14),ISBLANK(L14)),"-",LEN(Tableau47[[#This Row],[Code]])))</f>
        <v>1</v>
      </c>
      <c r="N14" s="52" t="str">
        <f>IF(AND(ISBLANK(A14),ISBLANK(B14),ISBLANK(C14),ISBLANK(E14),ISBLANK(L14)),"",IF(OR(ISBLANK(A14),ISBLANK(B14),ISBLANK(C14),ISBLANK(E14),ISBLANK(L14)),"à compléter",
IF(L14="Normal",
LOOKUP(B14,'Type de champ'!B:B,'Type de champ'!A:A)
&amp;IF(COUNTIF('Objets de gestion'!C:C,K14)=0,"","_"&amp;LOOKUP(K14,'Objets de gestion'!C:C,'Objets de gestion'!F:F))
&amp;IF(COUNTIF('Objets de gestion'!C:C,I14)=0,"","_"&amp;LOOKUP(I14,'Objets de gestion'!C:C,'Objets de gestion'!F:F))
&amp;IF(COUNTIF('Objets de gestion'!C:C,G14)=0,"","_"&amp;LOOKUP(G14,'Objets de gestion'!C:C,'Objets de gestion'!F:F))
&amp;IF(COUNTIF('Objets de gestion'!C:C,E14)=0,"","_"&amp;LOOKUP(E14,'Objets de gestion'!C:C,'Objets de gestion'!F:F))
&amp;IF(OR(C14="booléen",COUNTIF('Objets de gestion'!C:C,C14)=0),"","_"&amp;LOOKUP(C14,'Objets de gestion'!C:C,'Objets de gestion'!F:F)),
IF(L14="Forcé",
LOOKUP(B14,'Type de champ'!B:B,'Type de champ'!A:A)
&amp;IF(COUNTIF('Objets de gestion'!C:C,E14)=0,"","_"&amp;LOOKUP(E14,'Objets de gestion'!C:C,'Objets de gestion'!F:F))
&amp;IF(COUNTIF('Objets de gestion'!C:C,G14)=0,"","_"&amp;LOOKUP(G14,'Objets de gestion'!C:C,'Objets de gestion'!F:F))
&amp;IF(COUNTIF('Objets de gestion'!C:C,I14)=0,"","_"&amp;LOOKUP(I14,'Objets de gestion'!C:C,'Objets de gestion'!F:F))
&amp;IF(COUNTIF('Objets de gestion'!C:C,K14)=0,"","_"&amp;LOOKUP(K14,'Objets de gestion'!C:C,'Objets de gestion'!F:F))
&amp;IF(OR(C14="booléen",COUNTIF('Objets de gestion'!C:C,C14)=0),"","_"&amp;LOOKUP(C14,'Objets de gestion'!C:C,'Objets de gestion'!F:F))
))))</f>
        <v>T</v>
      </c>
      <c r="O14" s="41" t="str">
        <f t="shared" si="0"/>
        <v xml:space="preserve">Date de début de l'identifiant unique entre client et chargé de clientèle </v>
      </c>
      <c r="P14" s="41" t="str">
        <f>IF(AND(ISBLANK(A14),ISBLANK(B14),ISBLANK(C14),ISBLANK(E14),ISBLANK(L14)),"",IF(OR(ISBLANK(A14),ISBLANK(B14),ISBLANK(C14),ISBLANK(E14),ISBLANK(L14)),"-",
IF(ISBLANK(C14),"",LOOKUP(C14,'Objets de gestion'!C:C,'Objets de gestion'!E:E))
&amp;IF(ISBLANK(D14),""," "&amp;LOOKUP(D14,Articles!A:A,Articles!B:B))
&amp;IF(ISBLANK(E14),""," "&amp;LOOKUP(E14,'Objets de gestion'!C:C,'Objets de gestion'!E:E))
&amp;IF(ISBLANK(F14),""," "&amp;LOOKUP(F14,Articles!A:A,Articles!B:B))
&amp;IF(ISBLANK(G14),""," "&amp;LOOKUP(G14,'Objets de gestion'!C:C,'Objets de gestion'!E:E))
&amp;IF(ISBLANK(H14),""," "&amp;LOOKUP(H14,Articles!A:A,Articles!B:B))
&amp;IF(ISBLANK(I14),""," "&amp;LOOKUP(I14,'Objets de gestion'!C:C,'Objets de gestion'!E:E))
&amp;IF(ISBLANK(J14),""," "&amp;LOOKUP(J14,Articles!A:A,Articles!B:B))
&amp;IF(ISBLANK(K14),""," "&amp;LOOKUP(K14,'Objets de gestion'!C:C,'Objets de gestion'!E:E))
))</f>
        <v>turnkey action completion  between turnkey action completion  and turnkey action completion</v>
      </c>
      <c r="Q14" s="41" t="str">
        <f>IF(AND(ISBLANK(A14),ISBLANK(B14),ISBLANK(C14),ISBLANK(E14),ISBLANK(L14)),"",IF(OR(ISBLANK(A14),ISBLANK(B14),ISBLANK(C14),ISBLANK(E14),ISBLANK(L14)),"-",
LOOKUP(B14,'Type de champ'!B:B,'Type de champ'!C:C)))</f>
        <v>Date</v>
      </c>
      <c r="R14" s="41" t="str">
        <f t="shared" si="1"/>
        <v>Tiers</v>
      </c>
    </row>
    <row r="15" spans="1:18" s="49" customFormat="1">
      <c r="A15" s="50" t="s">
        <v>589</v>
      </c>
      <c r="B15" s="41" t="s">
        <v>514</v>
      </c>
      <c r="C15" s="41" t="s">
        <v>531</v>
      </c>
      <c r="D15" s="41" t="s">
        <v>40</v>
      </c>
      <c r="E15" s="41" t="s">
        <v>137</v>
      </c>
      <c r="F15" s="41" t="s">
        <v>42</v>
      </c>
      <c r="G15" s="41" t="s">
        <v>566</v>
      </c>
      <c r="J15" s="58"/>
      <c r="K15" s="58"/>
      <c r="L15" s="41" t="s">
        <v>572</v>
      </c>
      <c r="M15" s="51">
        <f>IF(AND(ISBLANK(A15),ISBLANK(B15),ISBLANK(E15),ISBLANK(G15),ISBLANK(L15)),"",IF(OR(ISBLANK(A15),ISBLANK(B15),ISBLANK(E15),ISBLANK(G15),ISBLANK(L15)),"-",LEN(Tableau47[[#This Row],[Code]])))</f>
        <v>1</v>
      </c>
      <c r="N15" s="52" t="str">
        <f>IF(AND(ISBLANK(A15),ISBLANK(B15),ISBLANK(C15),ISBLANK(E15),ISBLANK(L15)),"",IF(OR(ISBLANK(A15),ISBLANK(B15),ISBLANK(C15),ISBLANK(E15),ISBLANK(L15)),"à compléter",
IF(L15="Normal",
LOOKUP(B15,'Type de champ'!B:B,'Type de champ'!A:A)
&amp;IF(COUNTIF('Objets de gestion'!C:C,K15)=0,"","_"&amp;LOOKUP(K15,'Objets de gestion'!C:C,'Objets de gestion'!F:F))
&amp;IF(COUNTIF('Objets de gestion'!C:C,I15)=0,"","_"&amp;LOOKUP(I15,'Objets de gestion'!C:C,'Objets de gestion'!F:F))
&amp;IF(COUNTIF('Objets de gestion'!C:C,G15)=0,"","_"&amp;LOOKUP(G15,'Objets de gestion'!C:C,'Objets de gestion'!F:F))
&amp;IF(COUNTIF('Objets de gestion'!C:C,E15)=0,"","_"&amp;LOOKUP(E15,'Objets de gestion'!C:C,'Objets de gestion'!F:F))
&amp;IF(OR(C15="booléen",COUNTIF('Objets de gestion'!C:C,C15)=0),"","_"&amp;LOOKUP(C15,'Objets de gestion'!C:C,'Objets de gestion'!F:F)),
IF(L15="Forcé",
LOOKUP(B15,'Type de champ'!B:B,'Type de champ'!A:A)
&amp;IF(COUNTIF('Objets de gestion'!C:C,E15)=0,"","_"&amp;LOOKUP(E15,'Objets de gestion'!C:C,'Objets de gestion'!F:F))
&amp;IF(COUNTIF('Objets de gestion'!C:C,G15)=0,"","_"&amp;LOOKUP(G15,'Objets de gestion'!C:C,'Objets de gestion'!F:F))
&amp;IF(COUNTIF('Objets de gestion'!C:C,I15)=0,"","_"&amp;LOOKUP(I15,'Objets de gestion'!C:C,'Objets de gestion'!F:F))
&amp;IF(COUNTIF('Objets de gestion'!C:C,K15)=0,"","_"&amp;LOOKUP(K15,'Objets de gestion'!C:C,'Objets de gestion'!F:F))
&amp;IF(OR(C15="booléen",COUNTIF('Objets de gestion'!C:C,C15)=0),"","_"&amp;LOOKUP(C15,'Objets de gestion'!C:C,'Objets de gestion'!F:F))
))))</f>
        <v>T</v>
      </c>
      <c r="O15" s="41" t="str">
        <f t="shared" si="0"/>
        <v xml:space="preserve">Date de fin de l'identifiant unique entre client et chargé de clientèle </v>
      </c>
      <c r="P15" s="41" t="str">
        <f>IF(AND(ISBLANK(A15),ISBLANK(B15),ISBLANK(C15),ISBLANK(E15),ISBLANK(L15)),"",IF(OR(ISBLANK(A15),ISBLANK(B15),ISBLANK(C15),ISBLANK(E15),ISBLANK(L15)),"-",
IF(ISBLANK(C15),"",LOOKUP(C15,'Objets de gestion'!C:C,'Objets de gestion'!E:E))
&amp;IF(ISBLANK(D15),""," "&amp;LOOKUP(D15,Articles!A:A,Articles!B:B))
&amp;IF(ISBLANK(E15),""," "&amp;LOOKUP(E15,'Objets de gestion'!C:C,'Objets de gestion'!E:E))
&amp;IF(ISBLANK(F15),""," "&amp;LOOKUP(F15,Articles!A:A,Articles!B:B))
&amp;IF(ISBLANK(G15),""," "&amp;LOOKUP(G15,'Objets de gestion'!C:C,'Objets de gestion'!E:E))
&amp;IF(ISBLANK(H15),""," "&amp;LOOKUP(H15,Articles!A:A,Articles!B:B))
&amp;IF(ISBLANK(I15),""," "&amp;LOOKUP(I15,'Objets de gestion'!C:C,'Objets de gestion'!E:E))
&amp;IF(ISBLANK(J15),""," "&amp;LOOKUP(J15,Articles!A:A,Articles!B:B))
&amp;IF(ISBLANK(K15),""," "&amp;LOOKUP(K15,'Objets de gestion'!C:C,'Objets de gestion'!E:E))
))</f>
        <v>turnkey action completion  between turnkey action completion  and turnkey action completion</v>
      </c>
      <c r="Q15" s="41" t="str">
        <f>IF(AND(ISBLANK(A15),ISBLANK(B15),ISBLANK(C15),ISBLANK(E15),ISBLANK(L15)),"",IF(OR(ISBLANK(A15),ISBLANK(B15),ISBLANK(C15),ISBLANK(E15),ISBLANK(L15)),"-",
LOOKUP(B15,'Type de champ'!B:B,'Type de champ'!C:C)))</f>
        <v>Date</v>
      </c>
      <c r="R15" s="41" t="str">
        <f t="shared" si="1"/>
        <v>Tiers</v>
      </c>
    </row>
    <row r="16" spans="1:18" ht="21" customHeight="1">
      <c r="A16" s="50" t="s">
        <v>589</v>
      </c>
      <c r="B16" s="41" t="s">
        <v>508</v>
      </c>
      <c r="C16" s="41" t="s">
        <v>508</v>
      </c>
      <c r="D16" s="41" t="s">
        <v>26</v>
      </c>
      <c r="E16" s="41" t="s">
        <v>525</v>
      </c>
      <c r="F16" s="41" t="s">
        <v>40</v>
      </c>
      <c r="G16" s="41" t="s">
        <v>137</v>
      </c>
      <c r="H16" s="41" t="s">
        <v>42</v>
      </c>
      <c r="I16" s="41" t="s">
        <v>566</v>
      </c>
      <c r="L16" s="41" t="s">
        <v>572</v>
      </c>
      <c r="M16" s="51">
        <f>IF(AND(ISBLANK(A16),ISBLANK(B16),ISBLANK(E16),ISBLANK(G16),ISBLANK(L16)),"",IF(OR(ISBLANK(A16),ISBLANK(B16),ISBLANK(E16),ISBLANK(G16),ISBLANK(L16)),"-",LEN(Tableau47[[#This Row],[Code]])))</f>
        <v>1</v>
      </c>
      <c r="N16" s="52" t="str">
        <f>IF(AND(ISBLANK(A16),ISBLANK(B16),ISBLANK(C16),ISBLANK(E16),ISBLANK(L16)),"",IF(OR(ISBLANK(A16),ISBLANK(B16),ISBLANK(C16),ISBLANK(E16),ISBLANK(L16)),"à compléter",
IF(L16="Normal",
LOOKUP(B16,'Type de champ'!B:B,'Type de champ'!A:A)
&amp;IF(COUNTIF('Objets de gestion'!C:C,K16)=0,"","_"&amp;LOOKUP(K16,'Objets de gestion'!C:C,'Objets de gestion'!F:F))
&amp;IF(COUNTIF('Objets de gestion'!C:C,I16)=0,"","_"&amp;LOOKUP(I16,'Objets de gestion'!C:C,'Objets de gestion'!F:F))
&amp;IF(COUNTIF('Objets de gestion'!C:C,G16)=0,"","_"&amp;LOOKUP(G16,'Objets de gestion'!C:C,'Objets de gestion'!F:F))
&amp;IF(COUNTIF('Objets de gestion'!C:C,E16)=0,"","_"&amp;LOOKUP(E16,'Objets de gestion'!C:C,'Objets de gestion'!F:F))
&amp;IF(OR(C16="booléen",COUNTIF('Objets de gestion'!C:C,C16)=0),"","_"&amp;LOOKUP(C16,'Objets de gestion'!C:C,'Objets de gestion'!F:F)),
IF(L16="Forcé",
LOOKUP(B16,'Type de champ'!B:B,'Type de champ'!A:A)
&amp;IF(COUNTIF('Objets de gestion'!C:C,E16)=0,"","_"&amp;LOOKUP(E16,'Objets de gestion'!C:C,'Objets de gestion'!F:F))
&amp;IF(COUNTIF('Objets de gestion'!C:C,G16)=0,"","_"&amp;LOOKUP(G16,'Objets de gestion'!C:C,'Objets de gestion'!F:F))
&amp;IF(COUNTIF('Objets de gestion'!C:C,I16)=0,"","_"&amp;LOOKUP(I16,'Objets de gestion'!C:C,'Objets de gestion'!F:F))
&amp;IF(COUNTIF('Objets de gestion'!C:C,K16)=0,"","_"&amp;LOOKUP(K16,'Objets de gestion'!C:C,'Objets de gestion'!F:F))
&amp;IF(OR(C16="booléen",COUNTIF('Objets de gestion'!C:C,C16)=0),"","_"&amp;LOOKUP(C16,'Objets de gestion'!C:C,'Objets de gestion'!F:F))
))))</f>
        <v>B</v>
      </c>
      <c r="O16" s="41" t="str">
        <f t="shared" si="0"/>
        <v xml:space="preserve">Booléen de dernière image entre client et chargé de clientèle </v>
      </c>
      <c r="P16" s="41" t="str">
        <f>IF(AND(ISBLANK(A16),ISBLANK(B16),ISBLANK(C16),ISBLANK(E16),ISBLANK(L16)),"",IF(OR(ISBLANK(A16),ISBLANK(B16),ISBLANK(C16),ISBLANK(E16),ISBLANK(L16)),"-",
IF(ISBLANK(C16),"",LOOKUP(C16,'Objets de gestion'!C:C,'Objets de gestion'!E:E))
&amp;IF(ISBLANK(D16),""," "&amp;LOOKUP(D16,Articles!A:A,Articles!B:B))
&amp;IF(ISBLANK(E16),""," "&amp;LOOKUP(E16,'Objets de gestion'!C:C,'Objets de gestion'!E:E))
&amp;IF(ISBLANK(F16),""," "&amp;LOOKUP(F16,Articles!A:A,Articles!B:B))
&amp;IF(ISBLANK(G16),""," "&amp;LOOKUP(G16,'Objets de gestion'!C:C,'Objets de gestion'!E:E))
&amp;IF(ISBLANK(H16),""," "&amp;LOOKUP(H16,Articles!A:A,Articles!B:B))
&amp;IF(ISBLANK(I16),""," "&amp;LOOKUP(I16,'Objets de gestion'!C:C,'Objets de gestion'!E:E))
&amp;IF(ISBLANK(J16),""," "&amp;LOOKUP(J16,Articles!A:A,Articles!B:B))
&amp;IF(ISBLANK(K16),""," "&amp;LOOKUP(K16,'Objets de gestion'!C:C,'Objets de gestion'!E:E))
))</f>
        <v>turnkey action completion  of the turnkey action completion  between turnkey action completion  and turnkey action completion</v>
      </c>
      <c r="Q16" s="41" t="str">
        <f>IF(AND(ISBLANK(A16),ISBLANK(B16),ISBLANK(C16),ISBLANK(E16),ISBLANK(L16)),"",IF(OR(ISBLANK(A16),ISBLANK(B16),ISBLANK(C16),ISBLANK(E16),ISBLANK(L16)),"-",
LOOKUP(B16,'Type de champ'!B:B,'Type de champ'!C:C)))</f>
        <v>Boolean</v>
      </c>
      <c r="R16" s="41" t="str">
        <f t="shared" si="1"/>
        <v>Tiers</v>
      </c>
    </row>
    <row r="17" spans="1:18">
      <c r="A17" s="50" t="s">
        <v>185</v>
      </c>
      <c r="B17" s="41" t="s">
        <v>516</v>
      </c>
      <c r="C17" s="41" t="s">
        <v>139</v>
      </c>
      <c r="D17" s="41" t="s">
        <v>34</v>
      </c>
      <c r="E17" s="41" t="s">
        <v>566</v>
      </c>
      <c r="L17" s="41" t="s">
        <v>572</v>
      </c>
      <c r="M17" s="51" t="str">
        <f>IF(AND(ISBLANK(A17),ISBLANK(B17),ISBLANK(E17),ISBLANK(G17),ISBLANK(L17)),"",IF(OR(ISBLANK(A17),ISBLANK(B17),ISBLANK(E17),ISBLANK(G17),ISBLANK(L17)),"-",LEN(Tableau47[[#This Row],[Code]])))</f>
        <v>-</v>
      </c>
      <c r="N17" s="52" t="str">
        <f>IF(AND(ISBLANK(A17),ISBLANK(B17),ISBLANK(C17),ISBLANK(E17),ISBLANK(L17)),"",IF(OR(ISBLANK(A17),ISBLANK(B17),ISBLANK(C17),ISBLANK(E17),ISBLANK(L17)),"à compléter",
IF(L17="Normal",
LOOKUP(B17,'Type de champ'!B:B,'Type de champ'!A:A)
&amp;IF(COUNTIF('Objets de gestion'!C:C,K17)=0,"","_"&amp;LOOKUP(K17,'Objets de gestion'!C:C,'Objets de gestion'!F:F))
&amp;IF(COUNTIF('Objets de gestion'!C:C,I17)=0,"","_"&amp;LOOKUP(I17,'Objets de gestion'!C:C,'Objets de gestion'!F:F))
&amp;IF(COUNTIF('Objets de gestion'!C:C,G17)=0,"","_"&amp;LOOKUP(G17,'Objets de gestion'!C:C,'Objets de gestion'!F:F))
&amp;IF(COUNTIF('Objets de gestion'!C:C,E17)=0,"","_"&amp;LOOKUP(E17,'Objets de gestion'!C:C,'Objets de gestion'!F:F))
&amp;IF(OR(C17="booléen",COUNTIF('Objets de gestion'!C:C,C17)=0),"","_"&amp;LOOKUP(C17,'Objets de gestion'!C:C,'Objets de gestion'!F:F)),
IF(L17="Forcé",
LOOKUP(B17,'Type de champ'!B:B,'Type de champ'!A:A)
&amp;IF(COUNTIF('Objets de gestion'!C:C,E17)=0,"","_"&amp;LOOKUP(E17,'Objets de gestion'!C:C,'Objets de gestion'!F:F))
&amp;IF(COUNTIF('Objets de gestion'!C:C,G17)=0,"","_"&amp;LOOKUP(G17,'Objets de gestion'!C:C,'Objets de gestion'!F:F))
&amp;IF(COUNTIF('Objets de gestion'!C:C,I17)=0,"","_"&amp;LOOKUP(I17,'Objets de gestion'!C:C,'Objets de gestion'!F:F))
&amp;IF(COUNTIF('Objets de gestion'!C:C,K17)=0,"","_"&amp;LOOKUP(K17,'Objets de gestion'!C:C,'Objets de gestion'!F:F))
&amp;IF(OR(C17="booléen",COUNTIF('Objets de gestion'!C:C,C17)=0),"","_"&amp;LOOKUP(C17,'Objets de gestion'!C:C,'Objets de gestion'!F:F))
))))</f>
        <v>X</v>
      </c>
      <c r="O17" s="41" t="str">
        <f t="shared" si="0"/>
        <v xml:space="preserve">code SAS du chargé de clientèle </v>
      </c>
      <c r="P17" s="41" t="str">
        <f>IF(AND(ISBLANK(A17),ISBLANK(B17),ISBLANK(C17),ISBLANK(E17),ISBLANK(L17)),"",IF(OR(ISBLANK(A17),ISBLANK(B17),ISBLANK(C17),ISBLANK(E17),ISBLANK(L17)),"-",
IF(ISBLANK(C17),"",LOOKUP(C17,'Objets de gestion'!C:C,'Objets de gestion'!E:E))
&amp;IF(ISBLANK(D17),""," "&amp;LOOKUP(D17,Articles!A:A,Articles!B:B))
&amp;IF(ISBLANK(E17),""," "&amp;LOOKUP(E17,'Objets de gestion'!C:C,'Objets de gestion'!E:E))
&amp;IF(ISBLANK(F17),""," "&amp;LOOKUP(F17,Articles!A:A,Articles!B:B))
&amp;IF(ISBLANK(G17),""," "&amp;LOOKUP(G17,'Objets de gestion'!C:C,'Objets de gestion'!E:E))
&amp;IF(ISBLANK(H17),""," "&amp;LOOKUP(H17,Articles!A:A,Articles!B:B))
&amp;IF(ISBLANK(I17),""," "&amp;LOOKUP(I17,'Objets de gestion'!C:C,'Objets de gestion'!E:E))
&amp;IF(ISBLANK(J17),""," "&amp;LOOKUP(J17,Articles!A:A,Articles!B:B))
&amp;IF(ISBLANK(K17),""," "&amp;LOOKUP(K17,'Objets de gestion'!C:C,'Objets de gestion'!E:E))
))</f>
        <v>turnkey action completion  of the turnkey action completion</v>
      </c>
      <c r="Q17" s="41" t="str">
        <f>IF(AND(ISBLANK(A17),ISBLANK(B17),ISBLANK(C17),ISBLANK(E17),ISBLANK(L17)),"",IF(OR(ISBLANK(A17),ISBLANK(B17),ISBLANK(C17),ISBLANK(E17),ISBLANK(L17)),"-",
LOOKUP(B17,'Type de champ'!B:B,'Type de champ'!C:C)))</f>
        <v>Varchar(??)</v>
      </c>
      <c r="R17" s="41" t="str">
        <f t="shared" si="1"/>
        <v>-</v>
      </c>
    </row>
    <row r="18" spans="1:18">
      <c r="A18" s="50" t="s">
        <v>185</v>
      </c>
      <c r="B18" s="41" t="s">
        <v>516</v>
      </c>
      <c r="C18" s="41" t="s">
        <v>138</v>
      </c>
      <c r="D18" s="41" t="s">
        <v>27</v>
      </c>
      <c r="E18" s="41" t="s">
        <v>160</v>
      </c>
      <c r="F18" s="41" t="s">
        <v>34</v>
      </c>
      <c r="G18" s="41" t="s">
        <v>185</v>
      </c>
      <c r="L18" s="41" t="s">
        <v>572</v>
      </c>
      <c r="M18" s="51">
        <f>IF(AND(ISBLANK(A18),ISBLANK(B18),ISBLANK(E18),ISBLANK(G18),ISBLANK(L18)),"",IF(OR(ISBLANK(A18),ISBLANK(B18),ISBLANK(E18),ISBLANK(G18),ISBLANK(L18)),"-",LEN(Tableau47[[#This Row],[Code]])))</f>
        <v>1</v>
      </c>
      <c r="N18" s="52" t="str">
        <f>IF(AND(ISBLANK(A18),ISBLANK(B18),ISBLANK(C18),ISBLANK(E18),ISBLANK(L18)),"",IF(OR(ISBLANK(A18),ISBLANK(B18),ISBLANK(C18),ISBLANK(E18),ISBLANK(L18)),"à compléter",
IF(L18="Normal",
LOOKUP(B18,'Type de champ'!B:B,'Type de champ'!A:A)
&amp;IF(COUNTIF('Objets de gestion'!C:C,K18)=0,"","_"&amp;LOOKUP(K18,'Objets de gestion'!C:C,'Objets de gestion'!F:F))
&amp;IF(COUNTIF('Objets de gestion'!C:C,I18)=0,"","_"&amp;LOOKUP(I18,'Objets de gestion'!C:C,'Objets de gestion'!F:F))
&amp;IF(COUNTIF('Objets de gestion'!C:C,G18)=0,"","_"&amp;LOOKUP(G18,'Objets de gestion'!C:C,'Objets de gestion'!F:F))
&amp;IF(COUNTIF('Objets de gestion'!C:C,E18)=0,"","_"&amp;LOOKUP(E18,'Objets de gestion'!C:C,'Objets de gestion'!F:F))
&amp;IF(OR(C18="booléen",COUNTIF('Objets de gestion'!C:C,C18)=0),"","_"&amp;LOOKUP(C18,'Objets de gestion'!C:C,'Objets de gestion'!F:F)),
IF(L18="Forcé",
LOOKUP(B18,'Type de champ'!B:B,'Type de champ'!A:A)
&amp;IF(COUNTIF('Objets de gestion'!C:C,E18)=0,"","_"&amp;LOOKUP(E18,'Objets de gestion'!C:C,'Objets de gestion'!F:F))
&amp;IF(COUNTIF('Objets de gestion'!C:C,G18)=0,"","_"&amp;LOOKUP(G18,'Objets de gestion'!C:C,'Objets de gestion'!F:F))
&amp;IF(COUNTIF('Objets de gestion'!C:C,I18)=0,"","_"&amp;LOOKUP(I18,'Objets de gestion'!C:C,'Objets de gestion'!F:F))
&amp;IF(COUNTIF('Objets de gestion'!C:C,K18)=0,"","_"&amp;LOOKUP(K18,'Objets de gestion'!C:C,'Objets de gestion'!F:F))
&amp;IF(OR(C18="booléen",COUNTIF('Objets de gestion'!C:C,C18)=0),"","_"&amp;LOOKUP(C18,'Objets de gestion'!C:C,'Objets de gestion'!F:F))
))))</f>
        <v>X</v>
      </c>
      <c r="O18" s="41" t="str">
        <f t="shared" si="0"/>
        <v xml:space="preserve">code de l' Entité gestionnaire du tiers </v>
      </c>
      <c r="P18" s="41" t="str">
        <f>IF(AND(ISBLANK(A18),ISBLANK(B18),ISBLANK(C18),ISBLANK(E18),ISBLANK(L18)),"",IF(OR(ISBLANK(A18),ISBLANK(B18),ISBLANK(C18),ISBLANK(E18),ISBLANK(L18)),"-",
IF(ISBLANK(C18),"",LOOKUP(C18,'Objets de gestion'!C:C,'Objets de gestion'!E:E))
&amp;IF(ISBLANK(D18),""," "&amp;LOOKUP(D18,Articles!A:A,Articles!B:B))
&amp;IF(ISBLANK(E18),""," "&amp;LOOKUP(E18,'Objets de gestion'!C:C,'Objets de gestion'!E:E))
&amp;IF(ISBLANK(F18),""," "&amp;LOOKUP(F18,Articles!A:A,Articles!B:B))
&amp;IF(ISBLANK(G18),""," "&amp;LOOKUP(G18,'Objets de gestion'!C:C,'Objets de gestion'!E:E))
&amp;IF(ISBLANK(H18),""," "&amp;LOOKUP(H18,Articles!A:A,Articles!B:B))
&amp;IF(ISBLANK(I18),""," "&amp;LOOKUP(I18,'Objets de gestion'!C:C,'Objets de gestion'!E:E))
&amp;IF(ISBLANK(J18),""," "&amp;LOOKUP(J18,Articles!A:A,Articles!B:B))
&amp;IF(ISBLANK(K18),""," "&amp;LOOKUP(K18,'Objets de gestion'!C:C,'Objets de gestion'!E:E))
))</f>
        <v>turnkey action completion  of the turnkey action completion  of the turnkey action completion</v>
      </c>
      <c r="Q18" s="41" t="str">
        <f>IF(AND(ISBLANK(A18),ISBLANK(B18),ISBLANK(C18),ISBLANK(E18),ISBLANK(L18)),"",IF(OR(ISBLANK(A18),ISBLANK(B18),ISBLANK(C18),ISBLANK(E18),ISBLANK(L18)),"-",
LOOKUP(B18,'Type de champ'!B:B,'Type de champ'!C:C)))</f>
        <v>Varchar(??)</v>
      </c>
      <c r="R18" s="41" t="str">
        <f t="shared" si="1"/>
        <v>tiers</v>
      </c>
    </row>
    <row r="19" spans="1:18">
      <c r="A19" s="50" t="s">
        <v>185</v>
      </c>
      <c r="B19" s="41" t="s">
        <v>516</v>
      </c>
      <c r="C19" s="41" t="s">
        <v>165</v>
      </c>
      <c r="D19" s="41" t="s">
        <v>34</v>
      </c>
      <c r="E19" s="41" t="s">
        <v>185</v>
      </c>
      <c r="L19" s="41" t="s">
        <v>572</v>
      </c>
      <c r="M19" s="51" t="str">
        <f>IF(AND(ISBLANK(A19),ISBLANK(B19),ISBLANK(E19),ISBLANK(G19),ISBLANK(L19)),"",IF(OR(ISBLANK(A19),ISBLANK(B19),ISBLANK(E19),ISBLANK(G19),ISBLANK(L19)),"-",LEN(Tableau47[[#This Row],[Code]])))</f>
        <v>-</v>
      </c>
      <c r="N19" s="52" t="str">
        <f>IF(AND(ISBLANK(A19),ISBLANK(B19),ISBLANK(C19),ISBLANK(E19),ISBLANK(L19)),"",IF(OR(ISBLANK(A19),ISBLANK(B19),ISBLANK(C19),ISBLANK(E19),ISBLANK(L19)),"à compléter",
IF(L19="Normal",
LOOKUP(B19,'Type de champ'!B:B,'Type de champ'!A:A)
&amp;IF(COUNTIF('Objets de gestion'!C:C,K19)=0,"","_"&amp;LOOKUP(K19,'Objets de gestion'!C:C,'Objets de gestion'!F:F))
&amp;IF(COUNTIF('Objets de gestion'!C:C,I19)=0,"","_"&amp;LOOKUP(I19,'Objets de gestion'!C:C,'Objets de gestion'!F:F))
&amp;IF(COUNTIF('Objets de gestion'!C:C,G19)=0,"","_"&amp;LOOKUP(G19,'Objets de gestion'!C:C,'Objets de gestion'!F:F))
&amp;IF(COUNTIF('Objets de gestion'!C:C,E19)=0,"","_"&amp;LOOKUP(E19,'Objets de gestion'!C:C,'Objets de gestion'!F:F))
&amp;IF(OR(C19="booléen",COUNTIF('Objets de gestion'!C:C,C19)=0),"","_"&amp;LOOKUP(C19,'Objets de gestion'!C:C,'Objets de gestion'!F:F)),
IF(L19="Forcé",
LOOKUP(B19,'Type de champ'!B:B,'Type de champ'!A:A)
&amp;IF(COUNTIF('Objets de gestion'!C:C,E19)=0,"","_"&amp;LOOKUP(E19,'Objets de gestion'!C:C,'Objets de gestion'!F:F))
&amp;IF(COUNTIF('Objets de gestion'!C:C,G19)=0,"","_"&amp;LOOKUP(G19,'Objets de gestion'!C:C,'Objets de gestion'!F:F))
&amp;IF(COUNTIF('Objets de gestion'!C:C,I19)=0,"","_"&amp;LOOKUP(I19,'Objets de gestion'!C:C,'Objets de gestion'!F:F))
&amp;IF(COUNTIF('Objets de gestion'!C:C,K19)=0,"","_"&amp;LOOKUP(K19,'Objets de gestion'!C:C,'Objets de gestion'!F:F))
&amp;IF(OR(C19="booléen",COUNTIF('Objets de gestion'!C:C,C19)=0),"","_"&amp;LOOKUP(C19,'Objets de gestion'!C:C,'Objets de gestion'!F:F))
))))</f>
        <v>X</v>
      </c>
      <c r="O19" s="41" t="str">
        <f t="shared" si="0"/>
        <v xml:space="preserve">identifiant fonctionnel du tiers </v>
      </c>
      <c r="P19" s="41" t="str">
        <f>IF(AND(ISBLANK(A19),ISBLANK(B19),ISBLANK(C19),ISBLANK(E19),ISBLANK(L19)),"",IF(OR(ISBLANK(A19),ISBLANK(B19),ISBLANK(C19),ISBLANK(E19),ISBLANK(L19)),"-",
IF(ISBLANK(C19),"",LOOKUP(C19,'Objets de gestion'!C:C,'Objets de gestion'!E:E))
&amp;IF(ISBLANK(D19),""," "&amp;LOOKUP(D19,Articles!A:A,Articles!B:B))
&amp;IF(ISBLANK(E19),""," "&amp;LOOKUP(E19,'Objets de gestion'!C:C,'Objets de gestion'!E:E))
&amp;IF(ISBLANK(F19),""," "&amp;LOOKUP(F19,Articles!A:A,Articles!B:B))
&amp;IF(ISBLANK(G19),""," "&amp;LOOKUP(G19,'Objets de gestion'!C:C,'Objets de gestion'!E:E))
&amp;IF(ISBLANK(H19),""," "&amp;LOOKUP(H19,Articles!A:A,Articles!B:B))
&amp;IF(ISBLANK(I19),""," "&amp;LOOKUP(I19,'Objets de gestion'!C:C,'Objets de gestion'!E:E))
&amp;IF(ISBLANK(J19),""," "&amp;LOOKUP(J19,Articles!A:A,Articles!B:B))
&amp;IF(ISBLANK(K19),""," "&amp;LOOKUP(K19,'Objets de gestion'!C:C,'Objets de gestion'!E:E))
))</f>
        <v>turnkey action completion  of the turnkey action completion</v>
      </c>
      <c r="Q19" s="41" t="str">
        <f>IF(AND(ISBLANK(A19),ISBLANK(B19),ISBLANK(C19),ISBLANK(E19),ISBLANK(L19)),"",IF(OR(ISBLANK(A19),ISBLANK(B19),ISBLANK(C19),ISBLANK(E19),ISBLANK(L19)),"-",
LOOKUP(B19,'Type de champ'!B:B,'Type de champ'!C:C)))</f>
        <v>Varchar(??)</v>
      </c>
      <c r="R19" s="41" t="str">
        <f t="shared" si="1"/>
        <v>-</v>
      </c>
    </row>
    <row r="20" spans="1:18">
      <c r="A20" s="50" t="s">
        <v>185</v>
      </c>
      <c r="B20" s="41" t="s">
        <v>516</v>
      </c>
      <c r="C20" s="41" t="s">
        <v>138</v>
      </c>
      <c r="D20" s="41" t="s">
        <v>28</v>
      </c>
      <c r="E20" s="41" t="s">
        <v>588</v>
      </c>
      <c r="F20" s="41" t="s">
        <v>34</v>
      </c>
      <c r="G20" s="41" t="s">
        <v>185</v>
      </c>
      <c r="L20" s="41" t="s">
        <v>572</v>
      </c>
      <c r="M20" s="51">
        <f>IF(AND(ISBLANK(A20),ISBLANK(B20),ISBLANK(E20),ISBLANK(G20),ISBLANK(L20)),"",IF(OR(ISBLANK(A20),ISBLANK(B20),ISBLANK(E20),ISBLANK(G20),ISBLANK(L20)),"-",LEN(Tableau47[[#This Row],[Code]])))</f>
        <v>1</v>
      </c>
      <c r="N20" s="52" t="str">
        <f>IF(AND(ISBLANK(A20),ISBLANK(B20),ISBLANK(C20),ISBLANK(E20),ISBLANK(L20)),"",IF(OR(ISBLANK(A20),ISBLANK(B20),ISBLANK(C20),ISBLANK(E20),ISBLANK(L20)),"à compléter",
IF(L20="Normal",
LOOKUP(B20,'Type de champ'!B:B,'Type de champ'!A:A)
&amp;IF(COUNTIF('Objets de gestion'!C:C,K20)=0,"","_"&amp;LOOKUP(K20,'Objets de gestion'!C:C,'Objets de gestion'!F:F))
&amp;IF(COUNTIF('Objets de gestion'!C:C,I20)=0,"","_"&amp;LOOKUP(I20,'Objets de gestion'!C:C,'Objets de gestion'!F:F))
&amp;IF(COUNTIF('Objets de gestion'!C:C,G20)=0,"","_"&amp;LOOKUP(G20,'Objets de gestion'!C:C,'Objets de gestion'!F:F))
&amp;IF(COUNTIF('Objets de gestion'!C:C,E20)=0,"","_"&amp;LOOKUP(E20,'Objets de gestion'!C:C,'Objets de gestion'!F:F))
&amp;IF(OR(C20="booléen",COUNTIF('Objets de gestion'!C:C,C20)=0),"","_"&amp;LOOKUP(C20,'Objets de gestion'!C:C,'Objets de gestion'!F:F)),
IF(L20="Forcé",
LOOKUP(B20,'Type de champ'!B:B,'Type de champ'!A:A)
&amp;IF(COUNTIF('Objets de gestion'!C:C,E20)=0,"","_"&amp;LOOKUP(E20,'Objets de gestion'!C:C,'Objets de gestion'!F:F))
&amp;IF(COUNTIF('Objets de gestion'!C:C,G20)=0,"","_"&amp;LOOKUP(G20,'Objets de gestion'!C:C,'Objets de gestion'!F:F))
&amp;IF(COUNTIF('Objets de gestion'!C:C,I20)=0,"","_"&amp;LOOKUP(I20,'Objets de gestion'!C:C,'Objets de gestion'!F:F))
&amp;IF(COUNTIF('Objets de gestion'!C:C,K20)=0,"","_"&amp;LOOKUP(K20,'Objets de gestion'!C:C,'Objets de gestion'!F:F))
&amp;IF(OR(C20="booléen",COUNTIF('Objets de gestion'!C:C,C20)=0),"","_"&amp;LOOKUP(C20,'Objets de gestion'!C:C,'Objets de gestion'!F:F))
))))</f>
        <v>X</v>
      </c>
      <c r="O20" s="41" t="str">
        <f t="shared" si="0"/>
        <v xml:space="preserve">code de la fédération du tiers </v>
      </c>
      <c r="P20" s="41" t="str">
        <f>IF(AND(ISBLANK(A20),ISBLANK(B20),ISBLANK(C20),ISBLANK(E20),ISBLANK(L20)),"",IF(OR(ISBLANK(A20),ISBLANK(B20),ISBLANK(C20),ISBLANK(E20),ISBLANK(L20)),"-",
IF(ISBLANK(C20),"",LOOKUP(C20,'Objets de gestion'!C:C,'Objets de gestion'!E:E))
&amp;IF(ISBLANK(D20),""," "&amp;LOOKUP(D20,Articles!A:A,Articles!B:B))
&amp;IF(ISBLANK(E20),""," "&amp;LOOKUP(E20,'Objets de gestion'!C:C,'Objets de gestion'!E:E))
&amp;IF(ISBLANK(F20),""," "&amp;LOOKUP(F20,Articles!A:A,Articles!B:B))
&amp;IF(ISBLANK(G20),""," "&amp;LOOKUP(G20,'Objets de gestion'!C:C,'Objets de gestion'!E:E))
&amp;IF(ISBLANK(H20),""," "&amp;LOOKUP(H20,Articles!A:A,Articles!B:B))
&amp;IF(ISBLANK(I20),""," "&amp;LOOKUP(I20,'Objets de gestion'!C:C,'Objets de gestion'!E:E))
&amp;IF(ISBLANK(J20),""," "&amp;LOOKUP(J20,Articles!A:A,Articles!B:B))
&amp;IF(ISBLANK(K20),""," "&amp;LOOKUP(K20,'Objets de gestion'!C:C,'Objets de gestion'!E:E))
))</f>
        <v>turnkey action completion  of the turnkey action completion  of the turnkey action completion</v>
      </c>
      <c r="Q20" s="41" t="str">
        <f>IF(AND(ISBLANK(A20),ISBLANK(B20),ISBLANK(C20),ISBLANK(E20),ISBLANK(L20)),"",IF(OR(ISBLANK(A20),ISBLANK(B20),ISBLANK(C20),ISBLANK(E20),ISBLANK(L20)),"-",
LOOKUP(B20,'Type de champ'!B:B,'Type de champ'!C:C)))</f>
        <v>Varchar(??)</v>
      </c>
      <c r="R20" s="41" t="str">
        <f t="shared" si="1"/>
        <v>tiers</v>
      </c>
    </row>
    <row r="21" spans="1:18">
      <c r="A21" s="50" t="s">
        <v>185</v>
      </c>
      <c r="B21" s="41" t="s">
        <v>516</v>
      </c>
      <c r="C21" s="41" t="s">
        <v>138</v>
      </c>
      <c r="D21" s="41" t="s">
        <v>27</v>
      </c>
      <c r="E21" s="41" t="s">
        <v>161</v>
      </c>
      <c r="F21" s="41" t="s">
        <v>34</v>
      </c>
      <c r="G21" s="41" t="s">
        <v>185</v>
      </c>
      <c r="L21" s="41" t="s">
        <v>572</v>
      </c>
      <c r="M21" s="51">
        <f>IF(AND(ISBLANK(A21),ISBLANK(B21),ISBLANK(E21),ISBLANK(G21),ISBLANK(L21)),"",IF(OR(ISBLANK(A21),ISBLANK(B21),ISBLANK(E21),ISBLANK(G21),ISBLANK(L21)),"-",LEN(Tableau47[[#This Row],[Code]])))</f>
        <v>1</v>
      </c>
      <c r="N21" s="52" t="str">
        <f>IF(AND(ISBLANK(A21),ISBLANK(B21),ISBLANK(C21),ISBLANK(E21),ISBLANK(L21)),"",IF(OR(ISBLANK(A21),ISBLANK(B21),ISBLANK(C21),ISBLANK(E21),ISBLANK(L21)),"à compléter",
IF(L21="Normal",
LOOKUP(B21,'Type de champ'!B:B,'Type de champ'!A:A)
&amp;IF(COUNTIF('Objets de gestion'!C:C,K21)=0,"","_"&amp;LOOKUP(K21,'Objets de gestion'!C:C,'Objets de gestion'!F:F))
&amp;IF(COUNTIF('Objets de gestion'!C:C,I21)=0,"","_"&amp;LOOKUP(I21,'Objets de gestion'!C:C,'Objets de gestion'!F:F))
&amp;IF(COUNTIF('Objets de gestion'!C:C,G21)=0,"","_"&amp;LOOKUP(G21,'Objets de gestion'!C:C,'Objets de gestion'!F:F))
&amp;IF(COUNTIF('Objets de gestion'!C:C,E21)=0,"","_"&amp;LOOKUP(E21,'Objets de gestion'!C:C,'Objets de gestion'!F:F))
&amp;IF(OR(C21="booléen",COUNTIF('Objets de gestion'!C:C,C21)=0),"","_"&amp;LOOKUP(C21,'Objets de gestion'!C:C,'Objets de gestion'!F:F)),
IF(L21="Forcé",
LOOKUP(B21,'Type de champ'!B:B,'Type de champ'!A:A)
&amp;IF(COUNTIF('Objets de gestion'!C:C,E21)=0,"","_"&amp;LOOKUP(E21,'Objets de gestion'!C:C,'Objets de gestion'!F:F))
&amp;IF(COUNTIF('Objets de gestion'!C:C,G21)=0,"","_"&amp;LOOKUP(G21,'Objets de gestion'!C:C,'Objets de gestion'!F:F))
&amp;IF(COUNTIF('Objets de gestion'!C:C,I21)=0,"","_"&amp;LOOKUP(I21,'Objets de gestion'!C:C,'Objets de gestion'!F:F))
&amp;IF(COUNTIF('Objets de gestion'!C:C,K21)=0,"","_"&amp;LOOKUP(K21,'Objets de gestion'!C:C,'Objets de gestion'!F:F))
&amp;IF(OR(C21="booléen",COUNTIF('Objets de gestion'!C:C,C21)=0),"","_"&amp;LOOKUP(C21,'Objets de gestion'!C:C,'Objets de gestion'!F:F))
))))</f>
        <v>X</v>
      </c>
      <c r="O21" s="41" t="str">
        <f t="shared" si="0"/>
        <v xml:space="preserve">code de l' établissement du tiers </v>
      </c>
      <c r="P21" s="41" t="str">
        <f>IF(AND(ISBLANK(A21),ISBLANK(B21),ISBLANK(C21),ISBLANK(E21),ISBLANK(L21)),"",IF(OR(ISBLANK(A21),ISBLANK(B21),ISBLANK(C21),ISBLANK(E21),ISBLANK(L21)),"-",
IF(ISBLANK(C21),"",LOOKUP(C21,'Objets de gestion'!C:C,'Objets de gestion'!E:E))
&amp;IF(ISBLANK(D21),""," "&amp;LOOKUP(D21,Articles!A:A,Articles!B:B))
&amp;IF(ISBLANK(E21),""," "&amp;LOOKUP(E21,'Objets de gestion'!C:C,'Objets de gestion'!E:E))
&amp;IF(ISBLANK(F21),""," "&amp;LOOKUP(F21,Articles!A:A,Articles!B:B))
&amp;IF(ISBLANK(G21),""," "&amp;LOOKUP(G21,'Objets de gestion'!C:C,'Objets de gestion'!E:E))
&amp;IF(ISBLANK(H21),""," "&amp;LOOKUP(H21,Articles!A:A,Articles!B:B))
&amp;IF(ISBLANK(I21),""," "&amp;LOOKUP(I21,'Objets de gestion'!C:C,'Objets de gestion'!E:E))
&amp;IF(ISBLANK(J21),""," "&amp;LOOKUP(J21,Articles!A:A,Articles!B:B))
&amp;IF(ISBLANK(K21),""," "&amp;LOOKUP(K21,'Objets de gestion'!C:C,'Objets de gestion'!E:E))
))</f>
        <v>turnkey action completion  of the turnkey action completion  of the turnkey action completion</v>
      </c>
      <c r="Q21" s="41" t="str">
        <f>IF(AND(ISBLANK(A21),ISBLANK(B21),ISBLANK(C21),ISBLANK(E21),ISBLANK(L21)),"",IF(OR(ISBLANK(A21),ISBLANK(B21),ISBLANK(C21),ISBLANK(E21),ISBLANK(L21)),"-",
LOOKUP(B21,'Type de champ'!B:B,'Type de champ'!C:C)))</f>
        <v>Varchar(??)</v>
      </c>
      <c r="R21" s="41" t="str">
        <f t="shared" si="1"/>
        <v>tiers</v>
      </c>
    </row>
    <row r="22" spans="1:18">
      <c r="A22" s="50" t="s">
        <v>185</v>
      </c>
      <c r="B22" s="41" t="s">
        <v>516</v>
      </c>
      <c r="C22" s="41" t="s">
        <v>138</v>
      </c>
      <c r="D22" s="41" t="s">
        <v>34</v>
      </c>
      <c r="E22" s="41" t="s">
        <v>526</v>
      </c>
      <c r="F22" s="41" t="s">
        <v>34</v>
      </c>
      <c r="G22" s="41" t="s">
        <v>185</v>
      </c>
      <c r="L22" s="41" t="s">
        <v>572</v>
      </c>
      <c r="M22" s="51">
        <f>IF(AND(ISBLANK(A22),ISBLANK(B22),ISBLANK(E22),ISBLANK(G22),ISBLANK(L22)),"",IF(OR(ISBLANK(A22),ISBLANK(B22),ISBLANK(E22),ISBLANK(G22),ISBLANK(L22)),"-",LEN(Tableau47[[#This Row],[Code]])))</f>
        <v>1</v>
      </c>
      <c r="N22" s="52" t="str">
        <f>IF(AND(ISBLANK(A22),ISBLANK(B22),ISBLANK(C22),ISBLANK(E22),ISBLANK(L22)),"",IF(OR(ISBLANK(A22),ISBLANK(B22),ISBLANK(C22),ISBLANK(E22),ISBLANK(L22)),"à compléter",
IF(L22="Normal",
LOOKUP(B22,'Type de champ'!B:B,'Type de champ'!A:A)
&amp;IF(COUNTIF('Objets de gestion'!C:C,K22)=0,"","_"&amp;LOOKUP(K22,'Objets de gestion'!C:C,'Objets de gestion'!F:F))
&amp;IF(COUNTIF('Objets de gestion'!C:C,I22)=0,"","_"&amp;LOOKUP(I22,'Objets de gestion'!C:C,'Objets de gestion'!F:F))
&amp;IF(COUNTIF('Objets de gestion'!C:C,G22)=0,"","_"&amp;LOOKUP(G22,'Objets de gestion'!C:C,'Objets de gestion'!F:F))
&amp;IF(COUNTIF('Objets de gestion'!C:C,E22)=0,"","_"&amp;LOOKUP(E22,'Objets de gestion'!C:C,'Objets de gestion'!F:F))
&amp;IF(OR(C22="booléen",COUNTIF('Objets de gestion'!C:C,C22)=0),"","_"&amp;LOOKUP(C22,'Objets de gestion'!C:C,'Objets de gestion'!F:F)),
IF(L22="Forcé",
LOOKUP(B22,'Type de champ'!B:B,'Type de champ'!A:A)
&amp;IF(COUNTIF('Objets de gestion'!C:C,E22)=0,"","_"&amp;LOOKUP(E22,'Objets de gestion'!C:C,'Objets de gestion'!F:F))
&amp;IF(COUNTIF('Objets de gestion'!C:C,G22)=0,"","_"&amp;LOOKUP(G22,'Objets de gestion'!C:C,'Objets de gestion'!F:F))
&amp;IF(COUNTIF('Objets de gestion'!C:C,I22)=0,"","_"&amp;LOOKUP(I22,'Objets de gestion'!C:C,'Objets de gestion'!F:F))
&amp;IF(COUNTIF('Objets de gestion'!C:C,K22)=0,"","_"&amp;LOOKUP(K22,'Objets de gestion'!C:C,'Objets de gestion'!F:F))
&amp;IF(OR(C22="booléen",COUNTIF('Objets de gestion'!C:C,C22)=0),"","_"&amp;LOOKUP(C22,'Objets de gestion'!C:C,'Objets de gestion'!F:F))
))))</f>
        <v>X</v>
      </c>
      <c r="O22" s="41" t="str">
        <f t="shared" si="0"/>
        <v xml:space="preserve">code du guichet du tiers </v>
      </c>
      <c r="P22" s="41" t="str">
        <f>IF(AND(ISBLANK(A22),ISBLANK(B22),ISBLANK(C22),ISBLANK(E22),ISBLANK(L22)),"",IF(OR(ISBLANK(A22),ISBLANK(B22),ISBLANK(C22),ISBLANK(E22),ISBLANK(L22)),"-",
IF(ISBLANK(C22),"",LOOKUP(C22,'Objets de gestion'!C:C,'Objets de gestion'!E:E))
&amp;IF(ISBLANK(D22),""," "&amp;LOOKUP(D22,Articles!A:A,Articles!B:B))
&amp;IF(ISBLANK(E22),""," "&amp;LOOKUP(E22,'Objets de gestion'!C:C,'Objets de gestion'!E:E))
&amp;IF(ISBLANK(F22),""," "&amp;LOOKUP(F22,Articles!A:A,Articles!B:B))
&amp;IF(ISBLANK(G22),""," "&amp;LOOKUP(G22,'Objets de gestion'!C:C,'Objets de gestion'!E:E))
&amp;IF(ISBLANK(H22),""," "&amp;LOOKUP(H22,Articles!A:A,Articles!B:B))
&amp;IF(ISBLANK(I22),""," "&amp;LOOKUP(I22,'Objets de gestion'!C:C,'Objets de gestion'!E:E))
&amp;IF(ISBLANK(J22),""," "&amp;LOOKUP(J22,Articles!A:A,Articles!B:B))
&amp;IF(ISBLANK(K22),""," "&amp;LOOKUP(K22,'Objets de gestion'!C:C,'Objets de gestion'!E:E))
))</f>
        <v>turnkey action completion  of the turnkey action completion  of the turnkey action completion</v>
      </c>
      <c r="Q22" s="41" t="str">
        <f>IF(AND(ISBLANK(A22),ISBLANK(B22),ISBLANK(C22),ISBLANK(E22),ISBLANK(L22)),"",IF(OR(ISBLANK(A22),ISBLANK(B22),ISBLANK(C22),ISBLANK(E22),ISBLANK(L22)),"-",
LOOKUP(B22,'Type de champ'!B:B,'Type de champ'!C:C)))</f>
        <v>Varchar(??)</v>
      </c>
      <c r="R22" s="41" t="str">
        <f t="shared" si="1"/>
        <v>tiers</v>
      </c>
    </row>
    <row r="23" spans="1:18">
      <c r="A23" s="50" t="s">
        <v>185</v>
      </c>
      <c r="B23" s="41" t="s">
        <v>516</v>
      </c>
      <c r="C23" s="41" t="s">
        <v>138</v>
      </c>
      <c r="D23" s="41" t="s">
        <v>34</v>
      </c>
      <c r="E23" s="41" t="s">
        <v>524</v>
      </c>
      <c r="F23" s="41" t="s">
        <v>34</v>
      </c>
      <c r="G23" s="41" t="s">
        <v>185</v>
      </c>
      <c r="L23" s="41" t="s">
        <v>572</v>
      </c>
      <c r="M23" s="51">
        <f>IF(AND(ISBLANK(A23),ISBLANK(B23),ISBLANK(E23),ISBLANK(G23),ISBLANK(L23)),"",IF(OR(ISBLANK(A23),ISBLANK(B23),ISBLANK(E23),ISBLANK(G23),ISBLANK(L23)),"-",LEN(Tableau47[[#This Row],[Code]])))</f>
        <v>1</v>
      </c>
      <c r="N23" s="52" t="str">
        <f>IF(AND(ISBLANK(A23),ISBLANK(B23),ISBLANK(C23),ISBLANK(E23),ISBLANK(L23)),"",IF(OR(ISBLANK(A23),ISBLANK(B23),ISBLANK(C23),ISBLANK(E23),ISBLANK(L23)),"à compléter",
IF(L23="Normal",
LOOKUP(B23,'Type de champ'!B:B,'Type de champ'!A:A)
&amp;IF(COUNTIF('Objets de gestion'!C:C,K23)=0,"","_"&amp;LOOKUP(K23,'Objets de gestion'!C:C,'Objets de gestion'!F:F))
&amp;IF(COUNTIF('Objets de gestion'!C:C,I23)=0,"","_"&amp;LOOKUP(I23,'Objets de gestion'!C:C,'Objets de gestion'!F:F))
&amp;IF(COUNTIF('Objets de gestion'!C:C,G23)=0,"","_"&amp;LOOKUP(G23,'Objets de gestion'!C:C,'Objets de gestion'!F:F))
&amp;IF(COUNTIF('Objets de gestion'!C:C,E23)=0,"","_"&amp;LOOKUP(E23,'Objets de gestion'!C:C,'Objets de gestion'!F:F))
&amp;IF(OR(C23="booléen",COUNTIF('Objets de gestion'!C:C,C23)=0),"","_"&amp;LOOKUP(C23,'Objets de gestion'!C:C,'Objets de gestion'!F:F)),
IF(L23="Forcé",
LOOKUP(B23,'Type de champ'!B:B,'Type de champ'!A:A)
&amp;IF(COUNTIF('Objets de gestion'!C:C,E23)=0,"","_"&amp;LOOKUP(E23,'Objets de gestion'!C:C,'Objets de gestion'!F:F))
&amp;IF(COUNTIF('Objets de gestion'!C:C,G23)=0,"","_"&amp;LOOKUP(G23,'Objets de gestion'!C:C,'Objets de gestion'!F:F))
&amp;IF(COUNTIF('Objets de gestion'!C:C,I23)=0,"","_"&amp;LOOKUP(I23,'Objets de gestion'!C:C,'Objets de gestion'!F:F))
&amp;IF(COUNTIF('Objets de gestion'!C:C,K23)=0,"","_"&amp;LOOKUP(K23,'Objets de gestion'!C:C,'Objets de gestion'!F:F))
&amp;IF(OR(C23="booléen",COUNTIF('Objets de gestion'!C:C,C23)=0),"","_"&amp;LOOKUP(C23,'Objets de gestion'!C:C,'Objets de gestion'!F:F))
))))</f>
        <v>X</v>
      </c>
      <c r="O23" s="41" t="str">
        <f t="shared" si="0"/>
        <v xml:space="preserve">code du bureau du tiers </v>
      </c>
      <c r="P23" s="41" t="str">
        <f>IF(AND(ISBLANK(A23),ISBLANK(B23),ISBLANK(C23),ISBLANK(E23),ISBLANK(L23)),"",IF(OR(ISBLANK(A23),ISBLANK(B23),ISBLANK(C23),ISBLANK(E23),ISBLANK(L23)),"-",
IF(ISBLANK(C23),"",LOOKUP(C23,'Objets de gestion'!C:C,'Objets de gestion'!E:E))
&amp;IF(ISBLANK(D23),""," "&amp;LOOKUP(D23,Articles!A:A,Articles!B:B))
&amp;IF(ISBLANK(E23),""," "&amp;LOOKUP(E23,'Objets de gestion'!C:C,'Objets de gestion'!E:E))
&amp;IF(ISBLANK(F23),""," "&amp;LOOKUP(F23,Articles!A:A,Articles!B:B))
&amp;IF(ISBLANK(G23),""," "&amp;LOOKUP(G23,'Objets de gestion'!C:C,'Objets de gestion'!E:E))
&amp;IF(ISBLANK(H23),""," "&amp;LOOKUP(H23,Articles!A:A,Articles!B:B))
&amp;IF(ISBLANK(I23),""," "&amp;LOOKUP(I23,'Objets de gestion'!C:C,'Objets de gestion'!E:E))
&amp;IF(ISBLANK(J23),""," "&amp;LOOKUP(J23,Articles!A:A,Articles!B:B))
&amp;IF(ISBLANK(K23),""," "&amp;LOOKUP(K23,'Objets de gestion'!C:C,'Objets de gestion'!E:E))
))</f>
        <v>turnkey action completion  of the turnkey action completion  of the turnkey action completion</v>
      </c>
      <c r="Q23" s="41" t="str">
        <f>IF(AND(ISBLANK(A23),ISBLANK(B23),ISBLANK(C23),ISBLANK(E23),ISBLANK(L23)),"",IF(OR(ISBLANK(A23),ISBLANK(B23),ISBLANK(C23),ISBLANK(E23),ISBLANK(L23)),"-",
LOOKUP(B23,'Type de champ'!B:B,'Type de champ'!C:C)))</f>
        <v>Varchar(??)</v>
      </c>
      <c r="R23" s="41" t="str">
        <f t="shared" si="1"/>
        <v>tiers</v>
      </c>
    </row>
    <row r="24" spans="1:18">
      <c r="A24" s="50" t="s">
        <v>185</v>
      </c>
      <c r="B24" s="41" t="s">
        <v>516</v>
      </c>
      <c r="C24" s="41" t="s">
        <v>138</v>
      </c>
      <c r="D24" s="41" t="s">
        <v>34</v>
      </c>
      <c r="E24" s="41" t="s">
        <v>173</v>
      </c>
      <c r="F24" s="41" t="s">
        <v>26</v>
      </c>
      <c r="G24" s="41" t="s">
        <v>527</v>
      </c>
      <c r="L24" s="41" t="s">
        <v>572</v>
      </c>
      <c r="M24" s="51">
        <f>IF(AND(ISBLANK(A24),ISBLANK(B24),ISBLANK(E24),ISBLANK(G24),ISBLANK(L24)),"",IF(OR(ISBLANK(A24),ISBLANK(B24),ISBLANK(E24),ISBLANK(G24),ISBLANK(L24)),"-",LEN(Tableau47[[#This Row],[Code]])))</f>
        <v>1</v>
      </c>
      <c r="N24" s="52" t="str">
        <f>IF(AND(ISBLANK(A24),ISBLANK(B24),ISBLANK(C24),ISBLANK(E24),ISBLANK(L24)),"",IF(OR(ISBLANK(A24),ISBLANK(B24),ISBLANK(C24),ISBLANK(E24),ISBLANK(L24)),"à compléter",
IF(L24="Normal",
LOOKUP(B24,'Type de champ'!B:B,'Type de champ'!A:A)
&amp;IF(COUNTIF('Objets de gestion'!C:C,K24)=0,"","_"&amp;LOOKUP(K24,'Objets de gestion'!C:C,'Objets de gestion'!F:F))
&amp;IF(COUNTIF('Objets de gestion'!C:C,I24)=0,"","_"&amp;LOOKUP(I24,'Objets de gestion'!C:C,'Objets de gestion'!F:F))
&amp;IF(COUNTIF('Objets de gestion'!C:C,G24)=0,"","_"&amp;LOOKUP(G24,'Objets de gestion'!C:C,'Objets de gestion'!F:F))
&amp;IF(COUNTIF('Objets de gestion'!C:C,E24)=0,"","_"&amp;LOOKUP(E24,'Objets de gestion'!C:C,'Objets de gestion'!F:F))
&amp;IF(OR(C24="booléen",COUNTIF('Objets de gestion'!C:C,C24)=0),"","_"&amp;LOOKUP(C24,'Objets de gestion'!C:C,'Objets de gestion'!F:F)),
IF(L24="Forcé",
LOOKUP(B24,'Type de champ'!B:B,'Type de champ'!A:A)
&amp;IF(COUNTIF('Objets de gestion'!C:C,E24)=0,"","_"&amp;LOOKUP(E24,'Objets de gestion'!C:C,'Objets de gestion'!F:F))
&amp;IF(COUNTIF('Objets de gestion'!C:C,G24)=0,"","_"&amp;LOOKUP(G24,'Objets de gestion'!C:C,'Objets de gestion'!F:F))
&amp;IF(COUNTIF('Objets de gestion'!C:C,I24)=0,"","_"&amp;LOOKUP(I24,'Objets de gestion'!C:C,'Objets de gestion'!F:F))
&amp;IF(COUNTIF('Objets de gestion'!C:C,K24)=0,"","_"&amp;LOOKUP(K24,'Objets de gestion'!C:C,'Objets de gestion'!F:F))
&amp;IF(OR(C24="booléen",COUNTIF('Objets de gestion'!C:C,C24)=0),"","_"&amp;LOOKUP(C24,'Objets de gestion'!C:C,'Objets de gestion'!F:F))
))))</f>
        <v>X</v>
      </c>
      <c r="O24" s="41" t="str">
        <f t="shared" si="0"/>
        <v xml:space="preserve">code du portefeuille de rattachement </v>
      </c>
      <c r="P24" s="41" t="str">
        <f>IF(AND(ISBLANK(A24),ISBLANK(B24),ISBLANK(C24),ISBLANK(E24),ISBLANK(L24)),"",IF(OR(ISBLANK(A24),ISBLANK(B24),ISBLANK(C24),ISBLANK(E24),ISBLANK(L24)),"-",
IF(ISBLANK(C24),"",LOOKUP(C24,'Objets de gestion'!C:C,'Objets de gestion'!E:E))
&amp;IF(ISBLANK(D24),""," "&amp;LOOKUP(D24,Articles!A:A,Articles!B:B))
&amp;IF(ISBLANK(E24),""," "&amp;LOOKUP(E24,'Objets de gestion'!C:C,'Objets de gestion'!E:E))
&amp;IF(ISBLANK(F24),""," "&amp;LOOKUP(F24,Articles!A:A,Articles!B:B))
&amp;IF(ISBLANK(G24),""," "&amp;LOOKUP(G24,'Objets de gestion'!C:C,'Objets de gestion'!E:E))
&amp;IF(ISBLANK(H24),""," "&amp;LOOKUP(H24,Articles!A:A,Articles!B:B))
&amp;IF(ISBLANK(I24),""," "&amp;LOOKUP(I24,'Objets de gestion'!C:C,'Objets de gestion'!E:E))
&amp;IF(ISBLANK(J24),""," "&amp;LOOKUP(J24,Articles!A:A,Articles!B:B))
&amp;IF(ISBLANK(K24),""," "&amp;LOOKUP(K24,'Objets de gestion'!C:C,'Objets de gestion'!E:E))
))</f>
        <v>turnkey action completion  of the turnkey action completion  of the turnkey action completion</v>
      </c>
      <c r="Q24" s="41" t="str">
        <f>IF(AND(ISBLANK(A24),ISBLANK(B24),ISBLANK(C24),ISBLANK(E24),ISBLANK(L24)),"",IF(OR(ISBLANK(A24),ISBLANK(B24),ISBLANK(C24),ISBLANK(E24),ISBLANK(L24)),"-",
LOOKUP(B24,'Type de champ'!B:B,'Type de champ'!C:C)))</f>
        <v>Varchar(??)</v>
      </c>
      <c r="R24" s="41" t="str">
        <f t="shared" si="1"/>
        <v>tiers</v>
      </c>
    </row>
    <row r="25" spans="1:18">
      <c r="A25" s="50" t="s">
        <v>185</v>
      </c>
      <c r="B25" s="41" t="s">
        <v>516</v>
      </c>
      <c r="C25" s="41" t="s">
        <v>532</v>
      </c>
      <c r="D25" s="41" t="s">
        <v>34</v>
      </c>
      <c r="E25" s="41" t="s">
        <v>173</v>
      </c>
      <c r="F25" s="41" t="s">
        <v>26</v>
      </c>
      <c r="G25" s="41" t="s">
        <v>527</v>
      </c>
      <c r="L25" s="41" t="s">
        <v>572</v>
      </c>
      <c r="M25" s="51">
        <f>IF(AND(ISBLANK(A25),ISBLANK(B25),ISBLANK(E25),ISBLANK(G25),ISBLANK(L25)),"",IF(OR(ISBLANK(A25),ISBLANK(B25),ISBLANK(E25),ISBLANK(G25),ISBLANK(L25)),"-",LEN(Tableau47[[#This Row],[Code]])))</f>
        <v>1</v>
      </c>
      <c r="N25" s="52" t="str">
        <f>IF(AND(ISBLANK(A25),ISBLANK(B25),ISBLANK(C25),ISBLANK(E25),ISBLANK(L25)),"",IF(OR(ISBLANK(A25),ISBLANK(B25),ISBLANK(C25),ISBLANK(E25),ISBLANK(L25)),"à compléter",
IF(L25="Normal",
LOOKUP(B25,'Type de champ'!B:B,'Type de champ'!A:A)
&amp;IF(COUNTIF('Objets de gestion'!C:C,K25)=0,"","_"&amp;LOOKUP(K25,'Objets de gestion'!C:C,'Objets de gestion'!F:F))
&amp;IF(COUNTIF('Objets de gestion'!C:C,I25)=0,"","_"&amp;LOOKUP(I25,'Objets de gestion'!C:C,'Objets de gestion'!F:F))
&amp;IF(COUNTIF('Objets de gestion'!C:C,G25)=0,"","_"&amp;LOOKUP(G25,'Objets de gestion'!C:C,'Objets de gestion'!F:F))
&amp;IF(COUNTIF('Objets de gestion'!C:C,E25)=0,"","_"&amp;LOOKUP(E25,'Objets de gestion'!C:C,'Objets de gestion'!F:F))
&amp;IF(OR(C25="booléen",COUNTIF('Objets de gestion'!C:C,C25)=0),"","_"&amp;LOOKUP(C25,'Objets de gestion'!C:C,'Objets de gestion'!F:F)),
IF(L25="Forcé",
LOOKUP(B25,'Type de champ'!B:B,'Type de champ'!A:A)
&amp;IF(COUNTIF('Objets de gestion'!C:C,E25)=0,"","_"&amp;LOOKUP(E25,'Objets de gestion'!C:C,'Objets de gestion'!F:F))
&amp;IF(COUNTIF('Objets de gestion'!C:C,G25)=0,"","_"&amp;LOOKUP(G25,'Objets de gestion'!C:C,'Objets de gestion'!F:F))
&amp;IF(COUNTIF('Objets de gestion'!C:C,I25)=0,"","_"&amp;LOOKUP(I25,'Objets de gestion'!C:C,'Objets de gestion'!F:F))
&amp;IF(COUNTIF('Objets de gestion'!C:C,K25)=0,"","_"&amp;LOOKUP(K25,'Objets de gestion'!C:C,'Objets de gestion'!F:F))
&amp;IF(OR(C25="booléen",COUNTIF('Objets de gestion'!C:C,C25)=0),"","_"&amp;LOOKUP(C25,'Objets de gestion'!C:C,'Objets de gestion'!F:F))
))))</f>
        <v>X</v>
      </c>
      <c r="O25" s="41" t="str">
        <f t="shared" si="0"/>
        <v xml:space="preserve">Libellé du portefeuille de rattachement </v>
      </c>
      <c r="P25" s="41" t="str">
        <f>IF(AND(ISBLANK(A25),ISBLANK(B25),ISBLANK(C25),ISBLANK(E25),ISBLANK(L25)),"",IF(OR(ISBLANK(A25),ISBLANK(B25),ISBLANK(C25),ISBLANK(E25),ISBLANK(L25)),"-",
IF(ISBLANK(C25),"",LOOKUP(C25,'Objets de gestion'!C:C,'Objets de gestion'!E:E))
&amp;IF(ISBLANK(D25),""," "&amp;LOOKUP(D25,Articles!A:A,Articles!B:B))
&amp;IF(ISBLANK(E25),""," "&amp;LOOKUP(E25,'Objets de gestion'!C:C,'Objets de gestion'!E:E))
&amp;IF(ISBLANK(F25),""," "&amp;LOOKUP(F25,Articles!A:A,Articles!B:B))
&amp;IF(ISBLANK(G25),""," "&amp;LOOKUP(G25,'Objets de gestion'!C:C,'Objets de gestion'!E:E))
&amp;IF(ISBLANK(H25),""," "&amp;LOOKUP(H25,Articles!A:A,Articles!B:B))
&amp;IF(ISBLANK(I25),""," "&amp;LOOKUP(I25,'Objets de gestion'!C:C,'Objets de gestion'!E:E))
&amp;IF(ISBLANK(J25),""," "&amp;LOOKUP(J25,Articles!A:A,Articles!B:B))
&amp;IF(ISBLANK(K25),""," "&amp;LOOKUP(K25,'Objets de gestion'!C:C,'Objets de gestion'!E:E))
))</f>
        <v>turnkey action completion  of the turnkey action completion  of the turnkey action completion</v>
      </c>
      <c r="Q25" s="41" t="str">
        <f>IF(AND(ISBLANK(A25),ISBLANK(B25),ISBLANK(C25),ISBLANK(E25),ISBLANK(L25)),"",IF(OR(ISBLANK(A25),ISBLANK(B25),ISBLANK(C25),ISBLANK(E25),ISBLANK(L25)),"-",
LOOKUP(B25,'Type de champ'!B:B,'Type de champ'!C:C)))</f>
        <v>Varchar(??)</v>
      </c>
      <c r="R25" s="41" t="str">
        <f t="shared" si="1"/>
        <v>tiers</v>
      </c>
    </row>
    <row r="26" spans="1:18">
      <c r="A26" s="50" t="s">
        <v>185</v>
      </c>
      <c r="B26" s="41" t="s">
        <v>516</v>
      </c>
      <c r="C26" s="41" t="s">
        <v>578</v>
      </c>
      <c r="D26" s="41" t="s">
        <v>26</v>
      </c>
      <c r="E26" s="41" t="s">
        <v>527</v>
      </c>
      <c r="F26" s="41" t="s">
        <v>34</v>
      </c>
      <c r="G26" s="41" t="s">
        <v>185</v>
      </c>
      <c r="H26" s="41" t="s">
        <v>12</v>
      </c>
      <c r="I26" s="41" t="s">
        <v>173</v>
      </c>
      <c r="L26" s="41" t="s">
        <v>572</v>
      </c>
      <c r="M26" s="51">
        <f>IF(AND(ISBLANK(A26),ISBLANK(B26),ISBLANK(E26),ISBLANK(G26),ISBLANK(L26)),"",IF(OR(ISBLANK(A26),ISBLANK(B26),ISBLANK(E26),ISBLANK(G26),ISBLANK(L26)),"-",LEN(Tableau47[[#This Row],[Code]])))</f>
        <v>1</v>
      </c>
      <c r="N26" s="52" t="str">
        <f>IF(AND(ISBLANK(A26),ISBLANK(B26),ISBLANK(C26),ISBLANK(E26),ISBLANK(L26)),"",IF(OR(ISBLANK(A26),ISBLANK(B26),ISBLANK(C26),ISBLANK(E26),ISBLANK(L26)),"à compléter",
IF(L26="Normal",
LOOKUP(B26,'Type de champ'!B:B,'Type de champ'!A:A)
&amp;IF(COUNTIF('Objets de gestion'!C:C,K26)=0,"","_"&amp;LOOKUP(K26,'Objets de gestion'!C:C,'Objets de gestion'!F:F))
&amp;IF(COUNTIF('Objets de gestion'!C:C,I26)=0,"","_"&amp;LOOKUP(I26,'Objets de gestion'!C:C,'Objets de gestion'!F:F))
&amp;IF(COUNTIF('Objets de gestion'!C:C,G26)=0,"","_"&amp;LOOKUP(G26,'Objets de gestion'!C:C,'Objets de gestion'!F:F))
&amp;IF(COUNTIF('Objets de gestion'!C:C,E26)=0,"","_"&amp;LOOKUP(E26,'Objets de gestion'!C:C,'Objets de gestion'!F:F))
&amp;IF(OR(C26="booléen",COUNTIF('Objets de gestion'!C:C,C26)=0),"","_"&amp;LOOKUP(C26,'Objets de gestion'!C:C,'Objets de gestion'!F:F)),
IF(L26="Forcé",
LOOKUP(B26,'Type de champ'!B:B,'Type de champ'!A:A)
&amp;IF(COUNTIF('Objets de gestion'!C:C,E26)=0,"","_"&amp;LOOKUP(E26,'Objets de gestion'!C:C,'Objets de gestion'!F:F))
&amp;IF(COUNTIF('Objets de gestion'!C:C,G26)=0,"","_"&amp;LOOKUP(G26,'Objets de gestion'!C:C,'Objets de gestion'!F:F))
&amp;IF(COUNTIF('Objets de gestion'!C:C,I26)=0,"","_"&amp;LOOKUP(I26,'Objets de gestion'!C:C,'Objets de gestion'!F:F))
&amp;IF(COUNTIF('Objets de gestion'!C:C,K26)=0,"","_"&amp;LOOKUP(K26,'Objets de gestion'!C:C,'Objets de gestion'!F:F))
&amp;IF(OR(C26="booléen",COUNTIF('Objets de gestion'!C:C,C26)=0),"","_"&amp;LOOKUP(C26,'Objets de gestion'!C:C,'Objets de gestion'!F:F))
))))</f>
        <v>X</v>
      </c>
      <c r="O26" s="41" t="str">
        <f t="shared" si="0"/>
        <v xml:space="preserve">type de rattachement du tiers au portefeuille </v>
      </c>
      <c r="P26" s="41" t="str">
        <f>IF(AND(ISBLANK(A26),ISBLANK(B26),ISBLANK(C26),ISBLANK(E26),ISBLANK(L26)),"",IF(OR(ISBLANK(A26),ISBLANK(B26),ISBLANK(C26),ISBLANK(E26),ISBLANK(L26)),"-",
IF(ISBLANK(C26),"",LOOKUP(C26,'Objets de gestion'!C:C,'Objets de gestion'!E:E))
&amp;IF(ISBLANK(D26),""," "&amp;LOOKUP(D26,Articles!A:A,Articles!B:B))
&amp;IF(ISBLANK(E26),""," "&amp;LOOKUP(E26,'Objets de gestion'!C:C,'Objets de gestion'!E:E))
&amp;IF(ISBLANK(F26),""," "&amp;LOOKUP(F26,Articles!A:A,Articles!B:B))
&amp;IF(ISBLANK(G26),""," "&amp;LOOKUP(G26,'Objets de gestion'!C:C,'Objets de gestion'!E:E))
&amp;IF(ISBLANK(H26),""," "&amp;LOOKUP(H26,Articles!A:A,Articles!B:B))
&amp;IF(ISBLANK(I26),""," "&amp;LOOKUP(I26,'Objets de gestion'!C:C,'Objets de gestion'!E:E))
&amp;IF(ISBLANK(J26),""," "&amp;LOOKUP(J26,Articles!A:A,Articles!B:B))
&amp;IF(ISBLANK(K26),""," "&amp;LOOKUP(K26,'Objets de gestion'!C:C,'Objets de gestion'!E:E))
))</f>
        <v>turnkey action completion  of the turnkey action completion  of the turnkey action completion  to turnkey action completion</v>
      </c>
      <c r="Q26" s="41" t="str">
        <f>IF(AND(ISBLANK(A26),ISBLANK(B26),ISBLANK(C26),ISBLANK(E26),ISBLANK(L26)),"",IF(OR(ISBLANK(A26),ISBLANK(B26),ISBLANK(C26),ISBLANK(E26),ISBLANK(L26)),"-",
LOOKUP(B26,'Type de champ'!B:B,'Type de champ'!C:C)))</f>
        <v>Varchar(??)</v>
      </c>
      <c r="R26" s="41" t="str">
        <f t="shared" si="1"/>
        <v>tiers</v>
      </c>
    </row>
    <row r="27" spans="1:18">
      <c r="A27" s="50" t="s">
        <v>185</v>
      </c>
      <c r="B27" s="41" t="s">
        <v>516</v>
      </c>
      <c r="C27" s="41" t="s">
        <v>138</v>
      </c>
      <c r="D27" s="41" t="s">
        <v>34</v>
      </c>
      <c r="E27" s="41" t="s">
        <v>188</v>
      </c>
      <c r="F27" s="41" t="s">
        <v>26</v>
      </c>
      <c r="G27" s="41" t="s">
        <v>527</v>
      </c>
      <c r="H27" s="41" t="s">
        <v>34</v>
      </c>
      <c r="I27" s="41" t="s">
        <v>185</v>
      </c>
      <c r="J27" s="41" t="s">
        <v>12</v>
      </c>
      <c r="K27" s="41" t="s">
        <v>173</v>
      </c>
      <c r="L27" s="41" t="s">
        <v>572</v>
      </c>
      <c r="M27" s="51">
        <f>IF(AND(ISBLANK(A27),ISBLANK(B27),ISBLANK(E27),ISBLANK(G27),ISBLANK(L27)),"",IF(OR(ISBLANK(A27),ISBLANK(B27),ISBLANK(E27),ISBLANK(G27),ISBLANK(L27)),"-",LEN(Tableau47[[#This Row],[Code]])))</f>
        <v>1</v>
      </c>
      <c r="N27" s="52" t="str">
        <f>IF(AND(ISBLANK(A27),ISBLANK(B27),ISBLANK(C27),ISBLANK(E27),ISBLANK(L27)),"",IF(OR(ISBLANK(A27),ISBLANK(B27),ISBLANK(C27),ISBLANK(E27),ISBLANK(L27)),"à compléter",
IF(L27="Normal",
LOOKUP(B27,'Type de champ'!B:B,'Type de champ'!A:A)
&amp;IF(COUNTIF('Objets de gestion'!C:C,K27)=0,"","_"&amp;LOOKUP(K27,'Objets de gestion'!C:C,'Objets de gestion'!F:F))
&amp;IF(COUNTIF('Objets de gestion'!C:C,I27)=0,"","_"&amp;LOOKUP(I27,'Objets de gestion'!C:C,'Objets de gestion'!F:F))
&amp;IF(COUNTIF('Objets de gestion'!C:C,G27)=0,"","_"&amp;LOOKUP(G27,'Objets de gestion'!C:C,'Objets de gestion'!F:F))
&amp;IF(COUNTIF('Objets de gestion'!C:C,E27)=0,"","_"&amp;LOOKUP(E27,'Objets de gestion'!C:C,'Objets de gestion'!F:F))
&amp;IF(OR(C27="booléen",COUNTIF('Objets de gestion'!C:C,C27)=0),"","_"&amp;LOOKUP(C27,'Objets de gestion'!C:C,'Objets de gestion'!F:F)),
IF(L27="Forcé",
LOOKUP(B27,'Type de champ'!B:B,'Type de champ'!A:A)
&amp;IF(COUNTIF('Objets de gestion'!C:C,E27)=0,"","_"&amp;LOOKUP(E27,'Objets de gestion'!C:C,'Objets de gestion'!F:F))
&amp;IF(COUNTIF('Objets de gestion'!C:C,G27)=0,"","_"&amp;LOOKUP(G27,'Objets de gestion'!C:C,'Objets de gestion'!F:F))
&amp;IF(COUNTIF('Objets de gestion'!C:C,I27)=0,"","_"&amp;LOOKUP(I27,'Objets de gestion'!C:C,'Objets de gestion'!F:F))
&amp;IF(COUNTIF('Objets de gestion'!C:C,K27)=0,"","_"&amp;LOOKUP(K27,'Objets de gestion'!C:C,'Objets de gestion'!F:F))
&amp;IF(OR(C27="booléen",COUNTIF('Objets de gestion'!C:C,C27)=0),"","_"&amp;LOOKUP(C27,'Objets de gestion'!C:C,'Objets de gestion'!F:F))
))))</f>
        <v>X</v>
      </c>
      <c r="O27" s="41" t="str">
        <f t="shared" si="0"/>
        <v xml:space="preserve">code du type de structure de rattachement du tiers au portefeuille </v>
      </c>
      <c r="P27" s="41" t="str">
        <f>IF(AND(ISBLANK(A27),ISBLANK(B27),ISBLANK(C27),ISBLANK(E27),ISBLANK(L27)),"",IF(OR(ISBLANK(A27),ISBLANK(B27),ISBLANK(C27),ISBLANK(E27),ISBLANK(L27)),"-",
IF(ISBLANK(C27),"",LOOKUP(C27,'Objets de gestion'!C:C,'Objets de gestion'!E:E))
&amp;IF(ISBLANK(D27),""," "&amp;LOOKUP(D27,Articles!A:A,Articles!B:B))
&amp;IF(ISBLANK(E27),""," "&amp;LOOKUP(E27,'Objets de gestion'!C:C,'Objets de gestion'!E:E))
&amp;IF(ISBLANK(F27),""," "&amp;LOOKUP(F27,Articles!A:A,Articles!B:B))
&amp;IF(ISBLANK(G27),""," "&amp;LOOKUP(G27,'Objets de gestion'!C:C,'Objets de gestion'!E:E))
&amp;IF(ISBLANK(H27),""," "&amp;LOOKUP(H27,Articles!A:A,Articles!B:B))
&amp;IF(ISBLANK(I27),""," "&amp;LOOKUP(I27,'Objets de gestion'!C:C,'Objets de gestion'!E:E))
&amp;IF(ISBLANK(J27),""," "&amp;LOOKUP(J27,Articles!A:A,Articles!B:B))
&amp;IF(ISBLANK(K27),""," "&amp;LOOKUP(K27,'Objets de gestion'!C:C,'Objets de gestion'!E:E))
))</f>
        <v>turnkey action completion  of the turnkey action completion  of the turnkey action completion  of the turnkey action completion  to turnkey action completion</v>
      </c>
      <c r="Q27" s="41" t="str">
        <f>IF(AND(ISBLANK(A27),ISBLANK(B27),ISBLANK(C27),ISBLANK(E27),ISBLANK(L27)),"",IF(OR(ISBLANK(A27),ISBLANK(B27),ISBLANK(C27),ISBLANK(E27),ISBLANK(L27)),"-",
LOOKUP(B27,'Type de champ'!B:B,'Type de champ'!C:C)))</f>
        <v>Varchar(??)</v>
      </c>
      <c r="R27" s="41" t="str">
        <f t="shared" si="1"/>
        <v>tiers</v>
      </c>
    </row>
    <row r="28" spans="1:18">
      <c r="A28" s="50" t="s">
        <v>185</v>
      </c>
      <c r="B28" s="41" t="s">
        <v>514</v>
      </c>
      <c r="C28" s="41" t="s">
        <v>531</v>
      </c>
      <c r="D28" s="41" t="s">
        <v>34</v>
      </c>
      <c r="E28" s="41" t="s">
        <v>168</v>
      </c>
      <c r="F28" s="41" t="s">
        <v>40</v>
      </c>
      <c r="G28" s="41" t="s">
        <v>185</v>
      </c>
      <c r="H28" s="41" t="s">
        <v>42</v>
      </c>
      <c r="I28" s="41" t="s">
        <v>566</v>
      </c>
      <c r="L28" s="41" t="s">
        <v>572</v>
      </c>
      <c r="M28" s="51">
        <f>IF(AND(ISBLANK(A28),ISBLANK(B28),ISBLANK(E28),ISBLANK(G28),ISBLANK(L28)),"",IF(OR(ISBLANK(A28),ISBLANK(B28),ISBLANK(E28),ISBLANK(G28),ISBLANK(L28)),"-",LEN(Tableau47[[#This Row],[Code]])))</f>
        <v>1</v>
      </c>
      <c r="N28" s="52" t="str">
        <f>IF(AND(ISBLANK(A28),ISBLANK(B28),ISBLANK(C28),ISBLANK(E28),ISBLANK(L28)),"",IF(OR(ISBLANK(A28),ISBLANK(B28),ISBLANK(C28),ISBLANK(E28),ISBLANK(L28)),"à compléter",
IF(L28="Normal",
LOOKUP(B28,'Type de champ'!B:B,'Type de champ'!A:A)
&amp;IF(COUNTIF('Objets de gestion'!C:C,K28)=0,"","_"&amp;LOOKUP(K28,'Objets de gestion'!C:C,'Objets de gestion'!F:F))
&amp;IF(COUNTIF('Objets de gestion'!C:C,I28)=0,"","_"&amp;LOOKUP(I28,'Objets de gestion'!C:C,'Objets de gestion'!F:F))
&amp;IF(COUNTIF('Objets de gestion'!C:C,G28)=0,"","_"&amp;LOOKUP(G28,'Objets de gestion'!C:C,'Objets de gestion'!F:F))
&amp;IF(COUNTIF('Objets de gestion'!C:C,E28)=0,"","_"&amp;LOOKUP(E28,'Objets de gestion'!C:C,'Objets de gestion'!F:F))
&amp;IF(OR(C28="booléen",COUNTIF('Objets de gestion'!C:C,C28)=0),"","_"&amp;LOOKUP(C28,'Objets de gestion'!C:C,'Objets de gestion'!F:F)),
IF(L28="Forcé",
LOOKUP(B28,'Type de champ'!B:B,'Type de champ'!A:A)
&amp;IF(COUNTIF('Objets de gestion'!C:C,E28)=0,"","_"&amp;LOOKUP(E28,'Objets de gestion'!C:C,'Objets de gestion'!F:F))
&amp;IF(COUNTIF('Objets de gestion'!C:C,G28)=0,"","_"&amp;LOOKUP(G28,'Objets de gestion'!C:C,'Objets de gestion'!F:F))
&amp;IF(COUNTIF('Objets de gestion'!C:C,I28)=0,"","_"&amp;LOOKUP(I28,'Objets de gestion'!C:C,'Objets de gestion'!F:F))
&amp;IF(COUNTIF('Objets de gestion'!C:C,K28)=0,"","_"&amp;LOOKUP(K28,'Objets de gestion'!C:C,'Objets de gestion'!F:F))
&amp;IF(OR(C28="booléen",COUNTIF('Objets de gestion'!C:C,C28)=0),"","_"&amp;LOOKUP(C28,'Objets de gestion'!C:C,'Objets de gestion'!F:F))
))))</f>
        <v>T</v>
      </c>
      <c r="O28" s="41" t="str">
        <f t="shared" si="0"/>
        <v xml:space="preserve">Date de fin de l'identifiant unique du Lien entre tiers et chargé de clientèle </v>
      </c>
      <c r="P28" s="41" t="str">
        <f>IF(AND(ISBLANK(A28),ISBLANK(B28),ISBLANK(C28),ISBLANK(E28),ISBLANK(L28)),"",IF(OR(ISBLANK(A28),ISBLANK(B28),ISBLANK(C28),ISBLANK(E28),ISBLANK(L28)),"-",
IF(ISBLANK(C28),"",LOOKUP(C28,'Objets de gestion'!C:C,'Objets de gestion'!E:E))
&amp;IF(ISBLANK(D28),""," "&amp;LOOKUP(D28,Articles!A:A,Articles!B:B))
&amp;IF(ISBLANK(E28),""," "&amp;LOOKUP(E28,'Objets de gestion'!C:C,'Objets de gestion'!E:E))
&amp;IF(ISBLANK(F28),""," "&amp;LOOKUP(F28,Articles!A:A,Articles!B:B))
&amp;IF(ISBLANK(G28),""," "&amp;LOOKUP(G28,'Objets de gestion'!C:C,'Objets de gestion'!E:E))
&amp;IF(ISBLANK(H28),""," "&amp;LOOKUP(H28,Articles!A:A,Articles!B:B))
&amp;IF(ISBLANK(I28),""," "&amp;LOOKUP(I28,'Objets de gestion'!C:C,'Objets de gestion'!E:E))
&amp;IF(ISBLANK(J28),""," "&amp;LOOKUP(J28,Articles!A:A,Articles!B:B))
&amp;IF(ISBLANK(K28),""," "&amp;LOOKUP(K28,'Objets de gestion'!C:C,'Objets de gestion'!E:E))
))</f>
        <v>turnkey action completion  of the turnkey action completion  between turnkey action completion  and turnkey action completion</v>
      </c>
      <c r="Q28" s="41" t="str">
        <f>IF(AND(ISBLANK(A28),ISBLANK(B28),ISBLANK(C28),ISBLANK(E28),ISBLANK(L28)),"",IF(OR(ISBLANK(A28),ISBLANK(B28),ISBLANK(C28),ISBLANK(E28),ISBLANK(L28)),"-",
LOOKUP(B28,'Type de champ'!B:B,'Type de champ'!C:C)))</f>
        <v>Date</v>
      </c>
      <c r="R28" s="41" t="str">
        <f t="shared" si="1"/>
        <v>tiers</v>
      </c>
    </row>
    <row r="29" spans="1:18">
      <c r="A29" s="50"/>
      <c r="M29" s="51" t="str">
        <f>IF(AND(ISBLANK(A29),ISBLANK(B29),ISBLANK(E29),ISBLANK(G29),ISBLANK(L29)),"",IF(OR(ISBLANK(A29),ISBLANK(B29),ISBLANK(E29),ISBLANK(G29),ISBLANK(L29)),"-",LEN(Tableau47[[#This Row],[Code]])))</f>
        <v/>
      </c>
      <c r="N29" s="52" t="str">
        <f>IF(AND(ISBLANK(A29),ISBLANK(B29),ISBLANK(C29),ISBLANK(E29),ISBLANK(L29)),"",IF(OR(ISBLANK(A29),ISBLANK(B29),ISBLANK(C29),ISBLANK(E29),ISBLANK(L29)),"à compléter",
IF(L29="Normal",
LOOKUP(B29,'Type de champ'!B:B,'Type de champ'!A:A)
&amp;IF(COUNTIF('Objets de gestion'!C:C,K29)=0,"","_"&amp;LOOKUP(K29,'Objets de gestion'!C:C,'Objets de gestion'!F:F))
&amp;IF(COUNTIF('Objets de gestion'!C:C,I29)=0,"","_"&amp;LOOKUP(I29,'Objets de gestion'!C:C,'Objets de gestion'!F:F))
&amp;IF(COUNTIF('Objets de gestion'!C:C,G29)=0,"","_"&amp;LOOKUP(G29,'Objets de gestion'!C:C,'Objets de gestion'!F:F))
&amp;IF(COUNTIF('Objets de gestion'!C:C,E29)=0,"","_"&amp;LOOKUP(E29,'Objets de gestion'!C:C,'Objets de gestion'!F:F))
&amp;IF(OR(C29="booléen",COUNTIF('Objets de gestion'!C:C,C29)=0),"","_"&amp;LOOKUP(C29,'Objets de gestion'!C:C,'Objets de gestion'!F:F)),
IF(L29="Forcé",
LOOKUP(B29,'Type de champ'!B:B,'Type de champ'!A:A)
&amp;IF(COUNTIF('Objets de gestion'!C:C,E29)=0,"","_"&amp;LOOKUP(E29,'Objets de gestion'!C:C,'Objets de gestion'!F:F))
&amp;IF(COUNTIF('Objets de gestion'!C:C,G29)=0,"","_"&amp;LOOKUP(G29,'Objets de gestion'!C:C,'Objets de gestion'!F:F))
&amp;IF(COUNTIF('Objets de gestion'!C:C,I29)=0,"","_"&amp;LOOKUP(I29,'Objets de gestion'!C:C,'Objets de gestion'!F:F))
&amp;IF(COUNTIF('Objets de gestion'!C:C,K29)=0,"","_"&amp;LOOKUP(K29,'Objets de gestion'!C:C,'Objets de gestion'!F:F))
&amp;IF(OR(C29="booléen",COUNTIF('Objets de gestion'!C:C,C29)=0),"","_"&amp;LOOKUP(C29,'Objets de gestion'!C:C,'Objets de gestion'!F:F))
))))</f>
        <v/>
      </c>
      <c r="O29" s="41" t="str">
        <f t="shared" si="0"/>
        <v/>
      </c>
      <c r="P29" s="41" t="str">
        <f>IF(AND(ISBLANK(A29),ISBLANK(B29),ISBLANK(C29),ISBLANK(E29),ISBLANK(L29)),"",IF(OR(ISBLANK(A29),ISBLANK(B29),ISBLANK(C29),ISBLANK(E29),ISBLANK(L29)),"-",
IF(ISBLANK(C29),"",LOOKUP(C29,'Objets de gestion'!C:C,'Objets de gestion'!E:E))
&amp;IF(ISBLANK(D29),""," "&amp;LOOKUP(D29,Articles!A:A,Articles!B:B))
&amp;IF(ISBLANK(E29),""," "&amp;LOOKUP(E29,'Objets de gestion'!C:C,'Objets de gestion'!E:E))
&amp;IF(ISBLANK(F29),""," "&amp;LOOKUP(F29,Articles!A:A,Articles!B:B))
&amp;IF(ISBLANK(G29),""," "&amp;LOOKUP(G29,'Objets de gestion'!C:C,'Objets de gestion'!E:E))
&amp;IF(ISBLANK(H29),""," "&amp;LOOKUP(H29,Articles!A:A,Articles!B:B))
&amp;IF(ISBLANK(I29),""," "&amp;LOOKUP(I29,'Objets de gestion'!C:C,'Objets de gestion'!E:E))
&amp;IF(ISBLANK(J29),""," "&amp;LOOKUP(J29,Articles!A:A,Articles!B:B))
&amp;IF(ISBLANK(K29),""," "&amp;LOOKUP(K29,'Objets de gestion'!C:C,'Objets de gestion'!E:E))
))</f>
        <v/>
      </c>
      <c r="Q29" s="41" t="str">
        <f>IF(AND(ISBLANK(A29),ISBLANK(B29),ISBLANK(C29),ISBLANK(E29),ISBLANK(L29)),"",IF(OR(ISBLANK(A29),ISBLANK(B29),ISBLANK(C29),ISBLANK(E29),ISBLANK(L29)),"-",
LOOKUP(B29,'Type de champ'!B:B,'Type de champ'!C:C)))</f>
        <v/>
      </c>
      <c r="R29" s="41" t="str">
        <f t="shared" si="1"/>
        <v/>
      </c>
    </row>
    <row r="30" spans="1:18">
      <c r="A30" s="50" t="s">
        <v>185</v>
      </c>
      <c r="B30" s="41" t="s">
        <v>514</v>
      </c>
      <c r="C30" s="41" t="s">
        <v>587</v>
      </c>
      <c r="D30" s="41" t="s">
        <v>34</v>
      </c>
      <c r="E30" s="41" t="s">
        <v>185</v>
      </c>
      <c r="F30" s="41" t="s">
        <v>12</v>
      </c>
      <c r="G30" s="41" t="s">
        <v>173</v>
      </c>
      <c r="L30" s="41" t="s">
        <v>572</v>
      </c>
      <c r="M30" s="51">
        <f>IF(AND(ISBLANK(A30),ISBLANK(B30),ISBLANK(E30),ISBLANK(G30),ISBLANK(L30)),"",IF(OR(ISBLANK(A30),ISBLANK(B30),ISBLANK(E30),ISBLANK(G30),ISBLANK(L30)),"-",LEN(Tableau47[[#This Row],[Code]])))</f>
        <v>1</v>
      </c>
      <c r="N30" s="52" t="str">
        <f>IF(AND(ISBLANK(A30),ISBLANK(B30),ISBLANK(C30),ISBLANK(E30),ISBLANK(L30)),"",IF(OR(ISBLANK(A30),ISBLANK(B30),ISBLANK(C30),ISBLANK(E30),ISBLANK(L30)),"à compléter",
IF(L30="Normal",
LOOKUP(B30,'Type de champ'!B:B,'Type de champ'!A:A)
&amp;IF(COUNTIF('Objets de gestion'!C:C,K30)=0,"","_"&amp;LOOKUP(K30,'Objets de gestion'!C:C,'Objets de gestion'!F:F))
&amp;IF(COUNTIF('Objets de gestion'!C:C,I30)=0,"","_"&amp;LOOKUP(I30,'Objets de gestion'!C:C,'Objets de gestion'!F:F))
&amp;IF(COUNTIF('Objets de gestion'!C:C,G30)=0,"","_"&amp;LOOKUP(G30,'Objets de gestion'!C:C,'Objets de gestion'!F:F))
&amp;IF(COUNTIF('Objets de gestion'!C:C,E30)=0,"","_"&amp;LOOKUP(E30,'Objets de gestion'!C:C,'Objets de gestion'!F:F))
&amp;IF(OR(C30="booléen",COUNTIF('Objets de gestion'!C:C,C30)=0),"","_"&amp;LOOKUP(C30,'Objets de gestion'!C:C,'Objets de gestion'!F:F)),
IF(L30="Forcé",
LOOKUP(B30,'Type de champ'!B:B,'Type de champ'!A:A)
&amp;IF(COUNTIF('Objets de gestion'!C:C,E30)=0,"","_"&amp;LOOKUP(E30,'Objets de gestion'!C:C,'Objets de gestion'!F:F))
&amp;IF(COUNTIF('Objets de gestion'!C:C,G30)=0,"","_"&amp;LOOKUP(G30,'Objets de gestion'!C:C,'Objets de gestion'!F:F))
&amp;IF(COUNTIF('Objets de gestion'!C:C,I30)=0,"","_"&amp;LOOKUP(I30,'Objets de gestion'!C:C,'Objets de gestion'!F:F))
&amp;IF(COUNTIF('Objets de gestion'!C:C,K30)=0,"","_"&amp;LOOKUP(K30,'Objets de gestion'!C:C,'Objets de gestion'!F:F))
&amp;IF(OR(C30="booléen",COUNTIF('Objets de gestion'!C:C,C30)=0),"","_"&amp;LOOKUP(C30,'Objets de gestion'!C:C,'Objets de gestion'!F:F))
))))</f>
        <v>T</v>
      </c>
      <c r="O30" s="41" t="str">
        <f t="shared" si="0"/>
        <v xml:space="preserve">date de rattachement du tiers au portefeuille </v>
      </c>
      <c r="P30" s="41" t="str">
        <f>IF(AND(ISBLANK(A30),ISBLANK(B30),ISBLANK(C30),ISBLANK(E30),ISBLANK(L30)),"",IF(OR(ISBLANK(A30),ISBLANK(B30),ISBLANK(C30),ISBLANK(E30),ISBLANK(L30)),"-",
IF(ISBLANK(C30),"",LOOKUP(C30,'Objets de gestion'!C:C,'Objets de gestion'!E:E))
&amp;IF(ISBLANK(D30),""," "&amp;LOOKUP(D30,Articles!A:A,Articles!B:B))
&amp;IF(ISBLANK(E30),""," "&amp;LOOKUP(E30,'Objets de gestion'!C:C,'Objets de gestion'!E:E))
&amp;IF(ISBLANK(F30),""," "&amp;LOOKUP(F30,Articles!A:A,Articles!B:B))
&amp;IF(ISBLANK(G30),""," "&amp;LOOKUP(G30,'Objets de gestion'!C:C,'Objets de gestion'!E:E))
&amp;IF(ISBLANK(H30),""," "&amp;LOOKUP(H30,Articles!A:A,Articles!B:B))
&amp;IF(ISBLANK(I30),""," "&amp;LOOKUP(I30,'Objets de gestion'!C:C,'Objets de gestion'!E:E))
&amp;IF(ISBLANK(J30),""," "&amp;LOOKUP(J30,Articles!A:A,Articles!B:B))
&amp;IF(ISBLANK(K30),""," "&amp;LOOKUP(K30,'Objets de gestion'!C:C,'Objets de gestion'!E:E))
))</f>
        <v>turnkey action completion  of the turnkey action completion  to turnkey action completion</v>
      </c>
      <c r="Q30" s="41" t="str">
        <f>IF(AND(ISBLANK(A30),ISBLANK(B30),ISBLANK(C30),ISBLANK(E30),ISBLANK(L30)),"",IF(OR(ISBLANK(A30),ISBLANK(B30),ISBLANK(C30),ISBLANK(E30),ISBLANK(L30)),"-",
LOOKUP(B30,'Type de champ'!B:B,'Type de champ'!C:C)))</f>
        <v>Date</v>
      </c>
      <c r="R30" s="41" t="str">
        <f t="shared" si="1"/>
        <v>tiers</v>
      </c>
    </row>
    <row r="31" spans="1:18">
      <c r="A31" s="50" t="s">
        <v>185</v>
      </c>
      <c r="B31" s="41" t="s">
        <v>508</v>
      </c>
      <c r="C31" s="41" t="s">
        <v>508</v>
      </c>
      <c r="D31" s="41" t="s">
        <v>26</v>
      </c>
      <c r="E31" s="41" t="s">
        <v>525</v>
      </c>
      <c r="F31" s="41" t="s">
        <v>34</v>
      </c>
      <c r="G31" s="41" t="s">
        <v>168</v>
      </c>
      <c r="H31" s="41" t="s">
        <v>40</v>
      </c>
      <c r="I31" s="41" t="s">
        <v>185</v>
      </c>
      <c r="J31" s="41" t="s">
        <v>42</v>
      </c>
      <c r="K31" s="41" t="s">
        <v>566</v>
      </c>
      <c r="L31" s="41" t="s">
        <v>572</v>
      </c>
      <c r="M31" s="51">
        <f>IF(AND(ISBLANK(A31),ISBLANK(B31),ISBLANK(E31),ISBLANK(G31),ISBLANK(L31)),"",IF(OR(ISBLANK(A31),ISBLANK(B31),ISBLANK(E31),ISBLANK(G31),ISBLANK(L31)),"-",LEN(Tableau47[[#This Row],[Code]])))</f>
        <v>1</v>
      </c>
      <c r="N31" s="52" t="str">
        <f>IF(AND(ISBLANK(A31),ISBLANK(B31),ISBLANK(C31),ISBLANK(E31),ISBLANK(L31)),"",IF(OR(ISBLANK(A31),ISBLANK(B31),ISBLANK(C31),ISBLANK(E31),ISBLANK(L31)),"à compléter",
IF(L31="Normal",
LOOKUP(B31,'Type de champ'!B:B,'Type de champ'!A:A)
&amp;IF(COUNTIF('Objets de gestion'!C:C,K31)=0,"","_"&amp;LOOKUP(K31,'Objets de gestion'!C:C,'Objets de gestion'!F:F))
&amp;IF(COUNTIF('Objets de gestion'!C:C,I31)=0,"","_"&amp;LOOKUP(I31,'Objets de gestion'!C:C,'Objets de gestion'!F:F))
&amp;IF(COUNTIF('Objets de gestion'!C:C,G31)=0,"","_"&amp;LOOKUP(G31,'Objets de gestion'!C:C,'Objets de gestion'!F:F))
&amp;IF(COUNTIF('Objets de gestion'!C:C,E31)=0,"","_"&amp;LOOKUP(E31,'Objets de gestion'!C:C,'Objets de gestion'!F:F))
&amp;IF(OR(C31="booléen",COUNTIF('Objets de gestion'!C:C,C31)=0),"","_"&amp;LOOKUP(C31,'Objets de gestion'!C:C,'Objets de gestion'!F:F)),
IF(L31="Forcé",
LOOKUP(B31,'Type de champ'!B:B,'Type de champ'!A:A)
&amp;IF(COUNTIF('Objets de gestion'!C:C,E31)=0,"","_"&amp;LOOKUP(E31,'Objets de gestion'!C:C,'Objets de gestion'!F:F))
&amp;IF(COUNTIF('Objets de gestion'!C:C,G31)=0,"","_"&amp;LOOKUP(G31,'Objets de gestion'!C:C,'Objets de gestion'!F:F))
&amp;IF(COUNTIF('Objets de gestion'!C:C,I31)=0,"","_"&amp;LOOKUP(I31,'Objets de gestion'!C:C,'Objets de gestion'!F:F))
&amp;IF(COUNTIF('Objets de gestion'!C:C,K31)=0,"","_"&amp;LOOKUP(K31,'Objets de gestion'!C:C,'Objets de gestion'!F:F))
&amp;IF(OR(C31="booléen",COUNTIF('Objets de gestion'!C:C,C31)=0),"","_"&amp;LOOKUP(C31,'Objets de gestion'!C:C,'Objets de gestion'!F:F))
))))</f>
        <v>B</v>
      </c>
      <c r="O31" s="41" t="str">
        <f t="shared" si="0"/>
        <v xml:space="preserve">Booléen de dernière image du Lien entre tiers et chargé de clientèle </v>
      </c>
      <c r="P31" s="41" t="str">
        <f>IF(AND(ISBLANK(A31),ISBLANK(B31),ISBLANK(C31),ISBLANK(E31),ISBLANK(L31)),"",IF(OR(ISBLANK(A31),ISBLANK(B31),ISBLANK(C31),ISBLANK(E31),ISBLANK(L31)),"-",
IF(ISBLANK(C31),"",LOOKUP(C31,'Objets de gestion'!C:C,'Objets de gestion'!E:E))
&amp;IF(ISBLANK(D31),""," "&amp;LOOKUP(D31,Articles!A:A,Articles!B:B))
&amp;IF(ISBLANK(E31),""," "&amp;LOOKUP(E31,'Objets de gestion'!C:C,'Objets de gestion'!E:E))
&amp;IF(ISBLANK(F31),""," "&amp;LOOKUP(F31,Articles!A:A,Articles!B:B))
&amp;IF(ISBLANK(G31),""," "&amp;LOOKUP(G31,'Objets de gestion'!C:C,'Objets de gestion'!E:E))
&amp;IF(ISBLANK(H31),""," "&amp;LOOKUP(H31,Articles!A:A,Articles!B:B))
&amp;IF(ISBLANK(I31),""," "&amp;LOOKUP(I31,'Objets de gestion'!C:C,'Objets de gestion'!E:E))
&amp;IF(ISBLANK(J31),""," "&amp;LOOKUP(J31,Articles!A:A,Articles!B:B))
&amp;IF(ISBLANK(K31),""," "&amp;LOOKUP(K31,'Objets de gestion'!C:C,'Objets de gestion'!E:E))
))</f>
        <v>turnkey action completion  of the turnkey action completion  of the turnkey action completion  between turnkey action completion  and turnkey action completion</v>
      </c>
      <c r="Q31" s="41" t="str">
        <f>IF(AND(ISBLANK(A31),ISBLANK(B31),ISBLANK(C31),ISBLANK(E31),ISBLANK(L31)),"",IF(OR(ISBLANK(A31),ISBLANK(B31),ISBLANK(C31),ISBLANK(E31),ISBLANK(L31)),"-",
LOOKUP(B31,'Type de champ'!B:B,'Type de champ'!C:C)))</f>
        <v>Boolean</v>
      </c>
      <c r="R31" s="41" t="str">
        <f t="shared" si="1"/>
        <v>tiers</v>
      </c>
    </row>
    <row r="32" spans="1:18">
      <c r="A32" s="50" t="s">
        <v>185</v>
      </c>
      <c r="B32" s="41" t="s">
        <v>514</v>
      </c>
      <c r="C32" s="41" t="s">
        <v>530</v>
      </c>
      <c r="D32" s="41" t="s">
        <v>34</v>
      </c>
      <c r="E32" s="41" t="s">
        <v>168</v>
      </c>
      <c r="F32" s="41" t="s">
        <v>40</v>
      </c>
      <c r="G32" s="41" t="s">
        <v>185</v>
      </c>
      <c r="H32" s="41" t="s">
        <v>42</v>
      </c>
      <c r="I32" s="41" t="s">
        <v>566</v>
      </c>
      <c r="L32" s="41" t="s">
        <v>572</v>
      </c>
      <c r="M32" s="51">
        <f>IF(AND(ISBLANK(A32),ISBLANK(B32),ISBLANK(E32),ISBLANK(G32),ISBLANK(L32)),"",IF(OR(ISBLANK(A32),ISBLANK(B32),ISBLANK(E32),ISBLANK(G32),ISBLANK(L32)),"-",LEN(Tableau47[[#This Row],[Code]])))</f>
        <v>1</v>
      </c>
      <c r="N32" s="52" t="str">
        <f>IF(AND(ISBLANK(A32),ISBLANK(B32),ISBLANK(C32),ISBLANK(E32),ISBLANK(L32)),"",IF(OR(ISBLANK(A32),ISBLANK(B32),ISBLANK(C32),ISBLANK(E32),ISBLANK(L32)),"à compléter",
IF(L32="Normal",
LOOKUP(B32,'Type de champ'!B:B,'Type de champ'!A:A)
&amp;IF(COUNTIF('Objets de gestion'!C:C,K32)=0,"","_"&amp;LOOKUP(K32,'Objets de gestion'!C:C,'Objets de gestion'!F:F))
&amp;IF(COUNTIF('Objets de gestion'!C:C,I32)=0,"","_"&amp;LOOKUP(I32,'Objets de gestion'!C:C,'Objets de gestion'!F:F))
&amp;IF(COUNTIF('Objets de gestion'!C:C,G32)=0,"","_"&amp;LOOKUP(G32,'Objets de gestion'!C:C,'Objets de gestion'!F:F))
&amp;IF(COUNTIF('Objets de gestion'!C:C,E32)=0,"","_"&amp;LOOKUP(E32,'Objets de gestion'!C:C,'Objets de gestion'!F:F))
&amp;IF(OR(C32="booléen",COUNTIF('Objets de gestion'!C:C,C32)=0),"","_"&amp;LOOKUP(C32,'Objets de gestion'!C:C,'Objets de gestion'!F:F)),
IF(L32="Forcé",
LOOKUP(B32,'Type de champ'!B:B,'Type de champ'!A:A)
&amp;IF(COUNTIF('Objets de gestion'!C:C,E32)=0,"","_"&amp;LOOKUP(E32,'Objets de gestion'!C:C,'Objets de gestion'!F:F))
&amp;IF(COUNTIF('Objets de gestion'!C:C,G32)=0,"","_"&amp;LOOKUP(G32,'Objets de gestion'!C:C,'Objets de gestion'!F:F))
&amp;IF(COUNTIF('Objets de gestion'!C:C,I32)=0,"","_"&amp;LOOKUP(I32,'Objets de gestion'!C:C,'Objets de gestion'!F:F))
&amp;IF(COUNTIF('Objets de gestion'!C:C,K32)=0,"","_"&amp;LOOKUP(K32,'Objets de gestion'!C:C,'Objets de gestion'!F:F))
&amp;IF(OR(C32="booléen",COUNTIF('Objets de gestion'!C:C,C32)=0),"","_"&amp;LOOKUP(C32,'Objets de gestion'!C:C,'Objets de gestion'!F:F))
))))</f>
        <v>T</v>
      </c>
      <c r="O32" s="41" t="str">
        <f t="shared" si="0"/>
        <v xml:space="preserve">Date de début de l'identifiant unique du Lien entre tiers et chargé de clientèle </v>
      </c>
      <c r="P32" s="41" t="str">
        <f>IF(AND(ISBLANK(A32),ISBLANK(B32),ISBLANK(C32),ISBLANK(E32),ISBLANK(L32)),"",IF(OR(ISBLANK(A32),ISBLANK(B32),ISBLANK(C32),ISBLANK(E32),ISBLANK(L32)),"-",
IF(ISBLANK(C32),"",LOOKUP(C32,'Objets de gestion'!C:C,'Objets de gestion'!E:E))
&amp;IF(ISBLANK(D32),""," "&amp;LOOKUP(D32,Articles!A:A,Articles!B:B))
&amp;IF(ISBLANK(E32),""," "&amp;LOOKUP(E32,'Objets de gestion'!C:C,'Objets de gestion'!E:E))
&amp;IF(ISBLANK(F32),""," "&amp;LOOKUP(F32,Articles!A:A,Articles!B:B))
&amp;IF(ISBLANK(G32),""," "&amp;LOOKUP(G32,'Objets de gestion'!C:C,'Objets de gestion'!E:E))
&amp;IF(ISBLANK(H32),""," "&amp;LOOKUP(H32,Articles!A:A,Articles!B:B))
&amp;IF(ISBLANK(I32),""," "&amp;LOOKUP(I32,'Objets de gestion'!C:C,'Objets de gestion'!E:E))
&amp;IF(ISBLANK(J32),""," "&amp;LOOKUP(J32,Articles!A:A,Articles!B:B))
&amp;IF(ISBLANK(K32),""," "&amp;LOOKUP(K32,'Objets de gestion'!C:C,'Objets de gestion'!E:E))
))</f>
        <v>turnkey action completion  of the turnkey action completion  between turnkey action completion  and turnkey action completion</v>
      </c>
      <c r="Q32" s="41" t="str">
        <f>IF(AND(ISBLANK(A32),ISBLANK(B32),ISBLANK(C32),ISBLANK(E32),ISBLANK(L32)),"",IF(OR(ISBLANK(A32),ISBLANK(B32),ISBLANK(C32),ISBLANK(E32),ISBLANK(L32)),"-",
LOOKUP(B32,'Type de champ'!B:B,'Type de champ'!C:C)))</f>
        <v>Date</v>
      </c>
      <c r="R32" s="41" t="str">
        <f t="shared" si="1"/>
        <v>tiers</v>
      </c>
    </row>
    <row r="33" spans="1:18">
      <c r="A33" s="50" t="s">
        <v>185</v>
      </c>
      <c r="B33" s="41" t="s">
        <v>510</v>
      </c>
      <c r="C33" s="41" t="s">
        <v>166</v>
      </c>
      <c r="D33" s="41" t="s">
        <v>34</v>
      </c>
      <c r="E33" s="41" t="s">
        <v>168</v>
      </c>
      <c r="F33" s="41" t="s">
        <v>40</v>
      </c>
      <c r="G33" s="41" t="s">
        <v>185</v>
      </c>
      <c r="H33" s="41" t="s">
        <v>42</v>
      </c>
      <c r="I33" s="41" t="s">
        <v>566</v>
      </c>
      <c r="L33" s="41" t="s">
        <v>572</v>
      </c>
      <c r="M33" s="51">
        <f>IF(AND(ISBLANK(A33),ISBLANK(B33),ISBLANK(E33),ISBLANK(G33),ISBLANK(L33)),"",IF(OR(ISBLANK(A33),ISBLANK(B33),ISBLANK(E33),ISBLANK(G33),ISBLANK(L33)),"-",LEN(Tableau47[[#This Row],[Code]])))</f>
        <v>1</v>
      </c>
      <c r="N33" s="52" t="str">
        <f>IF(AND(ISBLANK(A33),ISBLANK(B33),ISBLANK(C33),ISBLANK(E33),ISBLANK(L33)),"",IF(OR(ISBLANK(A33),ISBLANK(B33),ISBLANK(C33),ISBLANK(E33),ISBLANK(L33)),"à compléter",
IF(L33="Normal",
LOOKUP(B33,'Type de champ'!B:B,'Type de champ'!A:A)
&amp;IF(COUNTIF('Objets de gestion'!C:C,K33)=0,"","_"&amp;LOOKUP(K33,'Objets de gestion'!C:C,'Objets de gestion'!F:F))
&amp;IF(COUNTIF('Objets de gestion'!C:C,I33)=0,"","_"&amp;LOOKUP(I33,'Objets de gestion'!C:C,'Objets de gestion'!F:F))
&amp;IF(COUNTIF('Objets de gestion'!C:C,G33)=0,"","_"&amp;LOOKUP(G33,'Objets de gestion'!C:C,'Objets de gestion'!F:F))
&amp;IF(COUNTIF('Objets de gestion'!C:C,E33)=0,"","_"&amp;LOOKUP(E33,'Objets de gestion'!C:C,'Objets de gestion'!F:F))
&amp;IF(OR(C33="booléen",COUNTIF('Objets de gestion'!C:C,C33)=0),"","_"&amp;LOOKUP(C33,'Objets de gestion'!C:C,'Objets de gestion'!F:F)),
IF(L33="Forcé",
LOOKUP(B33,'Type de champ'!B:B,'Type de champ'!A:A)
&amp;IF(COUNTIF('Objets de gestion'!C:C,E33)=0,"","_"&amp;LOOKUP(E33,'Objets de gestion'!C:C,'Objets de gestion'!F:F))
&amp;IF(COUNTIF('Objets de gestion'!C:C,G33)=0,"","_"&amp;LOOKUP(G33,'Objets de gestion'!C:C,'Objets de gestion'!F:F))
&amp;IF(COUNTIF('Objets de gestion'!C:C,I33)=0,"","_"&amp;LOOKUP(I33,'Objets de gestion'!C:C,'Objets de gestion'!F:F))
&amp;IF(COUNTIF('Objets de gestion'!C:C,K33)=0,"","_"&amp;LOOKUP(K33,'Objets de gestion'!C:C,'Objets de gestion'!F:F))
&amp;IF(OR(C33="booléen",COUNTIF('Objets de gestion'!C:C,C33)=0),"","_"&amp;LOOKUP(C33,'Objets de gestion'!C:C,'Objets de gestion'!F:F))
))))</f>
        <v>K</v>
      </c>
      <c r="O33" s="41" t="str">
        <f t="shared" ref="O33" si="2">IF(AND(ISBLANK(A33),ISBLANK(B33),ISBLANK(C33),ISBLANK(E33),ISBLANK(L33)),"",IF(OR(ISBLANK(A33),ISBLANK(B33),ISBLANK(C33),ISBLANK(E33),ISBLANK(L33)),"-",
C33&amp;" "&amp;IF(ISBLANK(E33),"",D33&amp;" "&amp;E33&amp;" ")&amp;IF(ISBLANK(G33),"",F33&amp;" "&amp;G33&amp;" ")&amp;IF(ISBLANK(I33),"",H33&amp;" "&amp;I33&amp;" ")&amp;IF(ISBLANK(K33),"",J33&amp;" "&amp;K33&amp;" ")))</f>
        <v xml:space="preserve">Identifiant unique du Lien entre tiers et chargé de clientèle </v>
      </c>
      <c r="P33" s="41" t="str">
        <f>IF(AND(ISBLANK(A33),ISBLANK(B33),ISBLANK(C33),ISBLANK(E33),ISBLANK(L33)),"",IF(OR(ISBLANK(A33),ISBLANK(B33),ISBLANK(C33),ISBLANK(E33),ISBLANK(L33)),"-",
IF(ISBLANK(C33),"",LOOKUP(C33,'Objets de gestion'!C:C,'Objets de gestion'!E:E))
&amp;IF(ISBLANK(D33),""," "&amp;LOOKUP(D33,Articles!A:A,Articles!B:B))
&amp;IF(ISBLANK(E33),""," "&amp;LOOKUP(E33,'Objets de gestion'!C:C,'Objets de gestion'!E:E))
&amp;IF(ISBLANK(F33),""," "&amp;LOOKUP(F33,Articles!A:A,Articles!B:B))
&amp;IF(ISBLANK(G33),""," "&amp;LOOKUP(G33,'Objets de gestion'!C:C,'Objets de gestion'!E:E))
&amp;IF(ISBLANK(H33),""," "&amp;LOOKUP(H33,Articles!A:A,Articles!B:B))
&amp;IF(ISBLANK(I33),""," "&amp;LOOKUP(I33,'Objets de gestion'!C:C,'Objets de gestion'!E:E))
&amp;IF(ISBLANK(J33),""," "&amp;LOOKUP(J33,Articles!A:A,Articles!B:B))
&amp;IF(ISBLANK(K33),""," "&amp;LOOKUP(K33,'Objets de gestion'!C:C,'Objets de gestion'!E:E))
))</f>
        <v>turnkey action completion  of the turnkey action completion  between turnkey action completion  and turnkey action completion</v>
      </c>
      <c r="Q33" s="41" t="str">
        <f>IF(AND(ISBLANK(A33),ISBLANK(B33),ISBLANK(C33),ISBLANK(E33),ISBLANK(L33)),"",IF(OR(ISBLANK(A33),ISBLANK(B33),ISBLANK(C33),ISBLANK(E33),ISBLANK(L33)),"-",
LOOKUP(B33,'Type de champ'!B:B,'Type de champ'!C:C)))</f>
        <v>Integer</v>
      </c>
      <c r="R33" s="41" t="str">
        <f t="shared" ref="R33" si="3">IF(AND(ISBLANK(A33),ISBLANK(B33),ISBLANK(E33),ISBLANK(G33),ISBLANK(L33)),"",IF(OR(ISBLANK(A33),ISBLANK(B33),ISBLANK(E33),ISBLANK(G33),ISBLANK(L33)),"-",
A33))</f>
        <v>tiers</v>
      </c>
    </row>
    <row r="34" spans="1:18" ht="15" thickBot="1">
      <c r="A34" s="50" t="s">
        <v>185</v>
      </c>
      <c r="B34" s="41" t="s">
        <v>516</v>
      </c>
      <c r="C34" s="41" t="s">
        <v>165</v>
      </c>
      <c r="D34" s="41" t="s">
        <v>34</v>
      </c>
      <c r="E34" s="41" t="s">
        <v>168</v>
      </c>
      <c r="F34" s="41" t="s">
        <v>40</v>
      </c>
      <c r="G34" s="41" t="s">
        <v>185</v>
      </c>
      <c r="H34" s="41" t="s">
        <v>42</v>
      </c>
      <c r="I34" s="41" t="s">
        <v>566</v>
      </c>
      <c r="L34" s="41" t="s">
        <v>572</v>
      </c>
      <c r="M34" s="51">
        <f>IF(AND(ISBLANK(A34),ISBLANK(B34),ISBLANK(E34),ISBLANK(G34),ISBLANK(L34)),"",IF(OR(ISBLANK(A34),ISBLANK(B34),ISBLANK(E34),ISBLANK(G34),ISBLANK(L34)),"-",LEN(Tableau47[[#This Row],[Code]])))</f>
        <v>1</v>
      </c>
      <c r="N34" s="52" t="str">
        <f>IF(AND(ISBLANK(A34),ISBLANK(B34),ISBLANK(C34),ISBLANK(E34),ISBLANK(L34)),"",IF(OR(ISBLANK(A34),ISBLANK(B34),ISBLANK(C34),ISBLANK(E34),ISBLANK(L34)),"à compléter",
IF(L34="Normal",
LOOKUP(B34,'Type de champ'!B:B,'Type de champ'!A:A)
&amp;IF(COUNTIF('Objets de gestion'!C:C,K34)=0,"","_"&amp;LOOKUP(K34,'Objets de gestion'!C:C,'Objets de gestion'!F:F))
&amp;IF(COUNTIF('Objets de gestion'!C:C,I34)=0,"","_"&amp;LOOKUP(I34,'Objets de gestion'!C:C,'Objets de gestion'!F:F))
&amp;IF(COUNTIF('Objets de gestion'!C:C,G34)=0,"","_"&amp;LOOKUP(G34,'Objets de gestion'!C:C,'Objets de gestion'!F:F))
&amp;IF(COUNTIF('Objets de gestion'!C:C,E34)=0,"","_"&amp;LOOKUP(E34,'Objets de gestion'!C:C,'Objets de gestion'!F:F))
&amp;IF(OR(C34="booléen",COUNTIF('Objets de gestion'!C:C,C34)=0),"","_"&amp;LOOKUP(C34,'Objets de gestion'!C:C,'Objets de gestion'!F:F)),
IF(L34="Forcé",
LOOKUP(B34,'Type de champ'!B:B,'Type de champ'!A:A)
&amp;IF(COUNTIF('Objets de gestion'!C:C,E34)=0,"","_"&amp;LOOKUP(E34,'Objets de gestion'!C:C,'Objets de gestion'!F:F))
&amp;IF(COUNTIF('Objets de gestion'!C:C,G34)=0,"","_"&amp;LOOKUP(G34,'Objets de gestion'!C:C,'Objets de gestion'!F:F))
&amp;IF(COUNTIF('Objets de gestion'!C:C,I34)=0,"","_"&amp;LOOKUP(I34,'Objets de gestion'!C:C,'Objets de gestion'!F:F))
&amp;IF(COUNTIF('Objets de gestion'!C:C,K34)=0,"","_"&amp;LOOKUP(K34,'Objets de gestion'!C:C,'Objets de gestion'!F:F))
&amp;IF(OR(C34="booléen",COUNTIF('Objets de gestion'!C:C,C34)=0),"","_"&amp;LOOKUP(C34,'Objets de gestion'!C:C,'Objets de gestion'!F:F))
))))</f>
        <v>X</v>
      </c>
      <c r="O34" s="41" t="str">
        <f t="shared" ref="O34" si="4">IF(AND(ISBLANK(A34),ISBLANK(B34),ISBLANK(C34),ISBLANK(E34),ISBLANK(L34)),"",IF(OR(ISBLANK(A34),ISBLANK(B34),ISBLANK(C34),ISBLANK(E34),ISBLANK(L34)),"-",
C34&amp;" "&amp;IF(ISBLANK(E34),"",D34&amp;" "&amp;E34&amp;" ")&amp;IF(ISBLANK(G34),"",F34&amp;" "&amp;G34&amp;" ")&amp;IF(ISBLANK(I34),"",H34&amp;" "&amp;I34&amp;" ")&amp;IF(ISBLANK(K34),"",J34&amp;" "&amp;K34&amp;" ")))</f>
        <v xml:space="preserve">identifiant fonctionnel du Lien entre tiers et chargé de clientèle </v>
      </c>
      <c r="P34" s="41" t="str">
        <f>IF(AND(ISBLANK(A34),ISBLANK(B34),ISBLANK(C34),ISBLANK(E34),ISBLANK(L34)),"",IF(OR(ISBLANK(A34),ISBLANK(B34),ISBLANK(C34),ISBLANK(E34),ISBLANK(L34)),"-",
IF(ISBLANK(C34),"",LOOKUP(C34,'Objets de gestion'!C:C,'Objets de gestion'!E:E))
&amp;IF(ISBLANK(D34),""," "&amp;LOOKUP(D34,Articles!A:A,Articles!B:B))
&amp;IF(ISBLANK(E34),""," "&amp;LOOKUP(E34,'Objets de gestion'!C:C,'Objets de gestion'!E:E))
&amp;IF(ISBLANK(F34),""," "&amp;LOOKUP(F34,Articles!A:A,Articles!B:B))
&amp;IF(ISBLANK(G34),""," "&amp;LOOKUP(G34,'Objets de gestion'!C:C,'Objets de gestion'!E:E))
&amp;IF(ISBLANK(H34),""," "&amp;LOOKUP(H34,Articles!A:A,Articles!B:B))
&amp;IF(ISBLANK(I34),""," "&amp;LOOKUP(I34,'Objets de gestion'!C:C,'Objets de gestion'!E:E))
&amp;IF(ISBLANK(J34),""," "&amp;LOOKUP(J34,Articles!A:A,Articles!B:B))
&amp;IF(ISBLANK(K34),""," "&amp;LOOKUP(K34,'Objets de gestion'!C:C,'Objets de gestion'!E:E))
))</f>
        <v>turnkey action completion  of the turnkey action completion  between turnkey action completion  and turnkey action completion</v>
      </c>
      <c r="Q34" s="41" t="str">
        <f>IF(AND(ISBLANK(A34),ISBLANK(B34),ISBLANK(C34),ISBLANK(E34),ISBLANK(L34)),"",IF(OR(ISBLANK(A34),ISBLANK(B34),ISBLANK(C34),ISBLANK(E34),ISBLANK(L34)),"-",
LOOKUP(B34,'Type de champ'!B:B,'Type de champ'!C:C)))</f>
        <v>Varchar(??)</v>
      </c>
      <c r="R34" s="41" t="str">
        <f t="shared" ref="R34" si="5">IF(AND(ISBLANK(A34),ISBLANK(B34),ISBLANK(E34),ISBLANK(G34),ISBLANK(L34)),"",IF(OR(ISBLANK(A34),ISBLANK(B34),ISBLANK(E34),ISBLANK(G34),ISBLANK(L34)),"-",
A34))</f>
        <v>tiers</v>
      </c>
    </row>
    <row r="35" spans="1:18" ht="15" thickBot="1">
      <c r="A35" s="50"/>
      <c r="M35" s="57"/>
      <c r="N35" s="52"/>
    </row>
    <row r="36" spans="1:18">
      <c r="A36" s="50"/>
      <c r="N36" s="52"/>
    </row>
    <row r="37" spans="1:18">
      <c r="A37" s="50"/>
      <c r="N37" s="52"/>
    </row>
    <row r="38" spans="1:18">
      <c r="A38" s="50"/>
      <c r="N38" s="52"/>
    </row>
    <row r="39" spans="1:18">
      <c r="A39" s="50"/>
      <c r="N39" s="52"/>
    </row>
    <row r="40" spans="1:18">
      <c r="A40" s="50"/>
      <c r="N40" s="52"/>
    </row>
    <row r="41" spans="1:18">
      <c r="A41" s="50"/>
      <c r="N41" s="52"/>
    </row>
    <row r="42" spans="1:18">
      <c r="A42" s="50"/>
      <c r="N42" s="52"/>
    </row>
    <row r="43" spans="1:18">
      <c r="A43" s="50"/>
      <c r="N43" s="52"/>
    </row>
    <row r="44" spans="1:18">
      <c r="A44" s="50"/>
      <c r="N44" s="52"/>
    </row>
    <row r="45" spans="1:18">
      <c r="A45" s="50"/>
      <c r="N45" s="52"/>
    </row>
    <row r="46" spans="1:18">
      <c r="A46" s="50"/>
      <c r="N46" s="52"/>
    </row>
    <row r="47" spans="1:18">
      <c r="A47" s="50"/>
      <c r="N47" s="52"/>
    </row>
    <row r="48" spans="1:18">
      <c r="A48" s="50"/>
      <c r="N48" s="52"/>
    </row>
    <row r="49" spans="1:14">
      <c r="A49" s="50"/>
      <c r="N49" s="52"/>
    </row>
    <row r="50" spans="1:14">
      <c r="A50" s="50"/>
      <c r="N50" s="52"/>
    </row>
    <row r="51" spans="1:14">
      <c r="A51" s="50"/>
      <c r="N51" s="52"/>
    </row>
    <row r="52" spans="1:14">
      <c r="A52" s="50"/>
      <c r="N52" s="52"/>
    </row>
    <row r="53" spans="1:14">
      <c r="A53" s="50"/>
      <c r="N53" s="52"/>
    </row>
    <row r="54" spans="1:14">
      <c r="A54" s="50"/>
      <c r="N54" s="52"/>
    </row>
    <row r="55" spans="1:14">
      <c r="A55" s="50"/>
      <c r="N55" s="52"/>
    </row>
    <row r="56" spans="1:14">
      <c r="A56" s="50"/>
      <c r="N56" s="52"/>
    </row>
    <row r="57" spans="1:14">
      <c r="A57" s="50"/>
      <c r="N57" s="52"/>
    </row>
    <row r="58" spans="1:14">
      <c r="A58" s="50"/>
      <c r="N58" s="52"/>
    </row>
    <row r="59" spans="1:14">
      <c r="A59" s="50"/>
      <c r="N59" s="52"/>
    </row>
    <row r="60" spans="1:14">
      <c r="A60" s="50"/>
      <c r="N60" s="52"/>
    </row>
    <row r="61" spans="1:14">
      <c r="A61" s="50"/>
      <c r="N61" s="52"/>
    </row>
    <row r="62" spans="1:14">
      <c r="A62" s="50"/>
      <c r="N62" s="52"/>
    </row>
    <row r="63" spans="1:14">
      <c r="A63" s="50"/>
      <c r="N63" s="52"/>
    </row>
    <row r="64" spans="1:14">
      <c r="A64" s="50"/>
      <c r="N64" s="52"/>
    </row>
    <row r="65" spans="1:14">
      <c r="A65" s="50"/>
      <c r="N65" s="52"/>
    </row>
    <row r="66" spans="1:14">
      <c r="A66" s="50"/>
      <c r="N66" s="52"/>
    </row>
    <row r="67" spans="1:14">
      <c r="A67" s="50"/>
      <c r="N67" s="52"/>
    </row>
    <row r="68" spans="1:14">
      <c r="A68" s="50"/>
      <c r="N68" s="52"/>
    </row>
    <row r="69" spans="1:14">
      <c r="A69" s="50"/>
      <c r="N69" s="52"/>
    </row>
    <row r="70" spans="1:14">
      <c r="A70" s="50"/>
      <c r="N70" s="52"/>
    </row>
    <row r="71" spans="1:14">
      <c r="A71" s="50"/>
      <c r="N71" s="52"/>
    </row>
    <row r="72" spans="1:14">
      <c r="A72" s="50"/>
      <c r="N72" s="52"/>
    </row>
    <row r="73" spans="1:14">
      <c r="A73" s="50"/>
      <c r="N73" s="52"/>
    </row>
    <row r="74" spans="1:14">
      <c r="A74" s="50"/>
      <c r="N74" s="52"/>
    </row>
    <row r="75" spans="1:14">
      <c r="A75" s="50"/>
      <c r="N75" s="52"/>
    </row>
    <row r="76" spans="1:14">
      <c r="A76" s="50"/>
      <c r="N76" s="52"/>
    </row>
    <row r="77" spans="1:14">
      <c r="A77" s="50"/>
      <c r="N77" s="52"/>
    </row>
    <row r="78" spans="1:14">
      <c r="A78" s="50"/>
      <c r="N78" s="52"/>
    </row>
    <row r="79" spans="1:14">
      <c r="A79" s="50"/>
      <c r="N79" s="52"/>
    </row>
    <row r="80" spans="1:14">
      <c r="A80" s="50"/>
      <c r="N80" s="52"/>
    </row>
    <row r="81" spans="1:14">
      <c r="A81" s="50"/>
      <c r="N81" s="52"/>
    </row>
    <row r="82" spans="1:14">
      <c r="A82" s="50"/>
      <c r="N82" s="52"/>
    </row>
    <row r="83" spans="1:14">
      <c r="A83" s="50"/>
      <c r="N83" s="52"/>
    </row>
    <row r="84" spans="1:14">
      <c r="A84" s="50"/>
      <c r="N84" s="52"/>
    </row>
    <row r="85" spans="1:14">
      <c r="A85" s="50"/>
      <c r="N85" s="52"/>
    </row>
    <row r="86" spans="1:14">
      <c r="A86" s="50"/>
      <c r="N86" s="52"/>
    </row>
    <row r="87" spans="1:14">
      <c r="A87" s="50"/>
      <c r="N87" s="52"/>
    </row>
    <row r="88" spans="1:14">
      <c r="A88" s="50"/>
      <c r="N88" s="52"/>
    </row>
    <row r="89" spans="1:14">
      <c r="A89" s="50"/>
      <c r="N89" s="52"/>
    </row>
    <row r="90" spans="1:14">
      <c r="A90" s="50"/>
      <c r="N90" s="52"/>
    </row>
    <row r="91" spans="1:14">
      <c r="A91" s="50"/>
      <c r="N91" s="52"/>
    </row>
    <row r="92" spans="1:14">
      <c r="A92" s="50"/>
      <c r="N92" s="52"/>
    </row>
    <row r="93" spans="1:14">
      <c r="A93" s="50"/>
      <c r="N93" s="52"/>
    </row>
    <row r="94" spans="1:14">
      <c r="A94" s="50"/>
      <c r="N94" s="52"/>
    </row>
    <row r="95" spans="1:14">
      <c r="A95" s="50"/>
      <c r="N95" s="52"/>
    </row>
    <row r="96" spans="1:14">
      <c r="A96" s="50"/>
      <c r="N96" s="52"/>
    </row>
    <row r="97" spans="1:14">
      <c r="A97" s="50"/>
      <c r="N97" s="52"/>
    </row>
    <row r="98" spans="1:14">
      <c r="A98" s="50"/>
      <c r="E98"/>
      <c r="N98" s="52"/>
    </row>
    <row r="99" spans="1:14">
      <c r="A99" s="50"/>
      <c r="N99" s="52"/>
    </row>
    <row r="100" spans="1:14">
      <c r="A100" s="50"/>
      <c r="N100" s="52"/>
    </row>
    <row r="101" spans="1:14">
      <c r="A101" s="50"/>
      <c r="N101" s="52"/>
    </row>
    <row r="102" spans="1:14">
      <c r="A102" s="50"/>
      <c r="N102" s="52"/>
    </row>
    <row r="103" spans="1:14">
      <c r="A103" s="50"/>
      <c r="N103" s="52"/>
    </row>
    <row r="104" spans="1:14">
      <c r="A104" s="50"/>
      <c r="N104" s="52"/>
    </row>
    <row r="105" spans="1:14">
      <c r="A105" s="50"/>
      <c r="N105" s="52"/>
    </row>
    <row r="106" spans="1:14">
      <c r="A106" s="50"/>
      <c r="N106" s="52"/>
    </row>
    <row r="107" spans="1:14">
      <c r="A107" s="50"/>
      <c r="N107" s="52"/>
    </row>
    <row r="108" spans="1:14">
      <c r="A108" s="50"/>
      <c r="N108" s="52"/>
    </row>
    <row r="109" spans="1:14">
      <c r="A109" s="50"/>
      <c r="N109" s="52"/>
    </row>
    <row r="110" spans="1:14">
      <c r="A110" s="50"/>
      <c r="N110" s="52"/>
    </row>
    <row r="111" spans="1:14">
      <c r="A111" s="50"/>
      <c r="N111" s="52"/>
    </row>
    <row r="112" spans="1:14">
      <c r="A112" s="50"/>
      <c r="N112" s="52"/>
    </row>
    <row r="113" spans="1:14">
      <c r="A113" s="50"/>
      <c r="N113" s="52"/>
    </row>
    <row r="114" spans="1:14">
      <c r="A114" s="50"/>
      <c r="N114" s="52"/>
    </row>
    <row r="115" spans="1:14" ht="16.5" customHeight="1">
      <c r="A115" s="50"/>
      <c r="N115" s="52"/>
    </row>
    <row r="116" spans="1:14" ht="16.5" customHeight="1">
      <c r="A116" s="50"/>
      <c r="N116" s="52"/>
    </row>
    <row r="117" spans="1:14" ht="16.5" customHeight="1">
      <c r="A117" s="50"/>
      <c r="N117" s="52"/>
    </row>
    <row r="118" spans="1:14" ht="16.5" customHeight="1">
      <c r="A118" s="50"/>
      <c r="N118" s="52"/>
    </row>
    <row r="119" spans="1:14" ht="16.5" customHeight="1">
      <c r="A119" s="50"/>
      <c r="N119" s="52"/>
    </row>
    <row r="120" spans="1:14" ht="16.5" customHeight="1">
      <c r="A120" s="50"/>
      <c r="N120" s="52"/>
    </row>
    <row r="121" spans="1:14" ht="16.5" customHeight="1">
      <c r="A121" s="50"/>
      <c r="N121" s="52"/>
    </row>
    <row r="122" spans="1:14" ht="16.5" customHeight="1">
      <c r="A122" s="50"/>
      <c r="N122" s="52"/>
    </row>
    <row r="123" spans="1:14" ht="16.5" customHeight="1">
      <c r="A123" s="50"/>
      <c r="N123" s="52"/>
    </row>
    <row r="124" spans="1:14">
      <c r="A124" s="50"/>
      <c r="N124" s="52"/>
    </row>
    <row r="125" spans="1:14">
      <c r="A125" s="50"/>
      <c r="N125" s="52"/>
    </row>
    <row r="126" spans="1:14">
      <c r="A126" s="50"/>
      <c r="N126" s="52"/>
    </row>
    <row r="127" spans="1:14">
      <c r="A127" s="50"/>
      <c r="N127" s="52"/>
    </row>
    <row r="128" spans="1:14">
      <c r="A128" s="50"/>
      <c r="N128" s="52"/>
    </row>
    <row r="129" spans="1:14">
      <c r="A129" s="50"/>
      <c r="N129" s="52"/>
    </row>
    <row r="130" spans="1:14">
      <c r="A130" s="50"/>
      <c r="N130" s="52"/>
    </row>
    <row r="131" spans="1:14">
      <c r="A131" s="50"/>
      <c r="N131" s="52"/>
    </row>
    <row r="132" spans="1:14">
      <c r="A132" s="50"/>
      <c r="N132" s="52"/>
    </row>
    <row r="133" spans="1:14">
      <c r="A133" s="50"/>
      <c r="N133" s="52"/>
    </row>
    <row r="134" spans="1:14">
      <c r="A134" s="50"/>
      <c r="N134" s="52"/>
    </row>
    <row r="135" spans="1:14">
      <c r="A135" s="50"/>
      <c r="N135" s="52"/>
    </row>
    <row r="136" spans="1:14">
      <c r="A136" s="50"/>
      <c r="N136" s="52"/>
    </row>
    <row r="137" spans="1:14">
      <c r="A137" s="50"/>
      <c r="N137" s="52"/>
    </row>
    <row r="138" spans="1:14" ht="15.6">
      <c r="A138" s="50"/>
      <c r="E138" s="53"/>
      <c r="N138" s="52"/>
    </row>
    <row r="139" spans="1:14">
      <c r="A139" s="50"/>
      <c r="N139" s="52"/>
    </row>
    <row r="140" spans="1:14">
      <c r="A140" s="50"/>
      <c r="N140" s="52"/>
    </row>
    <row r="141" spans="1:14">
      <c r="A141" s="50"/>
      <c r="N141" s="52"/>
    </row>
    <row r="142" spans="1:14">
      <c r="A142" s="50"/>
      <c r="N142" s="52"/>
    </row>
    <row r="143" spans="1:14">
      <c r="A143" s="50"/>
      <c r="N143" s="52"/>
    </row>
    <row r="144" spans="1:14">
      <c r="A144" s="50"/>
      <c r="N144" s="52"/>
    </row>
    <row r="145" spans="1:14">
      <c r="A145" s="50"/>
      <c r="N145" s="52"/>
    </row>
    <row r="146" spans="1:14">
      <c r="A146" s="50"/>
      <c r="N146" s="52"/>
    </row>
    <row r="147" spans="1:14">
      <c r="A147" s="50"/>
      <c r="N147" s="52"/>
    </row>
    <row r="148" spans="1:14">
      <c r="A148" s="50"/>
      <c r="N148" s="52"/>
    </row>
    <row r="149" spans="1:14">
      <c r="A149" s="50"/>
      <c r="N149" s="52"/>
    </row>
    <row r="150" spans="1:14">
      <c r="A150" s="50"/>
      <c r="N150" s="52"/>
    </row>
    <row r="151" spans="1:14">
      <c r="A151" s="50"/>
      <c r="N151" s="52"/>
    </row>
    <row r="152" spans="1:14">
      <c r="A152" s="50"/>
      <c r="N152" s="52"/>
    </row>
    <row r="153" spans="1:14">
      <c r="A153" s="50"/>
      <c r="N153" s="52"/>
    </row>
    <row r="154" spans="1:14">
      <c r="A154" s="50"/>
      <c r="N154" s="52"/>
    </row>
    <row r="155" spans="1:14">
      <c r="A155" s="50"/>
      <c r="N155" s="52"/>
    </row>
    <row r="156" spans="1:14">
      <c r="A156" s="50"/>
      <c r="N156" s="52"/>
    </row>
    <row r="157" spans="1:14">
      <c r="A157" s="50"/>
      <c r="N157" s="52"/>
    </row>
    <row r="158" spans="1:14">
      <c r="A158" s="50"/>
      <c r="N158" s="52"/>
    </row>
    <row r="159" spans="1:14">
      <c r="A159" s="50"/>
      <c r="N159" s="52"/>
    </row>
    <row r="160" spans="1:14">
      <c r="A160" s="50"/>
      <c r="N160" s="52"/>
    </row>
    <row r="161" spans="1:14">
      <c r="A161" s="50"/>
      <c r="N161" s="52"/>
    </row>
    <row r="162" spans="1:14">
      <c r="A162" s="50"/>
      <c r="N162" s="52"/>
    </row>
    <row r="163" spans="1:14">
      <c r="A163" s="50"/>
      <c r="N163" s="52"/>
    </row>
    <row r="164" spans="1:14">
      <c r="A164" s="50"/>
      <c r="N164" s="52"/>
    </row>
    <row r="165" spans="1:14">
      <c r="A165" s="50"/>
      <c r="N165" s="52"/>
    </row>
    <row r="166" spans="1:14">
      <c r="A166" s="50"/>
      <c r="N166" s="52"/>
    </row>
    <row r="167" spans="1:14">
      <c r="A167" s="50"/>
      <c r="N167" s="52"/>
    </row>
    <row r="168" spans="1:14">
      <c r="A168" s="50"/>
      <c r="N168" s="52"/>
    </row>
    <row r="169" spans="1:14">
      <c r="A169" s="50"/>
      <c r="N169" s="52"/>
    </row>
    <row r="170" spans="1:14">
      <c r="A170" s="50"/>
      <c r="N170" s="52"/>
    </row>
    <row r="171" spans="1:14">
      <c r="A171" s="50"/>
      <c r="N171" s="52"/>
    </row>
    <row r="172" spans="1:14">
      <c r="A172" s="50"/>
      <c r="N172" s="52"/>
    </row>
    <row r="173" spans="1:14">
      <c r="A173" s="50"/>
      <c r="N173" s="52"/>
    </row>
    <row r="174" spans="1:14">
      <c r="A174" s="50"/>
      <c r="N174" s="52"/>
    </row>
    <row r="175" spans="1:14">
      <c r="A175" s="50"/>
      <c r="N175" s="52"/>
    </row>
    <row r="176" spans="1:14">
      <c r="A176" s="50"/>
      <c r="N176" s="52"/>
    </row>
    <row r="177" spans="1:14">
      <c r="A177" s="50"/>
      <c r="N177" s="52"/>
    </row>
    <row r="178" spans="1:14">
      <c r="A178" s="50"/>
      <c r="N178" s="52"/>
    </row>
    <row r="179" spans="1:14">
      <c r="A179" s="50"/>
      <c r="N179" s="52"/>
    </row>
    <row r="180" spans="1:14">
      <c r="A180" s="50"/>
      <c r="N180" s="52"/>
    </row>
    <row r="181" spans="1:14">
      <c r="A181" s="50"/>
      <c r="N181" s="52"/>
    </row>
    <row r="182" spans="1:14">
      <c r="A182" s="50"/>
      <c r="N182" s="52"/>
    </row>
    <row r="183" spans="1:14">
      <c r="A183" s="50"/>
      <c r="N183" s="52"/>
    </row>
    <row r="184" spans="1:14">
      <c r="A184" s="50"/>
      <c r="N184" s="52"/>
    </row>
    <row r="185" spans="1:14">
      <c r="A185" s="50"/>
      <c r="N185" s="52"/>
    </row>
    <row r="186" spans="1:14">
      <c r="A186" s="50"/>
      <c r="N186" s="52"/>
    </row>
    <row r="187" spans="1:14">
      <c r="A187" s="50"/>
      <c r="N187" s="52"/>
    </row>
    <row r="188" spans="1:14">
      <c r="A188" s="50"/>
      <c r="N188" s="52"/>
    </row>
    <row r="189" spans="1:14">
      <c r="A189" s="50"/>
      <c r="N189" s="52"/>
    </row>
    <row r="190" spans="1:14">
      <c r="A190" s="50"/>
      <c r="N190" s="52"/>
    </row>
    <row r="191" spans="1:14">
      <c r="A191" s="50"/>
      <c r="N191" s="52"/>
    </row>
    <row r="192" spans="1:14">
      <c r="A192" s="50"/>
      <c r="N192" s="52"/>
    </row>
    <row r="193" spans="1:14">
      <c r="A193" s="50"/>
      <c r="N193" s="52"/>
    </row>
    <row r="194" spans="1:14">
      <c r="A194" s="50"/>
      <c r="N194" s="52"/>
    </row>
    <row r="195" spans="1:14">
      <c r="A195" s="50"/>
      <c r="N195" s="52"/>
    </row>
    <row r="196" spans="1:14">
      <c r="A196" s="50"/>
      <c r="N196" s="52"/>
    </row>
    <row r="197" spans="1:14">
      <c r="A197" s="50"/>
      <c r="N197" s="52"/>
    </row>
    <row r="198" spans="1:14">
      <c r="A198" s="50"/>
      <c r="N198" s="52"/>
    </row>
    <row r="199" spans="1:14">
      <c r="A199" s="50"/>
      <c r="N199" s="52"/>
    </row>
    <row r="200" spans="1:14">
      <c r="A200" s="50"/>
      <c r="N200" s="52"/>
    </row>
    <row r="201" spans="1:14">
      <c r="A201" s="50"/>
      <c r="N201" s="52"/>
    </row>
    <row r="202" spans="1:14">
      <c r="A202" s="50"/>
      <c r="N202" s="52"/>
    </row>
    <row r="203" spans="1:14">
      <c r="A203" s="50"/>
      <c r="N203" s="52"/>
    </row>
    <row r="204" spans="1:14">
      <c r="A204" s="50"/>
      <c r="N204" s="52"/>
    </row>
    <row r="205" spans="1:14">
      <c r="A205" s="50"/>
      <c r="N205" s="52"/>
    </row>
    <row r="206" spans="1:14">
      <c r="A206" s="50"/>
      <c r="N206" s="52"/>
    </row>
    <row r="207" spans="1:14">
      <c r="A207" s="50"/>
      <c r="N207" s="52"/>
    </row>
    <row r="208" spans="1:14">
      <c r="A208" s="50"/>
      <c r="N208" s="52"/>
    </row>
    <row r="209" spans="1:14">
      <c r="A209" s="50"/>
      <c r="N209" s="52"/>
    </row>
    <row r="210" spans="1:14">
      <c r="A210" s="50"/>
      <c r="N210" s="52"/>
    </row>
    <row r="211" spans="1:14">
      <c r="A211" s="50"/>
      <c r="N211" s="52"/>
    </row>
    <row r="212" spans="1:14">
      <c r="A212" s="50"/>
      <c r="N212" s="52"/>
    </row>
    <row r="213" spans="1:14">
      <c r="A213" s="50"/>
      <c r="N213" s="52"/>
    </row>
    <row r="214" spans="1:14">
      <c r="A214" s="50"/>
      <c r="N214" s="52"/>
    </row>
    <row r="215" spans="1:14">
      <c r="A215" s="50"/>
      <c r="N215" s="52"/>
    </row>
    <row r="216" spans="1:14">
      <c r="A216" s="50"/>
      <c r="N216" s="52"/>
    </row>
    <row r="217" spans="1:14">
      <c r="A217" s="50"/>
      <c r="N217" s="52"/>
    </row>
    <row r="218" spans="1:14">
      <c r="A218" s="50"/>
      <c r="N218" s="52"/>
    </row>
    <row r="219" spans="1:14">
      <c r="A219" s="50"/>
      <c r="N219" s="52"/>
    </row>
    <row r="220" spans="1:14">
      <c r="A220" s="50"/>
      <c r="N220" s="52"/>
    </row>
    <row r="221" spans="1:14">
      <c r="A221" s="50"/>
      <c r="N221" s="52"/>
    </row>
    <row r="222" spans="1:14">
      <c r="A222" s="50"/>
      <c r="N222" s="52"/>
    </row>
    <row r="223" spans="1:14">
      <c r="A223" s="50"/>
      <c r="N223" s="52"/>
    </row>
    <row r="224" spans="1:14">
      <c r="A224" s="50"/>
      <c r="N224" s="52"/>
    </row>
    <row r="225" spans="1:14">
      <c r="A225" s="50"/>
      <c r="N225" s="52"/>
    </row>
    <row r="226" spans="1:14">
      <c r="A226" s="50"/>
      <c r="N226" s="52"/>
    </row>
    <row r="227" spans="1:14">
      <c r="A227" s="50"/>
      <c r="N227" s="52"/>
    </row>
    <row r="228" spans="1:14">
      <c r="A228" s="50"/>
      <c r="N228" s="52"/>
    </row>
    <row r="229" spans="1:14">
      <c r="A229" s="50"/>
      <c r="N229" s="52"/>
    </row>
    <row r="230" spans="1:14">
      <c r="A230" s="50"/>
      <c r="N230" s="52"/>
    </row>
    <row r="231" spans="1:14">
      <c r="A231" s="50"/>
      <c r="N231" s="52"/>
    </row>
    <row r="232" spans="1:14">
      <c r="A232" s="50"/>
      <c r="N232" s="52"/>
    </row>
    <row r="233" spans="1:14">
      <c r="A233" s="50"/>
      <c r="N233" s="52"/>
    </row>
    <row r="234" spans="1:14">
      <c r="A234" s="50"/>
      <c r="N234" s="52"/>
    </row>
    <row r="235" spans="1:14">
      <c r="A235" s="50"/>
      <c r="N235" s="52"/>
    </row>
    <row r="236" spans="1:14">
      <c r="A236" s="50"/>
      <c r="N236" s="52"/>
    </row>
    <row r="237" spans="1:14">
      <c r="A237" s="50"/>
      <c r="N237" s="52"/>
    </row>
    <row r="238" spans="1:14">
      <c r="A238" s="50"/>
      <c r="N238" s="52"/>
    </row>
    <row r="239" spans="1:14">
      <c r="A239" s="50"/>
      <c r="N239" s="52"/>
    </row>
    <row r="240" spans="1:14">
      <c r="A240" s="50"/>
      <c r="N240" s="52"/>
    </row>
    <row r="241" spans="1:14">
      <c r="A241" s="50"/>
      <c r="N241" s="52"/>
    </row>
    <row r="242" spans="1:14">
      <c r="A242" s="50"/>
      <c r="N242" s="52"/>
    </row>
    <row r="243" spans="1:14">
      <c r="A243" s="50"/>
      <c r="N243" s="52"/>
    </row>
    <row r="244" spans="1:14">
      <c r="A244" s="50"/>
      <c r="N244" s="52"/>
    </row>
    <row r="245" spans="1:14">
      <c r="A245" s="50"/>
      <c r="N245" s="52"/>
    </row>
    <row r="246" spans="1:14">
      <c r="A246" s="50"/>
      <c r="N246" s="52"/>
    </row>
    <row r="247" spans="1:14">
      <c r="A247" s="50"/>
      <c r="N247" s="52"/>
    </row>
    <row r="248" spans="1:14">
      <c r="A248" s="50"/>
      <c r="N248" s="52"/>
    </row>
    <row r="249" spans="1:14">
      <c r="A249" s="50"/>
      <c r="N249" s="52"/>
    </row>
    <row r="250" spans="1:14">
      <c r="A250" s="50"/>
      <c r="N250" s="52"/>
    </row>
    <row r="251" spans="1:14">
      <c r="A251" s="50"/>
      <c r="N251" s="52"/>
    </row>
    <row r="252" spans="1:14">
      <c r="A252" s="50"/>
      <c r="G252"/>
      <c r="N252" s="52"/>
    </row>
    <row r="253" spans="1:14">
      <c r="A253" s="50"/>
      <c r="N253" s="52"/>
    </row>
    <row r="254" spans="1:14">
      <c r="A254" s="50"/>
      <c r="N254" s="52"/>
    </row>
    <row r="255" spans="1:14">
      <c r="A255" s="50"/>
      <c r="N255" s="52"/>
    </row>
    <row r="256" spans="1:14">
      <c r="A256" s="50"/>
      <c r="N256" s="52"/>
    </row>
    <row r="257" spans="1:14">
      <c r="A257" s="50"/>
      <c r="N257" s="52"/>
    </row>
    <row r="258" spans="1:14">
      <c r="A258" s="50"/>
      <c r="N258" s="52"/>
    </row>
    <row r="259" spans="1:14">
      <c r="A259" s="50"/>
      <c r="N259" s="52"/>
    </row>
    <row r="260" spans="1:14">
      <c r="A260" s="50"/>
      <c r="N260" s="52"/>
    </row>
    <row r="261" spans="1:14">
      <c r="A261" s="50"/>
      <c r="N261" s="52"/>
    </row>
    <row r="262" spans="1:14">
      <c r="A262" s="50"/>
      <c r="N262" s="52"/>
    </row>
    <row r="263" spans="1:14">
      <c r="A263" s="50"/>
      <c r="N263" s="52"/>
    </row>
    <row r="264" spans="1:14">
      <c r="A264" s="50"/>
      <c r="N264" s="52"/>
    </row>
    <row r="265" spans="1:14">
      <c r="A265" s="50"/>
      <c r="N265" s="52"/>
    </row>
    <row r="266" spans="1:14">
      <c r="A266" s="50"/>
      <c r="N266" s="52"/>
    </row>
    <row r="267" spans="1:14">
      <c r="A267" s="50"/>
      <c r="N267" s="52"/>
    </row>
    <row r="268" spans="1:14">
      <c r="A268" s="50"/>
      <c r="N268" s="52"/>
    </row>
    <row r="269" spans="1:14">
      <c r="A269" s="50"/>
      <c r="N269" s="52"/>
    </row>
    <row r="270" spans="1:14">
      <c r="A270" s="50"/>
      <c r="N270" s="52"/>
    </row>
    <row r="271" spans="1:14">
      <c r="A271" s="50"/>
      <c r="N271" s="52"/>
    </row>
    <row r="272" spans="1:14">
      <c r="A272" s="50"/>
      <c r="N272" s="52"/>
    </row>
    <row r="273" spans="1:14">
      <c r="A273" s="50"/>
      <c r="N273" s="52"/>
    </row>
    <row r="274" spans="1:14">
      <c r="A274" s="50"/>
      <c r="N274" s="52"/>
    </row>
    <row r="275" spans="1:14">
      <c r="A275" s="50"/>
      <c r="N275" s="52"/>
    </row>
    <row r="276" spans="1:14">
      <c r="A276" s="50"/>
      <c r="N276" s="52"/>
    </row>
    <row r="277" spans="1:14">
      <c r="A277" s="50"/>
      <c r="N277" s="52"/>
    </row>
    <row r="278" spans="1:14">
      <c r="A278" s="50"/>
      <c r="N278" s="52"/>
    </row>
    <row r="279" spans="1:14">
      <c r="A279" s="50"/>
      <c r="N279" s="52"/>
    </row>
    <row r="280" spans="1:14">
      <c r="A280" s="50"/>
      <c r="N280" s="52"/>
    </row>
    <row r="281" spans="1:14">
      <c r="A281" s="50"/>
      <c r="N281" s="52"/>
    </row>
    <row r="282" spans="1:14">
      <c r="A282" s="50"/>
      <c r="N282" s="52"/>
    </row>
    <row r="283" spans="1:14">
      <c r="A283" s="50"/>
      <c r="N283" s="52"/>
    </row>
    <row r="284" spans="1:14">
      <c r="A284" s="50"/>
      <c r="N284" s="52"/>
    </row>
    <row r="285" spans="1:14">
      <c r="A285" s="50"/>
      <c r="N285" s="52"/>
    </row>
    <row r="286" spans="1:14">
      <c r="A286" s="50"/>
      <c r="N286" s="52"/>
    </row>
    <row r="287" spans="1:14">
      <c r="A287" s="50"/>
      <c r="N287" s="52"/>
    </row>
    <row r="288" spans="1:14">
      <c r="A288" s="50"/>
      <c r="N288" s="52"/>
    </row>
    <row r="289" spans="1:14">
      <c r="A289" s="50"/>
      <c r="N289" s="52"/>
    </row>
    <row r="290" spans="1:14">
      <c r="A290" s="50"/>
      <c r="N290" s="52"/>
    </row>
    <row r="291" spans="1:14">
      <c r="A291" s="50"/>
      <c r="N291" s="52"/>
    </row>
    <row r="292" spans="1:14">
      <c r="A292" s="50"/>
      <c r="N292" s="52"/>
    </row>
    <row r="293" spans="1:14">
      <c r="A293" s="50"/>
      <c r="N293" s="52"/>
    </row>
    <row r="294" spans="1:14">
      <c r="A294" s="50"/>
      <c r="N294" s="52"/>
    </row>
    <row r="295" spans="1:14">
      <c r="A295" s="50"/>
      <c r="N295" s="52"/>
    </row>
    <row r="296" spans="1:14">
      <c r="A296" s="50"/>
      <c r="N296" s="52"/>
    </row>
    <row r="297" spans="1:14">
      <c r="A297" s="50"/>
      <c r="N297" s="52"/>
    </row>
    <row r="298" spans="1:14">
      <c r="A298" s="50"/>
      <c r="N298" s="52"/>
    </row>
    <row r="299" spans="1:14">
      <c r="A299" s="50"/>
      <c r="N299" s="52"/>
    </row>
    <row r="300" spans="1:14">
      <c r="A300" s="50"/>
      <c r="N300" s="52"/>
    </row>
    <row r="301" spans="1:14">
      <c r="A301" s="50"/>
      <c r="N301" s="52"/>
    </row>
    <row r="302" spans="1:14">
      <c r="A302" s="50"/>
      <c r="N302" s="52"/>
    </row>
    <row r="303" spans="1:14">
      <c r="A303" s="50"/>
      <c r="N303" s="52"/>
    </row>
    <row r="304" spans="1:14">
      <c r="A304" s="50"/>
      <c r="N304" s="52"/>
    </row>
    <row r="305" spans="1:14">
      <c r="A305" s="50"/>
      <c r="N305" s="52"/>
    </row>
    <row r="306" spans="1:14">
      <c r="A306" s="50"/>
      <c r="N306" s="52"/>
    </row>
    <row r="307" spans="1:14">
      <c r="A307" s="50"/>
      <c r="N307" s="52"/>
    </row>
    <row r="308" spans="1:14">
      <c r="A308" s="50"/>
      <c r="N308" s="52"/>
    </row>
    <row r="309" spans="1:14">
      <c r="A309" s="50"/>
      <c r="N309" s="52"/>
    </row>
    <row r="310" spans="1:14">
      <c r="A310" s="50"/>
      <c r="N310" s="52"/>
    </row>
    <row r="311" spans="1:14">
      <c r="A311" s="50"/>
      <c r="N311" s="52"/>
    </row>
    <row r="312" spans="1:14">
      <c r="A312" s="50"/>
      <c r="N312" s="52"/>
    </row>
    <row r="313" spans="1:14">
      <c r="A313" s="50"/>
      <c r="N313" s="52"/>
    </row>
    <row r="314" spans="1:14">
      <c r="A314" s="50"/>
      <c r="N314" s="52"/>
    </row>
    <row r="315" spans="1:14">
      <c r="A315" s="50"/>
      <c r="N315" s="52"/>
    </row>
    <row r="316" spans="1:14">
      <c r="A316" s="50"/>
      <c r="N316" s="52"/>
    </row>
    <row r="317" spans="1:14" ht="15.6">
      <c r="A317" s="50"/>
      <c r="C317" s="53"/>
      <c r="E317" s="53"/>
      <c r="N317" s="52"/>
    </row>
    <row r="318" spans="1:14">
      <c r="A318" s="50"/>
      <c r="N318" s="52"/>
    </row>
    <row r="319" spans="1:14">
      <c r="A319" s="50"/>
      <c r="N319" s="52"/>
    </row>
    <row r="320" spans="1:14">
      <c r="A320" s="50"/>
      <c r="N320" s="52"/>
    </row>
    <row r="321" spans="1:14">
      <c r="A321" s="50"/>
      <c r="N321" s="52"/>
    </row>
    <row r="322" spans="1:14">
      <c r="A322" s="50"/>
      <c r="N322" s="52"/>
    </row>
    <row r="323" spans="1:14">
      <c r="A323" s="50"/>
      <c r="N323" s="52"/>
    </row>
    <row r="324" spans="1:14">
      <c r="A324" s="50"/>
      <c r="N324" s="52"/>
    </row>
    <row r="325" spans="1:14">
      <c r="A325" s="50"/>
      <c r="N325" s="52"/>
    </row>
    <row r="326" spans="1:14">
      <c r="A326" s="50"/>
      <c r="N326" s="52"/>
    </row>
    <row r="327" spans="1:14">
      <c r="A327" s="50"/>
      <c r="N327" s="52"/>
    </row>
    <row r="328" spans="1:14">
      <c r="A328" s="50"/>
      <c r="N328" s="52"/>
    </row>
    <row r="329" spans="1:14">
      <c r="A329" s="50"/>
      <c r="N329" s="52"/>
    </row>
    <row r="330" spans="1:14">
      <c r="A330" s="50"/>
      <c r="N330" s="52"/>
    </row>
    <row r="331" spans="1:14">
      <c r="A331" s="50"/>
      <c r="N331" s="52"/>
    </row>
    <row r="332" spans="1:14">
      <c r="A332" s="50"/>
      <c r="N332" s="52"/>
    </row>
    <row r="333" spans="1:14">
      <c r="A333" s="50"/>
      <c r="N333" s="52"/>
    </row>
    <row r="334" spans="1:14">
      <c r="A334" s="50"/>
      <c r="N334" s="52"/>
    </row>
    <row r="335" spans="1:14">
      <c r="A335" s="50"/>
      <c r="N335" s="52"/>
    </row>
    <row r="336" spans="1:14">
      <c r="A336" s="50"/>
      <c r="N336" s="52"/>
    </row>
    <row r="337" spans="1:14">
      <c r="A337" s="50"/>
      <c r="N337" s="52"/>
    </row>
    <row r="338" spans="1:14">
      <c r="A338" s="50"/>
      <c r="N338" s="52"/>
    </row>
    <row r="339" spans="1:14">
      <c r="A339" s="50"/>
      <c r="N339" s="52"/>
    </row>
    <row r="340" spans="1:14">
      <c r="A340" s="50"/>
      <c r="N340" s="52"/>
    </row>
    <row r="341" spans="1:14">
      <c r="A341" s="50"/>
      <c r="G341"/>
      <c r="N341" s="52"/>
    </row>
    <row r="342" spans="1:14">
      <c r="A342" s="50"/>
      <c r="N342" s="52"/>
    </row>
    <row r="343" spans="1:14">
      <c r="A343" s="50"/>
      <c r="N343" s="52"/>
    </row>
    <row r="344" spans="1:14">
      <c r="A344" s="50"/>
      <c r="N344" s="52"/>
    </row>
    <row r="345" spans="1:14">
      <c r="A345" s="50"/>
      <c r="N345" s="52"/>
    </row>
    <row r="346" spans="1:14">
      <c r="A346" s="50"/>
      <c r="N346" s="52"/>
    </row>
    <row r="347" spans="1:14">
      <c r="A347" s="50"/>
      <c r="I347"/>
      <c r="N347" s="52"/>
    </row>
    <row r="348" spans="1:14">
      <c r="A348" s="50"/>
      <c r="N348" s="52"/>
    </row>
    <row r="349" spans="1:14">
      <c r="A349" s="50"/>
      <c r="N349" s="52"/>
    </row>
    <row r="350" spans="1:14">
      <c r="A350" s="50"/>
      <c r="N350" s="52"/>
    </row>
    <row r="351" spans="1:14">
      <c r="A351" s="50"/>
      <c r="N351" s="52"/>
    </row>
    <row r="352" spans="1:14">
      <c r="A352" s="50"/>
      <c r="N352" s="52"/>
    </row>
    <row r="353" spans="1:14">
      <c r="A353" s="50"/>
      <c r="N353" s="52"/>
    </row>
    <row r="354" spans="1:14">
      <c r="A354" s="50"/>
      <c r="N354" s="52"/>
    </row>
    <row r="355" spans="1:14">
      <c r="A355" s="50"/>
      <c r="N355" s="52"/>
    </row>
    <row r="356" spans="1:14">
      <c r="A356" s="50"/>
      <c r="N356" s="52"/>
    </row>
    <row r="357" spans="1:14">
      <c r="A357" s="50"/>
      <c r="N357" s="52"/>
    </row>
    <row r="358" spans="1:14">
      <c r="A358" s="50"/>
      <c r="N358" s="52"/>
    </row>
    <row r="359" spans="1:14">
      <c r="A359" s="50"/>
      <c r="N359" s="52"/>
    </row>
    <row r="360" spans="1:14">
      <c r="A360" s="50"/>
      <c r="N360" s="52"/>
    </row>
    <row r="361" spans="1:14">
      <c r="A361" s="50"/>
      <c r="N361" s="52"/>
    </row>
    <row r="362" spans="1:14">
      <c r="A362" s="50"/>
      <c r="N362" s="52"/>
    </row>
    <row r="363" spans="1:14">
      <c r="A363" s="50"/>
      <c r="N363" s="52"/>
    </row>
    <row r="364" spans="1:14">
      <c r="A364" s="50"/>
      <c r="N364" s="52"/>
    </row>
    <row r="365" spans="1:14">
      <c r="A365" s="50"/>
      <c r="N365" s="52"/>
    </row>
    <row r="366" spans="1:14">
      <c r="A366" s="50"/>
      <c r="N366" s="52"/>
    </row>
    <row r="367" spans="1:14">
      <c r="A367" s="50"/>
      <c r="N367" s="52"/>
    </row>
    <row r="368" spans="1:14">
      <c r="A368" s="50"/>
      <c r="N368" s="52"/>
    </row>
    <row r="369" spans="1:14">
      <c r="A369" s="50"/>
      <c r="N369" s="52"/>
    </row>
    <row r="370" spans="1:14">
      <c r="A370" s="50"/>
      <c r="N370" s="52"/>
    </row>
    <row r="371" spans="1:14">
      <c r="A371" s="50"/>
      <c r="N371" s="52"/>
    </row>
    <row r="372" spans="1:14">
      <c r="A372" s="50"/>
      <c r="N372" s="52"/>
    </row>
    <row r="373" spans="1:14">
      <c r="A373" s="50"/>
      <c r="N373" s="52"/>
    </row>
    <row r="374" spans="1:14">
      <c r="A374" s="50"/>
      <c r="N374" s="52"/>
    </row>
    <row r="375" spans="1:14">
      <c r="A375" s="50"/>
      <c r="N375" s="52"/>
    </row>
    <row r="376" spans="1:14">
      <c r="A376" s="50"/>
      <c r="N376" s="52"/>
    </row>
    <row r="377" spans="1:14">
      <c r="A377" s="50"/>
      <c r="N377" s="52"/>
    </row>
    <row r="378" spans="1:14">
      <c r="A378" s="50"/>
      <c r="N378" s="52"/>
    </row>
    <row r="379" spans="1:14">
      <c r="A379" s="50"/>
      <c r="N379" s="52"/>
    </row>
    <row r="380" spans="1:14">
      <c r="A380" s="50"/>
      <c r="N380" s="52"/>
    </row>
    <row r="381" spans="1:14">
      <c r="A381" s="50"/>
      <c r="N381" s="52"/>
    </row>
    <row r="382" spans="1:14">
      <c r="A382" s="50"/>
      <c r="N382" s="52"/>
    </row>
    <row r="383" spans="1:14">
      <c r="A383" s="50"/>
      <c r="N383" s="52"/>
    </row>
    <row r="384" spans="1:14">
      <c r="A384" s="50"/>
      <c r="N384" s="52"/>
    </row>
    <row r="385" spans="1:14">
      <c r="A385" s="50"/>
      <c r="N385" s="52"/>
    </row>
    <row r="386" spans="1:14">
      <c r="A386" s="50"/>
      <c r="E386"/>
      <c r="N386" s="52"/>
    </row>
    <row r="387" spans="1:14">
      <c r="A387" s="50"/>
      <c r="N387" s="52"/>
    </row>
    <row r="388" spans="1:14">
      <c r="A388" s="50"/>
      <c r="N388" s="52"/>
    </row>
    <row r="389" spans="1:14">
      <c r="A389" s="50"/>
      <c r="N389" s="52"/>
    </row>
    <row r="390" spans="1:14">
      <c r="A390" s="50"/>
      <c r="N390" s="52"/>
    </row>
    <row r="391" spans="1:14">
      <c r="A391" s="50"/>
      <c r="N391" s="52"/>
    </row>
    <row r="392" spans="1:14">
      <c r="A392" s="50"/>
      <c r="N392" s="52"/>
    </row>
    <row r="393" spans="1:14">
      <c r="A393" s="50"/>
      <c r="N393" s="52"/>
    </row>
    <row r="394" spans="1:14">
      <c r="A394" s="50"/>
      <c r="N394" s="52"/>
    </row>
    <row r="395" spans="1:14">
      <c r="A395" s="50"/>
      <c r="N395" s="52"/>
    </row>
    <row r="396" spans="1:14">
      <c r="A396" s="50"/>
      <c r="N396" s="52"/>
    </row>
    <row r="397" spans="1:14">
      <c r="A397" s="50"/>
      <c r="N397" s="52"/>
    </row>
    <row r="398" spans="1:14">
      <c r="A398" s="50"/>
      <c r="N398" s="52"/>
    </row>
    <row r="399" spans="1:14">
      <c r="A399" s="50"/>
      <c r="N399" s="52"/>
    </row>
    <row r="400" spans="1:14">
      <c r="A400" s="50"/>
      <c r="N400" s="52"/>
    </row>
    <row r="401" spans="1:14">
      <c r="A401" s="50"/>
      <c r="N401" s="52"/>
    </row>
    <row r="402" spans="1:14">
      <c r="A402" s="50"/>
      <c r="N402" s="52"/>
    </row>
    <row r="403" spans="1:14">
      <c r="A403" s="50"/>
      <c r="N403" s="52"/>
    </row>
    <row r="404" spans="1:14">
      <c r="A404" s="50"/>
      <c r="N404" s="52"/>
    </row>
    <row r="405" spans="1:14">
      <c r="A405" s="50"/>
      <c r="N405" s="52"/>
    </row>
    <row r="406" spans="1:14">
      <c r="A406" s="50"/>
      <c r="N406" s="52"/>
    </row>
    <row r="407" spans="1:14">
      <c r="A407" s="50"/>
      <c r="N407" s="52"/>
    </row>
    <row r="408" spans="1:14">
      <c r="A408" s="50"/>
      <c r="N408" s="52"/>
    </row>
    <row r="409" spans="1:14">
      <c r="A409" s="50"/>
      <c r="N409" s="52"/>
    </row>
    <row r="410" spans="1:14">
      <c r="A410" s="50"/>
      <c r="N410" s="52"/>
    </row>
    <row r="411" spans="1:14">
      <c r="A411" s="50"/>
      <c r="N411" s="52"/>
    </row>
    <row r="412" spans="1:14">
      <c r="A412" s="50"/>
      <c r="N412" s="52"/>
    </row>
    <row r="413" spans="1:14">
      <c r="A413" s="50"/>
      <c r="N413" s="52"/>
    </row>
    <row r="414" spans="1:14">
      <c r="A414" s="50"/>
      <c r="N414" s="52"/>
    </row>
    <row r="415" spans="1:14">
      <c r="A415" s="50"/>
      <c r="N415" s="52"/>
    </row>
    <row r="416" spans="1:14">
      <c r="A416" s="50"/>
      <c r="N416" s="52"/>
    </row>
    <row r="417" spans="1:14">
      <c r="A417" s="50"/>
      <c r="N417" s="52"/>
    </row>
    <row r="418" spans="1:14">
      <c r="A418" s="50"/>
      <c r="N418" s="52"/>
    </row>
    <row r="419" spans="1:14">
      <c r="A419" s="50"/>
      <c r="N419" s="52"/>
    </row>
    <row r="420" spans="1:14">
      <c r="A420" s="50"/>
      <c r="N420" s="52"/>
    </row>
    <row r="421" spans="1:14">
      <c r="A421" s="50"/>
      <c r="N421" s="52"/>
    </row>
    <row r="422" spans="1:14">
      <c r="A422" s="54"/>
    </row>
    <row r="423" spans="1:14">
      <c r="A423" s="54"/>
    </row>
    <row r="424" spans="1:14">
      <c r="A424" s="54"/>
    </row>
    <row r="425" spans="1:14" ht="15.6">
      <c r="A425" s="54"/>
      <c r="E425"/>
      <c r="G425"/>
      <c r="I425" s="55"/>
    </row>
    <row r="426" spans="1:14" ht="15.6">
      <c r="A426" s="54"/>
      <c r="E426"/>
      <c r="G426"/>
      <c r="I426" s="55"/>
    </row>
    <row r="427" spans="1:14" ht="15.6">
      <c r="A427" s="54"/>
      <c r="E427"/>
      <c r="G427"/>
      <c r="I427" s="55"/>
    </row>
    <row r="428" spans="1:14" ht="15.6">
      <c r="A428" s="54"/>
      <c r="E428"/>
      <c r="G428"/>
      <c r="I428" s="55"/>
    </row>
    <row r="429" spans="1:14" ht="15.6">
      <c r="A429" s="54"/>
      <c r="E429"/>
      <c r="G429"/>
      <c r="I429" s="55"/>
    </row>
    <row r="430" spans="1:14" ht="15.6">
      <c r="A430" s="54"/>
      <c r="E430"/>
      <c r="G430"/>
      <c r="I430" s="55"/>
    </row>
    <row r="431" spans="1:14" ht="15.6">
      <c r="A431" s="54"/>
      <c r="E431"/>
      <c r="G431"/>
      <c r="I431" s="55"/>
    </row>
    <row r="432" spans="1:14" ht="15.6">
      <c r="A432" s="54"/>
      <c r="E432"/>
      <c r="G432"/>
      <c r="I432" s="55"/>
    </row>
    <row r="433" spans="1:11" ht="15.6">
      <c r="A433" s="54"/>
      <c r="E433"/>
      <c r="G433"/>
      <c r="I433" s="55"/>
    </row>
    <row r="434" spans="1:11" ht="15.6">
      <c r="A434" s="54"/>
      <c r="E434"/>
      <c r="G434"/>
      <c r="I434" s="55"/>
    </row>
    <row r="435" spans="1:11" ht="15.6">
      <c r="A435" s="54"/>
      <c r="E435"/>
      <c r="G435"/>
      <c r="I435" s="55"/>
    </row>
    <row r="436" spans="1:11" ht="15.6">
      <c r="A436" s="54"/>
      <c r="E436"/>
      <c r="G436"/>
      <c r="I436" s="55"/>
    </row>
    <row r="437" spans="1:11" ht="15.6">
      <c r="A437" s="54"/>
      <c r="E437"/>
      <c r="G437"/>
      <c r="I437" s="55"/>
    </row>
    <row r="438" spans="1:11" ht="15.6">
      <c r="A438" s="54"/>
      <c r="E438"/>
      <c r="G438"/>
      <c r="I438" s="55"/>
    </row>
    <row r="439" spans="1:11" ht="15.6">
      <c r="A439" s="54"/>
      <c r="E439"/>
      <c r="G439"/>
      <c r="I439" s="55"/>
      <c r="K439" s="55"/>
    </row>
    <row r="440" spans="1:11" ht="15.6">
      <c r="A440" s="54"/>
      <c r="E440"/>
      <c r="G440"/>
      <c r="I440" s="55"/>
    </row>
    <row r="441" spans="1:11" ht="15.6">
      <c r="A441" s="54"/>
      <c r="E441"/>
      <c r="G441"/>
      <c r="I441" s="55"/>
    </row>
    <row r="442" spans="1:11" ht="15.6">
      <c r="A442" s="54"/>
      <c r="E442"/>
      <c r="G442"/>
      <c r="I442" s="55"/>
    </row>
    <row r="443" spans="1:11" ht="15.6">
      <c r="A443" s="54"/>
      <c r="E443"/>
      <c r="G443"/>
      <c r="I443" s="55"/>
    </row>
    <row r="444" spans="1:11" ht="15.6">
      <c r="A444" s="54"/>
      <c r="E444"/>
      <c r="G444"/>
      <c r="I444" s="55"/>
    </row>
    <row r="445" spans="1:11" ht="15.6">
      <c r="A445" s="54"/>
      <c r="E445"/>
      <c r="G445"/>
      <c r="I445" s="55"/>
    </row>
    <row r="446" spans="1:11" ht="15.6">
      <c r="A446" s="54"/>
      <c r="E446"/>
      <c r="G446"/>
      <c r="I446" s="55"/>
    </row>
    <row r="447" spans="1:11" ht="15.6">
      <c r="A447" s="54"/>
      <c r="E447"/>
      <c r="G447"/>
      <c r="I447" s="55"/>
    </row>
    <row r="448" spans="1:11" ht="15.6">
      <c r="A448" s="54"/>
      <c r="E448"/>
      <c r="G448"/>
      <c r="I448" s="55"/>
    </row>
    <row r="449" spans="1:9" ht="15.6">
      <c r="A449" s="54"/>
      <c r="E449"/>
      <c r="G449"/>
      <c r="I449" s="55"/>
    </row>
    <row r="450" spans="1:9" ht="15.6">
      <c r="A450" s="54"/>
      <c r="E450"/>
      <c r="G450"/>
      <c r="I450" s="55"/>
    </row>
    <row r="451" spans="1:9" ht="15.6">
      <c r="A451" s="54"/>
      <c r="E451"/>
      <c r="G451"/>
      <c r="I451" s="55"/>
    </row>
    <row r="452" spans="1:9" ht="15.6">
      <c r="A452" s="54"/>
      <c r="E452"/>
      <c r="G452"/>
      <c r="I452" s="55"/>
    </row>
    <row r="453" spans="1:9" ht="15.6">
      <c r="A453" s="54"/>
      <c r="E453"/>
      <c r="G453"/>
      <c r="I453" s="55"/>
    </row>
    <row r="454" spans="1:9" ht="15.6">
      <c r="A454" s="54"/>
      <c r="E454"/>
      <c r="G454"/>
      <c r="I454" s="55"/>
    </row>
    <row r="455" spans="1:9" ht="15.6">
      <c r="A455" s="54"/>
      <c r="E455"/>
      <c r="G455"/>
      <c r="I455" s="56"/>
    </row>
    <row r="456" spans="1:9" ht="15.6">
      <c r="A456" s="54"/>
      <c r="E456"/>
      <c r="G456"/>
      <c r="I456" s="56"/>
    </row>
    <row r="457" spans="1:9" ht="15.6">
      <c r="A457" s="54"/>
      <c r="E457"/>
      <c r="G457"/>
      <c r="I457" s="56"/>
    </row>
    <row r="458" spans="1:9" ht="15.6">
      <c r="A458" s="54"/>
      <c r="E458"/>
      <c r="G458"/>
      <c r="I458" s="56"/>
    </row>
    <row r="459" spans="1:9" ht="15.6">
      <c r="A459" s="54"/>
      <c r="E459"/>
      <c r="G459"/>
      <c r="I459" s="56"/>
    </row>
    <row r="460" spans="1:9" ht="15.6">
      <c r="A460" s="54"/>
      <c r="E460"/>
      <c r="G460"/>
      <c r="I460" s="56"/>
    </row>
    <row r="461" spans="1:9" ht="15.6">
      <c r="A461" s="54"/>
      <c r="E461"/>
      <c r="G461"/>
      <c r="I461" s="56"/>
    </row>
    <row r="462" spans="1:9" ht="15.6">
      <c r="A462" s="54"/>
      <c r="E462"/>
      <c r="G462"/>
      <c r="I462" s="56"/>
    </row>
    <row r="463" spans="1:9" ht="15.6">
      <c r="A463" s="54"/>
      <c r="E463"/>
      <c r="G463"/>
      <c r="I463" s="56"/>
    </row>
    <row r="464" spans="1:9" ht="15.6">
      <c r="A464" s="54"/>
      <c r="E464"/>
      <c r="G464"/>
      <c r="I464" s="56"/>
    </row>
    <row r="465" spans="1:9" ht="15.6">
      <c r="A465" s="54"/>
      <c r="E465"/>
      <c r="G465"/>
      <c r="I465" s="56"/>
    </row>
    <row r="466" spans="1:9" ht="15.6">
      <c r="A466" s="54"/>
      <c r="E466"/>
      <c r="G466"/>
      <c r="I466" s="56"/>
    </row>
    <row r="467" spans="1:9">
      <c r="A467" s="54"/>
      <c r="G467"/>
      <c r="I467"/>
    </row>
    <row r="468" spans="1:9">
      <c r="A468" s="54"/>
      <c r="G468"/>
      <c r="I468"/>
    </row>
    <row r="469" spans="1:9">
      <c r="A469" s="54"/>
      <c r="G469"/>
      <c r="I469"/>
    </row>
    <row r="470" spans="1:9">
      <c r="A470" s="54"/>
      <c r="G470"/>
      <c r="I470"/>
    </row>
    <row r="471" spans="1:9">
      <c r="A471" s="54"/>
      <c r="G471"/>
      <c r="I471"/>
    </row>
    <row r="472" spans="1:9">
      <c r="A472" s="54"/>
      <c r="G472"/>
      <c r="I472"/>
    </row>
    <row r="473" spans="1:9">
      <c r="A473" s="54"/>
      <c r="G473"/>
      <c r="I473"/>
    </row>
    <row r="474" spans="1:9">
      <c r="A474" s="54"/>
      <c r="G474"/>
      <c r="I474"/>
    </row>
    <row r="475" spans="1:9">
      <c r="A475" s="54"/>
      <c r="G475"/>
      <c r="I475"/>
    </row>
    <row r="476" spans="1:9">
      <c r="A476" s="54"/>
      <c r="G476"/>
      <c r="I476"/>
    </row>
    <row r="477" spans="1:9">
      <c r="A477" s="54"/>
      <c r="G477"/>
      <c r="I477"/>
    </row>
    <row r="478" spans="1:9">
      <c r="A478" s="54"/>
      <c r="G478"/>
      <c r="I478"/>
    </row>
    <row r="479" spans="1:9">
      <c r="A479" s="54"/>
      <c r="G479"/>
      <c r="I479"/>
    </row>
    <row r="480" spans="1:9">
      <c r="A480" s="54"/>
      <c r="G480"/>
      <c r="I480"/>
    </row>
    <row r="481" spans="1:9">
      <c r="A481" s="54"/>
      <c r="E481"/>
    </row>
    <row r="482" spans="1:9">
      <c r="A482" s="54"/>
      <c r="E482"/>
    </row>
    <row r="483" spans="1:9">
      <c r="A483" s="54"/>
      <c r="E483"/>
    </row>
    <row r="484" spans="1:9">
      <c r="A484" s="54"/>
      <c r="E484"/>
      <c r="G484"/>
      <c r="I484"/>
    </row>
    <row r="485" spans="1:9">
      <c r="A485" s="54"/>
      <c r="E485"/>
      <c r="G485"/>
    </row>
    <row r="486" spans="1:9">
      <c r="A486" s="54"/>
      <c r="E486"/>
    </row>
  </sheetData>
  <conditionalFormatting sqref="C69">
    <cfRule type="duplicateValues" dxfId="78" priority="68" stopIfTrue="1"/>
  </conditionalFormatting>
  <conditionalFormatting sqref="C72">
    <cfRule type="duplicateValues" dxfId="77" priority="34" stopIfTrue="1"/>
  </conditionalFormatting>
  <conditionalFormatting sqref="C171">
    <cfRule type="duplicateValues" dxfId="76" priority="51" stopIfTrue="1"/>
  </conditionalFormatting>
  <conditionalFormatting sqref="C175">
    <cfRule type="duplicateValues" dxfId="75" priority="49" stopIfTrue="1"/>
  </conditionalFormatting>
  <conditionalFormatting sqref="C176">
    <cfRule type="duplicateValues" dxfId="74" priority="36" stopIfTrue="1"/>
  </conditionalFormatting>
  <conditionalFormatting sqref="C312">
    <cfRule type="duplicateValues" dxfId="73" priority="39" stopIfTrue="1"/>
  </conditionalFormatting>
  <conditionalFormatting sqref="E70">
    <cfRule type="duplicateValues" dxfId="72" priority="67" stopIfTrue="1"/>
  </conditionalFormatting>
  <conditionalFormatting sqref="E72">
    <cfRule type="duplicateValues" dxfId="71" priority="35" stopIfTrue="1"/>
  </conditionalFormatting>
  <conditionalFormatting sqref="E97">
    <cfRule type="duplicateValues" dxfId="70" priority="29" stopIfTrue="1"/>
  </conditionalFormatting>
  <conditionalFormatting sqref="E98">
    <cfRule type="duplicateValues" dxfId="69" priority="27" stopIfTrue="1"/>
  </conditionalFormatting>
  <conditionalFormatting sqref="E108">
    <cfRule type="duplicateValues" dxfId="68" priority="46" stopIfTrue="1"/>
  </conditionalFormatting>
  <conditionalFormatting sqref="E109">
    <cfRule type="duplicateValues" dxfId="67" priority="45" stopIfTrue="1"/>
  </conditionalFormatting>
  <conditionalFormatting sqref="E112">
    <cfRule type="duplicateValues" dxfId="66" priority="42" stopIfTrue="1"/>
  </conditionalFormatting>
  <conditionalFormatting sqref="E113">
    <cfRule type="duplicateValues" dxfId="65" priority="41" stopIfTrue="1"/>
  </conditionalFormatting>
  <conditionalFormatting sqref="E160">
    <cfRule type="duplicateValues" dxfId="64" priority="61" stopIfTrue="1"/>
  </conditionalFormatting>
  <conditionalFormatting sqref="E169">
    <cfRule type="duplicateValues" dxfId="63" priority="52" stopIfTrue="1"/>
  </conditionalFormatting>
  <conditionalFormatting sqref="E374">
    <cfRule type="duplicateValues" dxfId="62" priority="37" stopIfTrue="1"/>
  </conditionalFormatting>
  <conditionalFormatting sqref="E386">
    <cfRule type="duplicateValues" dxfId="61" priority="26" stopIfTrue="1"/>
  </conditionalFormatting>
  <conditionalFormatting sqref="E430">
    <cfRule type="duplicateValues" dxfId="60" priority="14" stopIfTrue="1"/>
  </conditionalFormatting>
  <conditionalFormatting sqref="E444">
    <cfRule type="duplicateValues" dxfId="59" priority="9" stopIfTrue="1"/>
  </conditionalFormatting>
  <conditionalFormatting sqref="E458">
    <cfRule type="duplicateValues" dxfId="58" priority="8" stopIfTrue="1"/>
  </conditionalFormatting>
  <conditionalFormatting sqref="E481">
    <cfRule type="duplicateValues" dxfId="57" priority="25" stopIfTrue="1"/>
  </conditionalFormatting>
  <conditionalFormatting sqref="E482">
    <cfRule type="duplicateValues" dxfId="56" priority="24" stopIfTrue="1"/>
  </conditionalFormatting>
  <conditionalFormatting sqref="E483:E484">
    <cfRule type="duplicateValues" dxfId="55" priority="22" stopIfTrue="1"/>
  </conditionalFormatting>
  <conditionalFormatting sqref="E485">
    <cfRule type="duplicateValues" dxfId="54" priority="19" stopIfTrue="1"/>
  </conditionalFormatting>
  <conditionalFormatting sqref="E486">
    <cfRule type="duplicateValues" dxfId="53" priority="17" stopIfTrue="1"/>
  </conditionalFormatting>
  <conditionalFormatting sqref="G73">
    <cfRule type="duplicateValues" dxfId="52" priority="66" stopIfTrue="1"/>
  </conditionalFormatting>
  <conditionalFormatting sqref="G96">
    <cfRule type="duplicateValues" dxfId="51" priority="65" stopIfTrue="1"/>
  </conditionalFormatting>
  <conditionalFormatting sqref="G110">
    <cfRule type="duplicateValues" dxfId="50" priority="44" stopIfTrue="1"/>
  </conditionalFormatting>
  <conditionalFormatting sqref="G111">
    <cfRule type="duplicateValues" dxfId="49" priority="43" stopIfTrue="1"/>
  </conditionalFormatting>
  <conditionalFormatting sqref="G158">
    <cfRule type="duplicateValues" dxfId="48" priority="63" stopIfTrue="1"/>
  </conditionalFormatting>
  <conditionalFormatting sqref="G159">
    <cfRule type="duplicateValues" dxfId="47" priority="62" stopIfTrue="1"/>
  </conditionalFormatting>
  <conditionalFormatting sqref="G164">
    <cfRule type="duplicateValues" dxfId="46" priority="53" stopIfTrue="1"/>
  </conditionalFormatting>
  <conditionalFormatting sqref="G165">
    <cfRule type="duplicateValues" dxfId="45" priority="40" stopIfTrue="1"/>
  </conditionalFormatting>
  <conditionalFormatting sqref="G252">
    <cfRule type="duplicateValues" dxfId="44" priority="31" stopIfTrue="1"/>
  </conditionalFormatting>
  <conditionalFormatting sqref="G341">
    <cfRule type="duplicateValues" dxfId="43" priority="33" stopIfTrue="1"/>
  </conditionalFormatting>
  <conditionalFormatting sqref="G432:G438">
    <cfRule type="duplicateValues" dxfId="42" priority="13" stopIfTrue="1"/>
  </conditionalFormatting>
  <conditionalFormatting sqref="G446:G452">
    <cfRule type="duplicateValues" dxfId="41" priority="12" stopIfTrue="1"/>
  </conditionalFormatting>
  <conditionalFormatting sqref="G460:G466">
    <cfRule type="duplicateValues" dxfId="40" priority="11" stopIfTrue="1"/>
  </conditionalFormatting>
  <conditionalFormatting sqref="G472">
    <cfRule type="duplicateValues" dxfId="39" priority="7" stopIfTrue="1"/>
  </conditionalFormatting>
  <conditionalFormatting sqref="G484">
    <cfRule type="duplicateValues" dxfId="38" priority="21" stopIfTrue="1"/>
  </conditionalFormatting>
  <conditionalFormatting sqref="G485">
    <cfRule type="duplicateValues" dxfId="37" priority="18" stopIfTrue="1"/>
  </conditionalFormatting>
  <conditionalFormatting sqref="I162">
    <cfRule type="duplicateValues" dxfId="36" priority="57" stopIfTrue="1"/>
  </conditionalFormatting>
  <conditionalFormatting sqref="I347">
    <cfRule type="duplicateValues" dxfId="35" priority="30" stopIfTrue="1"/>
  </conditionalFormatting>
  <conditionalFormatting sqref="I474:I480">
    <cfRule type="duplicateValues" dxfId="34" priority="10" stopIfTrue="1"/>
  </conditionalFormatting>
  <conditionalFormatting sqref="I484">
    <cfRule type="duplicateValues" dxfId="33" priority="20" stopIfTrue="1"/>
  </conditionalFormatting>
  <conditionalFormatting sqref="K157">
    <cfRule type="duplicateValues" dxfId="32" priority="64" stopIfTrue="1"/>
  </conditionalFormatting>
  <conditionalFormatting sqref="K161">
    <cfRule type="duplicateValues" dxfId="31" priority="59" stopIfTrue="1"/>
  </conditionalFormatting>
  <conditionalFormatting sqref="K162">
    <cfRule type="duplicateValues" dxfId="30" priority="58" stopIfTrue="1"/>
  </conditionalFormatting>
  <conditionalFormatting sqref="K312">
    <cfRule type="duplicateValues" dxfId="29" priority="38" stopIfTrue="1"/>
  </conditionalFormatting>
  <dataValidations count="1">
    <dataValidation type="list" allowBlank="1" showInputMessage="1" showErrorMessage="1" sqref="L12:L486 L2:L9" xr:uid="{00000000-0002-0000-0200-000000000000}">
      <formula1>"Normal,Forcé"</formula1>
    </dataValidation>
  </dataValidations>
  <pageMargins left="0.7" right="0.7" top="0.75" bottom="0.75" header="0.3" footer="0.3"/>
  <pageSetup paperSize="9"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00000000-0002-0000-0200-000001000000}">
          <x14:formula1>
            <xm:f>Articles!$A:$A</xm:f>
          </x14:formula1>
          <xm:sqref>H312:H351 D118:D119 D137:D138 D140 D152:D153 D168:D175 F180 D181 H192:H193 H195:H196 D210:D214 D216:D218 H219:H220 H223 D221:D222 D277:D278 D280 D309 D312:D313 D315:D317 D322:D325 D327:D328 D330:D331 D340 D352:D353 D359:D361 D302:D304 D363:D376 D379:D380 D384:D387 D392:D393 D74 D76:D84 D319 F108:F120 H101:H130 D101:D107 D122:D135 D145 F122:F144 F146 D147:D150 H132:H147 H149:H154 D155:D161 H186:H190 D185 D188 F214:F220 D228:D231 D234:D236 D238 D240 D179 D259 D261:D264 D284:D286 D290 D288 D296 D294 H225:H270 D270:D271 F245:F421 J98:J107 H157:H184 F182:F212 H198:H212 D334:D336 D244:D250 D356:D357 D43:D72 F148:F178 D225:D226 D242 F222:F243 H272:H310 H354:H377 J110:J421 H379:H421 D396:D422 H38:H99 J34:J36 F38:F106 J38:J96 D38:D41 F32:F36 J30:J31 D35:D36 D12:D15 J14 D17 D19 D21:D26 H21:H36 F20:F30 F12:F18 H16:H19 J17:J27</xm:sqref>
        </x14:dataValidation>
        <x14:dataValidation type="list" allowBlank="1" showInputMessage="1" showErrorMessage="1" xr:uid="{00000000-0002-0000-0200-000002000000}">
          <x14:formula1>
            <xm:f>'Objets de gestion'!$C:$C</xm:f>
          </x14:formula1>
          <xm:sqref>C102:C107 C356:C357 C345:C354 I354:I377 C296:C300 E261:E314 I272:I310 C270:C271 G245:G275 E232:E259 C242 G233:G243 G222:G231 C225:C231 C221:C223 E139:E181 G148:G178 C43:C55 C396:C486 I312:I351 C334:C336 I225:I270 C188:C213 I198:I212 E183:E220 G182:G207 C99:C100 K98:K107 G72:G106 C318:C319 C321:C325 C244:C250 E221:F221 C240 E222:E229 C238 C234:C236 C179:C181 G108:G113 C69:C72 C80:C83 C76:C77 C74 C374:C389 C273:C274 C302:C309 C367 C363 C359:C361 C340 C330:C331 C327:C328 C315:C316 C312:C313 C259:C261 C391 I223 I219:I220 C215:C218 G209:G212 I195:I196 I192:I193 C169:C176 C167 C140:C142 C393:C394 C58:C66 C257 C277:C280 C116:C127 C129:C138 I132:I145 G115:G144 E100:E137 G146 I147 C145:C161 I149:I154 K110:K155 I101:I130 I186:I190 C185 I156:I184 G214:G220 C286 C292 C294 I379:I421 K157:K421 G277:G421 E318:E422 E467:E486 G481:G483 K34:K36 C38:C41 G38:G70 K38:K96 I38:I99 C24:C26 C30 K30:K31 C35:C36 K14 C19 C2:C17 I21:I36 E21:E98 G20:G36 E12:E19 G12:G18 I16:I19 K17:K27</xm:sqref>
        </x14:dataValidation>
        <x14:dataValidation type="list" allowBlank="1" showInputMessage="1" showErrorMessage="1" xr:uid="{00000000-0002-0000-0200-000003000000}">
          <x14:formula1>
            <xm:f>BIB!$A$2:$A$273</xm:f>
          </x14:formula1>
          <xm:sqref>A487:C1048576</xm:sqref>
        </x14:dataValidation>
        <x14:dataValidation type="list" allowBlank="1" showInputMessage="1" showErrorMessage="1" xr:uid="{00000000-0002-0000-0200-000004000000}">
          <x14:formula1>
            <xm:f>'Objets de gestion'!$C$2:$C$10390</xm:f>
          </x14:formula1>
          <xm:sqref>I467:I480 E425:E466 G425:G480</xm:sqref>
        </x14:dataValidation>
        <x14:dataValidation type="list" allowBlank="1" showInputMessage="1" showErrorMessage="1" xr:uid="{00000000-0002-0000-0200-000005000000}">
          <x14:formula1>
            <xm:f>'Type de champ'!$B$2:$B$8</xm:f>
          </x14:formula1>
          <xm:sqref>B34:B486 B13 B17:B27 B30</xm:sqref>
        </x14:dataValidation>
        <x14:dataValidation type="list" allowBlank="1" showInputMessage="1" showErrorMessage="1" xr:uid="{00000000-0002-0000-0200-000006000000}">
          <x14:formula1>
            <xm:f>'\\uf11d001\EIDDIJON\App\IBIQ\04-Application\Nomenclature\[nomenclature SIAD - Copie.xlsx]Objets de gestion'!#REF!</xm:f>
          </x14:formula1>
          <xm:sqref>C28:C29 C31:C33</xm:sqref>
        </x14:dataValidation>
        <x14:dataValidation type="list" allowBlank="1" showInputMessage="1" showErrorMessage="1" xr:uid="{00000000-0002-0000-0200-000007000000}">
          <x14:formula1>
            <xm:f>'\\uf11d001\EIDDIJON\App\IBIQ\04-Application\Nomenclature\[nomenclature SIAD - Copie.xlsx]Type de champ'!#REF!</xm:f>
          </x14:formula1>
          <xm:sqref>B12 B14:B16 B28:B29 B31:B33</xm:sqref>
        </x14:dataValidation>
        <x14:dataValidation type="list" allowBlank="1" showInputMessage="1" showErrorMessage="1" xr:uid="{00000000-0002-0000-0200-000008000000}">
          <x14:formula1>
            <xm:f>BIB!$A:$A</xm:f>
          </x14:formula1>
          <xm:sqref>A12:A486 A2:A9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0.39997558519241921"/>
  </sheetPr>
  <dimension ref="A1:F2032"/>
  <sheetViews>
    <sheetView tabSelected="1" topLeftCell="A19" workbookViewId="0">
      <selection activeCell="A31" sqref="A31:F2307"/>
    </sheetView>
  </sheetViews>
  <sheetFormatPr baseColWidth="10" defaultRowHeight="14.4"/>
  <cols>
    <col min="1" max="1" width="13.44140625" style="34" customWidth="1"/>
    <col min="2" max="2" width="8" customWidth="1"/>
    <col min="3" max="3" width="42.6640625" bestFit="1" customWidth="1"/>
    <col min="4" max="4" width="53.88671875" bestFit="1" customWidth="1"/>
    <col min="5" max="5" width="23.88671875" customWidth="1"/>
    <col min="6" max="6" width="13" customWidth="1"/>
  </cols>
  <sheetData>
    <row r="1" spans="1:6" s="25" customFormat="1" ht="24" customHeight="1">
      <c r="A1" s="33" t="s">
        <v>67</v>
      </c>
      <c r="B1" s="24" t="s">
        <v>68</v>
      </c>
      <c r="C1" s="24" t="s">
        <v>69</v>
      </c>
      <c r="D1" s="24" t="s">
        <v>70</v>
      </c>
      <c r="E1" s="24" t="s">
        <v>71</v>
      </c>
      <c r="F1" s="24" t="s">
        <v>72</v>
      </c>
    </row>
    <row r="2" spans="1:6">
      <c r="A2" s="34">
        <v>44510</v>
      </c>
      <c r="C2">
        <v>1</v>
      </c>
      <c r="E2">
        <v>1</v>
      </c>
      <c r="F2">
        <v>1</v>
      </c>
    </row>
    <row r="3" spans="1:6">
      <c r="A3" s="34">
        <v>44510</v>
      </c>
      <c r="C3">
        <v>2</v>
      </c>
      <c r="E3">
        <v>2</v>
      </c>
      <c r="F3">
        <v>2</v>
      </c>
    </row>
    <row r="4" spans="1:6">
      <c r="A4" s="34">
        <v>44510</v>
      </c>
      <c r="C4">
        <v>3</v>
      </c>
      <c r="E4">
        <v>3</v>
      </c>
      <c r="F4">
        <v>3</v>
      </c>
    </row>
    <row r="5" spans="1:6">
      <c r="A5" s="34">
        <v>44510</v>
      </c>
      <c r="C5">
        <v>4</v>
      </c>
      <c r="E5">
        <v>4</v>
      </c>
      <c r="F5">
        <v>4</v>
      </c>
    </row>
    <row r="6" spans="1:6">
      <c r="A6" s="34">
        <v>44510</v>
      </c>
      <c r="C6">
        <v>5</v>
      </c>
      <c r="E6">
        <v>5</v>
      </c>
      <c r="F6">
        <v>5</v>
      </c>
    </row>
    <row r="7" spans="1:6">
      <c r="A7" s="34">
        <v>44510</v>
      </c>
      <c r="C7">
        <v>6</v>
      </c>
      <c r="E7">
        <v>6</v>
      </c>
      <c r="F7">
        <v>6</v>
      </c>
    </row>
    <row r="8" spans="1:6">
      <c r="A8" s="34">
        <v>44510</v>
      </c>
      <c r="C8">
        <v>7</v>
      </c>
      <c r="E8">
        <v>7</v>
      </c>
      <c r="F8">
        <v>7</v>
      </c>
    </row>
    <row r="9" spans="1:6">
      <c r="A9" s="34">
        <v>44510</v>
      </c>
      <c r="C9">
        <v>8</v>
      </c>
      <c r="E9">
        <v>8</v>
      </c>
      <c r="F9">
        <v>8</v>
      </c>
    </row>
    <row r="10" spans="1:6" ht="15.75" customHeight="1">
      <c r="A10" s="34">
        <v>44510</v>
      </c>
      <c r="C10">
        <v>9</v>
      </c>
      <c r="E10">
        <v>9</v>
      </c>
      <c r="F10">
        <v>9</v>
      </c>
    </row>
    <row r="11" spans="1:6">
      <c r="A11" s="34">
        <v>43868</v>
      </c>
      <c r="C11" t="s">
        <v>73</v>
      </c>
      <c r="E11" t="s">
        <v>74</v>
      </c>
      <c r="F11" t="s">
        <v>75</v>
      </c>
    </row>
    <row r="12" spans="1:6">
      <c r="A12" s="34">
        <v>43868</v>
      </c>
      <c r="C12" t="s">
        <v>76</v>
      </c>
      <c r="E12" t="s">
        <v>77</v>
      </c>
      <c r="F12" t="s">
        <v>78</v>
      </c>
    </row>
    <row r="13" spans="1:6">
      <c r="A13" s="34">
        <v>43867</v>
      </c>
      <c r="C13" t="s">
        <v>79</v>
      </c>
      <c r="E13" t="s">
        <v>80</v>
      </c>
      <c r="F13" t="s">
        <v>81</v>
      </c>
    </row>
    <row r="14" spans="1:6">
      <c r="A14" s="34">
        <v>43868</v>
      </c>
      <c r="C14" t="s">
        <v>82</v>
      </c>
      <c r="E14" t="s">
        <v>83</v>
      </c>
      <c r="F14" t="s">
        <v>84</v>
      </c>
    </row>
    <row r="15" spans="1:6">
      <c r="A15" s="34">
        <v>43868</v>
      </c>
      <c r="C15" t="s">
        <v>85</v>
      </c>
      <c r="E15" t="s">
        <v>86</v>
      </c>
      <c r="F15" t="s">
        <v>87</v>
      </c>
    </row>
    <row r="16" spans="1:6">
      <c r="A16" s="34">
        <v>43392</v>
      </c>
      <c r="C16" t="s">
        <v>88</v>
      </c>
      <c r="E16" t="s">
        <v>88</v>
      </c>
      <c r="F16" t="s">
        <v>89</v>
      </c>
    </row>
    <row r="17" spans="1:6">
      <c r="A17" s="34">
        <v>44512</v>
      </c>
      <c r="C17" t="s">
        <v>585</v>
      </c>
      <c r="F17" t="s">
        <v>586</v>
      </c>
    </row>
    <row r="18" spans="1:6">
      <c r="A18" s="34">
        <v>44018</v>
      </c>
      <c r="C18" t="s">
        <v>90</v>
      </c>
      <c r="E18" t="s">
        <v>91</v>
      </c>
      <c r="F18" t="s">
        <v>92</v>
      </c>
    </row>
    <row r="19" spans="1:6">
      <c r="A19" s="34">
        <v>44199</v>
      </c>
      <c r="C19" t="s">
        <v>521</v>
      </c>
      <c r="E19" t="s">
        <v>528</v>
      </c>
      <c r="F19" t="s">
        <v>179</v>
      </c>
    </row>
    <row r="20" spans="1:6">
      <c r="A20" s="34">
        <v>44199</v>
      </c>
      <c r="C20" t="s">
        <v>522</v>
      </c>
      <c r="E20" t="s">
        <v>183</v>
      </c>
      <c r="F20" t="s">
        <v>184</v>
      </c>
    </row>
    <row r="21" spans="1:6">
      <c r="A21" s="34">
        <v>44199</v>
      </c>
      <c r="C21" t="s">
        <v>523</v>
      </c>
      <c r="E21" t="s">
        <v>523</v>
      </c>
      <c r="F21" t="s">
        <v>529</v>
      </c>
    </row>
    <row r="22" spans="1:6">
      <c r="A22" s="34">
        <v>43724</v>
      </c>
      <c r="C22" t="s">
        <v>93</v>
      </c>
      <c r="D22" t="s">
        <v>94</v>
      </c>
      <c r="E22" t="s">
        <v>93</v>
      </c>
      <c r="F22" t="s">
        <v>95</v>
      </c>
    </row>
    <row r="23" spans="1:6">
      <c r="A23" s="34">
        <v>44082</v>
      </c>
      <c r="C23" t="s">
        <v>97</v>
      </c>
      <c r="E23" t="s">
        <v>98</v>
      </c>
      <c r="F23" t="s">
        <v>99</v>
      </c>
    </row>
    <row r="24" spans="1:6">
      <c r="A24" s="34">
        <v>44082</v>
      </c>
      <c r="C24" t="s">
        <v>100</v>
      </c>
      <c r="E24" t="s">
        <v>101</v>
      </c>
      <c r="F24" t="s">
        <v>102</v>
      </c>
    </row>
    <row r="25" spans="1:6">
      <c r="A25" s="34">
        <v>44040</v>
      </c>
      <c r="C25" t="s">
        <v>103</v>
      </c>
      <c r="E25" t="s">
        <v>103</v>
      </c>
      <c r="F25" t="s">
        <v>104</v>
      </c>
    </row>
    <row r="26" spans="1:6">
      <c r="A26" s="34">
        <v>44054</v>
      </c>
      <c r="C26" t="s">
        <v>105</v>
      </c>
      <c r="E26" t="s">
        <v>106</v>
      </c>
      <c r="F26" t="s">
        <v>107</v>
      </c>
    </row>
    <row r="27" spans="1:6">
      <c r="A27" s="34">
        <v>44012</v>
      </c>
      <c r="C27" t="s">
        <v>108</v>
      </c>
      <c r="E27" t="s">
        <v>109</v>
      </c>
      <c r="F27" t="s">
        <v>110</v>
      </c>
    </row>
    <row r="28" spans="1:6">
      <c r="A28" s="34">
        <v>44049</v>
      </c>
      <c r="C28" t="s">
        <v>111</v>
      </c>
      <c r="E28" t="s">
        <v>112</v>
      </c>
      <c r="F28" t="s">
        <v>113</v>
      </c>
    </row>
    <row r="29" spans="1:6">
      <c r="A29" s="34">
        <v>43719</v>
      </c>
      <c r="C29" t="s">
        <v>114</v>
      </c>
      <c r="D29" t="s">
        <v>115</v>
      </c>
      <c r="E29" t="s">
        <v>116</v>
      </c>
      <c r="F29" t="s">
        <v>117</v>
      </c>
    </row>
    <row r="30" spans="1:6">
      <c r="A30" s="34">
        <v>43721</v>
      </c>
      <c r="C30" t="s">
        <v>118</v>
      </c>
      <c r="E30" t="s">
        <v>119</v>
      </c>
      <c r="F30" t="s">
        <v>120</v>
      </c>
    </row>
    <row r="31" spans="1:6">
      <c r="C31" s="40"/>
    </row>
    <row r="156" spans="6:6">
      <c r="F156" s="38"/>
    </row>
    <row r="301" spans="5:5">
      <c r="E301" s="39"/>
    </row>
    <row r="416" spans="1:6">
      <c r="A416" s="37"/>
      <c r="B416" s="32"/>
      <c r="C416" s="32"/>
      <c r="D416" s="32"/>
      <c r="E416" s="32"/>
      <c r="F416" s="32"/>
    </row>
    <row r="463" spans="6:6">
      <c r="F463" s="38"/>
    </row>
    <row r="487" spans="3:5">
      <c r="E487" s="39"/>
    </row>
    <row r="494" spans="3:5">
      <c r="C494" s="40"/>
    </row>
    <row r="508" spans="3:3">
      <c r="C508" s="40"/>
    </row>
    <row r="522" spans="5:5">
      <c r="E522" s="39"/>
    </row>
    <row r="606" spans="5:5">
      <c r="E606" s="38"/>
    </row>
    <row r="607" spans="5:5">
      <c r="E607" s="39"/>
    </row>
    <row r="608" spans="5:5">
      <c r="E608" s="39"/>
    </row>
    <row r="669" spans="5:5">
      <c r="E669" s="39"/>
    </row>
    <row r="676" spans="5:6">
      <c r="E676" s="39"/>
    </row>
    <row r="677" spans="5:6">
      <c r="E677" s="39"/>
      <c r="F677" s="38"/>
    </row>
    <row r="686" spans="5:6">
      <c r="E686" s="39"/>
      <c r="F686" s="38"/>
    </row>
    <row r="707" spans="3:3">
      <c r="C707" s="40"/>
    </row>
    <row r="744" spans="6:6">
      <c r="F744" s="38"/>
    </row>
    <row r="917" spans="6:6">
      <c r="F917" s="38"/>
    </row>
    <row r="1039" spans="3:6">
      <c r="C1039" s="32"/>
      <c r="D1039" s="32"/>
      <c r="E1039" s="32"/>
      <c r="F1039" s="32"/>
    </row>
    <row r="1056" spans="1:6">
      <c r="A1056" s="35"/>
      <c r="B1056" s="32"/>
      <c r="C1056" s="32"/>
      <c r="D1056" s="32"/>
      <c r="E1056" s="32"/>
      <c r="F1056" s="32"/>
    </row>
    <row r="1132" spans="3:3">
      <c r="C1132" s="40"/>
    </row>
    <row r="1217" spans="3:3">
      <c r="C1217" s="40"/>
    </row>
    <row r="1264" spans="3:3">
      <c r="C1264" s="40"/>
    </row>
    <row r="1265" spans="3:3">
      <c r="C1265" s="40"/>
    </row>
    <row r="1285" spans="5:5">
      <c r="E1285" s="38"/>
    </row>
    <row r="1364" spans="5:5">
      <c r="E1364" s="39"/>
    </row>
    <row r="1417" spans="3:3">
      <c r="C1417" s="40"/>
    </row>
    <row r="1418" spans="3:3">
      <c r="C1418" s="40"/>
    </row>
    <row r="1419" spans="3:3">
      <c r="C1419" s="40"/>
    </row>
    <row r="1420" spans="3:3">
      <c r="C1420" s="40"/>
    </row>
    <row r="1559" spans="6:6">
      <c r="F1559" s="38"/>
    </row>
    <row r="1601" spans="3:6">
      <c r="C1601" s="32"/>
      <c r="D1601" s="32"/>
      <c r="E1601" s="32"/>
      <c r="F1601" s="32"/>
    </row>
    <row r="1649" spans="6:6">
      <c r="F1649" s="38"/>
    </row>
    <row r="1671" spans="3:6">
      <c r="C1671" s="40"/>
    </row>
    <row r="1676" spans="3:6">
      <c r="E1676" s="39"/>
      <c r="F1676" s="38"/>
    </row>
    <row r="1678" spans="3:6">
      <c r="E1678" s="38"/>
    </row>
    <row r="1689" spans="3:3">
      <c r="C1689" s="40"/>
    </row>
    <row r="1697" spans="3:3">
      <c r="C1697" s="40"/>
    </row>
    <row r="1753" spans="5:5">
      <c r="E1753" s="39"/>
    </row>
    <row r="1808" spans="3:3">
      <c r="C1808" s="40"/>
    </row>
    <row r="1809" spans="3:3">
      <c r="C1809" s="40"/>
    </row>
    <row r="1976" spans="5:5">
      <c r="E1976" s="39"/>
    </row>
    <row r="1987" spans="1:6">
      <c r="A1987" s="42"/>
      <c r="B1987" s="43"/>
      <c r="C1987" s="44"/>
      <c r="D1987" s="5"/>
      <c r="E1987" s="3"/>
      <c r="F1987" s="3"/>
    </row>
    <row r="1992" spans="1:6">
      <c r="E1992" s="39"/>
    </row>
    <row r="1993" spans="1:6">
      <c r="E1993" s="38"/>
      <c r="F1993" s="38"/>
    </row>
    <row r="1999" spans="1:6">
      <c r="F1999" s="38"/>
    </row>
    <row r="2007" spans="3:6">
      <c r="C2007" s="40"/>
    </row>
    <row r="2011" spans="3:6">
      <c r="C2011" s="40"/>
      <c r="F2011" s="38"/>
    </row>
    <row r="2032" spans="6:6">
      <c r="F2032" s="38"/>
    </row>
  </sheetData>
  <conditionalFormatting sqref="A2031">
    <cfRule type="duplicateValues" dxfId="28" priority="5" stopIfTrue="1"/>
  </conditionalFormatting>
  <conditionalFormatting sqref="C14">
    <cfRule type="duplicateValues" dxfId="27" priority="6" stopIfTrue="1"/>
    <cfRule type="duplicateValues" dxfId="26" priority="7" stopIfTrue="1"/>
  </conditionalFormatting>
  <conditionalFormatting sqref="C1415">
    <cfRule type="duplicateValues" dxfId="25" priority="8" stopIfTrue="1"/>
  </conditionalFormatting>
  <conditionalFormatting sqref="C1416">
    <cfRule type="duplicateValues" dxfId="24" priority="9" stopIfTrue="1"/>
  </conditionalFormatting>
  <conditionalFormatting sqref="C1813:C1817">
    <cfRule type="duplicateValues" dxfId="23" priority="26" stopIfTrue="1"/>
  </conditionalFormatting>
  <conditionalFormatting sqref="C1853">
    <cfRule type="duplicateValues" dxfId="22" priority="24"/>
  </conditionalFormatting>
  <conditionalFormatting sqref="C1866:C1874 C1854:C1864 C1818:C1852">
    <cfRule type="duplicateValues" dxfId="21" priority="25"/>
  </conditionalFormatting>
  <conditionalFormatting sqref="C1875">
    <cfRule type="duplicateValues" dxfId="20" priority="23" stopIfTrue="1"/>
  </conditionalFormatting>
  <conditionalFormatting sqref="C1876:C1877">
    <cfRule type="duplicateValues" dxfId="19" priority="21" stopIfTrue="1"/>
    <cfRule type="duplicateValues" dxfId="18" priority="22" stopIfTrue="1"/>
  </conditionalFormatting>
  <conditionalFormatting sqref="C1983:C1989 C1991:C2005 C2007:C2014 C2016 C2018:C2027 C1:C13 C1417:C1981 C15:C1414 C2046 C2029:C2030 C2049:C1048576">
    <cfRule type="duplicateValues" dxfId="17" priority="48" stopIfTrue="1"/>
  </conditionalFormatting>
  <conditionalFormatting sqref="C1990">
    <cfRule type="duplicateValues" dxfId="16" priority="14" stopIfTrue="1"/>
  </conditionalFormatting>
  <conditionalFormatting sqref="C2006">
    <cfRule type="duplicateValues" dxfId="15" priority="12" stopIfTrue="1"/>
  </conditionalFormatting>
  <conditionalFormatting sqref="C2017">
    <cfRule type="duplicateValues" dxfId="14" priority="10" stopIfTrue="1"/>
  </conditionalFormatting>
  <conditionalFormatting sqref="C2028">
    <cfRule type="duplicateValues" dxfId="13" priority="4" stopIfTrue="1"/>
  </conditionalFormatting>
  <conditionalFormatting sqref="C2047">
    <cfRule type="duplicateValues" dxfId="12" priority="2"/>
    <cfRule type="duplicateValues" dxfId="11" priority="3" stopIfTrue="1"/>
  </conditionalFormatting>
  <conditionalFormatting sqref="C2048">
    <cfRule type="duplicateValues" dxfId="10" priority="1" stopIfTrue="1"/>
  </conditionalFormatting>
  <conditionalFormatting sqref="E1882">
    <cfRule type="duplicateValues" dxfId="9" priority="20" stopIfTrue="1"/>
  </conditionalFormatting>
  <conditionalFormatting sqref="E1884">
    <cfRule type="duplicateValues" dxfId="8" priority="19" stopIfTrue="1"/>
  </conditionalFormatting>
  <conditionalFormatting sqref="E1885">
    <cfRule type="duplicateValues" dxfId="7" priority="18" stopIfTrue="1"/>
  </conditionalFormatting>
  <conditionalFormatting sqref="E1952">
    <cfRule type="duplicateValues" dxfId="6" priority="16" stopIfTrue="1"/>
  </conditionalFormatting>
  <conditionalFormatting sqref="E1987">
    <cfRule type="duplicateValues" dxfId="5" priority="15" stopIfTrue="1"/>
  </conditionalFormatting>
  <conditionalFormatting sqref="E1999">
    <cfRule type="duplicateValues" dxfId="4" priority="13" stopIfTrue="1"/>
  </conditionalFormatting>
  <conditionalFormatting sqref="E2011">
    <cfRule type="duplicateValues" dxfId="3" priority="11" stopIfTrue="1"/>
  </conditionalFormatting>
  <conditionalFormatting sqref="E1897:F1905">
    <cfRule type="duplicateValues" dxfId="2" priority="17" stopIfTrue="1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4" tint="0.59999389629810485"/>
  </sheetPr>
  <dimension ref="A1:B47"/>
  <sheetViews>
    <sheetView workbookViewId="0">
      <selection activeCell="A25" sqref="A1:A1048576"/>
    </sheetView>
  </sheetViews>
  <sheetFormatPr baseColWidth="10" defaultRowHeight="14.4"/>
  <cols>
    <col min="1" max="1" width="14.6640625" customWidth="1"/>
    <col min="2" max="2" width="15.5546875" customWidth="1"/>
  </cols>
  <sheetData>
    <row r="1" spans="1:2" ht="15.6">
      <c r="A1" s="2" t="s">
        <v>0</v>
      </c>
      <c r="B1" s="2" t="s">
        <v>1</v>
      </c>
    </row>
    <row r="2" spans="1:2">
      <c r="A2" t="s">
        <v>2</v>
      </c>
      <c r="B2" t="s">
        <v>2</v>
      </c>
    </row>
    <row r="3" spans="1:2">
      <c r="A3" t="s">
        <v>3</v>
      </c>
      <c r="B3" t="s">
        <v>3</v>
      </c>
    </row>
    <row r="4" spans="1:2">
      <c r="A4" t="s">
        <v>4</v>
      </c>
      <c r="B4" t="s">
        <v>5</v>
      </c>
    </row>
    <row r="5" spans="1:2">
      <c r="A5" t="s">
        <v>579</v>
      </c>
      <c r="B5" t="s">
        <v>16</v>
      </c>
    </row>
    <row r="6" spans="1:2">
      <c r="A6" t="s">
        <v>6</v>
      </c>
      <c r="B6" t="s">
        <v>7</v>
      </c>
    </row>
    <row r="7" spans="1:2">
      <c r="A7" t="s">
        <v>9</v>
      </c>
      <c r="B7" t="s">
        <v>7</v>
      </c>
    </row>
    <row r="8" spans="1:2">
      <c r="A8" t="s">
        <v>8</v>
      </c>
      <c r="B8" t="s">
        <v>7</v>
      </c>
    </row>
    <row r="9" spans="1:2">
      <c r="A9" t="s">
        <v>10</v>
      </c>
      <c r="B9" t="s">
        <v>11</v>
      </c>
    </row>
    <row r="10" spans="1:2">
      <c r="A10" t="s">
        <v>12</v>
      </c>
      <c r="B10" t="s">
        <v>5</v>
      </c>
    </row>
    <row r="11" spans="1:2">
      <c r="A11" t="s">
        <v>13</v>
      </c>
      <c r="B11" t="s">
        <v>14</v>
      </c>
    </row>
    <row r="12" spans="1:2">
      <c r="A12" t="s">
        <v>15</v>
      </c>
      <c r="B12" t="s">
        <v>16</v>
      </c>
    </row>
    <row r="13" spans="1:2">
      <c r="A13" t="s">
        <v>17</v>
      </c>
      <c r="B13" t="s">
        <v>18</v>
      </c>
    </row>
    <row r="14" spans="1:2">
      <c r="A14" t="s">
        <v>19</v>
      </c>
      <c r="B14" t="s">
        <v>20</v>
      </c>
    </row>
    <row r="15" spans="1:2">
      <c r="A15" t="s">
        <v>21</v>
      </c>
      <c r="B15" t="s">
        <v>22</v>
      </c>
    </row>
    <row r="16" spans="1:2">
      <c r="A16" t="s">
        <v>23</v>
      </c>
      <c r="B16" t="s">
        <v>24</v>
      </c>
    </row>
    <row r="17" spans="1:2">
      <c r="A17" t="s">
        <v>25</v>
      </c>
      <c r="B17" t="s">
        <v>22</v>
      </c>
    </row>
    <row r="18" spans="1:2">
      <c r="A18" t="s">
        <v>26</v>
      </c>
      <c r="B18" t="s">
        <v>18</v>
      </c>
    </row>
    <row r="19" spans="1:2">
      <c r="A19" t="s">
        <v>27</v>
      </c>
      <c r="B19" t="s">
        <v>18</v>
      </c>
    </row>
    <row r="20" spans="1:2">
      <c r="A20" t="s">
        <v>28</v>
      </c>
      <c r="B20" t="s">
        <v>18</v>
      </c>
    </row>
    <row r="21" spans="1:2">
      <c r="A21" t="s">
        <v>29</v>
      </c>
      <c r="B21" t="s">
        <v>30</v>
      </c>
    </row>
    <row r="22" spans="1:2">
      <c r="A22" t="s">
        <v>31</v>
      </c>
      <c r="B22" t="s">
        <v>32</v>
      </c>
    </row>
    <row r="23" spans="1:2">
      <c r="A23" t="s">
        <v>33</v>
      </c>
      <c r="B23" t="s">
        <v>18</v>
      </c>
    </row>
    <row r="24" spans="1:2">
      <c r="A24" t="s">
        <v>34</v>
      </c>
      <c r="B24" t="s">
        <v>18</v>
      </c>
    </row>
    <row r="25" spans="1:2">
      <c r="A25" t="s">
        <v>583</v>
      </c>
      <c r="B25" t="s">
        <v>584</v>
      </c>
    </row>
    <row r="26" spans="1:2">
      <c r="A26" t="s">
        <v>35</v>
      </c>
      <c r="B26" t="s">
        <v>36</v>
      </c>
    </row>
    <row r="27" spans="1:2">
      <c r="A27" t="s">
        <v>37</v>
      </c>
      <c r="B27" t="s">
        <v>36</v>
      </c>
    </row>
    <row r="28" spans="1:2">
      <c r="A28" t="s">
        <v>38</v>
      </c>
      <c r="B28" t="s">
        <v>39</v>
      </c>
    </row>
    <row r="29" spans="1:2">
      <c r="A29" t="s">
        <v>40</v>
      </c>
      <c r="B29" t="s">
        <v>41</v>
      </c>
    </row>
    <row r="30" spans="1:2">
      <c r="A30" t="s">
        <v>42</v>
      </c>
      <c r="B30" t="s">
        <v>43</v>
      </c>
    </row>
    <row r="31" spans="1:2">
      <c r="A31" t="s">
        <v>44</v>
      </c>
      <c r="B31" t="s">
        <v>45</v>
      </c>
    </row>
    <row r="32" spans="1:2">
      <c r="A32" t="s">
        <v>46</v>
      </c>
      <c r="B32" t="s">
        <v>45</v>
      </c>
    </row>
    <row r="33" spans="1:2">
      <c r="A33" t="s">
        <v>47</v>
      </c>
      <c r="B33" t="s">
        <v>48</v>
      </c>
    </row>
    <row r="34" spans="1:2">
      <c r="A34" t="s">
        <v>582</v>
      </c>
      <c r="B34" t="s">
        <v>48</v>
      </c>
    </row>
    <row r="35" spans="1:2">
      <c r="A35" t="s">
        <v>49</v>
      </c>
      <c r="B35" t="s">
        <v>50</v>
      </c>
    </row>
    <row r="36" spans="1:2">
      <c r="A36" t="s">
        <v>51</v>
      </c>
      <c r="B36" t="s">
        <v>52</v>
      </c>
    </row>
    <row r="37" spans="1:2">
      <c r="A37" t="s">
        <v>53</v>
      </c>
      <c r="B37" t="s">
        <v>52</v>
      </c>
    </row>
    <row r="38" spans="1:2">
      <c r="A38" t="s">
        <v>54</v>
      </c>
      <c r="B38" t="s">
        <v>52</v>
      </c>
    </row>
    <row r="39" spans="1:2">
      <c r="A39" t="s">
        <v>55</v>
      </c>
      <c r="B39" t="s">
        <v>56</v>
      </c>
    </row>
    <row r="40" spans="1:2">
      <c r="A40" t="s">
        <v>57</v>
      </c>
      <c r="B40" t="s">
        <v>56</v>
      </c>
    </row>
    <row r="41" spans="1:2">
      <c r="A41" t="s">
        <v>58</v>
      </c>
      <c r="B41" t="s">
        <v>56</v>
      </c>
    </row>
    <row r="42" spans="1:2">
      <c r="A42" t="s">
        <v>59</v>
      </c>
      <c r="B42" t="s">
        <v>60</v>
      </c>
    </row>
    <row r="43" spans="1:2">
      <c r="A43" t="s">
        <v>61</v>
      </c>
      <c r="B43" t="s">
        <v>62</v>
      </c>
    </row>
    <row r="44" spans="1:2">
      <c r="A44" t="s">
        <v>580</v>
      </c>
      <c r="B44" t="s">
        <v>581</v>
      </c>
    </row>
    <row r="45" spans="1:2">
      <c r="A45" t="s">
        <v>63</v>
      </c>
      <c r="B45" t="s">
        <v>64</v>
      </c>
    </row>
    <row r="46" spans="1:2">
      <c r="A46" t="s">
        <v>65</v>
      </c>
      <c r="B46" t="s">
        <v>64</v>
      </c>
    </row>
    <row r="47" spans="1:2">
      <c r="A47" t="s">
        <v>66</v>
      </c>
      <c r="B47" t="s">
        <v>64</v>
      </c>
    </row>
  </sheetData>
  <autoFilter ref="A1:B1" xr:uid="{00000000-0009-0000-0000-000004000000}">
    <sortState xmlns:xlrd2="http://schemas.microsoft.com/office/spreadsheetml/2017/richdata2" ref="A2:B47">
      <sortCondition ref="A1"/>
    </sortState>
  </autoFilter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39997558519241921"/>
  </sheetPr>
  <dimension ref="A1:F77"/>
  <sheetViews>
    <sheetView topLeftCell="A47" workbookViewId="0">
      <selection activeCell="C49" sqref="C49"/>
    </sheetView>
  </sheetViews>
  <sheetFormatPr baseColWidth="10" defaultRowHeight="14.4"/>
  <cols>
    <col min="1" max="1" width="62" bestFit="1" customWidth="1"/>
    <col min="2" max="2" width="13.44140625" bestFit="1" customWidth="1"/>
    <col min="4" max="4" width="55.6640625" bestFit="1" customWidth="1"/>
    <col min="5" max="5" width="17.33203125" bestFit="1" customWidth="1"/>
    <col min="6" max="6" width="16.44140625" bestFit="1" customWidth="1"/>
  </cols>
  <sheetData>
    <row r="1" spans="1:6" s="15" customFormat="1" ht="21" customHeight="1">
      <c r="A1" s="14" t="s">
        <v>501</v>
      </c>
      <c r="B1" s="15" t="s">
        <v>500</v>
      </c>
      <c r="C1" s="14" t="s">
        <v>180</v>
      </c>
      <c r="D1" s="14" t="s">
        <v>497</v>
      </c>
      <c r="E1" s="15" t="s">
        <v>499</v>
      </c>
      <c r="F1" s="15" t="s">
        <v>432</v>
      </c>
    </row>
    <row r="2" spans="1:6">
      <c r="A2" t="s">
        <v>2</v>
      </c>
      <c r="B2" t="s">
        <v>121</v>
      </c>
      <c r="C2" t="s">
        <v>191</v>
      </c>
      <c r="D2" t="s">
        <v>192</v>
      </c>
      <c r="E2" t="s">
        <v>193</v>
      </c>
    </row>
    <row r="3" spans="1:6">
      <c r="A3" t="s">
        <v>194</v>
      </c>
      <c r="B3" t="s">
        <v>195</v>
      </c>
      <c r="C3" t="s">
        <v>191</v>
      </c>
      <c r="D3" t="s">
        <v>196</v>
      </c>
    </row>
    <row r="4" spans="1:6">
      <c r="A4" t="s">
        <v>197</v>
      </c>
      <c r="B4" t="s">
        <v>198</v>
      </c>
      <c r="C4" t="s">
        <v>199</v>
      </c>
      <c r="D4" t="s">
        <v>200</v>
      </c>
      <c r="E4" t="s">
        <v>123</v>
      </c>
    </row>
    <row r="5" spans="1:6">
      <c r="A5" t="s">
        <v>201</v>
      </c>
      <c r="B5" t="s">
        <v>202</v>
      </c>
      <c r="C5" t="s">
        <v>203</v>
      </c>
      <c r="D5" t="s">
        <v>204</v>
      </c>
      <c r="E5" t="s">
        <v>205</v>
      </c>
    </row>
    <row r="6" spans="1:6">
      <c r="A6" t="s">
        <v>206</v>
      </c>
      <c r="B6" t="s">
        <v>207</v>
      </c>
      <c r="C6" t="s">
        <v>203</v>
      </c>
      <c r="D6" t="s">
        <v>208</v>
      </c>
      <c r="E6" t="s">
        <v>209</v>
      </c>
    </row>
    <row r="7" spans="1:6">
      <c r="A7" t="s">
        <v>210</v>
      </c>
      <c r="B7" t="s">
        <v>181</v>
      </c>
      <c r="C7" t="s">
        <v>211</v>
      </c>
      <c r="D7" t="s">
        <v>212</v>
      </c>
      <c r="E7" t="s">
        <v>130</v>
      </c>
    </row>
    <row r="8" spans="1:6">
      <c r="A8" t="s">
        <v>213</v>
      </c>
      <c r="B8" t="s">
        <v>214</v>
      </c>
      <c r="C8" t="s">
        <v>215</v>
      </c>
      <c r="D8" t="s">
        <v>216</v>
      </c>
      <c r="E8" t="s">
        <v>131</v>
      </c>
    </row>
    <row r="9" spans="1:6">
      <c r="A9" t="s">
        <v>217</v>
      </c>
      <c r="B9" t="s">
        <v>218</v>
      </c>
      <c r="C9" t="s">
        <v>219</v>
      </c>
      <c r="D9" t="s">
        <v>220</v>
      </c>
      <c r="E9" t="s">
        <v>221</v>
      </c>
    </row>
    <row r="10" spans="1:6">
      <c r="A10" t="s">
        <v>222</v>
      </c>
      <c r="B10" t="s">
        <v>223</v>
      </c>
      <c r="C10" t="s">
        <v>211</v>
      </c>
      <c r="D10" t="s">
        <v>224</v>
      </c>
      <c r="E10" t="s">
        <v>225</v>
      </c>
    </row>
    <row r="11" spans="1:6">
      <c r="A11" t="s">
        <v>226</v>
      </c>
      <c r="B11" t="s">
        <v>227</v>
      </c>
      <c r="C11" t="s">
        <v>199</v>
      </c>
      <c r="D11" t="s">
        <v>228</v>
      </c>
      <c r="E11" t="s">
        <v>229</v>
      </c>
    </row>
    <row r="12" spans="1:6">
      <c r="A12" t="s">
        <v>556</v>
      </c>
      <c r="B12" t="s">
        <v>557</v>
      </c>
      <c r="C12" t="s">
        <v>294</v>
      </c>
      <c r="D12" s="3"/>
      <c r="E12" t="s">
        <v>558</v>
      </c>
    </row>
    <row r="13" spans="1:6">
      <c r="A13" t="s">
        <v>132</v>
      </c>
      <c r="B13" t="s">
        <v>230</v>
      </c>
      <c r="C13" t="s">
        <v>231</v>
      </c>
      <c r="D13" s="3" t="s">
        <v>133</v>
      </c>
      <c r="E13" t="s">
        <v>134</v>
      </c>
    </row>
    <row r="14" spans="1:6">
      <c r="A14" t="s">
        <v>232</v>
      </c>
      <c r="B14" t="s">
        <v>233</v>
      </c>
      <c r="C14" t="s">
        <v>234</v>
      </c>
      <c r="D14" s="3" t="s">
        <v>235</v>
      </c>
      <c r="E14" s="4" t="s">
        <v>551</v>
      </c>
    </row>
    <row r="15" spans="1:6">
      <c r="A15" t="s">
        <v>236</v>
      </c>
      <c r="B15" t="s">
        <v>237</v>
      </c>
      <c r="C15" t="s">
        <v>211</v>
      </c>
      <c r="D15" s="3" t="s">
        <v>140</v>
      </c>
      <c r="E15" s="4" t="s">
        <v>141</v>
      </c>
    </row>
    <row r="16" spans="1:6">
      <c r="A16" t="s">
        <v>238</v>
      </c>
      <c r="B16" t="s">
        <v>239</v>
      </c>
      <c r="C16" t="s">
        <v>203</v>
      </c>
      <c r="D16" s="3" t="s">
        <v>240</v>
      </c>
      <c r="E16" t="s">
        <v>241</v>
      </c>
    </row>
    <row r="17" spans="1:5">
      <c r="A17" t="s">
        <v>242</v>
      </c>
      <c r="B17" t="s">
        <v>243</v>
      </c>
      <c r="C17" t="s">
        <v>191</v>
      </c>
      <c r="D17" s="3" t="s">
        <v>244</v>
      </c>
    </row>
    <row r="18" spans="1:5">
      <c r="A18" t="s">
        <v>245</v>
      </c>
      <c r="B18" t="s">
        <v>246</v>
      </c>
      <c r="C18" t="s">
        <v>215</v>
      </c>
      <c r="D18" t="s">
        <v>247</v>
      </c>
      <c r="E18" t="s">
        <v>144</v>
      </c>
    </row>
    <row r="19" spans="1:5">
      <c r="A19" t="s">
        <v>146</v>
      </c>
      <c r="B19" t="s">
        <v>248</v>
      </c>
      <c r="C19" t="s">
        <v>249</v>
      </c>
      <c r="D19" t="s">
        <v>250</v>
      </c>
      <c r="E19" t="s">
        <v>251</v>
      </c>
    </row>
    <row r="20" spans="1:5">
      <c r="A20" t="s">
        <v>252</v>
      </c>
      <c r="B20" t="s">
        <v>253</v>
      </c>
      <c r="C20" t="s">
        <v>215</v>
      </c>
      <c r="D20" t="s">
        <v>254</v>
      </c>
      <c r="E20" t="s">
        <v>147</v>
      </c>
    </row>
    <row r="21" spans="1:5">
      <c r="A21" t="s">
        <v>150</v>
      </c>
      <c r="B21" t="s">
        <v>255</v>
      </c>
      <c r="C21" t="s">
        <v>215</v>
      </c>
      <c r="D21" t="s">
        <v>151</v>
      </c>
      <c r="E21" t="s">
        <v>152</v>
      </c>
    </row>
    <row r="22" spans="1:5">
      <c r="A22" t="s">
        <v>256</v>
      </c>
      <c r="B22" t="s">
        <v>257</v>
      </c>
      <c r="C22" t="s">
        <v>215</v>
      </c>
      <c r="D22" t="s">
        <v>258</v>
      </c>
      <c r="E22" t="s">
        <v>259</v>
      </c>
    </row>
    <row r="23" spans="1:5">
      <c r="A23" t="s">
        <v>260</v>
      </c>
      <c r="B23" t="s">
        <v>261</v>
      </c>
      <c r="C23" t="s">
        <v>199</v>
      </c>
      <c r="D23" t="s">
        <v>262</v>
      </c>
      <c r="E23" t="s">
        <v>263</v>
      </c>
    </row>
    <row r="24" spans="1:5">
      <c r="A24" t="s">
        <v>264</v>
      </c>
      <c r="B24" t="s">
        <v>265</v>
      </c>
      <c r="C24" t="s">
        <v>266</v>
      </c>
      <c r="D24" t="s">
        <v>153</v>
      </c>
      <c r="E24" t="s">
        <v>267</v>
      </c>
    </row>
    <row r="25" spans="1:5">
      <c r="A25" t="s">
        <v>268</v>
      </c>
      <c r="B25" t="s">
        <v>269</v>
      </c>
      <c r="C25" t="s">
        <v>270</v>
      </c>
      <c r="D25" t="s">
        <v>271</v>
      </c>
      <c r="E25" t="s">
        <v>149</v>
      </c>
    </row>
    <row r="26" spans="1:5">
      <c r="A26" t="s">
        <v>561</v>
      </c>
      <c r="B26" t="s">
        <v>562</v>
      </c>
      <c r="C26" t="s">
        <v>270</v>
      </c>
      <c r="D26" s="3" t="s">
        <v>563</v>
      </c>
      <c r="E26" t="s">
        <v>154</v>
      </c>
    </row>
    <row r="27" spans="1:5">
      <c r="A27" t="s">
        <v>272</v>
      </c>
      <c r="B27" t="s">
        <v>273</v>
      </c>
      <c r="C27" t="s">
        <v>234</v>
      </c>
      <c r="D27" t="s">
        <v>274</v>
      </c>
      <c r="E27" t="s">
        <v>275</v>
      </c>
    </row>
    <row r="28" spans="1:5">
      <c r="A28" t="s">
        <v>276</v>
      </c>
      <c r="B28" t="s">
        <v>277</v>
      </c>
      <c r="C28" t="s">
        <v>231</v>
      </c>
      <c r="D28" t="s">
        <v>278</v>
      </c>
      <c r="E28" t="s">
        <v>279</v>
      </c>
    </row>
    <row r="29" spans="1:5">
      <c r="A29" t="s">
        <v>280</v>
      </c>
      <c r="B29" t="s">
        <v>281</v>
      </c>
      <c r="C29" t="s">
        <v>282</v>
      </c>
      <c r="D29" t="s">
        <v>283</v>
      </c>
      <c r="E29" t="s">
        <v>284</v>
      </c>
    </row>
    <row r="30" spans="1:5">
      <c r="A30" t="s">
        <v>157</v>
      </c>
      <c r="B30" t="s">
        <v>285</v>
      </c>
      <c r="C30" t="s">
        <v>203</v>
      </c>
      <c r="D30" t="s">
        <v>158</v>
      </c>
      <c r="E30" t="s">
        <v>158</v>
      </c>
    </row>
    <row r="31" spans="1:5">
      <c r="A31" t="s">
        <v>286</v>
      </c>
      <c r="B31" t="s">
        <v>287</v>
      </c>
      <c r="C31" t="s">
        <v>203</v>
      </c>
      <c r="D31" t="s">
        <v>288</v>
      </c>
      <c r="E31" t="s">
        <v>289</v>
      </c>
    </row>
    <row r="32" spans="1:5">
      <c r="A32" t="s">
        <v>290</v>
      </c>
      <c r="B32" t="s">
        <v>291</v>
      </c>
      <c r="C32" t="s">
        <v>215</v>
      </c>
      <c r="D32" t="s">
        <v>290</v>
      </c>
    </row>
    <row r="33" spans="1:6">
      <c r="A33" t="s">
        <v>292</v>
      </c>
      <c r="B33" t="s">
        <v>293</v>
      </c>
      <c r="C33" t="s">
        <v>294</v>
      </c>
      <c r="D33" t="s">
        <v>295</v>
      </c>
      <c r="E33" t="s">
        <v>296</v>
      </c>
      <c r="F33" t="s">
        <v>297</v>
      </c>
    </row>
    <row r="34" spans="1:6">
      <c r="A34" t="s">
        <v>298</v>
      </c>
      <c r="B34" t="s">
        <v>299</v>
      </c>
      <c r="C34" t="s">
        <v>203</v>
      </c>
      <c r="D34" t="s">
        <v>300</v>
      </c>
      <c r="E34" t="s">
        <v>301</v>
      </c>
    </row>
    <row r="35" spans="1:6">
      <c r="A35" t="s">
        <v>559</v>
      </c>
      <c r="B35" t="s">
        <v>548</v>
      </c>
      <c r="C35" t="s">
        <v>231</v>
      </c>
      <c r="D35" s="3" t="s">
        <v>560</v>
      </c>
      <c r="E35" t="s">
        <v>547</v>
      </c>
    </row>
    <row r="36" spans="1:6">
      <c r="A36" t="s">
        <v>302</v>
      </c>
      <c r="B36" t="s">
        <v>303</v>
      </c>
      <c r="C36" t="s">
        <v>203</v>
      </c>
      <c r="D36" t="s">
        <v>304</v>
      </c>
      <c r="E36" t="s">
        <v>305</v>
      </c>
    </row>
    <row r="37" spans="1:6">
      <c r="A37" t="s">
        <v>306</v>
      </c>
      <c r="B37" t="s">
        <v>307</v>
      </c>
      <c r="C37" t="s">
        <v>191</v>
      </c>
      <c r="D37" t="s">
        <v>308</v>
      </c>
      <c r="E37" t="s">
        <v>309</v>
      </c>
    </row>
    <row r="38" spans="1:6">
      <c r="A38" t="s">
        <v>310</v>
      </c>
      <c r="B38" t="s">
        <v>311</v>
      </c>
      <c r="C38" t="s">
        <v>249</v>
      </c>
      <c r="D38" t="s">
        <v>310</v>
      </c>
      <c r="E38" t="s">
        <v>312</v>
      </c>
    </row>
    <row r="39" spans="1:6">
      <c r="A39" t="s">
        <v>313</v>
      </c>
      <c r="B39" t="s">
        <v>314</v>
      </c>
      <c r="C39" t="s">
        <v>249</v>
      </c>
      <c r="D39" t="s">
        <v>315</v>
      </c>
      <c r="E39" t="s">
        <v>316</v>
      </c>
    </row>
    <row r="40" spans="1:6">
      <c r="A40" t="s">
        <v>317</v>
      </c>
      <c r="B40" t="s">
        <v>318</v>
      </c>
      <c r="C40" t="s">
        <v>249</v>
      </c>
      <c r="D40" t="s">
        <v>319</v>
      </c>
      <c r="E40" t="s">
        <v>320</v>
      </c>
    </row>
    <row r="41" spans="1:6">
      <c r="A41" t="s">
        <v>321</v>
      </c>
      <c r="B41" t="s">
        <v>322</v>
      </c>
      <c r="C41" t="s">
        <v>249</v>
      </c>
      <c r="D41" t="s">
        <v>323</v>
      </c>
      <c r="E41" t="s">
        <v>324</v>
      </c>
    </row>
    <row r="42" spans="1:6">
      <c r="A42" t="s">
        <v>325</v>
      </c>
      <c r="B42" t="s">
        <v>326</v>
      </c>
      <c r="C42" t="s">
        <v>215</v>
      </c>
      <c r="D42" t="s">
        <v>327</v>
      </c>
      <c r="E42" t="s">
        <v>167</v>
      </c>
      <c r="F42" t="s">
        <v>328</v>
      </c>
    </row>
    <row r="43" spans="1:6">
      <c r="A43" t="s">
        <v>329</v>
      </c>
      <c r="B43" t="s">
        <v>330</v>
      </c>
      <c r="C43" t="s">
        <v>234</v>
      </c>
      <c r="D43" t="s">
        <v>331</v>
      </c>
      <c r="E43" t="s">
        <v>332</v>
      </c>
    </row>
    <row r="44" spans="1:6">
      <c r="A44" t="s">
        <v>333</v>
      </c>
      <c r="B44" t="s">
        <v>334</v>
      </c>
      <c r="C44" t="s">
        <v>191</v>
      </c>
      <c r="D44" s="3" t="s">
        <v>335</v>
      </c>
    </row>
    <row r="45" spans="1:6">
      <c r="A45" t="s">
        <v>174</v>
      </c>
      <c r="B45" t="s">
        <v>145</v>
      </c>
      <c r="C45" t="s">
        <v>231</v>
      </c>
      <c r="D45" t="s">
        <v>169</v>
      </c>
      <c r="E45" t="s">
        <v>336</v>
      </c>
    </row>
    <row r="46" spans="1:6">
      <c r="A46" t="s">
        <v>337</v>
      </c>
      <c r="B46" t="s">
        <v>338</v>
      </c>
      <c r="C46" t="s">
        <v>231</v>
      </c>
      <c r="D46" t="s">
        <v>339</v>
      </c>
      <c r="E46" t="s">
        <v>340</v>
      </c>
    </row>
    <row r="47" spans="1:6">
      <c r="A47" t="s">
        <v>341</v>
      </c>
      <c r="B47" t="s">
        <v>342</v>
      </c>
      <c r="C47" t="s">
        <v>203</v>
      </c>
      <c r="D47" t="s">
        <v>343</v>
      </c>
      <c r="E47" t="s">
        <v>344</v>
      </c>
    </row>
    <row r="48" spans="1:6">
      <c r="A48" t="s">
        <v>345</v>
      </c>
      <c r="B48" t="s">
        <v>346</v>
      </c>
      <c r="C48" t="s">
        <v>211</v>
      </c>
      <c r="D48" t="s">
        <v>347</v>
      </c>
      <c r="E48" t="s">
        <v>175</v>
      </c>
    </row>
    <row r="49" spans="1:5" ht="15.6">
      <c r="A49" s="36" t="s">
        <v>573</v>
      </c>
      <c r="B49" s="36" t="s">
        <v>574</v>
      </c>
      <c r="C49" t="s">
        <v>575</v>
      </c>
      <c r="D49" t="s">
        <v>576</v>
      </c>
      <c r="E49" s="36" t="s">
        <v>577</v>
      </c>
    </row>
    <row r="50" spans="1:5">
      <c r="A50" t="s">
        <v>348</v>
      </c>
      <c r="B50" t="s">
        <v>349</v>
      </c>
      <c r="C50" t="s">
        <v>231</v>
      </c>
      <c r="D50" t="s">
        <v>350</v>
      </c>
      <c r="E50" t="s">
        <v>351</v>
      </c>
    </row>
    <row r="51" spans="1:5">
      <c r="A51" t="s">
        <v>352</v>
      </c>
      <c r="B51" t="s">
        <v>353</v>
      </c>
      <c r="C51" t="s">
        <v>191</v>
      </c>
      <c r="D51" t="s">
        <v>354</v>
      </c>
      <c r="E51" t="s">
        <v>355</v>
      </c>
    </row>
    <row r="52" spans="1:5">
      <c r="A52" t="s">
        <v>356</v>
      </c>
      <c r="B52" t="s">
        <v>357</v>
      </c>
      <c r="C52" t="s">
        <v>249</v>
      </c>
      <c r="D52" t="s">
        <v>358</v>
      </c>
      <c r="E52" t="s">
        <v>359</v>
      </c>
    </row>
    <row r="53" spans="1:5">
      <c r="A53" t="s">
        <v>360</v>
      </c>
      <c r="B53" t="s">
        <v>361</v>
      </c>
      <c r="C53" t="s">
        <v>191</v>
      </c>
      <c r="D53" t="s">
        <v>362</v>
      </c>
    </row>
    <row r="54" spans="1:5">
      <c r="A54" t="s">
        <v>363</v>
      </c>
      <c r="B54" t="s">
        <v>364</v>
      </c>
      <c r="C54" t="s">
        <v>270</v>
      </c>
      <c r="D54" t="s">
        <v>365</v>
      </c>
      <c r="E54" t="s">
        <v>366</v>
      </c>
    </row>
    <row r="55" spans="1:5">
      <c r="A55" t="s">
        <v>367</v>
      </c>
      <c r="B55" t="s">
        <v>368</v>
      </c>
      <c r="C55" t="s">
        <v>270</v>
      </c>
      <c r="D55" t="s">
        <v>369</v>
      </c>
      <c r="E55" t="s">
        <v>370</v>
      </c>
    </row>
    <row r="56" spans="1:5">
      <c r="A56" t="s">
        <v>176</v>
      </c>
      <c r="B56" t="s">
        <v>371</v>
      </c>
      <c r="C56" t="s">
        <v>270</v>
      </c>
      <c r="D56" t="s">
        <v>176</v>
      </c>
      <c r="E56" t="s">
        <v>176</v>
      </c>
    </row>
    <row r="57" spans="1:5">
      <c r="A57" t="s">
        <v>372</v>
      </c>
      <c r="B57" t="s">
        <v>373</v>
      </c>
      <c r="C57" t="s">
        <v>270</v>
      </c>
      <c r="E57" t="s">
        <v>372</v>
      </c>
    </row>
    <row r="58" spans="1:5">
      <c r="A58" t="s">
        <v>374</v>
      </c>
      <c r="B58" t="s">
        <v>375</v>
      </c>
      <c r="C58" t="s">
        <v>211</v>
      </c>
      <c r="D58" t="s">
        <v>376</v>
      </c>
      <c r="E58" t="s">
        <v>177</v>
      </c>
    </row>
    <row r="59" spans="1:5">
      <c r="A59" t="s">
        <v>377</v>
      </c>
      <c r="B59" t="s">
        <v>178</v>
      </c>
      <c r="C59" t="s">
        <v>211</v>
      </c>
      <c r="D59" s="3" t="s">
        <v>378</v>
      </c>
      <c r="E59" t="s">
        <v>379</v>
      </c>
    </row>
    <row r="60" spans="1:5">
      <c r="A60" t="s">
        <v>380</v>
      </c>
      <c r="B60" t="s">
        <v>381</v>
      </c>
      <c r="C60" t="s">
        <v>211</v>
      </c>
      <c r="D60" t="s">
        <v>382</v>
      </c>
      <c r="E60" t="s">
        <v>172</v>
      </c>
    </row>
    <row r="61" spans="1:5">
      <c r="A61" t="s">
        <v>383</v>
      </c>
      <c r="B61" t="s">
        <v>384</v>
      </c>
      <c r="C61" t="s">
        <v>211</v>
      </c>
      <c r="D61" t="s">
        <v>142</v>
      </c>
      <c r="E61" t="s">
        <v>143</v>
      </c>
    </row>
    <row r="62" spans="1:5">
      <c r="A62" t="s">
        <v>552</v>
      </c>
      <c r="B62" t="s">
        <v>553</v>
      </c>
      <c r="C62" t="s">
        <v>249</v>
      </c>
      <c r="D62" t="s">
        <v>554</v>
      </c>
      <c r="E62" t="s">
        <v>555</v>
      </c>
    </row>
    <row r="63" spans="1:5">
      <c r="A63" t="s">
        <v>385</v>
      </c>
      <c r="B63" t="s">
        <v>386</v>
      </c>
      <c r="C63" t="s">
        <v>231</v>
      </c>
      <c r="D63" t="s">
        <v>387</v>
      </c>
      <c r="E63" t="s">
        <v>388</v>
      </c>
    </row>
    <row r="64" spans="1:5">
      <c r="A64" t="s">
        <v>389</v>
      </c>
      <c r="B64" t="s">
        <v>390</v>
      </c>
      <c r="C64" t="s">
        <v>231</v>
      </c>
      <c r="D64" t="s">
        <v>391</v>
      </c>
      <c r="E64" t="s">
        <v>392</v>
      </c>
    </row>
    <row r="65" spans="1:5">
      <c r="A65" t="s">
        <v>393</v>
      </c>
      <c r="B65" t="s">
        <v>394</v>
      </c>
      <c r="C65" t="s">
        <v>211</v>
      </c>
      <c r="D65" t="s">
        <v>395</v>
      </c>
      <c r="E65" t="s">
        <v>182</v>
      </c>
    </row>
    <row r="66" spans="1:5">
      <c r="A66" t="s">
        <v>396</v>
      </c>
      <c r="B66" t="s">
        <v>397</v>
      </c>
      <c r="C66" t="s">
        <v>294</v>
      </c>
      <c r="D66" t="s">
        <v>398</v>
      </c>
      <c r="E66" t="s">
        <v>399</v>
      </c>
    </row>
    <row r="67" spans="1:5">
      <c r="A67" t="s">
        <v>400</v>
      </c>
      <c r="B67" t="s">
        <v>401</v>
      </c>
      <c r="C67" t="s">
        <v>191</v>
      </c>
      <c r="D67" t="s">
        <v>402</v>
      </c>
      <c r="E67" t="s">
        <v>403</v>
      </c>
    </row>
    <row r="68" spans="1:5">
      <c r="A68" t="s">
        <v>404</v>
      </c>
      <c r="B68" t="s">
        <v>405</v>
      </c>
      <c r="C68" t="s">
        <v>203</v>
      </c>
      <c r="D68" t="s">
        <v>406</v>
      </c>
      <c r="E68" t="s">
        <v>407</v>
      </c>
    </row>
    <row r="69" spans="1:5">
      <c r="A69" t="s">
        <v>408</v>
      </c>
      <c r="B69" t="s">
        <v>409</v>
      </c>
      <c r="C69" t="s">
        <v>294</v>
      </c>
      <c r="D69" s="3" t="s">
        <v>410</v>
      </c>
      <c r="E69" t="s">
        <v>411</v>
      </c>
    </row>
    <row r="70" spans="1:5">
      <c r="A70" t="s">
        <v>412</v>
      </c>
      <c r="B70" t="s">
        <v>413</v>
      </c>
      <c r="C70" t="s">
        <v>211</v>
      </c>
      <c r="D70" t="s">
        <v>414</v>
      </c>
      <c r="E70" t="s">
        <v>415</v>
      </c>
    </row>
    <row r="71" spans="1:5">
      <c r="A71" t="s">
        <v>185</v>
      </c>
      <c r="B71" t="s">
        <v>416</v>
      </c>
      <c r="C71" t="s">
        <v>199</v>
      </c>
      <c r="D71" t="s">
        <v>186</v>
      </c>
      <c r="E71" t="s">
        <v>417</v>
      </c>
    </row>
    <row r="72" spans="1:5">
      <c r="A72" t="s">
        <v>567</v>
      </c>
      <c r="B72" t="s">
        <v>568</v>
      </c>
      <c r="C72" t="s">
        <v>569</v>
      </c>
      <c r="D72" t="s">
        <v>570</v>
      </c>
      <c r="E72" t="s">
        <v>571</v>
      </c>
    </row>
    <row r="73" spans="1:5">
      <c r="A73" t="s">
        <v>418</v>
      </c>
      <c r="B73" t="s">
        <v>419</v>
      </c>
      <c r="C73" t="s">
        <v>191</v>
      </c>
    </row>
    <row r="74" spans="1:5">
      <c r="A74" t="s">
        <v>420</v>
      </c>
      <c r="B74" t="s">
        <v>421</v>
      </c>
      <c r="C74" t="s">
        <v>199</v>
      </c>
      <c r="D74" t="s">
        <v>420</v>
      </c>
    </row>
    <row r="75" spans="1:5">
      <c r="A75" t="s">
        <v>422</v>
      </c>
      <c r="B75" t="s">
        <v>423</v>
      </c>
      <c r="C75" t="s">
        <v>191</v>
      </c>
      <c r="D75" s="3" t="s">
        <v>424</v>
      </c>
      <c r="E75" t="s">
        <v>425</v>
      </c>
    </row>
    <row r="76" spans="1:5">
      <c r="A76" t="s">
        <v>426</v>
      </c>
      <c r="B76" t="s">
        <v>427</v>
      </c>
      <c r="C76" t="s">
        <v>191</v>
      </c>
      <c r="D76" s="3" t="s">
        <v>428</v>
      </c>
      <c r="E76" t="s">
        <v>429</v>
      </c>
    </row>
    <row r="77" spans="1:5">
      <c r="A77" t="s">
        <v>430</v>
      </c>
      <c r="B77" t="s">
        <v>431</v>
      </c>
      <c r="C77" t="s">
        <v>211</v>
      </c>
      <c r="D77" s="3" t="s">
        <v>430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 tint="0.59999389629810485"/>
  </sheetPr>
  <dimension ref="A1:F16"/>
  <sheetViews>
    <sheetView workbookViewId="0">
      <selection activeCell="A15" sqref="A15:XFD15"/>
    </sheetView>
  </sheetViews>
  <sheetFormatPr baseColWidth="10" defaultColWidth="11.44140625" defaultRowHeight="14.4"/>
  <cols>
    <col min="1" max="1" width="14.88671875" style="5" bestFit="1" customWidth="1"/>
    <col min="2" max="2" width="8.44140625" style="13" customWidth="1"/>
    <col min="3" max="3" width="36.33203125" style="5" bestFit="1" customWidth="1"/>
    <col min="4" max="4" width="69.5546875" style="5" customWidth="1"/>
    <col min="5" max="5" width="27.44140625" style="5" customWidth="1"/>
    <col min="6" max="6" width="32.33203125" style="5" customWidth="1"/>
    <col min="7" max="16384" width="11.44140625" style="5"/>
  </cols>
  <sheetData>
    <row r="1" spans="1:6" s="18" customFormat="1" ht="24.75" customHeight="1">
      <c r="A1" s="16" t="s">
        <v>433</v>
      </c>
      <c r="B1" s="17" t="s">
        <v>128</v>
      </c>
      <c r="C1" s="16" t="s">
        <v>434</v>
      </c>
      <c r="D1" s="16" t="s">
        <v>70</v>
      </c>
      <c r="E1" s="16" t="s">
        <v>435</v>
      </c>
      <c r="F1" s="16" t="s">
        <v>436</v>
      </c>
    </row>
    <row r="2" spans="1:6" ht="15.6">
      <c r="A2" s="10" t="s">
        <v>437</v>
      </c>
      <c r="B2" s="7" t="s">
        <v>96</v>
      </c>
      <c r="C2" s="11" t="s">
        <v>438</v>
      </c>
      <c r="D2" s="6" t="s">
        <v>439</v>
      </c>
      <c r="E2" s="6" t="s">
        <v>440</v>
      </c>
      <c r="F2" s="6" t="s">
        <v>441</v>
      </c>
    </row>
    <row r="3" spans="1:6" ht="15.6">
      <c r="A3" s="10" t="s">
        <v>442</v>
      </c>
      <c r="B3" s="7" t="s">
        <v>159</v>
      </c>
      <c r="C3" s="11" t="s">
        <v>443</v>
      </c>
      <c r="D3" s="6" t="s">
        <v>444</v>
      </c>
      <c r="E3" s="6" t="s">
        <v>445</v>
      </c>
      <c r="F3" s="6" t="s">
        <v>446</v>
      </c>
    </row>
    <row r="4" spans="1:6" ht="27.6">
      <c r="A4" s="10" t="s">
        <v>442</v>
      </c>
      <c r="B4" s="7" t="s">
        <v>124</v>
      </c>
      <c r="C4" s="11" t="s">
        <v>447</v>
      </c>
      <c r="D4" s="6" t="s">
        <v>448</v>
      </c>
      <c r="E4" s="6" t="s">
        <v>447</v>
      </c>
      <c r="F4" s="6" t="s">
        <v>447</v>
      </c>
    </row>
    <row r="5" spans="1:6" ht="27.6">
      <c r="A5" s="10" t="s">
        <v>442</v>
      </c>
      <c r="B5" s="8" t="s">
        <v>189</v>
      </c>
      <c r="C5" s="11" t="s">
        <v>449</v>
      </c>
      <c r="D5" s="6" t="s">
        <v>450</v>
      </c>
      <c r="E5" s="6" t="s">
        <v>449</v>
      </c>
      <c r="F5" s="6" t="s">
        <v>451</v>
      </c>
    </row>
    <row r="6" spans="1:6" ht="15.6">
      <c r="A6" s="10" t="s">
        <v>442</v>
      </c>
      <c r="B6" s="7" t="s">
        <v>162</v>
      </c>
      <c r="C6" s="11" t="s">
        <v>452</v>
      </c>
      <c r="D6" s="6" t="s">
        <v>453</v>
      </c>
      <c r="E6" s="6" t="s">
        <v>454</v>
      </c>
      <c r="F6" s="6" t="s">
        <v>455</v>
      </c>
    </row>
    <row r="7" spans="1:6" ht="27.6">
      <c r="A7" s="10" t="s">
        <v>437</v>
      </c>
      <c r="B7" s="8" t="s">
        <v>135</v>
      </c>
      <c r="C7" s="9" t="s">
        <v>456</v>
      </c>
      <c r="D7" s="6" t="s">
        <v>457</v>
      </c>
      <c r="E7" s="6" t="s">
        <v>458</v>
      </c>
      <c r="F7" s="6" t="s">
        <v>459</v>
      </c>
    </row>
    <row r="8" spans="1:6" ht="27.6">
      <c r="A8" s="10" t="s">
        <v>437</v>
      </c>
      <c r="B8" s="8" t="s">
        <v>127</v>
      </c>
      <c r="C8" s="9" t="s">
        <v>460</v>
      </c>
      <c r="D8" s="6" t="s">
        <v>461</v>
      </c>
      <c r="E8" s="6" t="s">
        <v>462</v>
      </c>
      <c r="F8" s="6" t="s">
        <v>463</v>
      </c>
    </row>
    <row r="9" spans="1:6" ht="15.6">
      <c r="A9" s="10" t="s">
        <v>437</v>
      </c>
      <c r="B9" s="7" t="s">
        <v>190</v>
      </c>
      <c r="C9" s="11" t="s">
        <v>333</v>
      </c>
      <c r="D9" s="6" t="s">
        <v>464</v>
      </c>
      <c r="E9" s="6" t="s">
        <v>465</v>
      </c>
      <c r="F9" s="6" t="s">
        <v>466</v>
      </c>
    </row>
    <row r="10" spans="1:6" ht="27.6">
      <c r="A10" s="10" t="s">
        <v>437</v>
      </c>
      <c r="B10" s="7" t="s">
        <v>156</v>
      </c>
      <c r="C10" s="11" t="s">
        <v>360</v>
      </c>
      <c r="D10" s="6" t="s">
        <v>467</v>
      </c>
      <c r="E10" s="6" t="s">
        <v>468</v>
      </c>
      <c r="F10" s="6" t="s">
        <v>469</v>
      </c>
    </row>
    <row r="11" spans="1:6" ht="27.6">
      <c r="A11" s="10" t="s">
        <v>442</v>
      </c>
      <c r="B11" s="7" t="s">
        <v>148</v>
      </c>
      <c r="C11" s="11" t="s">
        <v>470</v>
      </c>
      <c r="D11" s="6" t="s">
        <v>471</v>
      </c>
      <c r="E11" s="6" t="s">
        <v>472</v>
      </c>
      <c r="F11" s="6" t="s">
        <v>473</v>
      </c>
    </row>
    <row r="12" spans="1:6" ht="15.6">
      <c r="A12" s="10" t="s">
        <v>437</v>
      </c>
      <c r="B12" s="7" t="s">
        <v>171</v>
      </c>
      <c r="C12" s="11" t="s">
        <v>400</v>
      </c>
      <c r="D12" s="6" t="s">
        <v>474</v>
      </c>
      <c r="E12" s="6" t="s">
        <v>475</v>
      </c>
      <c r="F12" s="6" t="s">
        <v>476</v>
      </c>
    </row>
    <row r="13" spans="1:6" ht="15.6">
      <c r="A13" s="10" t="s">
        <v>442</v>
      </c>
      <c r="B13" s="8" t="s">
        <v>122</v>
      </c>
      <c r="C13" s="11" t="s">
        <v>477</v>
      </c>
      <c r="D13" s="6" t="s">
        <v>478</v>
      </c>
      <c r="E13" s="6" t="s">
        <v>479</v>
      </c>
      <c r="F13" s="6" t="s">
        <v>480</v>
      </c>
    </row>
    <row r="14" spans="1:6" ht="15.6">
      <c r="A14" s="10" t="s">
        <v>437</v>
      </c>
      <c r="B14" s="7" t="s">
        <v>126</v>
      </c>
      <c r="C14" s="11" t="s">
        <v>481</v>
      </c>
      <c r="D14" s="6" t="s">
        <v>482</v>
      </c>
      <c r="E14" s="6" t="s">
        <v>483</v>
      </c>
      <c r="F14" s="6" t="s">
        <v>484</v>
      </c>
    </row>
    <row r="15" spans="1:6" ht="27.6">
      <c r="A15" s="10" t="s">
        <v>442</v>
      </c>
      <c r="B15" s="59" t="s">
        <v>591</v>
      </c>
      <c r="C15" s="11" t="s">
        <v>592</v>
      </c>
      <c r="D15" s="12" t="s">
        <v>593</v>
      </c>
      <c r="E15" s="60" t="s">
        <v>594</v>
      </c>
      <c r="F15" s="60" t="s">
        <v>595</v>
      </c>
    </row>
    <row r="16" spans="1:6" ht="15.6">
      <c r="A16" s="10" t="s">
        <v>442</v>
      </c>
      <c r="B16" s="8" t="s">
        <v>164</v>
      </c>
      <c r="C16" s="11" t="s">
        <v>485</v>
      </c>
      <c r="D16" s="12" t="s">
        <v>486</v>
      </c>
      <c r="E16" s="6" t="s">
        <v>487</v>
      </c>
      <c r="F16" s="6" t="s">
        <v>488</v>
      </c>
    </row>
  </sheetData>
  <conditionalFormatting sqref="B2:B14 B16">
    <cfRule type="duplicateValues" dxfId="1" priority="2"/>
  </conditionalFormatting>
  <conditionalFormatting sqref="B15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9" tint="0.59999389629810485"/>
  </sheetPr>
  <dimension ref="A1:C8"/>
  <sheetViews>
    <sheetView workbookViewId="0">
      <selection activeCell="B2" sqref="B2"/>
    </sheetView>
  </sheetViews>
  <sheetFormatPr baseColWidth="10" defaultRowHeight="14.4"/>
  <cols>
    <col min="1" max="1" width="11.5546875" customWidth="1"/>
    <col min="2" max="3" width="22.6640625" bestFit="1" customWidth="1"/>
  </cols>
  <sheetData>
    <row r="1" spans="1:3">
      <c r="A1" t="s">
        <v>128</v>
      </c>
      <c r="B1" t="s">
        <v>187</v>
      </c>
      <c r="C1" t="s">
        <v>163</v>
      </c>
    </row>
    <row r="2" spans="1:3">
      <c r="A2" t="s">
        <v>129</v>
      </c>
      <c r="B2" t="s">
        <v>508</v>
      </c>
      <c r="C2" t="s">
        <v>518</v>
      </c>
    </row>
    <row r="3" spans="1:3">
      <c r="A3" t="s">
        <v>159</v>
      </c>
      <c r="B3" t="s">
        <v>516</v>
      </c>
      <c r="C3" t="s">
        <v>519</v>
      </c>
    </row>
    <row r="4" spans="1:3">
      <c r="A4" t="s">
        <v>136</v>
      </c>
      <c r="B4" t="s">
        <v>510</v>
      </c>
      <c r="C4" t="s">
        <v>509</v>
      </c>
    </row>
    <row r="5" spans="1:3">
      <c r="A5" t="s">
        <v>122</v>
      </c>
      <c r="B5" t="s">
        <v>514</v>
      </c>
      <c r="C5" t="s">
        <v>155</v>
      </c>
    </row>
    <row r="6" spans="1:3">
      <c r="A6" t="s">
        <v>124</v>
      </c>
      <c r="B6" t="s">
        <v>511</v>
      </c>
      <c r="C6" t="s">
        <v>520</v>
      </c>
    </row>
    <row r="7" spans="1:3">
      <c r="A7" t="s">
        <v>125</v>
      </c>
      <c r="B7" t="s">
        <v>513</v>
      </c>
      <c r="C7" t="s">
        <v>520</v>
      </c>
    </row>
    <row r="8" spans="1:3">
      <c r="A8" t="s">
        <v>127</v>
      </c>
      <c r="B8" t="s">
        <v>512</v>
      </c>
      <c r="C8" t="s">
        <v>509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A LIRE</vt:lpstr>
      <vt:lpstr>Tables</vt:lpstr>
      <vt:lpstr>Champs</vt:lpstr>
      <vt:lpstr>Objets de gestion</vt:lpstr>
      <vt:lpstr>Articles</vt:lpstr>
      <vt:lpstr>BIB</vt:lpstr>
      <vt:lpstr>Type de table</vt:lpstr>
      <vt:lpstr>Type de champ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JACQUINOT Angeline</dc:creator>
  <cp:lastModifiedBy>Abel Rabetsimialona</cp:lastModifiedBy>
  <dcterms:created xsi:type="dcterms:W3CDTF">2020-12-24T13:14:47Z</dcterms:created>
  <dcterms:modified xsi:type="dcterms:W3CDTF">2026-04-01T23:04:56Z</dcterms:modified>
</cp:coreProperties>
</file>