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f11d001\EIDDIJON\App\IBIQ\04-Application\Nomenclature\Demandes\IBIA\"/>
    </mc:Choice>
  </mc:AlternateContent>
  <bookViews>
    <workbookView xWindow="0" yWindow="0" windowWidth="20490" windowHeight="7620" activeTab="6"/>
  </bookViews>
  <sheets>
    <sheet name="A LIRE" sheetId="4" r:id="rId1"/>
    <sheet name="Tables" sheetId="1" r:id="rId2"/>
    <sheet name="Champs" sheetId="2" r:id="rId3"/>
    <sheet name="Objets de gestion" sheetId="3" r:id="rId4"/>
    <sheet name="Articles" sheetId="5" r:id="rId5"/>
    <sheet name="BIB" sheetId="6" r:id="rId6"/>
    <sheet name="Type de table" sheetId="7" r:id="rId7"/>
    <sheet name="Type de champ" sheetId="8" r:id="rId8"/>
  </sheets>
  <externalReferences>
    <externalReference r:id="rId9"/>
    <externalReference r:id="rId10"/>
  </externalReferences>
  <definedNames>
    <definedName name="_xlnm._FilterDatabase" localSheetId="4" hidden="1">Articles!$A$1:$B$1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2" l="1"/>
  <c r="N2" i="2"/>
  <c r="O2" i="2"/>
  <c r="P2" i="2"/>
  <c r="Q2" i="2"/>
  <c r="R2" i="2"/>
  <c r="M3" i="2"/>
  <c r="N3" i="2"/>
  <c r="O3" i="2"/>
  <c r="P3" i="2"/>
  <c r="Q3" i="2"/>
  <c r="R3" i="2"/>
  <c r="M4" i="2"/>
  <c r="N4" i="2"/>
  <c r="O4" i="2"/>
  <c r="P4" i="2"/>
  <c r="Q4" i="2"/>
  <c r="R4" i="2"/>
  <c r="M5" i="2"/>
  <c r="N5" i="2"/>
  <c r="O5" i="2"/>
  <c r="P5" i="2"/>
  <c r="Q5" i="2"/>
  <c r="R5" i="2"/>
  <c r="M6" i="2"/>
  <c r="N6" i="2"/>
  <c r="O6" i="2"/>
  <c r="P6" i="2"/>
  <c r="Q6" i="2"/>
  <c r="R6" i="2"/>
  <c r="M7" i="2"/>
  <c r="N7" i="2"/>
  <c r="O7" i="2"/>
  <c r="P7" i="2"/>
  <c r="Q7" i="2"/>
  <c r="R7" i="2"/>
  <c r="M8" i="2"/>
  <c r="N8" i="2"/>
  <c r="O8" i="2"/>
  <c r="P8" i="2"/>
  <c r="Q8" i="2"/>
  <c r="R8" i="2"/>
  <c r="M9" i="2"/>
  <c r="N9" i="2"/>
  <c r="O9" i="2"/>
  <c r="P9" i="2"/>
  <c r="Q9" i="2"/>
  <c r="R9" i="2"/>
  <c r="M10" i="2"/>
  <c r="N10" i="2"/>
  <c r="O10" i="2"/>
  <c r="P10" i="2"/>
  <c r="Q10" i="2"/>
  <c r="R10" i="2"/>
  <c r="M11" i="2"/>
  <c r="N11" i="2"/>
  <c r="O11" i="2"/>
  <c r="P11" i="2"/>
  <c r="Q11" i="2"/>
  <c r="R11" i="2"/>
  <c r="N12" i="2"/>
  <c r="M12" i="2" s="1"/>
  <c r="O12" i="2"/>
  <c r="P12" i="2"/>
  <c r="Q12" i="2"/>
  <c r="R12" i="2"/>
  <c r="N13" i="2"/>
  <c r="M13" i="2" s="1"/>
  <c r="O13" i="2"/>
  <c r="P13" i="2"/>
  <c r="Q13" i="2"/>
  <c r="R13" i="2"/>
  <c r="N14" i="2"/>
  <c r="M14" i="2" s="1"/>
  <c r="O14" i="2"/>
  <c r="P14" i="2"/>
  <c r="Q14" i="2"/>
  <c r="R14" i="2"/>
  <c r="M15" i="2"/>
  <c r="N15" i="2"/>
  <c r="O15" i="2"/>
  <c r="P15" i="2"/>
  <c r="Q15" i="2"/>
  <c r="R15" i="2"/>
  <c r="N16" i="2"/>
  <c r="M16" i="2" s="1"/>
  <c r="O16" i="2"/>
  <c r="P16" i="2"/>
  <c r="Q16" i="2"/>
  <c r="R16" i="2"/>
  <c r="M17" i="2"/>
  <c r="N17" i="2"/>
  <c r="O17" i="2"/>
  <c r="P17" i="2"/>
  <c r="Q17" i="2"/>
  <c r="R17" i="2"/>
  <c r="N18" i="2"/>
  <c r="M18" i="2" s="1"/>
  <c r="O18" i="2"/>
  <c r="P18" i="2"/>
  <c r="Q18" i="2"/>
  <c r="R18" i="2"/>
  <c r="M19" i="2"/>
  <c r="N19" i="2"/>
  <c r="O19" i="2"/>
  <c r="P19" i="2"/>
  <c r="Q19" i="2"/>
  <c r="R19" i="2"/>
  <c r="N20" i="2"/>
  <c r="M20" i="2" s="1"/>
  <c r="O20" i="2"/>
  <c r="P20" i="2"/>
  <c r="Q20" i="2"/>
  <c r="R20" i="2"/>
  <c r="N21" i="2"/>
  <c r="M21" i="2" s="1"/>
  <c r="O21" i="2"/>
  <c r="P21" i="2"/>
  <c r="Q21" i="2"/>
  <c r="R21" i="2"/>
  <c r="N22" i="2"/>
  <c r="M22" i="2" s="1"/>
  <c r="O22" i="2"/>
  <c r="P22" i="2"/>
  <c r="Q22" i="2"/>
  <c r="R22" i="2"/>
  <c r="N23" i="2"/>
  <c r="M23" i="2" s="1"/>
  <c r="O23" i="2"/>
  <c r="P23" i="2"/>
  <c r="Q23" i="2"/>
  <c r="R23" i="2"/>
  <c r="N24" i="2"/>
  <c r="M24" i="2" s="1"/>
  <c r="O24" i="2"/>
  <c r="P24" i="2"/>
  <c r="Q24" i="2"/>
  <c r="R24" i="2"/>
  <c r="N25" i="2"/>
  <c r="M25" i="2" s="1"/>
  <c r="O25" i="2"/>
  <c r="P25" i="2"/>
  <c r="Q25" i="2"/>
  <c r="R25" i="2"/>
  <c r="N26" i="2"/>
  <c r="M26" i="2" s="1"/>
  <c r="O26" i="2"/>
  <c r="P26" i="2"/>
  <c r="Q26" i="2"/>
  <c r="R26" i="2"/>
  <c r="N27" i="2"/>
  <c r="M27" i="2" s="1"/>
  <c r="O27" i="2"/>
  <c r="P27" i="2"/>
  <c r="Q27" i="2"/>
  <c r="R27" i="2"/>
  <c r="N28" i="2"/>
  <c r="M28" i="2" s="1"/>
  <c r="O28" i="2"/>
  <c r="P28" i="2"/>
  <c r="Q28" i="2"/>
  <c r="R28" i="2"/>
  <c r="M29" i="2"/>
  <c r="N29" i="2"/>
  <c r="O29" i="2"/>
  <c r="P29" i="2"/>
  <c r="Q29" i="2"/>
  <c r="R29" i="2"/>
  <c r="N30" i="2"/>
  <c r="M30" i="2" s="1"/>
  <c r="O30" i="2"/>
  <c r="P30" i="2"/>
  <c r="Q30" i="2"/>
  <c r="R30" i="2"/>
  <c r="N31" i="2"/>
  <c r="M31" i="2" s="1"/>
  <c r="O31" i="2"/>
  <c r="P31" i="2"/>
  <c r="Q31" i="2"/>
  <c r="R31" i="2"/>
  <c r="N32" i="2"/>
  <c r="M32" i="2" s="1"/>
  <c r="O32" i="2"/>
  <c r="P32" i="2"/>
  <c r="Q32" i="2"/>
  <c r="R32" i="2"/>
  <c r="M33" i="2"/>
  <c r="N33" i="2"/>
  <c r="O33" i="2"/>
  <c r="P33" i="2"/>
  <c r="Q33" i="2"/>
  <c r="R33" i="2"/>
  <c r="N34" i="2"/>
  <c r="M34" i="2" s="1"/>
  <c r="O34" i="2"/>
  <c r="P34" i="2"/>
  <c r="Q34" i="2"/>
  <c r="R34" i="2"/>
  <c r="I3" i="1" l="1"/>
  <c r="H3" i="1" s="1"/>
  <c r="J3" i="1"/>
  <c r="K3" i="1"/>
  <c r="L3" i="1"/>
  <c r="G3" i="1"/>
  <c r="G4" i="1"/>
  <c r="G5" i="1"/>
  <c r="G6" i="1"/>
  <c r="G7" i="1"/>
  <c r="G8" i="1"/>
  <c r="G9" i="1"/>
  <c r="G10" i="1"/>
  <c r="G11" i="1"/>
  <c r="G12" i="1"/>
  <c r="G13" i="1"/>
  <c r="G14" i="1"/>
  <c r="G15" i="1"/>
  <c r="J2" i="1" l="1"/>
  <c r="K2" i="1"/>
  <c r="J16" i="1"/>
  <c r="K16" i="1"/>
  <c r="J17" i="1"/>
  <c r="K17" i="1"/>
  <c r="J18" i="1"/>
  <c r="K18" i="1"/>
  <c r="I2" i="1"/>
  <c r="I16" i="1"/>
  <c r="B1987" i="3" l="1"/>
  <c r="G2" i="1" l="1"/>
  <c r="H2" i="1" l="1"/>
  <c r="L2" i="1"/>
  <c r="G16" i="1"/>
  <c r="H16" i="1"/>
  <c r="L16" i="1"/>
  <c r="G17" i="1"/>
  <c r="H17" i="1"/>
  <c r="I17" i="1"/>
  <c r="L17" i="1"/>
  <c r="G18" i="1"/>
  <c r="H18" i="1"/>
  <c r="I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G68" i="1"/>
  <c r="H68" i="1"/>
  <c r="I68" i="1"/>
  <c r="J68" i="1"/>
  <c r="K68" i="1"/>
  <c r="L68" i="1"/>
  <c r="G69" i="1"/>
  <c r="H69" i="1"/>
  <c r="I69" i="1"/>
  <c r="J69" i="1"/>
  <c r="K69" i="1"/>
  <c r="L69" i="1"/>
  <c r="G70" i="1"/>
  <c r="H70" i="1"/>
  <c r="I70" i="1"/>
  <c r="J70" i="1"/>
  <c r="K70" i="1"/>
  <c r="L70" i="1"/>
  <c r="G71" i="1"/>
  <c r="H71" i="1"/>
  <c r="I71" i="1"/>
  <c r="J71" i="1"/>
  <c r="K71" i="1"/>
  <c r="L71" i="1"/>
  <c r="G72" i="1"/>
  <c r="H72" i="1"/>
  <c r="I72" i="1"/>
  <c r="J72" i="1"/>
  <c r="K72" i="1"/>
  <c r="L72" i="1"/>
  <c r="G73" i="1"/>
  <c r="H73" i="1"/>
  <c r="I73" i="1"/>
  <c r="J73" i="1"/>
  <c r="K73" i="1"/>
  <c r="L73" i="1"/>
  <c r="G74" i="1"/>
  <c r="H74" i="1"/>
  <c r="I74" i="1"/>
  <c r="J74" i="1"/>
  <c r="K74" i="1"/>
  <c r="L74" i="1"/>
  <c r="D1786" i="3" l="1"/>
  <c r="D835" i="3"/>
  <c r="D722" i="3"/>
  <c r="D717" i="3"/>
  <c r="D233" i="3"/>
</calcChain>
</file>

<file path=xl/comments1.xml><?xml version="1.0" encoding="utf-8"?>
<comments xmlns="http://schemas.openxmlformats.org/spreadsheetml/2006/main">
  <authors>
    <author>ANDREOTTI Carole</author>
  </authors>
  <commentList>
    <comment ref="C77" authorId="0" shapeId="0">
      <text>
        <r>
          <rPr>
            <b/>
            <sz val="9"/>
            <color indexed="81"/>
            <rFont val="Tahoma"/>
            <family val="2"/>
          </rPr>
          <t>ANDREOTTI Carole:</t>
        </r>
        <r>
          <rPr>
            <sz val="9"/>
            <color indexed="81"/>
            <rFont val="Tahoma"/>
            <family val="2"/>
          </rPr>
          <t xml:space="preserve">
montant du cours actuel?
</t>
        </r>
      </text>
    </comment>
    <comment ref="C83" authorId="0" shapeId="0">
      <text>
        <r>
          <rPr>
            <b/>
            <sz val="9"/>
            <color indexed="81"/>
            <rFont val="Tahoma"/>
            <family val="2"/>
          </rPr>
          <t>ANDREOTTI Carole:</t>
        </r>
        <r>
          <rPr>
            <sz val="9"/>
            <color indexed="81"/>
            <rFont val="Tahoma"/>
            <family val="2"/>
          </rPr>
          <t xml:space="preserve">
valeur? Montant? Autre?</t>
        </r>
      </text>
    </comment>
    <comment ref="C91" authorId="0" shapeId="0">
      <text>
        <r>
          <rPr>
            <b/>
            <sz val="9"/>
            <color indexed="81"/>
            <rFont val="Tahoma"/>
            <family val="2"/>
          </rPr>
          <t>ANDREOTTI Carole:</t>
        </r>
        <r>
          <rPr>
            <sz val="9"/>
            <color indexed="81"/>
            <rFont val="Tahoma"/>
            <family val="2"/>
          </rPr>
          <t xml:space="preserve">
montant ou taux?</t>
        </r>
      </text>
    </comment>
    <comment ref="C100" authorId="0" shapeId="0">
      <text>
        <r>
          <rPr>
            <b/>
            <sz val="9"/>
            <color indexed="81"/>
            <rFont val="Tahoma"/>
            <family val="2"/>
          </rPr>
          <t>ANDREOTTI Carole:</t>
        </r>
        <r>
          <rPr>
            <sz val="9"/>
            <color indexed="81"/>
            <rFont val="Tahoma"/>
            <family val="2"/>
          </rPr>
          <t xml:space="preserve">
montant du cours actuel?
</t>
        </r>
      </text>
    </comment>
    <comment ref="E206" authorId="0" shapeId="0">
      <text>
        <r>
          <rPr>
            <b/>
            <sz val="9"/>
            <color indexed="81"/>
            <rFont val="Tahoma"/>
            <family val="2"/>
          </rPr>
          <t>ANDREOTTI Carole:</t>
        </r>
        <r>
          <rPr>
            <sz val="9"/>
            <color indexed="81"/>
            <rFont val="Tahoma"/>
            <family val="2"/>
          </rPr>
          <t xml:space="preserve">
voir si on peut laisser le mot anglais ….
</t>
        </r>
      </text>
    </comment>
    <comment ref="E208" authorId="0" shapeId="0">
      <text>
        <r>
          <rPr>
            <b/>
            <sz val="9"/>
            <color indexed="81"/>
            <rFont val="Tahoma"/>
            <family val="2"/>
          </rPr>
          <t>ANDREOTTI Carole:</t>
        </r>
        <r>
          <rPr>
            <sz val="9"/>
            <color indexed="81"/>
            <rFont val="Tahoma"/>
            <family val="2"/>
          </rPr>
          <t xml:space="preserve">
à vor avec les utilisateurs
</t>
        </r>
      </text>
    </comment>
    <comment ref="C230" authorId="0" shapeId="0">
      <text>
        <r>
          <rPr>
            <b/>
            <sz val="9"/>
            <color indexed="81"/>
            <rFont val="Tahoma"/>
            <family val="2"/>
          </rPr>
          <t>ANDREOTTI Carole:</t>
        </r>
        <r>
          <rPr>
            <sz val="9"/>
            <color indexed="81"/>
            <rFont val="Tahoma"/>
            <family val="2"/>
          </rPr>
          <t xml:space="preserve">
pas d'ODG à apporter
</t>
        </r>
      </text>
    </comment>
  </commentList>
</comments>
</file>

<file path=xl/sharedStrings.xml><?xml version="1.0" encoding="utf-8"?>
<sst xmlns="http://schemas.openxmlformats.org/spreadsheetml/2006/main" count="7081" uniqueCount="6235">
  <si>
    <t>Nom fr</t>
  </si>
  <si>
    <t>Nom en</t>
  </si>
  <si>
    <t xml:space="preserve"> </t>
  </si>
  <si>
    <t>,</t>
  </si>
  <si>
    <t>à</t>
  </si>
  <si>
    <t xml:space="preserve"> to</t>
  </si>
  <si>
    <t>à la</t>
  </si>
  <si>
    <t>to</t>
  </si>
  <si>
    <t>à un</t>
  </si>
  <si>
    <t>à qui</t>
  </si>
  <si>
    <t>après</t>
  </si>
  <si>
    <t>after</t>
  </si>
  <si>
    <t>au</t>
  </si>
  <si>
    <t>avec</t>
  </si>
  <si>
    <t>with</t>
  </si>
  <si>
    <t>chez</t>
  </si>
  <si>
    <t>at</t>
  </si>
  <si>
    <t>d'</t>
  </si>
  <si>
    <t xml:space="preserve"> of the</t>
  </si>
  <si>
    <t>dans</t>
  </si>
  <si>
    <t>in</t>
  </si>
  <si>
    <t>dans l'</t>
  </si>
  <si>
    <t>in the</t>
  </si>
  <si>
    <t>dans la</t>
  </si>
  <si>
    <t xml:space="preserve"> in the</t>
  </si>
  <si>
    <t>dans le</t>
  </si>
  <si>
    <t>de</t>
  </si>
  <si>
    <t>de l'</t>
  </si>
  <si>
    <t>de la</t>
  </si>
  <si>
    <t>de type</t>
  </si>
  <si>
    <t>type of</t>
  </si>
  <si>
    <t>depuis</t>
  </si>
  <si>
    <t>since</t>
  </si>
  <si>
    <t>des</t>
  </si>
  <si>
    <t>du</t>
  </si>
  <si>
    <t>d'un</t>
  </si>
  <si>
    <t>of the</t>
  </si>
  <si>
    <t>d'une</t>
  </si>
  <si>
    <t>en</t>
  </si>
  <si>
    <t>as</t>
  </si>
  <si>
    <t>entre</t>
  </si>
  <si>
    <t xml:space="preserve"> between</t>
  </si>
  <si>
    <t>et</t>
  </si>
  <si>
    <t xml:space="preserve"> and</t>
  </si>
  <si>
    <t>l'</t>
  </si>
  <si>
    <t>the</t>
  </si>
  <si>
    <t>le</t>
  </si>
  <si>
    <t>ou</t>
  </si>
  <si>
    <t>or</t>
  </si>
  <si>
    <t>par</t>
  </si>
  <si>
    <t xml:space="preserve"> by</t>
  </si>
  <si>
    <t>par la</t>
  </si>
  <si>
    <t>by the</t>
  </si>
  <si>
    <t>par le</t>
  </si>
  <si>
    <t>par les</t>
  </si>
  <si>
    <t>pour</t>
  </si>
  <si>
    <t xml:space="preserve"> for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</si>
  <si>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</si>
  <si>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</si>
  <si>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</si>
  <si>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</si>
  <si>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</si>
  <si>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</si>
  <si>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</si>
  <si>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</si>
  <si>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</si>
  <si>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</si>
  <si>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</si>
  <si>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</si>
  <si>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</si>
  <si>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</si>
  <si>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</si>
  <si>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</si>
  <si>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</si>
  <si>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</si>
  <si>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</si>
  <si>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</si>
  <si>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</si>
  <si>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</si>
  <si>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</si>
  <si>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</si>
  <si>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</si>
  <si>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</si>
  <si>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</si>
  <si>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</si>
  <si>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</si>
  <si>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</si>
  <si>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</si>
  <si>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</si>
  <si>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</si>
  <si>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</si>
  <si>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</si>
  <si>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</si>
  <si>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</si>
  <si>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</si>
  <si>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</si>
  <si>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</si>
  <si>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</si>
  <si>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</si>
  <si>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</si>
  <si>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</si>
  <si>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</si>
  <si>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</si>
  <si>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</si>
  <si>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</si>
  <si>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</si>
  <si>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</si>
  <si>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</si>
  <si>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</si>
  <si>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</si>
  <si>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</si>
  <si>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</si>
  <si>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</si>
  <si>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</si>
  <si>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</si>
  <si>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</si>
  <si>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</si>
  <si>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</si>
  <si>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</si>
  <si>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</si>
  <si>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</si>
  <si>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</si>
  <si>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</si>
  <si>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</si>
  <si>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</si>
  <si>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</si>
  <si>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</si>
  <si>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</si>
  <si>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</si>
  <si>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</si>
  <si>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</si>
  <si>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</si>
  <si>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</si>
  <si>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</si>
  <si>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</si>
  <si>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</si>
  <si>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</si>
  <si>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</si>
  <si>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</si>
  <si>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</si>
  <si>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</si>
  <si>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</si>
  <si>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</si>
  <si>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</si>
  <si>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</si>
  <si>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</si>
  <si>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</si>
  <si>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</si>
  <si>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</si>
  <si>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</si>
  <si>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</si>
  <si>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</si>
  <si>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</si>
  <si>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</si>
  <si>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</si>
  <si>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</si>
  <si>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</si>
  <si>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</si>
  <si>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</si>
  <si>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</si>
  <si>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</si>
  <si>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</si>
  <si>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</si>
  <si>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</si>
  <si>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</si>
  <si>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</si>
  <si>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</si>
  <si>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</si>
  <si>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</si>
  <si>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</si>
  <si>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</si>
  <si>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</si>
  <si>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</si>
  <si>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</si>
  <si>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</si>
  <si>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</si>
  <si>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</si>
  <si>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</si>
  <si>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</si>
  <si>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</si>
  <si>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</si>
  <si>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</si>
  <si>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</si>
  <si>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</si>
  <si>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</si>
  <si>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</si>
  <si>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</si>
  <si>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</si>
  <si>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</si>
  <si>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</si>
  <si>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</si>
  <si>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</si>
  <si>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</si>
  <si>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</si>
  <si>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</si>
  <si>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</si>
  <si>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</si>
  <si>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</si>
  <si>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</si>
  <si>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</si>
  <si>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</si>
  <si>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</si>
  <si>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</si>
  <si>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</si>
  <si>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</si>
  <si>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</si>
  <si>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</si>
  <si>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</si>
  <si>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</si>
  <si>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</si>
  <si>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</si>
  <si>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</si>
  <si>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</si>
  <si>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</si>
  <si>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</si>
  <si>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</si>
  <si>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</si>
  <si>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</si>
  <si>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</si>
  <si>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</si>
  <si>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</si>
  <si>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D</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</si>
  <si>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</si>
  <si>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</si>
  <si>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</si>
  <si>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</si>
  <si>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</si>
  <si>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</si>
  <si>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</si>
  <si>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</si>
  <si>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</si>
  <si>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</si>
  <si>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</si>
  <si>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</si>
  <si>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</si>
  <si>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</si>
  <si>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</si>
  <si>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</si>
  <si>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</si>
  <si>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</si>
  <si>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</si>
  <si>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</si>
  <si>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</si>
  <si>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</si>
  <si>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</si>
  <si>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</si>
  <si>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</si>
  <si>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</si>
  <si>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</si>
  <si>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</si>
  <si>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</si>
  <si>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</si>
  <si>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</si>
  <si>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</si>
  <si>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</si>
  <si>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</si>
  <si>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</si>
  <si>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</si>
  <si>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</si>
  <si>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</si>
  <si>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</si>
  <si>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</si>
  <si>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</si>
  <si>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</si>
  <si>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</si>
  <si>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</si>
  <si>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</si>
  <si>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</si>
  <si>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</si>
  <si>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</si>
  <si>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</si>
  <si>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</si>
  <si>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</si>
  <si>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</si>
  <si>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</si>
  <si>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</si>
  <si>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</si>
  <si>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</si>
  <si>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</si>
  <si>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</si>
  <si>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</si>
  <si>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</si>
  <si>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</si>
  <si>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</si>
  <si>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</si>
  <si>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</si>
  <si>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</si>
  <si>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</si>
  <si>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</si>
  <si>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</si>
  <si>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</si>
  <si>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</si>
  <si>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</si>
  <si>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</si>
  <si>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</si>
  <si>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</si>
  <si>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</si>
  <si>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</si>
  <si>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</si>
  <si>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</si>
  <si>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</si>
  <si>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</si>
  <si>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</si>
  <si>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</si>
  <si>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</si>
  <si>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</si>
  <si>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</si>
  <si>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</si>
  <si>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</si>
  <si>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</si>
  <si>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</si>
  <si>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</si>
  <si>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</si>
  <si>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</si>
  <si>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</si>
  <si>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</si>
  <si>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</si>
  <si>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</si>
  <si>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</si>
  <si>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</si>
  <si>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</si>
  <si>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</si>
  <si>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</si>
  <si>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</si>
  <si>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</si>
  <si>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</si>
  <si>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</si>
  <si>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</si>
  <si>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</si>
  <si>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</si>
  <si>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</si>
  <si>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</si>
  <si>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</si>
  <si>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</si>
  <si>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</si>
  <si>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</si>
  <si>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</si>
  <si>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</si>
  <si>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</si>
  <si>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</si>
  <si>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</si>
  <si>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</si>
  <si>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</si>
  <si>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</si>
  <si>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</si>
  <si>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</si>
  <si>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</si>
  <si>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</si>
  <si>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</si>
  <si>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</si>
  <si>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</si>
  <si>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</si>
  <si>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</si>
  <si>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</si>
  <si>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</si>
  <si>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</si>
  <si>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</si>
  <si>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</si>
  <si>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</si>
  <si>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</si>
  <si>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</si>
  <si>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</si>
  <si>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</si>
  <si>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</si>
  <si>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</si>
  <si>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</si>
  <si>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</si>
  <si>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</si>
  <si>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</si>
  <si>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</si>
  <si>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</si>
  <si>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</si>
  <si>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</si>
  <si>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</si>
  <si>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</si>
  <si>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</si>
  <si>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</si>
  <si>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</si>
  <si>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</si>
  <si>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</si>
  <si>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</si>
  <si>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</si>
  <si>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</si>
  <si>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</si>
  <si>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</si>
  <si>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</si>
  <si>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</si>
  <si>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</si>
  <si>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</si>
  <si>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</si>
  <si>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</si>
  <si>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</si>
  <si>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</si>
  <si>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</si>
  <si>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</si>
  <si>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</si>
  <si>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</si>
  <si>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</si>
  <si>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</si>
  <si>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</si>
  <si>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</si>
  <si>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</si>
  <si>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</si>
  <si>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</si>
  <si>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</si>
  <si>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</si>
  <si>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</si>
  <si>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</si>
  <si>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</si>
  <si>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</si>
  <si>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</si>
  <si>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</si>
  <si>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</si>
  <si>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</si>
  <si>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</si>
  <si>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</si>
  <si>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</si>
  <si>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</si>
  <si>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</si>
  <si>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</si>
  <si>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</si>
  <si>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</si>
  <si>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</si>
  <si>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</si>
  <si>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</si>
  <si>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</si>
  <si>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</si>
  <si>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</si>
  <si>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</si>
  <si>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</si>
  <si>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</si>
  <si>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</si>
  <si>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</si>
  <si>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</si>
  <si>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</si>
  <si>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</si>
  <si>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</si>
  <si>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</si>
  <si>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</si>
  <si>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</si>
  <si>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</si>
  <si>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</si>
  <si>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</si>
  <si>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</si>
  <si>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</si>
  <si>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</si>
  <si>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</si>
  <si>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</si>
  <si>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</si>
  <si>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</si>
  <si>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</si>
  <si>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</si>
  <si>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</si>
  <si>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</si>
  <si>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</si>
  <si>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</si>
  <si>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</si>
  <si>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</si>
  <si>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</si>
  <si>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</si>
  <si>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</si>
  <si>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</si>
  <si>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</si>
  <si>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</si>
  <si>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</si>
  <si>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</si>
  <si>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</si>
  <si>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</si>
  <si>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</si>
  <si>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</si>
  <si>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</si>
  <si>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</si>
  <si>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</si>
  <si>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</si>
  <si>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</si>
  <si>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</si>
  <si>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</si>
  <si>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</si>
  <si>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</si>
  <si>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</si>
  <si>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</si>
  <si>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</si>
  <si>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</si>
  <si>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</si>
  <si>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</si>
  <si>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</si>
  <si>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</si>
  <si>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</si>
  <si>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</si>
  <si>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</si>
  <si>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</si>
  <si>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</si>
  <si>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</si>
  <si>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</si>
  <si>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</si>
  <si>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</si>
  <si>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</si>
  <si>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</si>
  <si>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</si>
  <si>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</si>
  <si>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</si>
  <si>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</si>
  <si>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</si>
  <si>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</si>
  <si>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</si>
  <si>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</si>
  <si>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</si>
  <si>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</si>
  <si>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</si>
  <si>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</si>
  <si>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</si>
  <si>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</si>
  <si>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</si>
  <si>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</si>
  <si>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</si>
  <si>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</si>
  <si>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</si>
  <si>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</si>
  <si>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</si>
  <si>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</si>
  <si>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</si>
  <si>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</si>
  <si>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</si>
  <si>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</si>
  <si>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</si>
  <si>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</si>
  <si>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</si>
  <si>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</si>
  <si>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</si>
  <si>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</si>
  <si>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</si>
  <si>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</si>
  <si>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</si>
  <si>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</si>
  <si>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</si>
  <si>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</si>
  <si>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</si>
  <si>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</si>
  <si>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</si>
  <si>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</si>
  <si>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</si>
  <si>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</si>
  <si>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</si>
  <si>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</si>
  <si>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</si>
  <si>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</si>
  <si>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</si>
  <si>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</si>
  <si>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</si>
  <si>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</si>
  <si>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</si>
  <si>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</si>
  <si>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</si>
  <si>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</si>
  <si>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</si>
  <si>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</si>
  <si>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</si>
  <si>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</si>
  <si>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</si>
  <si>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</si>
  <si>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</si>
  <si>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</si>
  <si>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</si>
  <si>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</si>
  <si>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</si>
  <si>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</si>
  <si>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</si>
  <si>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</si>
  <si>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</si>
  <si>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</si>
  <si>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</si>
  <si>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</si>
  <si>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</si>
  <si>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</si>
  <si>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</si>
  <si>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</si>
  <si>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</si>
  <si>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</si>
  <si>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</si>
  <si>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</si>
  <si>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</si>
  <si>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</si>
  <si>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</si>
  <si>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</si>
  <si>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</si>
  <si>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</si>
  <si>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</si>
  <si>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</si>
  <si>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</si>
  <si>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</si>
  <si>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</si>
  <si>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</si>
  <si>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</si>
  <si>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</si>
  <si>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</si>
  <si>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</si>
  <si>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</si>
  <si>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</si>
  <si>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</si>
  <si>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</si>
  <si>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</si>
  <si>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</si>
  <si>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</si>
  <si>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</si>
  <si>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</si>
  <si>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</si>
  <si>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</si>
  <si>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</si>
  <si>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</si>
  <si>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</si>
  <si>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</si>
  <si>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</si>
  <si>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</si>
  <si>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</si>
  <si>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</si>
  <si>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</si>
  <si>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</si>
  <si>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</si>
  <si>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</si>
  <si>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</si>
  <si>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</si>
  <si>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</si>
  <si>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</si>
  <si>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</si>
  <si>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</si>
  <si>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</si>
  <si>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</si>
  <si>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</si>
  <si>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</si>
  <si>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</si>
  <si>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</si>
  <si>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</si>
  <si>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</si>
  <si>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</si>
  <si>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</si>
  <si>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</si>
  <si>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</si>
  <si>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</si>
  <si>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</si>
  <si>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</si>
  <si>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</si>
  <si>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</si>
  <si>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</si>
  <si>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</si>
  <si>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</si>
  <si>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</si>
  <si>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</si>
  <si>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</si>
  <si>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</si>
  <si>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</si>
  <si>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</si>
  <si>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</si>
  <si>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</si>
  <si>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</si>
  <si>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</si>
  <si>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</si>
  <si>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</si>
  <si>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</si>
  <si>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</si>
  <si>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</si>
  <si>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</si>
  <si>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</si>
  <si>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</si>
  <si>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</si>
  <si>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</si>
  <si>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</si>
  <si>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</si>
  <si>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</si>
  <si>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</si>
  <si>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</si>
  <si>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</si>
  <si>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</si>
  <si>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</si>
  <si>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</si>
  <si>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</si>
  <si>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</si>
  <si>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</si>
  <si>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</si>
  <si>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</si>
  <si>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</si>
  <si>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</si>
  <si>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</si>
  <si>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</si>
  <si>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</si>
  <si>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</si>
  <si>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</si>
  <si>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</si>
  <si>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</si>
  <si>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</si>
  <si>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</si>
  <si>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</si>
  <si>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</si>
  <si>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</si>
  <si>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</si>
  <si>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</si>
  <si>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</si>
  <si>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</si>
  <si>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</si>
  <si>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</si>
  <si>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</si>
  <si>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</si>
  <si>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</si>
  <si>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</si>
  <si>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</si>
  <si>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</si>
  <si>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</si>
  <si>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</si>
  <si>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</si>
  <si>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</si>
  <si>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</si>
  <si>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</si>
  <si>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</si>
  <si>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</si>
  <si>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</si>
  <si>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</si>
  <si>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</si>
  <si>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</si>
  <si>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</si>
  <si>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</si>
  <si>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</si>
  <si>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</si>
  <si>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</si>
  <si>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</si>
  <si>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</si>
  <si>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</si>
  <si>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</si>
  <si>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</si>
  <si>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</si>
  <si>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</si>
  <si>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</si>
  <si>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</si>
  <si>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</si>
  <si>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</si>
  <si>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</si>
  <si>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</si>
  <si>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</si>
  <si>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</si>
  <si>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</si>
  <si>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</si>
  <si>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</si>
  <si>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</si>
  <si>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</si>
  <si>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</si>
  <si>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</si>
  <si>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</si>
  <si>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</si>
  <si>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</si>
  <si>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</si>
  <si>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K</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</si>
  <si>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</si>
  <si>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</si>
  <si>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</si>
  <si>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</si>
  <si>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</si>
  <si>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</si>
  <si>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</si>
  <si>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</si>
  <si>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</si>
  <si>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</si>
  <si>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</si>
  <si>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</si>
  <si>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</si>
  <si>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</si>
  <si>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</si>
  <si>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</si>
  <si>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</si>
  <si>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</si>
  <si>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</si>
  <si>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</si>
  <si>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</si>
  <si>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</si>
  <si>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</si>
  <si>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</si>
  <si>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</si>
  <si>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</si>
  <si>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</si>
  <si>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</si>
  <si>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</si>
  <si>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</si>
  <si>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</si>
  <si>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</si>
  <si>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</si>
  <si>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</si>
  <si>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</si>
  <si>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</si>
  <si>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</si>
  <si>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</si>
  <si>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</si>
  <si>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</si>
  <si>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</si>
  <si>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</si>
  <si>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</si>
  <si>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</si>
  <si>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</si>
  <si>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</si>
  <si>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</si>
  <si>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</si>
  <si>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</si>
  <si>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</si>
  <si>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</si>
  <si>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</si>
  <si>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</si>
  <si>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</si>
  <si>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</si>
  <si>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</si>
  <si>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</si>
  <si>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</si>
  <si>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</si>
  <si>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</si>
  <si>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</si>
  <si>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</si>
  <si>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</si>
  <si>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</si>
  <si>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</si>
  <si>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</si>
  <si>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</si>
  <si>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</si>
  <si>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</si>
  <si>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</si>
  <si>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</si>
  <si>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</si>
  <si>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</si>
  <si>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</si>
  <si>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</si>
  <si>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</si>
  <si>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</si>
  <si>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</si>
  <si>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</si>
  <si>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</si>
  <si>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</si>
  <si>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</si>
  <si>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</si>
  <si>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</si>
  <si>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</si>
  <si>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</si>
  <si>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</si>
  <si>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</si>
  <si>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</si>
  <si>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</si>
  <si>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</si>
  <si>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</si>
  <si>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</si>
  <si>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</si>
  <si>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</si>
  <si>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</si>
  <si>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</si>
  <si>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</si>
  <si>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</si>
  <si>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</si>
  <si>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</si>
  <si>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</si>
  <si>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</si>
  <si>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</si>
  <si>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</si>
  <si>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</si>
  <si>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</si>
  <si>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</si>
  <si>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</si>
  <si>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</si>
  <si>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</si>
  <si>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</si>
  <si>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</si>
  <si>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</si>
  <si>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</si>
  <si>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</si>
  <si>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</si>
  <si>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</si>
  <si>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</si>
  <si>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</si>
  <si>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</si>
  <si>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</si>
  <si>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</si>
  <si>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</si>
  <si>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</si>
  <si>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</si>
  <si>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</si>
  <si>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</si>
  <si>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</si>
  <si>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</si>
  <si>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</si>
  <si>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</si>
  <si>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</si>
  <si>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</si>
  <si>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</si>
  <si>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</si>
  <si>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</si>
  <si>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</si>
  <si>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</si>
  <si>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</si>
  <si>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</si>
  <si>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</si>
  <si>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</si>
  <si>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</si>
  <si>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</si>
  <si>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</si>
  <si>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</si>
  <si>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</si>
  <si>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</si>
  <si>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</si>
  <si>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</si>
  <si>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</si>
  <si>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</si>
  <si>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</si>
  <si>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</si>
  <si>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</si>
  <si>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</si>
  <si>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</si>
  <si>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</si>
  <si>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</si>
  <si>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</si>
  <si>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</si>
  <si>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</si>
  <si>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</si>
  <si>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</si>
  <si>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</si>
  <si>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</si>
  <si>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</si>
  <si>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</si>
  <si>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</si>
  <si>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</si>
  <si>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</si>
  <si>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</si>
  <si>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</si>
  <si>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</si>
  <si>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</si>
  <si>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</si>
  <si>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</si>
  <si>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</si>
  <si>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</si>
  <si>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</si>
  <si>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</si>
  <si>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</si>
  <si>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</si>
  <si>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</si>
  <si>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</si>
  <si>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</si>
  <si>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</si>
  <si>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</si>
  <si>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</si>
  <si>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</si>
  <si>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</si>
  <si>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</si>
  <si>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</si>
  <si>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</si>
  <si>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</si>
  <si>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</si>
  <si>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</si>
  <si>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</si>
  <si>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</si>
  <si>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</si>
  <si>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</si>
  <si>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</si>
  <si>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</si>
  <si>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</si>
  <si>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</si>
  <si>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</si>
  <si>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</si>
  <si>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</si>
  <si>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</si>
  <si>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</si>
  <si>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</si>
  <si>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</si>
  <si>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</si>
  <si>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</si>
  <si>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</si>
  <si>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</si>
  <si>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</si>
  <si>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</si>
  <si>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</si>
  <si>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</si>
  <si>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</si>
  <si>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</si>
  <si>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</si>
  <si>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</si>
  <si>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</si>
  <si>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</si>
  <si>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</si>
  <si>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</si>
  <si>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</si>
  <si>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</si>
  <si>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</si>
  <si>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</si>
  <si>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</si>
  <si>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</si>
  <si>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</si>
  <si>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</si>
  <si>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</si>
  <si>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</si>
  <si>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</si>
  <si>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</si>
  <si>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</si>
  <si>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</si>
  <si>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</si>
  <si>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</si>
  <si>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</si>
  <si>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</si>
  <si>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</si>
  <si>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</si>
  <si>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</si>
  <si>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</si>
  <si>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</si>
  <si>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</si>
  <si>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</si>
  <si>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</si>
  <si>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</si>
  <si>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</si>
  <si>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</si>
  <si>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</si>
  <si>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</si>
  <si>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</si>
  <si>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</si>
  <si>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</si>
  <si>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</si>
  <si>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</si>
  <si>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</si>
  <si>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</si>
  <si>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</si>
  <si>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</si>
  <si>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</si>
  <si>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</si>
  <si>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</si>
  <si>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</si>
  <si>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</si>
  <si>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</si>
  <si>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</si>
  <si>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</si>
  <si>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</si>
  <si>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</si>
  <si>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</si>
  <si>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</si>
  <si>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</si>
  <si>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</si>
  <si>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</si>
  <si>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</si>
  <si>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</si>
  <si>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</si>
  <si>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</si>
  <si>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</si>
  <si>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</si>
  <si>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</si>
  <si>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</si>
  <si>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</si>
  <si>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</si>
  <si>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</si>
  <si>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</si>
  <si>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</si>
  <si>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</si>
  <si>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</si>
  <si>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</si>
  <si>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</si>
  <si>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</si>
  <si>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</si>
  <si>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</si>
  <si>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</si>
  <si>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</si>
  <si>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</si>
  <si>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</si>
  <si>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</si>
  <si>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</si>
  <si>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</si>
  <si>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</si>
  <si>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</si>
  <si>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</si>
  <si>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</si>
  <si>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</si>
  <si>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</si>
  <si>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</si>
  <si>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</si>
  <si>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</si>
  <si>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</si>
  <si>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</si>
  <si>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</si>
  <si>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</si>
  <si>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</si>
  <si>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</si>
  <si>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</si>
  <si>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</si>
  <si>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</si>
  <si>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</si>
  <si>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</si>
  <si>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</si>
  <si>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</si>
  <si>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</si>
  <si>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</si>
  <si>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</si>
  <si>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</si>
  <si>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</si>
  <si>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</si>
  <si>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</si>
  <si>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</si>
  <si>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</si>
  <si>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</si>
  <si>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</si>
  <si>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</si>
  <si>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</si>
  <si>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</si>
  <si>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</si>
  <si>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</si>
  <si>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</si>
  <si>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</si>
  <si>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</si>
  <si>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</si>
  <si>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</si>
  <si>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</si>
  <si>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</si>
  <si>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</si>
  <si>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</si>
  <si>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</si>
  <si>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</si>
  <si>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</si>
  <si>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</si>
  <si>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</si>
  <si>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</si>
  <si>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</si>
  <si>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</si>
  <si>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</si>
  <si>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</si>
  <si>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</si>
  <si>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</si>
  <si>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</si>
  <si>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</si>
  <si>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</si>
  <si>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</si>
  <si>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</si>
  <si>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</si>
  <si>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</si>
  <si>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</si>
  <si>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</si>
  <si>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</si>
  <si>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</si>
  <si>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</si>
  <si>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</si>
  <si>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</si>
  <si>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</si>
  <si>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</si>
  <si>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</si>
  <si>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</si>
  <si>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</si>
  <si>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</si>
  <si>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</si>
  <si>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</si>
  <si>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</si>
  <si>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</si>
  <si>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</si>
  <si>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</si>
  <si>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</si>
  <si>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</si>
  <si>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</si>
  <si>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</si>
  <si>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</si>
  <si>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</si>
  <si>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</si>
  <si>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</si>
  <si>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</si>
  <si>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</si>
  <si>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</si>
  <si>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</si>
  <si>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</si>
  <si>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</si>
  <si>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</si>
  <si>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</si>
  <si>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</si>
  <si>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</si>
  <si>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</si>
  <si>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</si>
  <si>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</si>
  <si>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</si>
  <si>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</si>
  <si>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</si>
  <si>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</si>
  <si>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</si>
  <si>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</si>
  <si>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</si>
  <si>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</si>
  <si>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</si>
  <si>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</si>
  <si>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</si>
  <si>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</si>
  <si>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</si>
  <si>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</si>
  <si>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</si>
  <si>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</si>
  <si>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</si>
  <si>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</si>
  <si>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</si>
  <si>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</si>
  <si>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</si>
  <si>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</si>
  <si>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</si>
  <si>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</si>
  <si>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</si>
  <si>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</si>
  <si>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</si>
  <si>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</si>
  <si>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</si>
  <si>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</si>
  <si>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</si>
  <si>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</si>
  <si>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</si>
  <si>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</si>
  <si>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</si>
  <si>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</si>
  <si>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</si>
  <si>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</si>
  <si>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</si>
  <si>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</si>
  <si>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</si>
  <si>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</si>
  <si>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</si>
  <si>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</si>
  <si>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</si>
  <si>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</si>
  <si>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</si>
  <si>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</si>
  <si>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</si>
  <si>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</si>
  <si>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</si>
  <si>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</si>
  <si>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</si>
  <si>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</si>
  <si>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</si>
  <si>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</si>
  <si>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</si>
  <si>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</si>
  <si>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</si>
  <si>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</si>
  <si>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</si>
  <si>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</si>
  <si>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</si>
  <si>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</si>
  <si>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</si>
  <si>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</si>
  <si>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</si>
  <si>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</si>
  <si>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</si>
  <si>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</si>
  <si>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</si>
  <si>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</si>
  <si>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</si>
  <si>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</si>
  <si>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</si>
  <si>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</si>
  <si>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</si>
  <si>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</si>
  <si>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</si>
  <si>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</si>
  <si>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</si>
  <si>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</si>
  <si>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</si>
  <si>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</si>
  <si>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</si>
  <si>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</si>
  <si>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</si>
  <si>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</si>
  <si>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</si>
  <si>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</si>
  <si>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</si>
  <si>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</si>
  <si>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</si>
  <si>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</si>
  <si>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</si>
  <si>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</si>
  <si>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</si>
  <si>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</si>
  <si>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</si>
  <si>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</si>
  <si>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</si>
  <si>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</si>
  <si>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</si>
  <si>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</si>
  <si>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</si>
  <si>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</si>
  <si>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</si>
  <si>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</si>
  <si>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</si>
  <si>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</si>
  <si>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</si>
  <si>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</si>
  <si>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</si>
  <si>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</si>
  <si>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</si>
  <si>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</si>
  <si>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</si>
  <si>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</si>
  <si>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</si>
  <si>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</si>
  <si>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</si>
  <si>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</si>
  <si>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</si>
  <si>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</si>
  <si>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</si>
  <si>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</si>
  <si>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</si>
  <si>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</si>
  <si>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</si>
  <si>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</si>
  <si>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</si>
  <si>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</si>
  <si>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</si>
  <si>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</si>
  <si>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</si>
  <si>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</si>
  <si>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</si>
  <si>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</si>
  <si>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</si>
  <si>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</si>
  <si>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</si>
  <si>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</si>
  <si>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</si>
  <si>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</si>
  <si>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</si>
  <si>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</si>
  <si>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</si>
  <si>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</si>
  <si>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</si>
  <si>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</si>
  <si>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</si>
  <si>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</si>
  <si>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</si>
  <si>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</si>
  <si>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</si>
  <si>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</si>
  <si>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</si>
  <si>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</si>
  <si>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</si>
  <si>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</si>
  <si>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</si>
  <si>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</si>
  <si>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</si>
  <si>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</si>
  <si>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</si>
  <si>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</si>
  <si>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</si>
  <si>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</si>
  <si>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</si>
  <si>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</si>
  <si>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</si>
  <si>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</si>
  <si>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</si>
  <si>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</si>
  <si>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</si>
  <si>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</si>
  <si>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</si>
  <si>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</si>
  <si>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</si>
  <si>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</si>
  <si>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</si>
  <si>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</si>
  <si>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</si>
  <si>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</si>
  <si>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</si>
  <si>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</si>
  <si>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</si>
  <si>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</si>
  <si>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</si>
  <si>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</si>
  <si>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</si>
  <si>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</si>
  <si>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</si>
  <si>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</si>
  <si>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</si>
  <si>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</si>
  <si>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</si>
  <si>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</si>
  <si>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</si>
  <si>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</si>
  <si>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</si>
  <si>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</si>
  <si>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</si>
  <si>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</si>
  <si>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</si>
  <si>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</si>
  <si>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</si>
  <si>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</si>
  <si>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</si>
  <si>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</si>
  <si>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</si>
  <si>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</si>
  <si>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</si>
  <si>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</si>
  <si>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</si>
  <si>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</si>
  <si>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</si>
  <si>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</si>
  <si>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</si>
  <si>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</si>
  <si>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</si>
  <si>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</si>
  <si>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</si>
  <si>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</si>
  <si>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</si>
  <si>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</si>
  <si>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</si>
  <si>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</si>
  <si>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</si>
  <si>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</si>
  <si>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</si>
  <si>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</si>
  <si>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</si>
  <si>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</si>
  <si>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</si>
  <si>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</si>
  <si>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</si>
  <si>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</si>
  <si>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</si>
  <si>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</si>
  <si>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</si>
  <si>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</si>
  <si>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</si>
  <si>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</si>
  <si>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</si>
  <si>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</si>
  <si>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</si>
  <si>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</si>
  <si>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</si>
  <si>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</si>
  <si>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</si>
  <si>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</si>
  <si>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</si>
  <si>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</si>
  <si>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</si>
  <si>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</si>
  <si>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</si>
  <si>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</si>
  <si>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</si>
  <si>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</si>
  <si>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</si>
  <si>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</si>
  <si>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</si>
  <si>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</si>
  <si>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</si>
  <si>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</si>
  <si>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</si>
  <si>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</si>
  <si>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</si>
  <si>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</si>
  <si>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</si>
  <si>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</si>
  <si>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</si>
  <si>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</si>
  <si>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</si>
  <si>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</si>
  <si>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</si>
  <si>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</si>
  <si>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</si>
  <si>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</si>
  <si>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</si>
  <si>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</si>
  <si>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</si>
  <si>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</si>
  <si>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</si>
  <si>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</si>
  <si>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</si>
  <si>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</si>
  <si>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</si>
  <si>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</si>
  <si>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</si>
  <si>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</si>
  <si>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</si>
  <si>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</si>
  <si>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</si>
  <si>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</si>
  <si>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</si>
  <si>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</si>
  <si>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</si>
  <si>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</si>
  <si>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</si>
  <si>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</si>
  <si>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</si>
  <si>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</si>
  <si>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</si>
  <si>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</si>
  <si>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</si>
  <si>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</si>
  <si>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</si>
  <si>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</si>
  <si>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</si>
  <si>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</si>
  <si>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</si>
  <si>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</si>
  <si>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</si>
  <si>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</si>
  <si>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</si>
  <si>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</si>
  <si>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</si>
  <si>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</si>
  <si>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</si>
  <si>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</si>
  <si>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</si>
  <si>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</si>
  <si>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</si>
  <si>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</si>
  <si>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</si>
  <si>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</si>
  <si>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</si>
  <si>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</si>
  <si>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</si>
  <si>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</si>
  <si>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</si>
  <si>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</si>
  <si>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</si>
  <si>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</si>
  <si>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</si>
  <si>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</si>
  <si>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</si>
  <si>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</si>
  <si>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</si>
  <si>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</si>
  <si>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</si>
  <si>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</si>
  <si>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</si>
  <si>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</si>
  <si>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</si>
  <si>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</si>
  <si>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</si>
  <si>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</si>
  <si>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</si>
  <si>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</si>
  <si>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</si>
  <si>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</si>
  <si>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</si>
  <si>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</si>
  <si>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</si>
  <si>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</si>
  <si>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</si>
  <si>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</si>
  <si>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</si>
  <si>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</si>
  <si>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</si>
  <si>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</si>
  <si>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</si>
  <si>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</si>
  <si>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</si>
  <si>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</si>
  <si>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</si>
  <si>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</si>
  <si>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</si>
  <si>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</si>
  <si>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</si>
  <si>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</si>
  <si>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</si>
  <si>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</si>
  <si>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</si>
  <si>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</si>
  <si>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</si>
  <si>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</si>
  <si>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</si>
  <si>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</si>
  <si>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</si>
  <si>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</si>
  <si>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</si>
  <si>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</si>
  <si>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</si>
  <si>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</si>
  <si>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</si>
  <si>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</si>
  <si>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</si>
  <si>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</si>
  <si>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</si>
  <si>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</si>
  <si>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</si>
  <si>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</si>
  <si>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</si>
  <si>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</si>
  <si>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</si>
  <si>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</si>
  <si>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</si>
  <si>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</si>
  <si>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</si>
  <si>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</si>
  <si>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</si>
  <si>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</si>
  <si>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</si>
  <si>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</si>
  <si>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</si>
  <si>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</si>
  <si>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</si>
  <si>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</si>
  <si>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</si>
  <si>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</si>
  <si>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</si>
  <si>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</si>
  <si>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</si>
  <si>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</si>
  <si>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</si>
  <si>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</si>
  <si>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</si>
  <si>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</si>
  <si>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</si>
  <si>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</si>
  <si>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</si>
  <si>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</si>
  <si>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</si>
  <si>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</si>
  <si>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</si>
  <si>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</si>
  <si>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</si>
  <si>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</si>
  <si>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</si>
  <si>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</si>
  <si>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</si>
  <si>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</si>
  <si>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</si>
  <si>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</si>
  <si>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</si>
  <si>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</si>
  <si>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</si>
  <si>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</si>
  <si>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</si>
  <si>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</si>
  <si>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</si>
  <si>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</si>
  <si>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</si>
  <si>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</si>
  <si>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</si>
  <si>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</si>
  <si>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</si>
  <si>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</si>
  <si>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</si>
  <si>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</si>
  <si>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</si>
  <si>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</si>
  <si>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</si>
  <si>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</si>
  <si>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</si>
  <si>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</si>
  <si>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</si>
  <si>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</si>
  <si>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</si>
  <si>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</si>
  <si>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</si>
  <si>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</si>
  <si>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</si>
  <si>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</si>
  <si>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</si>
  <si>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</si>
  <si>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</si>
  <si>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</si>
  <si>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</si>
  <si>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</si>
  <si>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</si>
  <si>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</si>
  <si>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</si>
  <si>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</si>
  <si>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</si>
  <si>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</si>
  <si>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</si>
  <si>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</si>
  <si>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</si>
  <si>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</si>
  <si>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</si>
  <si>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</si>
  <si>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</si>
  <si>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</si>
  <si>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</si>
  <si>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</si>
  <si>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</si>
  <si>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</si>
  <si>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</si>
  <si>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</si>
  <si>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</si>
  <si>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</si>
  <si>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</si>
  <si>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</si>
  <si>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</si>
  <si>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</si>
  <si>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</si>
  <si>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</si>
  <si>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</si>
  <si>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</si>
  <si>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</si>
  <si>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</si>
  <si>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</si>
  <si>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</si>
  <si>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</si>
  <si>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</si>
  <si>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</si>
  <si>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</si>
  <si>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</si>
  <si>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</si>
  <si>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</si>
  <si>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</si>
  <si>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</si>
  <si>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</si>
  <si>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</si>
  <si>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</si>
  <si>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</si>
  <si>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</si>
  <si>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</si>
  <si>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</si>
  <si>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</si>
  <si>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</si>
  <si>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</si>
  <si>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</si>
  <si>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</si>
  <si>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</si>
  <si>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</si>
  <si>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</si>
  <si>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</si>
  <si>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</si>
  <si>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</si>
  <si>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</si>
  <si>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</si>
  <si>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</si>
  <si>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</si>
  <si>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</si>
  <si>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</si>
  <si>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</si>
  <si>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</si>
  <si>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</si>
  <si>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</si>
  <si>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</si>
  <si>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</si>
  <si>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</si>
  <si>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</si>
  <si>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</si>
  <si>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</si>
  <si>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</si>
  <si>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</si>
  <si>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</si>
  <si>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</si>
  <si>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</si>
  <si>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</si>
  <si>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</si>
  <si>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</si>
  <si>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</si>
  <si>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</si>
  <si>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</si>
  <si>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</si>
  <si>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</si>
  <si>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</si>
  <si>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</si>
  <si>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</si>
  <si>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</si>
  <si>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</si>
  <si>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</si>
  <si>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</si>
  <si>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</si>
  <si>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</si>
  <si>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</si>
  <si>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</si>
  <si>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</si>
  <si>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</si>
  <si>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</si>
  <si>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</si>
  <si>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</si>
  <si>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</si>
  <si>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</si>
  <si>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</si>
  <si>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</si>
  <si>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</si>
  <si>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</si>
  <si>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</si>
  <si>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</si>
  <si>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</si>
  <si>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</si>
  <si>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</si>
  <si>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</si>
  <si>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</si>
  <si>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</si>
  <si>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</si>
  <si>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</si>
  <si>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</si>
  <si>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</si>
  <si>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</si>
  <si>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</si>
  <si>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</si>
  <si>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</si>
  <si>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</si>
  <si>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</si>
  <si>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</si>
  <si>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</si>
  <si>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</si>
  <si>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</si>
  <si>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</si>
  <si>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</si>
  <si>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</si>
  <si>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</si>
  <si>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</si>
  <si>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</si>
  <si>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</si>
  <si>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</si>
  <si>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</si>
  <si>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</si>
  <si>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</si>
  <si>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</si>
  <si>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</si>
  <si>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</si>
  <si>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</si>
  <si>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</si>
  <si>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</si>
  <si>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</si>
  <si>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</si>
  <si>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</si>
  <si>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</si>
  <si>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</si>
  <si>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</si>
  <si>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</si>
  <si>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</si>
  <si>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</si>
  <si>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</si>
  <si>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</si>
  <si>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</si>
  <si>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</si>
  <si>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</si>
  <si>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</si>
  <si>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</si>
  <si>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</si>
  <si>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</si>
  <si>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</si>
  <si>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</si>
  <si>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</si>
  <si>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</si>
  <si>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</si>
  <si>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</si>
  <si>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</si>
  <si>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</si>
  <si>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</si>
  <si>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</si>
  <si>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</si>
  <si>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</si>
  <si>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</si>
  <si>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</si>
  <si>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</si>
  <si>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</si>
  <si>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</si>
  <si>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</si>
  <si>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</si>
  <si>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</si>
  <si>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</si>
  <si>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</si>
  <si>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</si>
  <si>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</si>
  <si>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</si>
  <si>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</si>
  <si>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</si>
  <si>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</si>
  <si>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</si>
  <si>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</si>
  <si>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</si>
  <si>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</si>
  <si>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</si>
  <si>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</si>
  <si>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</si>
  <si>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</si>
  <si>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</si>
  <si>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</si>
  <si>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</si>
  <si>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</si>
  <si>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</si>
  <si>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</si>
  <si>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</si>
  <si>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</si>
  <si>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</si>
  <si>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</si>
  <si>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</si>
  <si>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</si>
  <si>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</si>
  <si>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</si>
  <si>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</si>
  <si>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</si>
  <si>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</si>
  <si>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</si>
  <si>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</si>
  <si>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</si>
  <si>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</si>
  <si>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</si>
  <si>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</si>
  <si>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</si>
  <si>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</si>
  <si>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</si>
  <si>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</si>
  <si>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</si>
  <si>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</si>
  <si>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</si>
  <si>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</si>
  <si>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</si>
  <si>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</si>
  <si>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</si>
  <si>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</si>
  <si>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</si>
  <si>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</si>
  <si>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</si>
  <si>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</si>
  <si>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</si>
  <si>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</si>
  <si>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</si>
  <si>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</si>
  <si>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</si>
  <si>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</si>
  <si>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</si>
  <si>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</si>
  <si>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</si>
  <si>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</si>
  <si>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</si>
  <si>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</si>
  <si>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</si>
  <si>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</si>
  <si>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</si>
  <si>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</si>
  <si>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</si>
  <si>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</si>
  <si>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</si>
  <si>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</si>
  <si>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</si>
  <si>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</si>
  <si>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</si>
  <si>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</si>
  <si>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</si>
  <si>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</si>
  <si>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</si>
  <si>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</si>
  <si>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</si>
  <si>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</si>
  <si>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</si>
  <si>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</si>
  <si>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</si>
  <si>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</si>
  <si>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</si>
  <si>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</si>
  <si>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</si>
  <si>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</si>
  <si>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</si>
  <si>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</si>
  <si>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</si>
  <si>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</si>
  <si>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</si>
  <si>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</si>
  <si>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</si>
  <si>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</si>
  <si>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</si>
  <si>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</si>
  <si>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</si>
  <si>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</si>
  <si>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</si>
  <si>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</si>
  <si>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</si>
  <si>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</si>
  <si>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</si>
  <si>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</si>
  <si>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</si>
  <si>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</si>
  <si>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</si>
  <si>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</si>
  <si>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</si>
  <si>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</si>
  <si>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</si>
  <si>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</si>
  <si>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</si>
  <si>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</si>
  <si>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</si>
  <si>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</si>
  <si>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</si>
  <si>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</si>
  <si>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</si>
  <si>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</si>
  <si>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</si>
  <si>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</si>
  <si>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</si>
  <si>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</si>
  <si>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</si>
  <si>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</si>
  <si>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</si>
  <si>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</si>
  <si>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</si>
  <si>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</si>
  <si>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</si>
  <si>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</si>
  <si>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</si>
  <si>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</si>
  <si>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</si>
  <si>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</si>
  <si>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</si>
  <si>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</si>
  <si>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</si>
  <si>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</si>
  <si>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</si>
  <si>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</si>
  <si>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</si>
  <si>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</si>
  <si>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</si>
  <si>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</si>
  <si>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</si>
  <si>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</si>
  <si>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</si>
  <si>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</si>
  <si>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</si>
  <si>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</si>
  <si>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</si>
  <si>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</si>
  <si>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</si>
  <si>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</si>
  <si>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</si>
  <si>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</si>
  <si>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</si>
  <si>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</si>
  <si>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</si>
  <si>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</si>
  <si>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</si>
  <si>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</si>
  <si>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</si>
  <si>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</si>
  <si>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</si>
  <si>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</si>
  <si>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</si>
  <si>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</si>
  <si>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</si>
  <si>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</si>
  <si>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</si>
  <si>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</si>
  <si>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</si>
  <si>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</si>
  <si>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</si>
  <si>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</si>
  <si>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</si>
  <si>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</si>
  <si>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</si>
  <si>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</si>
  <si>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</si>
  <si>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</si>
  <si>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</si>
  <si>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</si>
  <si>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</si>
  <si>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</si>
  <si>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</si>
  <si>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</si>
  <si>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</si>
  <si>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</si>
  <si>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</si>
  <si>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</si>
  <si>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</si>
  <si>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</si>
  <si>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</si>
  <si>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</si>
  <si>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</si>
  <si>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</si>
  <si>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</si>
  <si>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</si>
  <si>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</si>
  <si>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</si>
  <si>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</si>
  <si>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</si>
  <si>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</si>
  <si>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</si>
  <si>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</si>
  <si>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</si>
  <si>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</si>
  <si>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</si>
  <si>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</si>
  <si>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</si>
  <si>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</si>
  <si>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</si>
  <si>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</si>
  <si>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</si>
  <si>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</si>
  <si>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</si>
  <si>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</si>
  <si>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</si>
  <si>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</si>
  <si>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</si>
  <si>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</si>
  <si>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</si>
  <si>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</si>
  <si>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</si>
  <si>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</si>
  <si>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</si>
  <si>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</si>
  <si>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</si>
  <si>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</si>
  <si>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</si>
  <si>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</si>
  <si>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</si>
  <si>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</si>
  <si>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</si>
  <si>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</si>
  <si>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</si>
  <si>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</si>
  <si>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</si>
  <si>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</si>
  <si>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</si>
  <si>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</si>
  <si>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</si>
  <si>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</si>
  <si>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</si>
  <si>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</si>
  <si>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</si>
  <si>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</si>
  <si>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</si>
  <si>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</si>
  <si>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</si>
  <si>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</si>
  <si>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</si>
  <si>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</si>
  <si>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</si>
  <si>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</si>
  <si>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</si>
  <si>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</si>
  <si>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</si>
  <si>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</si>
  <si>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</si>
  <si>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</si>
  <si>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</si>
  <si>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</si>
  <si>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</si>
  <si>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</si>
  <si>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</si>
  <si>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</si>
  <si>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</si>
  <si>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</si>
  <si>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</si>
  <si>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</si>
  <si>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</si>
  <si>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</si>
  <si>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</si>
  <si>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</si>
  <si>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</si>
  <si>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</si>
  <si>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</si>
  <si>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</si>
  <si>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</si>
  <si>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</si>
  <si>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</si>
  <si>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</si>
  <si>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</si>
  <si>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</si>
  <si>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</si>
  <si>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</si>
  <si>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</si>
  <si>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</si>
  <si>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</si>
  <si>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</si>
  <si>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</si>
  <si>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</si>
  <si>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</si>
  <si>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</si>
  <si>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</si>
  <si>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</si>
  <si>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</si>
  <si>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</si>
  <si>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</si>
  <si>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</si>
  <si>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</si>
  <si>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</si>
  <si>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</si>
  <si>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</si>
  <si>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</si>
  <si>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</si>
  <si>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</si>
  <si>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</si>
  <si>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</si>
  <si>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</si>
  <si>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</si>
  <si>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</si>
  <si>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</si>
  <si>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</si>
  <si>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</si>
  <si>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</si>
  <si>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</si>
  <si>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</si>
  <si>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</si>
  <si>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</si>
  <si>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</si>
  <si>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</si>
  <si>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</si>
  <si>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</si>
  <si>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</si>
  <si>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</si>
  <si>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</si>
  <si>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</si>
  <si>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</si>
  <si>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</si>
  <si>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</si>
  <si>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</si>
  <si>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</si>
  <si>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</si>
  <si>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</si>
  <si>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</si>
  <si>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</si>
  <si>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</si>
  <si>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</si>
  <si>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</si>
  <si>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</si>
  <si>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</si>
  <si>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</si>
  <si>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</si>
  <si>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</si>
  <si>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</si>
  <si>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</si>
  <si>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</si>
  <si>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</si>
  <si>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</si>
  <si>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</si>
  <si>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</si>
  <si>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</si>
  <si>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</si>
  <si>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</si>
  <si>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</si>
  <si>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</si>
  <si>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</si>
  <si>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</si>
  <si>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</si>
  <si>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</si>
  <si>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</si>
  <si>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</si>
  <si>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</si>
  <si>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</si>
  <si>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</si>
  <si>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</si>
  <si>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</si>
  <si>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</si>
  <si>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</si>
  <si>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</si>
  <si>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</si>
  <si>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</si>
  <si>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</si>
  <si>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</si>
  <si>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</si>
  <si>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</si>
  <si>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</si>
  <si>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</si>
  <si>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</si>
  <si>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</si>
  <si>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</si>
  <si>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</si>
  <si>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</si>
  <si>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</si>
  <si>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</si>
  <si>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</si>
  <si>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</si>
  <si>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</si>
  <si>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</si>
  <si>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</si>
  <si>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</si>
  <si>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</si>
  <si>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</si>
  <si>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</si>
  <si>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</si>
  <si>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</si>
  <si>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</si>
  <si>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</si>
  <si>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</si>
  <si>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</si>
  <si>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</si>
  <si>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</si>
  <si>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</si>
  <si>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</si>
  <si>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</si>
  <si>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</si>
  <si>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</si>
  <si>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</si>
  <si>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</si>
  <si>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</si>
  <si>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</si>
  <si>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</si>
  <si>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</si>
  <si>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</si>
  <si>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</si>
  <si>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</si>
  <si>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</si>
  <si>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</si>
  <si>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</si>
  <si>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</si>
  <si>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</si>
  <si>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</si>
  <si>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</si>
  <si>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</si>
  <si>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</si>
  <si>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</si>
  <si>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</si>
  <si>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</si>
  <si>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</si>
  <si>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</si>
  <si>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</si>
  <si>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</si>
  <si>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</si>
  <si>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</si>
  <si>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</si>
  <si>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</si>
  <si>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</si>
  <si>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</si>
  <si>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</si>
  <si>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</si>
  <si>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</si>
  <si>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</si>
  <si>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</si>
  <si>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</si>
  <si>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</si>
  <si>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</si>
  <si>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</si>
  <si>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</si>
  <si>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</si>
  <si>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</si>
  <si>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</si>
  <si>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</si>
  <si>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</si>
  <si>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</si>
  <si>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</si>
  <si>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</si>
  <si>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</si>
  <si>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</si>
  <si>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</si>
  <si>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</si>
  <si>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</si>
  <si>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</si>
  <si>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</si>
  <si>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</si>
  <si>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</si>
  <si>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</si>
  <si>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</si>
  <si>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</si>
  <si>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</si>
  <si>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</si>
  <si>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</si>
  <si>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</si>
  <si>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</si>
  <si>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</si>
  <si>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</si>
  <si>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</si>
  <si>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</si>
  <si>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</si>
  <si>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</si>
  <si>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</si>
  <si>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</si>
  <si>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</si>
  <si>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</si>
  <si>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</si>
  <si>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</si>
  <si>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</si>
  <si>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</si>
  <si>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</si>
  <si>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</si>
  <si>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</si>
  <si>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</si>
  <si>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</si>
  <si>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</si>
  <si>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</si>
  <si>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</si>
  <si>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</si>
  <si>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</si>
  <si>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</si>
  <si>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</si>
  <si>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</si>
  <si>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</si>
  <si>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</si>
  <si>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</si>
  <si>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</si>
  <si>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</si>
  <si>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</si>
  <si>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</si>
  <si>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</si>
  <si>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</si>
  <si>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</si>
  <si>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</si>
  <si>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</si>
  <si>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</si>
  <si>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</si>
  <si>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</si>
  <si>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</si>
  <si>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</si>
  <si>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</si>
  <si>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</si>
  <si>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</si>
  <si>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</si>
  <si>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</si>
  <si>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</si>
  <si>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</si>
  <si>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</si>
  <si>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</si>
  <si>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</si>
  <si>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</si>
  <si>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</si>
  <si>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</si>
  <si>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</si>
  <si>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</si>
  <si>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</si>
  <si>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</si>
  <si>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</si>
  <si>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</si>
  <si>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</si>
  <si>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</si>
  <si>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</si>
  <si>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</si>
  <si>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</si>
  <si>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</si>
  <si>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</si>
  <si>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</si>
  <si>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</si>
  <si>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</si>
  <si>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</si>
  <si>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</si>
  <si>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</si>
  <si>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</si>
  <si>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</si>
  <si>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</si>
  <si>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</si>
  <si>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</si>
  <si>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</si>
  <si>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</si>
  <si>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</si>
  <si>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</si>
  <si>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</si>
  <si>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</si>
  <si>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</si>
  <si>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</si>
  <si>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</si>
  <si>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</si>
  <si>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</si>
  <si>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</si>
  <si>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</si>
  <si>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</si>
  <si>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</si>
  <si>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</si>
  <si>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</si>
  <si>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</si>
  <si>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</si>
  <si>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</si>
  <si>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</si>
  <si>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</si>
  <si>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</si>
  <si>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</si>
  <si>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</si>
  <si>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</si>
  <si>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</si>
  <si>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</si>
  <si>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</si>
  <si>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</si>
  <si>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</si>
  <si>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</si>
  <si>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</si>
  <si>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</si>
  <si>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</si>
  <si>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</si>
  <si>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</si>
  <si>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</si>
  <si>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</si>
  <si>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</si>
  <si>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</si>
  <si>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</si>
  <si>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</si>
  <si>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</si>
  <si>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</si>
  <si>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</si>
  <si>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</si>
  <si>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</si>
  <si>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</si>
  <si>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</si>
  <si>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</si>
  <si>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</si>
  <si>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</si>
  <si>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</si>
  <si>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</si>
  <si>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</si>
  <si>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</si>
  <si>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</si>
  <si>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</si>
  <si>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</si>
  <si>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</si>
  <si>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</si>
  <si>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</si>
  <si>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</si>
  <si>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</si>
  <si>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</si>
  <si>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</si>
  <si>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</si>
  <si>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</si>
  <si>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</si>
  <si>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</si>
  <si>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</si>
  <si>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</si>
  <si>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</si>
  <si>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</si>
  <si>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</si>
  <si>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</si>
  <si>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</si>
  <si>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</si>
  <si>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</si>
  <si>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</si>
  <si>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</si>
  <si>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</si>
  <si>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</si>
  <si>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</si>
  <si>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</si>
  <si>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</si>
  <si>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</si>
  <si>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</si>
  <si>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</si>
  <si>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</si>
  <si>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</si>
  <si>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</si>
  <si>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</si>
  <si>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</si>
  <si>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</si>
  <si>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</si>
  <si>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</si>
  <si>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</si>
  <si>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</si>
  <si>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</si>
  <si>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</si>
  <si>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</si>
  <si>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</si>
  <si>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</si>
  <si>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</si>
  <si>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</si>
  <si>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</si>
  <si>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</si>
  <si>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</si>
  <si>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</si>
  <si>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</si>
  <si>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</si>
  <si>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</si>
  <si>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</si>
  <si>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</si>
  <si>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</si>
  <si>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</si>
  <si>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</si>
  <si>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</si>
  <si>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</si>
  <si>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</si>
  <si>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</si>
  <si>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</si>
  <si>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</si>
  <si>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</si>
  <si>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</si>
  <si>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</si>
  <si>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</si>
  <si>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</si>
  <si>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</si>
  <si>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</si>
  <si>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</si>
  <si>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</si>
  <si>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</si>
  <si>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</si>
  <si>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</si>
  <si>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</si>
  <si>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</si>
  <si>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</si>
  <si>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</si>
  <si>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</si>
  <si>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</si>
  <si>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</si>
  <si>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</si>
  <si>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</si>
  <si>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</si>
  <si>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</si>
  <si>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</si>
  <si>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</si>
  <si>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</si>
  <si>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</si>
  <si>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</si>
  <si>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</si>
  <si>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</si>
  <si>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</si>
  <si>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</si>
  <si>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</si>
  <si>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</si>
  <si>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</si>
  <si>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</si>
  <si>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</si>
  <si>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</si>
  <si>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</si>
  <si>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</si>
  <si>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</si>
  <si>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</si>
  <si>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</si>
  <si>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</si>
  <si>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</si>
  <si>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</si>
  <si>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</si>
  <si>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</si>
  <si>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</si>
  <si>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</si>
  <si>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</si>
  <si>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</si>
  <si>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</si>
  <si>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</si>
  <si>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</si>
  <si>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</si>
  <si>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</si>
  <si>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</si>
  <si>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</si>
  <si>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</si>
  <si>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</si>
  <si>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</si>
  <si>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</si>
  <si>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</si>
  <si>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</si>
  <si>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</si>
  <si>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</si>
  <si>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</si>
  <si>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</si>
  <si>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</si>
  <si>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</si>
  <si>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</si>
  <si>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</si>
  <si>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</si>
  <si>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</si>
  <si>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</si>
  <si>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</si>
  <si>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</si>
  <si>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</si>
  <si>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</si>
  <si>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</si>
  <si>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</si>
  <si>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</si>
  <si>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</si>
  <si>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</si>
  <si>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</si>
  <si>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</si>
  <si>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</si>
  <si>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</si>
  <si>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</si>
  <si>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</si>
  <si>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</si>
  <si>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</si>
  <si>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</si>
  <si>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</si>
  <si>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</si>
  <si>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</si>
  <si>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</si>
  <si>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</si>
  <si>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</si>
  <si>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</si>
  <si>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</si>
  <si>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</si>
  <si>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</si>
  <si>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</si>
  <si>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</si>
  <si>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</si>
  <si>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</si>
  <si>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</si>
  <si>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</si>
  <si>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</si>
  <si>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</si>
  <si>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</si>
  <si>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</si>
  <si>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</si>
  <si>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</si>
  <si>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</si>
  <si>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</si>
  <si>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</si>
  <si>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</si>
  <si>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</si>
  <si>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</si>
  <si>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</si>
  <si>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</si>
  <si>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</si>
  <si>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</si>
  <si>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</si>
  <si>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</si>
  <si>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</si>
  <si>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</si>
  <si>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</si>
  <si>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</si>
  <si>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</si>
  <si>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</si>
  <si>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</si>
  <si>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</si>
  <si>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</si>
  <si>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</si>
  <si>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</si>
  <si>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</si>
  <si>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</si>
  <si>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</si>
  <si>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</si>
  <si>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</si>
  <si>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</si>
  <si>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</si>
  <si>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</si>
  <si>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</si>
  <si>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</si>
  <si>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</si>
  <si>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</si>
  <si>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</si>
  <si>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</si>
  <si>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</si>
  <si>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</si>
  <si>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</si>
  <si>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</si>
  <si>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</si>
  <si>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</si>
  <si>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</si>
  <si>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</si>
  <si>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</si>
  <si>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</si>
  <si>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</si>
  <si>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</si>
  <si>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</si>
  <si>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</si>
  <si>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</si>
  <si>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</si>
  <si>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</si>
  <si>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</si>
  <si>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</si>
  <si>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</si>
  <si>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</si>
  <si>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</si>
  <si>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</si>
  <si>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</si>
  <si>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</si>
  <si>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</si>
  <si>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</si>
  <si>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</si>
  <si>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</si>
  <si>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</si>
  <si>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</si>
  <si>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</si>
  <si>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</si>
  <si>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</si>
  <si>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</si>
  <si>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</si>
  <si>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</si>
  <si>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</si>
  <si>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</si>
  <si>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</si>
  <si>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</si>
  <si>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</si>
  <si>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</si>
  <si>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</si>
  <si>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</si>
  <si>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</si>
  <si>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</si>
  <si>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</si>
  <si>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</si>
  <si>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</si>
  <si>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</si>
  <si>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</si>
  <si>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</si>
  <si>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</si>
  <si>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</si>
  <si>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</si>
  <si>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</si>
  <si>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</si>
  <si>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</si>
  <si>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</si>
  <si>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</si>
  <si>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</si>
  <si>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</si>
  <si>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</si>
  <si>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</si>
  <si>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</si>
  <si>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</si>
  <si>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</si>
  <si>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</si>
  <si>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</si>
  <si>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</si>
  <si>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</si>
  <si>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</si>
  <si>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</si>
  <si>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</si>
  <si>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</si>
  <si>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</si>
  <si>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</si>
  <si>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</si>
  <si>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</si>
  <si>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</si>
  <si>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</si>
  <si>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</si>
  <si>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</si>
  <si>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</si>
  <si>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</si>
  <si>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</si>
  <si>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</si>
  <si>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</si>
  <si>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</si>
  <si>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</si>
  <si>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</si>
  <si>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</si>
  <si>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</si>
  <si>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</si>
  <si>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</si>
  <si>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</si>
  <si>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</si>
  <si>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</si>
  <si>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</si>
  <si>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</si>
  <si>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</si>
  <si>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</si>
  <si>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</si>
  <si>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</si>
  <si>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</si>
  <si>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</si>
  <si>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</si>
  <si>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</si>
  <si>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</si>
  <si>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</si>
  <si>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</si>
  <si>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</si>
  <si>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</si>
  <si>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</si>
  <si>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</si>
  <si>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</si>
  <si>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</si>
  <si>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</si>
  <si>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</si>
  <si>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</si>
  <si>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</si>
  <si>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</si>
  <si>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</si>
  <si>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</si>
  <si>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</si>
  <si>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</si>
  <si>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</si>
  <si>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</si>
  <si>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</si>
  <si>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</si>
  <si>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</si>
  <si>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</si>
  <si>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</si>
  <si>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</si>
  <si>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</si>
  <si>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</si>
  <si>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</si>
  <si>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</si>
  <si>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</si>
  <si>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</si>
  <si>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</si>
  <si>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</si>
  <si>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</si>
  <si>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</si>
  <si>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</si>
  <si>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</si>
  <si>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</si>
  <si>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</si>
  <si>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</si>
  <si>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</si>
  <si>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</si>
  <si>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</si>
  <si>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</si>
  <si>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</si>
  <si>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</si>
  <si>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</si>
  <si>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</si>
  <si>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</si>
  <si>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</si>
  <si>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</si>
  <si>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</si>
  <si>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</si>
  <si>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</si>
  <si>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</si>
  <si>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</si>
  <si>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</si>
  <si>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</si>
  <si>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</si>
  <si>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</si>
  <si>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</si>
  <si>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</si>
  <si>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</si>
  <si>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</si>
  <si>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</si>
  <si>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</si>
  <si>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</si>
  <si>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</si>
  <si>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</si>
  <si>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</si>
  <si>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</si>
  <si>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</si>
  <si>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</si>
  <si>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</si>
  <si>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</si>
  <si>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</si>
  <si>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</si>
  <si>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</si>
  <si>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</si>
  <si>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</si>
  <si>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</si>
  <si>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</si>
  <si>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</si>
  <si>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</si>
  <si>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</si>
  <si>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</si>
  <si>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</si>
  <si>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</si>
  <si>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</si>
  <si>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</si>
  <si>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</si>
  <si>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</si>
  <si>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</si>
  <si>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</si>
  <si>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</si>
  <si>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</si>
  <si>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</si>
  <si>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</si>
  <si>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</si>
  <si>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</si>
  <si>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</si>
  <si>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</si>
  <si>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</si>
  <si>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</si>
  <si>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</si>
  <si>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</si>
  <si>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</si>
  <si>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</si>
  <si>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</si>
  <si>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</si>
  <si>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</si>
  <si>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</si>
  <si>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</si>
  <si>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</si>
  <si>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</si>
  <si>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</si>
  <si>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</si>
  <si>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</si>
  <si>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</si>
  <si>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</si>
  <si>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</si>
  <si>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</si>
  <si>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</si>
  <si>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</si>
  <si>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</si>
  <si>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</si>
  <si>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</si>
  <si>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</si>
  <si>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</si>
  <si>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</si>
  <si>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</si>
  <si>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</si>
  <si>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</si>
  <si>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</si>
  <si>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</si>
  <si>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</si>
  <si>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</si>
  <si>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</si>
  <si>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</si>
  <si>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</si>
  <si>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</si>
  <si>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</si>
  <si>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</si>
  <si>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</si>
  <si>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</si>
  <si>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</si>
  <si>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</si>
  <si>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</si>
  <si>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</si>
  <si>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</si>
  <si>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</si>
  <si>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</si>
  <si>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</si>
  <si>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</si>
  <si>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</si>
  <si>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</si>
  <si>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</si>
  <si>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</si>
  <si>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</si>
  <si>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</si>
  <si>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</si>
  <si>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</si>
  <si>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</si>
  <si>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</si>
  <si>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</si>
  <si>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</si>
  <si>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</si>
  <si>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</si>
  <si>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</si>
  <si>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</si>
  <si>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</si>
  <si>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</si>
  <si>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</si>
  <si>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</si>
  <si>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</si>
  <si>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</si>
  <si>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</si>
  <si>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</si>
  <si>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</si>
  <si>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</si>
  <si>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</si>
  <si>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</si>
  <si>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</si>
  <si>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</si>
  <si>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</si>
  <si>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</si>
  <si>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</si>
  <si>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</si>
  <si>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</si>
  <si>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</si>
  <si>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</si>
  <si>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</si>
  <si>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</si>
  <si>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</si>
  <si>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</si>
  <si>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</si>
  <si>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</si>
  <si>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</si>
  <si>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</si>
  <si>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</si>
  <si>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</si>
  <si>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</si>
  <si>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</si>
  <si>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</si>
  <si>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</si>
  <si>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</si>
  <si>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</si>
  <si>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</si>
  <si>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</si>
  <si>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</si>
  <si>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</si>
  <si>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</si>
  <si>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</si>
  <si>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</si>
  <si>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</si>
  <si>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</si>
  <si>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</si>
  <si>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</si>
  <si>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</si>
  <si>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</si>
  <si>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</si>
  <si>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</si>
  <si>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</si>
  <si>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</si>
  <si>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</si>
  <si>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</si>
  <si>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</si>
  <si>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</si>
  <si>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</si>
  <si>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</si>
  <si>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</si>
  <si>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</si>
  <si>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</si>
  <si>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</si>
  <si>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</si>
  <si>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</si>
  <si>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</si>
  <si>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</si>
  <si>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</si>
  <si>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</si>
  <si>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</si>
  <si>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</si>
  <si>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</si>
  <si>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</si>
  <si>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</si>
  <si>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</si>
  <si>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</si>
  <si>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</si>
  <si>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</si>
  <si>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</si>
  <si>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</si>
  <si>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</si>
  <si>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</si>
  <si>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</si>
  <si>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</si>
  <si>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</si>
  <si>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</si>
  <si>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</si>
  <si>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</si>
  <si>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</si>
  <si>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</si>
  <si>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</si>
  <si>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</si>
  <si>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</si>
  <si>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</si>
  <si>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</si>
  <si>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</si>
  <si>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</si>
  <si>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</si>
  <si>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</si>
  <si>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</si>
  <si>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</si>
  <si>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</si>
  <si>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</si>
  <si>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</si>
  <si>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</si>
  <si>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</si>
  <si>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</si>
  <si>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</si>
  <si>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</si>
  <si>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</si>
  <si>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</si>
  <si>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</si>
  <si>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</si>
  <si>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</si>
  <si>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</si>
  <si>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</si>
  <si>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</si>
  <si>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</si>
  <si>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</si>
  <si>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</si>
  <si>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</si>
  <si>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</si>
  <si>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</si>
  <si>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</si>
  <si>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</si>
  <si>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</si>
  <si>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</si>
  <si>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</si>
  <si>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</si>
  <si>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</si>
  <si>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</si>
  <si>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</si>
  <si>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</si>
  <si>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</si>
  <si>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</si>
  <si>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</si>
  <si>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</si>
  <si>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</si>
  <si>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</si>
  <si>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</si>
  <si>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</si>
  <si>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</si>
  <si>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</si>
  <si>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</si>
  <si>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</si>
  <si>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</si>
  <si>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</si>
  <si>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</si>
  <si>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</si>
  <si>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</si>
  <si>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</si>
  <si>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</si>
  <si>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</si>
  <si>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</si>
  <si>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</si>
  <si>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</si>
  <si>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</si>
  <si>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</si>
  <si>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</si>
  <si>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</si>
  <si>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</si>
  <si>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</si>
  <si>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</si>
  <si>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</si>
  <si>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</si>
  <si>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</si>
  <si>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</si>
  <si>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</si>
  <si>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</si>
  <si>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</si>
  <si>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</si>
  <si>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</si>
  <si>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</si>
  <si>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</si>
  <si>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</si>
  <si>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</si>
  <si>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</si>
  <si>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</si>
  <si>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</si>
  <si>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</si>
  <si>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</si>
  <si>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</si>
  <si>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</si>
  <si>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</si>
  <si>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</si>
  <si>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</si>
  <si>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</si>
  <si>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</si>
  <si>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</si>
  <si>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</si>
  <si>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</si>
  <si>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</si>
  <si>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</si>
  <si>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</si>
  <si>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</si>
  <si>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</si>
  <si>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</si>
  <si>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</si>
  <si>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</si>
  <si>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</si>
  <si>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</si>
  <si>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</si>
  <si>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</si>
  <si>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</si>
  <si>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</si>
  <si>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</si>
  <si>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</si>
  <si>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</si>
  <si>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</si>
  <si>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</si>
  <si>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</si>
  <si>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</si>
  <si>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</si>
  <si>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</si>
  <si>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</si>
  <si>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</si>
  <si>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</si>
  <si>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</si>
  <si>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</si>
  <si>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</si>
  <si>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</si>
  <si>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</si>
  <si>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</si>
  <si>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</si>
  <si>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</si>
  <si>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</si>
  <si>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</si>
  <si>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</si>
  <si>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</si>
  <si>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</si>
  <si>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</si>
  <si>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</si>
  <si>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</si>
  <si>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</si>
  <si>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</si>
  <si>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</si>
  <si>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</si>
  <si>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</si>
  <si>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</si>
  <si>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</si>
  <si>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</si>
  <si>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</si>
  <si>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</si>
  <si>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</si>
  <si>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</si>
  <si>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</si>
  <si>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</si>
  <si>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</si>
  <si>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</si>
  <si>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</si>
  <si>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</si>
  <si>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</si>
  <si>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</si>
  <si>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</si>
  <si>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</si>
  <si>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</si>
  <si>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</si>
  <si>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</si>
  <si>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</si>
  <si>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</si>
  <si>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</si>
  <si>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</si>
  <si>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</si>
  <si>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</si>
  <si>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</si>
  <si>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</si>
  <si>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</si>
  <si>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</si>
  <si>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</si>
  <si>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</si>
  <si>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</si>
  <si>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</si>
  <si>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</si>
  <si>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</si>
  <si>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</si>
  <si>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</si>
  <si>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</si>
  <si>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</si>
  <si>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</si>
  <si>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</si>
  <si>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</si>
  <si>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</si>
  <si>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</si>
  <si>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</si>
  <si>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</si>
  <si>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</si>
  <si>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</si>
  <si>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</si>
  <si>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</si>
  <si>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</si>
  <si>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</si>
  <si>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</si>
  <si>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</si>
  <si>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</si>
  <si>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</si>
  <si>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</si>
  <si>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</si>
  <si>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</si>
  <si>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</si>
  <si>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</si>
  <si>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</si>
  <si>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</si>
  <si>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</si>
  <si>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</si>
  <si>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</si>
  <si>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</si>
  <si>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</si>
  <si>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</si>
  <si>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</si>
  <si>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</si>
  <si>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</si>
  <si>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</si>
  <si>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</si>
  <si>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</si>
  <si>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</si>
  <si>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</si>
  <si>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</si>
  <si>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</si>
  <si>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</si>
  <si>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</si>
  <si>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</si>
  <si>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</si>
  <si>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</si>
  <si>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</si>
  <si>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</si>
  <si>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</si>
  <si>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</si>
  <si>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</si>
  <si>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</si>
  <si>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</si>
  <si>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</si>
  <si>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</si>
  <si>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</si>
  <si>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</si>
  <si>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</si>
  <si>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</si>
  <si>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</si>
  <si>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</si>
  <si>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</si>
  <si>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</si>
  <si>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</si>
  <si>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</si>
  <si>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</si>
  <si>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</si>
  <si>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</si>
  <si>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</si>
  <si>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</si>
  <si>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</si>
  <si>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</si>
  <si>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</si>
  <si>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</si>
  <si>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</si>
  <si>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</si>
  <si>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</si>
  <si>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</si>
  <si>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</si>
  <si>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</si>
  <si>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</si>
  <si>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</si>
  <si>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</si>
  <si>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</si>
  <si>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</si>
  <si>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</si>
  <si>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</si>
  <si>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</si>
  <si>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</si>
  <si>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</si>
  <si>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</si>
  <si>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</si>
  <si>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</si>
  <si>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</si>
  <si>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</si>
  <si>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</si>
  <si>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</si>
  <si>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</si>
  <si>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</si>
  <si>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</si>
  <si>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</si>
  <si>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</si>
  <si>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</si>
  <si>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</si>
  <si>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</si>
  <si>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</si>
  <si>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</si>
  <si>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</si>
  <si>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</si>
  <si>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</si>
  <si>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</si>
  <si>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</si>
  <si>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</si>
  <si>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</si>
  <si>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</si>
  <si>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</si>
  <si>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</si>
  <si>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</si>
  <si>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</si>
  <si>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</si>
  <si>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</si>
  <si>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</si>
  <si>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</si>
  <si>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</si>
  <si>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</si>
  <si>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</si>
  <si>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</si>
  <si>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</si>
  <si>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</si>
  <si>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</si>
  <si>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</si>
  <si>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</si>
  <si>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</si>
  <si>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</si>
  <si>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</si>
  <si>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</si>
  <si>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</si>
  <si>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</si>
  <si>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</si>
  <si>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</si>
  <si>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</si>
  <si>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</si>
  <si>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</si>
  <si>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</si>
  <si>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</si>
  <si>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</si>
  <si>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</si>
  <si>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</si>
  <si>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</si>
  <si>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</si>
  <si>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</si>
  <si>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</si>
  <si>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</si>
  <si>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</si>
  <si>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</si>
  <si>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</si>
  <si>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</si>
  <si>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</si>
  <si>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</si>
  <si>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</si>
  <si>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</si>
  <si>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</si>
  <si>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</si>
  <si>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</si>
  <si>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</si>
  <si>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</si>
  <si>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</si>
  <si>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</si>
  <si>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</si>
  <si>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</si>
  <si>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</si>
  <si>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</si>
  <si>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</si>
  <si>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</si>
  <si>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</si>
  <si>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</si>
  <si>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</si>
  <si>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</si>
  <si>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</si>
  <si>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</si>
  <si>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</si>
  <si>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</si>
  <si>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</si>
  <si>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</si>
  <si>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</si>
  <si>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</si>
  <si>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</si>
  <si>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</si>
  <si>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</si>
  <si>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</si>
  <si>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</si>
  <si>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</si>
  <si>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</si>
  <si>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</si>
  <si>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</si>
  <si>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</si>
  <si>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</si>
  <si>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</si>
  <si>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</si>
  <si>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</si>
  <si>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</si>
  <si>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</si>
  <si>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</si>
  <si>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</si>
  <si>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</si>
  <si>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</si>
  <si>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</si>
  <si>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</si>
  <si>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</si>
  <si>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</si>
  <si>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</si>
  <si>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</si>
  <si>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</si>
  <si>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</si>
  <si>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</si>
  <si>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</si>
  <si>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</si>
  <si>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</si>
  <si>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</si>
  <si>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</si>
  <si>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</si>
  <si>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</si>
  <si>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</si>
  <si>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</si>
  <si>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</si>
  <si>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</si>
  <si>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</si>
  <si>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</si>
  <si>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</si>
  <si>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</si>
  <si>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</si>
  <si>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</si>
  <si>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</si>
  <si>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</si>
  <si>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</si>
  <si>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</si>
  <si>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</si>
  <si>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</si>
  <si>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</si>
  <si>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</si>
  <si>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</si>
  <si>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</si>
  <si>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</si>
  <si>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</si>
  <si>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</si>
  <si>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</si>
  <si>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</si>
  <si>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</si>
  <si>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</si>
  <si>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</si>
  <si>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</si>
  <si>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</si>
  <si>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</si>
  <si>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</si>
  <si>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</si>
  <si>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</si>
  <si>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</si>
  <si>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</si>
  <si>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</si>
  <si>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</si>
  <si>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</si>
  <si>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</si>
  <si>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</si>
  <si>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</si>
  <si>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</si>
  <si>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</si>
  <si>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</si>
  <si>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</si>
  <si>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</si>
  <si>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</si>
  <si>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</si>
  <si>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</si>
  <si>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</si>
  <si>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</si>
  <si>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</si>
  <si>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</si>
  <si>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</si>
  <si>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</si>
  <si>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</si>
  <si>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</si>
  <si>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</si>
  <si>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</si>
  <si>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</si>
  <si>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</si>
  <si>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</si>
  <si>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</si>
  <si>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</si>
  <si>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</si>
  <si>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</si>
  <si>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</si>
  <si>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</si>
  <si>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</si>
  <si>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</si>
  <si>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</si>
  <si>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</si>
  <si>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</si>
  <si>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</si>
  <si>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</si>
  <si>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</si>
  <si>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</si>
  <si>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</si>
  <si>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</si>
  <si>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</si>
  <si>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</si>
  <si>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</si>
  <si>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</si>
  <si>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</si>
  <si>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</si>
  <si>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</si>
  <si>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</si>
  <si>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</si>
  <si>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</si>
  <si>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</si>
  <si>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</si>
  <si>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</si>
  <si>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</si>
  <si>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</si>
  <si>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</si>
  <si>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</si>
  <si>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</si>
  <si>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</si>
  <si>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</si>
  <si>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</si>
  <si>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</si>
  <si>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</si>
  <si>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</si>
  <si>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</si>
  <si>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</si>
  <si>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</si>
  <si>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</si>
  <si>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</si>
  <si>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</si>
  <si>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</si>
  <si>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</si>
  <si>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</si>
  <si>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</si>
  <si>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</si>
  <si>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</si>
  <si>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</si>
  <si>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</si>
  <si>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</si>
  <si>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</si>
  <si>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</si>
  <si>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</si>
  <si>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</si>
  <si>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</si>
  <si>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</si>
  <si>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</si>
  <si>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</si>
  <si>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</si>
  <si>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</si>
  <si>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</si>
  <si>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</si>
  <si>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</si>
  <si>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</si>
  <si>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</si>
  <si>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</si>
  <si>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</si>
  <si>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</si>
  <si>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</si>
  <si>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</si>
  <si>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</si>
  <si>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</si>
  <si>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</si>
  <si>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</si>
  <si>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</si>
  <si>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</si>
  <si>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</si>
  <si>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</si>
  <si>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</si>
  <si>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</si>
  <si>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</si>
  <si>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</si>
  <si>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</si>
  <si>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</si>
  <si>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</si>
  <si>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</si>
  <si>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</si>
  <si>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</si>
  <si>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</si>
  <si>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</si>
  <si>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</si>
  <si>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</si>
  <si>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</si>
  <si>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</si>
  <si>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</si>
  <si>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</si>
  <si>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</si>
  <si>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</si>
  <si>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</si>
  <si>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</si>
  <si>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</si>
  <si>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</si>
  <si>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</si>
  <si>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</si>
  <si>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</si>
  <si>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</si>
  <si>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</si>
  <si>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</si>
  <si>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</si>
  <si>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</si>
  <si>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</si>
  <si>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</si>
  <si>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</si>
  <si>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</si>
  <si>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</si>
  <si>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</si>
  <si>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</si>
  <si>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</si>
  <si>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</si>
  <si>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</si>
  <si>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</si>
  <si>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</si>
  <si>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</si>
  <si>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</si>
  <si>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</si>
  <si>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</si>
  <si>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</si>
  <si>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</si>
  <si>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</si>
  <si>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</si>
  <si>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</si>
  <si>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</si>
  <si>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</si>
  <si>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</si>
  <si>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</si>
  <si>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</si>
  <si>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</si>
  <si>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</si>
  <si>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</si>
  <si>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</si>
  <si>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</si>
  <si>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</si>
  <si>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</si>
  <si>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</si>
  <si>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</si>
  <si>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</si>
  <si>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</si>
  <si>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</si>
  <si>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</si>
  <si>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</si>
  <si>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</si>
  <si>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</si>
  <si>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</si>
  <si>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</si>
  <si>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</si>
  <si>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</si>
  <si>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</si>
  <si>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</si>
  <si>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</si>
  <si>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</si>
  <si>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</si>
  <si>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</si>
  <si>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</si>
  <si>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</si>
  <si>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</si>
  <si>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</si>
  <si>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</si>
  <si>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</si>
  <si>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</si>
  <si>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</si>
  <si>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</si>
  <si>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</si>
  <si>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</si>
  <si>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</si>
  <si>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</si>
  <si>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</si>
  <si>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</si>
  <si>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</si>
  <si>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</si>
  <si>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</si>
  <si>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</si>
  <si>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</si>
  <si>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</si>
  <si>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</si>
  <si>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</si>
  <si>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</si>
  <si>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</si>
  <si>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</si>
  <si>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</si>
  <si>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</si>
  <si>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</si>
  <si>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</si>
  <si>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</si>
  <si>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</si>
  <si>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</si>
  <si>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</si>
  <si>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</si>
  <si>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</si>
  <si>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</si>
  <si>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</si>
  <si>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</si>
  <si>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</si>
  <si>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</si>
  <si>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</si>
  <si>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</si>
  <si>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</si>
  <si>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</si>
  <si>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</si>
  <si>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</si>
  <si>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</si>
  <si>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</si>
  <si>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</si>
  <si>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</si>
  <si>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</si>
  <si>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</si>
  <si>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</si>
  <si>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</si>
  <si>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</si>
  <si>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</si>
  <si>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</si>
  <si>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</si>
  <si>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</si>
  <si>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</si>
  <si>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</si>
  <si>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</si>
  <si>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</si>
  <si>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</si>
  <si>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</si>
  <si>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</si>
  <si>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</si>
  <si>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</si>
  <si>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</si>
  <si>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</si>
  <si>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</si>
  <si>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</si>
  <si>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</si>
  <si>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</si>
  <si>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</si>
  <si>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</si>
  <si>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</si>
  <si>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</si>
  <si>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</si>
  <si>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</si>
  <si>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</si>
  <si>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</si>
  <si>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</si>
  <si>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</si>
  <si>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</si>
  <si>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</si>
  <si>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</si>
  <si>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</si>
  <si>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</si>
  <si>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</si>
  <si>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</si>
  <si>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</si>
  <si>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</si>
  <si>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</si>
  <si>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</si>
  <si>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</si>
  <si>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</si>
  <si>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</si>
  <si>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</si>
  <si>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</si>
  <si>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</si>
  <si>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</si>
  <si>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</si>
  <si>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</si>
  <si>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</si>
  <si>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</si>
  <si>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</si>
  <si>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</si>
  <si>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</si>
  <si>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</si>
  <si>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</si>
  <si>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</si>
  <si>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</si>
  <si>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</si>
  <si>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</si>
  <si>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</si>
  <si>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</si>
  <si>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</si>
  <si>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</si>
  <si>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</si>
  <si>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</si>
  <si>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</si>
  <si>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</si>
  <si>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</si>
  <si>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</si>
  <si>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</si>
  <si>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</si>
  <si>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</si>
  <si>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</si>
  <si>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</si>
  <si>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</si>
  <si>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</si>
  <si>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</si>
  <si>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</si>
  <si>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</si>
  <si>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</si>
  <si>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</si>
  <si>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</si>
  <si>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</si>
  <si>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</si>
  <si>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</si>
  <si>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</si>
  <si>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</si>
  <si>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</si>
  <si>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</si>
  <si>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</si>
  <si>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</si>
  <si>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</si>
  <si>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</si>
  <si>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</si>
  <si>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</si>
  <si>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</si>
  <si>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</si>
  <si>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</si>
  <si>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</si>
  <si>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</si>
  <si>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</si>
  <si>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</si>
  <si>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</si>
  <si>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</si>
  <si>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</si>
  <si>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</si>
  <si>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</si>
  <si>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</si>
  <si>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</si>
  <si>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</si>
  <si>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</si>
  <si>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</si>
  <si>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</si>
  <si>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</si>
  <si>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</si>
  <si>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</si>
  <si>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</si>
  <si>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</si>
  <si>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</si>
  <si>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</si>
  <si>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</si>
  <si>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</si>
  <si>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</si>
  <si>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</si>
  <si>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</si>
  <si>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</si>
  <si>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</si>
  <si>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</si>
  <si>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</si>
  <si>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</si>
  <si>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</si>
  <si>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</si>
  <si>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</si>
  <si>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</si>
  <si>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</si>
  <si>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</si>
  <si>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</si>
  <si>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</si>
  <si>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</si>
  <si>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</si>
  <si>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</si>
  <si>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</si>
  <si>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</si>
  <si>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</si>
  <si>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</si>
  <si>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</si>
  <si>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</si>
  <si>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</si>
  <si>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</si>
  <si>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</si>
  <si>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</si>
  <si>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</si>
  <si>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</si>
  <si>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</si>
  <si>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</si>
  <si>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</si>
  <si>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</si>
  <si>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</si>
  <si>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</si>
  <si>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</si>
  <si>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</si>
  <si>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</si>
  <si>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</si>
  <si>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</si>
  <si>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</si>
  <si>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</si>
  <si>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</si>
  <si>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</si>
  <si>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</si>
  <si>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</si>
  <si>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</si>
  <si>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</si>
  <si>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</si>
  <si>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</si>
  <si>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</si>
  <si>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</si>
  <si>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</si>
  <si>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</si>
  <si>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</si>
  <si>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</si>
  <si>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</si>
  <si>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</si>
  <si>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</si>
  <si>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</si>
  <si>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</si>
  <si>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</si>
  <si>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</si>
  <si>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</si>
  <si>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</si>
  <si>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</si>
  <si>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</si>
  <si>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</si>
  <si>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</si>
  <si>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</si>
  <si>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</si>
  <si>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</si>
  <si>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</si>
  <si>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</si>
  <si>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</si>
  <si>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</si>
  <si>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</si>
  <si>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</si>
  <si>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</si>
  <si>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</si>
  <si>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</si>
  <si>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</si>
  <si>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</si>
  <si>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</si>
  <si>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</si>
  <si>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</si>
  <si>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</si>
  <si>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</si>
  <si>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</si>
  <si>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</si>
  <si>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</si>
  <si>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</si>
  <si>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</si>
  <si>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</si>
  <si>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</si>
  <si>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</si>
  <si>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</si>
  <si>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</si>
  <si>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</si>
  <si>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</si>
  <si>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</si>
  <si>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</si>
  <si>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</si>
  <si>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</si>
  <si>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</si>
  <si>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</si>
  <si>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</si>
  <si>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</si>
  <si>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</si>
  <si>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</si>
  <si>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</si>
  <si>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</si>
  <si>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</si>
  <si>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</si>
  <si>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</si>
  <si>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</si>
  <si>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</si>
  <si>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</si>
  <si>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</si>
  <si>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</si>
  <si>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</si>
  <si>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</si>
  <si>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</si>
  <si>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</si>
  <si>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</si>
  <si>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</si>
  <si>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</si>
  <si>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</si>
  <si>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</si>
  <si>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</si>
  <si>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</si>
  <si>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</si>
  <si>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</si>
  <si>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</si>
  <si>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</si>
  <si>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</si>
  <si>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</si>
  <si>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</si>
  <si>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</si>
  <si>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</si>
  <si>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</si>
  <si>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</si>
  <si>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</si>
  <si>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</si>
  <si>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</si>
  <si>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</si>
  <si>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</si>
  <si>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</si>
  <si>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</si>
  <si>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</si>
  <si>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</si>
  <si>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</si>
  <si>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</si>
  <si>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</si>
  <si>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</si>
  <si>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</si>
  <si>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</si>
  <si>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</si>
  <si>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</si>
  <si>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</si>
  <si>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</si>
  <si>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</si>
  <si>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</si>
  <si>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</si>
  <si>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</si>
  <si>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</si>
  <si>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</si>
  <si>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</si>
  <si>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</si>
  <si>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</si>
  <si>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</si>
  <si>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</si>
  <si>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</si>
  <si>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</si>
  <si>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</si>
  <si>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</si>
  <si>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</si>
  <si>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</si>
  <si>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</si>
  <si>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</si>
  <si>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</si>
  <si>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</si>
  <si>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</si>
  <si>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</si>
  <si>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</si>
  <si>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</si>
  <si>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</si>
  <si>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</si>
  <si>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</si>
  <si>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</si>
  <si>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</si>
  <si>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</si>
  <si>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</si>
  <si>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</si>
  <si>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</si>
  <si>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</si>
  <si>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</si>
  <si>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</si>
  <si>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</si>
  <si>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</si>
  <si>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</si>
  <si>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</si>
  <si>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</si>
  <si>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</si>
  <si>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</si>
  <si>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</si>
  <si>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</si>
  <si>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</si>
  <si>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</si>
  <si>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</si>
  <si>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</si>
  <si>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</si>
  <si>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</si>
  <si>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</si>
  <si>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</si>
  <si>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</si>
  <si>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</si>
  <si>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</si>
  <si>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</si>
  <si>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</si>
  <si>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</si>
  <si>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</si>
  <si>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</si>
  <si>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</si>
  <si>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</si>
  <si>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</si>
  <si>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</si>
  <si>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</si>
  <si>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</si>
  <si>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</si>
  <si>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</si>
  <si>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</si>
  <si>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</si>
  <si>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</si>
  <si>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</si>
  <si>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</si>
  <si>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</si>
  <si>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</si>
  <si>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</si>
  <si>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</si>
  <si>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</si>
  <si>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</si>
  <si>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</si>
  <si>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</si>
  <si>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</si>
  <si>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</si>
  <si>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</si>
  <si>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</si>
  <si>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</si>
  <si>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</si>
  <si>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</si>
  <si>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</si>
  <si>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</si>
  <si>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</si>
  <si>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</si>
  <si>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</si>
  <si>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</si>
  <si>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</si>
  <si>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</si>
  <si>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</si>
  <si>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</si>
  <si>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</si>
  <si>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</si>
  <si>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</si>
  <si>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</si>
  <si>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</si>
  <si>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</si>
  <si>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</si>
  <si>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</si>
  <si>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</si>
  <si>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</si>
  <si>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</si>
  <si>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</si>
  <si>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</si>
  <si>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</si>
  <si>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</si>
  <si>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</si>
  <si>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</si>
  <si>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</si>
  <si>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</si>
  <si>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</si>
  <si>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</si>
  <si>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</si>
  <si>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</si>
  <si>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</si>
  <si>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</si>
  <si>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</si>
  <si>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</si>
  <si>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</si>
  <si>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</si>
  <si>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</si>
  <si>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</si>
  <si>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</si>
  <si>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</si>
  <si>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</si>
  <si>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</si>
  <si>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</si>
  <si>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</si>
  <si>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</si>
  <si>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</si>
  <si>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</si>
  <si>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</si>
  <si>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</si>
  <si>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</si>
  <si>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</si>
  <si>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</si>
  <si>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</si>
  <si>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</si>
  <si>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</si>
  <si>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</si>
  <si>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</si>
  <si>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</si>
  <si>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</si>
  <si>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</si>
  <si>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</si>
  <si>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</si>
  <si>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</si>
  <si>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</si>
  <si>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</si>
  <si>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</si>
  <si>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</si>
  <si>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</si>
  <si>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</si>
  <si>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</si>
  <si>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</si>
  <si>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</si>
  <si>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</si>
  <si>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</si>
  <si>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</si>
  <si>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</si>
  <si>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</si>
  <si>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</si>
  <si>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</si>
  <si>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</si>
  <si>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</si>
  <si>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</si>
  <si>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</si>
  <si>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</si>
  <si>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</si>
  <si>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</si>
  <si>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</si>
  <si>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</si>
  <si>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</si>
  <si>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</si>
  <si>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</si>
  <si>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</si>
  <si>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</si>
  <si>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</si>
  <si>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</si>
  <si>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</si>
  <si>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</si>
  <si>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</si>
  <si>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</si>
  <si>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</si>
  <si>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</si>
  <si>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</si>
  <si>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</si>
  <si>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</si>
  <si>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</si>
  <si>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</si>
  <si>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</si>
  <si>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</si>
  <si>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</si>
  <si>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</si>
  <si>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</si>
  <si>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</si>
  <si>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</si>
  <si>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</si>
  <si>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</si>
  <si>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</si>
  <si>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</si>
  <si>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</si>
  <si>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</si>
  <si>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</si>
  <si>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</si>
  <si>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</si>
  <si>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</si>
  <si>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</si>
  <si>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</si>
  <si>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</si>
  <si>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</si>
  <si>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</si>
  <si>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</si>
  <si>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</si>
  <si>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</si>
  <si>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</si>
  <si>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bénéficiaires en assurance</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</si>
  <si>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</si>
  <si>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</si>
  <si>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</si>
  <si>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</si>
  <si>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</si>
  <si>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</si>
  <si>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</si>
  <si>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</si>
  <si>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</si>
  <si>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</si>
  <si>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</si>
  <si>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</si>
  <si>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</si>
  <si>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</si>
  <si>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</si>
  <si>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</si>
  <si>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</si>
  <si>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</si>
  <si>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</si>
  <si>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</si>
  <si>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</si>
  <si>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</si>
  <si>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</si>
  <si>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</si>
  <si>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</si>
  <si>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</si>
  <si>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</si>
  <si>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</si>
  <si>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</si>
  <si>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</si>
  <si>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</si>
  <si>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</si>
  <si>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</si>
  <si>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correspondant</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</si>
  <si>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</si>
  <si>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</si>
  <si>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</si>
  <si>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</si>
  <si>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</si>
  <si>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</si>
  <si>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</si>
  <si>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</si>
  <si>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</si>
  <si>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</si>
  <si>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</si>
  <si>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</si>
  <si>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</si>
  <si>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</si>
  <si>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</si>
  <si>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</si>
  <si>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</si>
  <si>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</si>
  <si>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</si>
  <si>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</si>
  <si>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</si>
  <si>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</si>
  <si>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</si>
  <si>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</si>
  <si>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</si>
  <si>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</si>
  <si>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</si>
  <si>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</si>
  <si>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</si>
  <si>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</si>
  <si>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</si>
  <si>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</si>
  <si>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</si>
  <si>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</si>
  <si>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</si>
  <si>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</si>
  <si>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</si>
  <si>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</si>
  <si>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</si>
  <si>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</si>
  <si>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</si>
  <si>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</si>
  <si>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</si>
  <si>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</si>
  <si>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</si>
  <si>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</si>
  <si>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</si>
  <si>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</si>
  <si>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</si>
  <si>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</si>
  <si>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</si>
  <si>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</si>
  <si>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</si>
  <si>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</si>
  <si>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</si>
  <si>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</si>
  <si>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</si>
  <si>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</si>
  <si>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</si>
  <si>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</si>
  <si>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</si>
  <si>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</si>
  <si>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</si>
  <si>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</si>
  <si>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</si>
  <si>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</si>
  <si>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</si>
  <si>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</si>
  <si>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</si>
  <si>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</si>
  <si>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</si>
  <si>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</si>
  <si>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</si>
  <si>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</si>
  <si>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</si>
  <si>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</si>
  <si>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</si>
  <si>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</si>
  <si>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</si>
  <si>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</si>
  <si>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primes</t>
  </si>
  <si>
    <t>FPR</t>
  </si>
  <si>
    <t>premiums</t>
  </si>
  <si>
    <t>PUMWRN</t>
  </si>
  <si>
    <t>produit</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</si>
  <si>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</si>
  <si>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</si>
  <si>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</si>
  <si>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</si>
  <si>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</si>
  <si>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</si>
  <si>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</si>
  <si>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</si>
  <si>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</si>
  <si>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</si>
  <si>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</si>
  <si>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</si>
  <si>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</si>
  <si>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</si>
  <si>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</si>
  <si>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</si>
  <si>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</si>
  <si>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</si>
  <si>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</si>
  <si>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</si>
  <si>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</si>
  <si>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</si>
  <si>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</si>
  <si>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</si>
  <si>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</si>
  <si>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</si>
  <si>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</si>
  <si>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</si>
  <si>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</si>
  <si>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</si>
  <si>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</si>
  <si>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</si>
  <si>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</si>
  <si>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</si>
  <si>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</si>
  <si>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</si>
  <si>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</si>
  <si>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</si>
  <si>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</si>
  <si>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</si>
  <si>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</si>
  <si>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</si>
  <si>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</si>
  <si>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</si>
  <si>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</si>
  <si>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</si>
  <si>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</si>
  <si>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</si>
  <si>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</si>
  <si>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</si>
  <si>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</si>
  <si>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</si>
  <si>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</si>
  <si>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</si>
  <si>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</si>
  <si>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</si>
  <si>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</si>
  <si>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</si>
  <si>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</si>
  <si>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</si>
  <si>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</si>
  <si>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</si>
  <si>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</si>
  <si>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</si>
  <si>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</si>
  <si>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</si>
  <si>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</si>
  <si>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</si>
  <si>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</si>
  <si>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</si>
  <si>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</si>
  <si>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</si>
  <si>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</si>
  <si>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</si>
  <si>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</si>
  <si>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</si>
  <si>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</si>
  <si>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</si>
  <si>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</si>
  <si>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</si>
  <si>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</si>
  <si>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</si>
  <si>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</si>
  <si>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</si>
  <si>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</si>
  <si>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</si>
  <si>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</si>
  <si>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</si>
  <si>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</si>
  <si>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</si>
  <si>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</si>
  <si>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</si>
  <si>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</si>
  <si>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</si>
  <si>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</si>
  <si>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</si>
  <si>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</si>
  <si>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</si>
  <si>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</si>
  <si>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 xml:space="preserve">Axe </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</si>
  <si>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</si>
  <si>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</si>
  <si>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</si>
  <si>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</si>
  <si>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</si>
  <si>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</si>
  <si>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</si>
  <si>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</si>
  <si>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</si>
  <si>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</si>
  <si>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</si>
  <si>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</si>
  <si>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</si>
  <si>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</si>
  <si>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</si>
  <si>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</si>
  <si>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</si>
  <si>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</si>
  <si>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</si>
  <si>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</si>
  <si>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</si>
  <si>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</si>
  <si>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</si>
  <si>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</si>
  <si>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</si>
  <si>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</si>
  <si>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</si>
  <si>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</si>
  <si>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</si>
  <si>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</si>
  <si>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</si>
  <si>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</si>
  <si>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</si>
  <si>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</si>
  <si>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</si>
  <si>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</si>
  <si>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</si>
  <si>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</si>
  <si>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</si>
  <si>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</si>
  <si>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</si>
  <si>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table de travail</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</si>
  <si>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</si>
  <si>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</si>
  <si>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</si>
  <si>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</si>
  <si>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</si>
  <si>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</si>
  <si>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</si>
  <si>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</si>
  <si>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</si>
  <si>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</si>
  <si>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</si>
  <si>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</si>
  <si>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</si>
  <si>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</si>
  <si>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</si>
  <si>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</si>
  <si>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</si>
  <si>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article 4</t>
  </si>
  <si>
    <t>Ordre trigramme</t>
  </si>
  <si>
    <t>Périmètre</t>
  </si>
  <si>
    <t>Booléen</t>
  </si>
  <si>
    <t>Integer</t>
  </si>
  <si>
    <t>Clé</t>
  </si>
  <si>
    <t>Montant</t>
  </si>
  <si>
    <t>Nombre entier</t>
  </si>
  <si>
    <t>Nombre décimal</t>
  </si>
  <si>
    <t>Date, Heure, Timestamp</t>
  </si>
  <si>
    <t>Type de champ</t>
  </si>
  <si>
    <t>Chaine de caractère</t>
  </si>
  <si>
    <t>Type de données</t>
  </si>
  <si>
    <t>Boolean</t>
  </si>
  <si>
    <t>Varchar(??)</t>
  </si>
  <si>
    <t>Numeric(??,??)</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</si>
  <si>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</si>
  <si>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</si>
  <si>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</si>
  <si>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</si>
  <si>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</si>
  <si>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</si>
  <si>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</si>
  <si>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</si>
  <si>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</si>
  <si>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</si>
  <si>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</si>
  <si>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</si>
  <si>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</si>
  <si>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</si>
  <si>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</si>
  <si>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</si>
  <si>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</si>
  <si>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</si>
  <si>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</si>
  <si>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</si>
  <si>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</si>
  <si>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</si>
  <si>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</si>
  <si>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</si>
  <si>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</si>
  <si>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</si>
  <si>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</si>
  <si>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</si>
  <si>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</si>
  <si>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</si>
  <si>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</si>
  <si>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</si>
  <si>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</si>
  <si>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</si>
  <si>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</si>
  <si>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</si>
  <si>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</si>
  <si>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</si>
  <si>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</si>
  <si>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</si>
  <si>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</si>
  <si>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</si>
  <si>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</si>
  <si>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</si>
  <si>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</si>
  <si>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</si>
  <si>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</si>
  <si>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</si>
  <si>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</si>
  <si>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</si>
  <si>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</si>
  <si>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</si>
  <si>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</si>
  <si>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</si>
  <si>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</si>
  <si>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</si>
  <si>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</si>
  <si>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</si>
  <si>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</si>
  <si>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</si>
  <si>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</si>
  <si>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</si>
  <si>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</si>
  <si>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</si>
  <si>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</si>
  <si>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</si>
  <si>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</si>
  <si>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</si>
  <si>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</si>
  <si>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</si>
  <si>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</si>
  <si>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</si>
  <si>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</si>
  <si>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</si>
  <si>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</si>
  <si>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</si>
  <si>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</si>
  <si>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</si>
  <si>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</si>
  <si>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</si>
  <si>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</si>
  <si>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</si>
  <si>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</si>
  <si>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</si>
  <si>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</si>
  <si>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</si>
  <si>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</si>
  <si>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</si>
  <si>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</si>
  <si>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</si>
  <si>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</si>
  <si>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</si>
  <si>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</si>
  <si>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</si>
  <si>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</si>
  <si>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</si>
  <si>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</si>
  <si>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</si>
  <si>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</si>
  <si>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</si>
  <si>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</si>
  <si>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</si>
  <si>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</si>
  <si>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</si>
  <si>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</si>
  <si>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</si>
  <si>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</si>
  <si>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</si>
  <si>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</si>
  <si>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</si>
  <si>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</si>
  <si>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</si>
  <si>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</si>
  <si>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</si>
  <si>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</si>
  <si>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</si>
  <si>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</si>
  <si>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</si>
  <si>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</si>
  <si>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</si>
  <si>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</si>
  <si>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</si>
  <si>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</si>
  <si>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</si>
  <si>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</si>
  <si>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</si>
  <si>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</si>
  <si>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</si>
  <si>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</si>
  <si>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</si>
  <si>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</si>
  <si>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</si>
  <si>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</si>
  <si>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</si>
  <si>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</si>
  <si>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</si>
  <si>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</si>
  <si>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</si>
  <si>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</si>
  <si>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</si>
  <si>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</si>
  <si>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</si>
  <si>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</si>
  <si>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</si>
  <si>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</si>
  <si>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</si>
  <si>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</si>
  <si>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</si>
  <si>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</si>
  <si>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</si>
  <si>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</si>
  <si>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</si>
  <si>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</si>
  <si>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</si>
  <si>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</si>
  <si>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</si>
  <si>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</si>
  <si>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</si>
  <si>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</si>
  <si>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</si>
  <si>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</si>
  <si>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</si>
  <si>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</si>
  <si>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</si>
  <si>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</si>
  <si>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</si>
  <si>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</si>
  <si>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</si>
  <si>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</si>
  <si>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</si>
  <si>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</si>
  <si>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</si>
  <si>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</si>
  <si>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</si>
  <si>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</si>
  <si>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</si>
  <si>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</si>
  <si>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</si>
  <si>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</si>
  <si>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</si>
  <si>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</si>
  <si>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</si>
  <si>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</si>
  <si>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</si>
  <si>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</si>
  <si>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</si>
  <si>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</si>
  <si>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</si>
  <si>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</si>
  <si>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</si>
  <si>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</si>
  <si>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</si>
  <si>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</si>
  <si>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</si>
  <si>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</si>
  <si>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</si>
  <si>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</si>
  <si>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</si>
  <si>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</si>
  <si>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</si>
  <si>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</si>
  <si>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</si>
  <si>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</si>
  <si>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</si>
  <si>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</si>
  <si>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</si>
  <si>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</si>
  <si>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</si>
  <si>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</si>
  <si>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</si>
  <si>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</si>
  <si>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</si>
  <si>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</si>
  <si>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</si>
  <si>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</si>
  <si>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</si>
  <si>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</si>
  <si>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</si>
  <si>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</si>
  <si>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</si>
  <si>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</si>
  <si>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</si>
  <si>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</si>
  <si>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</si>
  <si>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</si>
  <si>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</si>
  <si>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</si>
  <si>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</si>
  <si>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</si>
  <si>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</si>
  <si>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</si>
  <si>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</si>
  <si>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</si>
  <si>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</si>
  <si>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</si>
  <si>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</si>
  <si>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</si>
  <si>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</si>
  <si>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</si>
  <si>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</si>
  <si>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</si>
  <si>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</si>
  <si>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</si>
  <si>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</si>
  <si>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</si>
  <si>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</si>
  <si>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</si>
  <si>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</si>
  <si>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</si>
  <si>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</si>
  <si>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</si>
  <si>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</si>
  <si>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</si>
  <si>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</si>
  <si>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</si>
  <si>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</si>
  <si>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</si>
  <si>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</si>
  <si>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</si>
  <si>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</si>
  <si>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</si>
  <si>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</si>
  <si>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</si>
  <si>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</si>
  <si>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</si>
  <si>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</si>
  <si>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</si>
  <si>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</si>
  <si>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</si>
  <si>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</si>
  <si>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</si>
  <si>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</si>
  <si>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</si>
  <si>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</si>
  <si>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</si>
  <si>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</si>
  <si>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</si>
  <si>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</si>
  <si>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</si>
  <si>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</si>
  <si>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</si>
  <si>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</si>
  <si>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</si>
  <si>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</si>
  <si>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</si>
  <si>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</si>
  <si>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</si>
  <si>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</si>
  <si>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</si>
  <si>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</si>
  <si>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</si>
  <si>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</si>
  <si>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</si>
  <si>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</si>
  <si>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</si>
  <si>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</si>
  <si>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</si>
  <si>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</si>
  <si>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</si>
  <si>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</si>
  <si>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</si>
  <si>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</si>
  <si>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</si>
  <si>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</si>
  <si>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</si>
  <si>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</si>
  <si>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</si>
  <si>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</si>
  <si>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</si>
  <si>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</si>
  <si>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</si>
  <si>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</si>
  <si>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</si>
  <si>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</si>
  <si>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</si>
  <si>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</si>
  <si>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</si>
  <si>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</si>
  <si>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</si>
  <si>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</si>
  <si>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</si>
  <si>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</si>
  <si>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</si>
  <si>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</si>
  <si>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</si>
  <si>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</si>
  <si>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</si>
  <si>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</si>
  <si>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</si>
  <si>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</si>
  <si>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</si>
  <si>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</si>
  <si>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</si>
  <si>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</si>
  <si>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</si>
  <si>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</si>
  <si>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</si>
  <si>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</si>
  <si>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</si>
  <si>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</si>
  <si>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</si>
  <si>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</si>
  <si>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</si>
  <si>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</si>
  <si>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</si>
  <si>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</si>
  <si>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</si>
  <si>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</si>
  <si>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</si>
  <si>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</si>
  <si>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</si>
  <si>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</si>
  <si>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</si>
  <si>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</si>
  <si>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</si>
  <si>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</si>
  <si>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</si>
  <si>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</si>
  <si>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</si>
  <si>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</si>
  <si>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</si>
  <si>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</si>
  <si>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</si>
  <si>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</si>
  <si>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</si>
  <si>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</si>
  <si>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</si>
  <si>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</si>
  <si>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</si>
  <si>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</si>
  <si>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</si>
  <si>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</si>
  <si>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</si>
  <si>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</si>
  <si>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</si>
  <si>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</si>
  <si>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</si>
  <si>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</si>
  <si>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</si>
  <si>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</si>
  <si>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</si>
  <si>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</si>
  <si>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</si>
  <si>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</si>
  <si>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</si>
  <si>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</si>
  <si>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</si>
  <si>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</si>
  <si>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</si>
  <si>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</si>
  <si>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</si>
  <si>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</si>
  <si>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</si>
  <si>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</si>
  <si>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</si>
  <si>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</si>
  <si>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</si>
  <si>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</si>
  <si>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</si>
  <si>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</si>
  <si>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</si>
  <si>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</si>
  <si>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</si>
  <si>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</si>
  <si>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</si>
  <si>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</si>
  <si>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</si>
  <si>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</si>
  <si>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</si>
  <si>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</si>
  <si>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</si>
  <si>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</si>
  <si>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</si>
  <si>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</si>
  <si>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</si>
  <si>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</si>
  <si>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</si>
  <si>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</si>
  <si>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</si>
  <si>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</si>
  <si>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</si>
  <si>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</si>
  <si>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</si>
  <si>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</si>
  <si>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</si>
  <si>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</si>
  <si>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</si>
  <si>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</si>
  <si>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</si>
  <si>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</si>
  <si>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</si>
  <si>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</si>
  <si>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</si>
  <si>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</si>
  <si>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</si>
  <si>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</si>
  <si>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</si>
  <si>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</si>
  <si>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</si>
  <si>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</si>
  <si>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</si>
  <si>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</si>
  <si>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</si>
  <si>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</si>
  <si>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</si>
  <si>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</si>
  <si>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</si>
  <si>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</si>
  <si>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</si>
  <si>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</si>
  <si>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</si>
  <si>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</si>
  <si>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</si>
  <si>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</si>
  <si>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</si>
  <si>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</si>
  <si>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</si>
  <si>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</si>
  <si>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</si>
  <si>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</si>
  <si>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</si>
  <si>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</si>
  <si>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</si>
  <si>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</si>
  <si>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</si>
  <si>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</si>
  <si>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</si>
  <si>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</si>
  <si>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</si>
  <si>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</si>
  <si>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</si>
  <si>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</si>
  <si>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</si>
  <si>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</si>
  <si>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</si>
  <si>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</si>
  <si>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</si>
  <si>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</si>
  <si>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</si>
  <si>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</si>
  <si>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</si>
  <si>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</si>
  <si>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</si>
  <si>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</si>
  <si>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</si>
  <si>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</si>
  <si>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</si>
  <si>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</si>
  <si>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</si>
  <si>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</si>
  <si>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</si>
  <si>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</si>
  <si>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</si>
  <si>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</si>
  <si>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</si>
  <si>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</si>
  <si>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</si>
  <si>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</si>
  <si>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</si>
  <si>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</si>
  <si>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</si>
  <si>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</si>
  <si>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</si>
  <si>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</si>
  <si>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</si>
  <si>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</si>
  <si>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</si>
  <si>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</si>
  <si>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</si>
  <si>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</si>
  <si>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</si>
  <si>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</si>
  <si>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</si>
  <si>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</si>
  <si>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</si>
  <si>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</si>
  <si>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</si>
  <si>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</si>
  <si>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</si>
  <si>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</si>
  <si>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</si>
  <si>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</si>
  <si>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</si>
  <si>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</si>
  <si>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</si>
  <si>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</si>
  <si>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</si>
  <si>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</si>
  <si>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</si>
  <si>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</si>
  <si>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</si>
  <si>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</si>
  <si>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</si>
  <si>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</si>
  <si>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</si>
  <si>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</si>
  <si>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</si>
  <si>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</si>
  <si>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</si>
  <si>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</si>
  <si>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</si>
  <si>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</si>
  <si>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</si>
  <si>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</si>
  <si>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</si>
  <si>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</si>
  <si>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</si>
  <si>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</si>
  <si>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</si>
  <si>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</si>
  <si>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</si>
  <si>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</si>
  <si>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</si>
  <si>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</si>
  <si>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</si>
  <si>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</si>
  <si>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</si>
  <si>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</si>
  <si>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</si>
  <si>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</si>
  <si>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</si>
  <si>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</si>
  <si>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</si>
  <si>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</si>
  <si>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</si>
  <si>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</si>
  <si>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</si>
  <si>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</si>
  <si>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</si>
  <si>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</si>
  <si>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</si>
  <si>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</si>
  <si>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</si>
  <si>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</si>
  <si>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</si>
  <si>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</si>
  <si>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</si>
  <si>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</si>
  <si>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</si>
  <si>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</si>
  <si>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</si>
  <si>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</si>
  <si>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</si>
  <si>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</si>
  <si>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</si>
  <si>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</si>
  <si>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</si>
  <si>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</si>
  <si>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</si>
  <si>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</si>
  <si>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</si>
  <si>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</si>
  <si>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</si>
  <si>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</si>
  <si>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</si>
  <si>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</si>
  <si>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</si>
  <si>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</si>
  <si>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</si>
  <si>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</si>
  <si>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</si>
  <si>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</si>
  <si>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</si>
  <si>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</si>
  <si>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</si>
  <si>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</si>
  <si>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</si>
  <si>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</si>
  <si>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</si>
  <si>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</si>
  <si>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</si>
  <si>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</si>
  <si>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</si>
  <si>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</si>
  <si>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</si>
  <si>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</si>
  <si>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</si>
  <si>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</si>
  <si>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</si>
  <si>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</si>
  <si>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</si>
  <si>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</si>
  <si>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</si>
  <si>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</si>
  <si>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</si>
  <si>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</si>
  <si>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</si>
  <si>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</si>
  <si>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</si>
  <si>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</si>
  <si>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</si>
  <si>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</si>
  <si>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</si>
  <si>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</si>
  <si>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</si>
  <si>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</si>
  <si>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</si>
  <si>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</si>
  <si>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</si>
  <si>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</si>
  <si>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</si>
  <si>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</si>
  <si>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</si>
  <si>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</si>
  <si>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</si>
  <si>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</si>
  <si>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</si>
  <si>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</si>
  <si>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</si>
  <si>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</si>
  <si>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</si>
  <si>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</si>
  <si>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</si>
  <si>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</si>
  <si>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</si>
  <si>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</si>
  <si>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</si>
  <si>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</si>
  <si>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</si>
  <si>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</si>
  <si>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</si>
  <si>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</si>
  <si>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</si>
  <si>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</si>
  <si>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</si>
  <si>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</si>
  <si>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</si>
  <si>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</si>
  <si>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</si>
  <si>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</si>
  <si>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</si>
  <si>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</si>
  <si>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</si>
  <si>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</si>
  <si>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</si>
  <si>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</si>
  <si>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</si>
  <si>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</si>
  <si>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</si>
  <si>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</si>
  <si>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</si>
  <si>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</si>
  <si>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</si>
  <si>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</si>
  <si>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</si>
  <si>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</si>
  <si>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</si>
  <si>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</si>
  <si>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</si>
  <si>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</si>
  <si>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</si>
  <si>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</si>
  <si>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</si>
  <si>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</si>
  <si>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</si>
  <si>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</si>
  <si>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</si>
  <si>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</si>
  <si>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</si>
  <si>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</si>
  <si>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</si>
  <si>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</si>
  <si>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</si>
  <si>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</si>
  <si>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</si>
  <si>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</si>
  <si>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</si>
  <si>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</si>
  <si>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</si>
  <si>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</si>
  <si>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</si>
  <si>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</si>
  <si>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</si>
  <si>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</si>
  <si>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</si>
  <si>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</si>
  <si>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</si>
  <si>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</si>
  <si>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</si>
  <si>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</si>
  <si>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</si>
  <si>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</si>
  <si>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</si>
  <si>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</si>
  <si>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</si>
  <si>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</si>
  <si>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</si>
  <si>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</si>
  <si>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</si>
  <si>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</si>
  <si>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</si>
  <si>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</si>
  <si>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</si>
  <si>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</si>
  <si>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</si>
  <si>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</si>
  <si>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</si>
  <si>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</si>
  <si>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</si>
  <si>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</si>
  <si>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</si>
  <si>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</si>
  <si>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</si>
  <si>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</si>
  <si>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</si>
  <si>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</si>
  <si>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</si>
  <si>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</si>
  <si>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</si>
  <si>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</si>
  <si>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</si>
  <si>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</si>
  <si>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</si>
  <si>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</si>
  <si>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</si>
  <si>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</si>
  <si>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</si>
  <si>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</si>
  <si>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</si>
  <si>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</si>
  <si>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</si>
  <si>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</si>
  <si>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</si>
  <si>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</si>
  <si>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</si>
  <si>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</si>
  <si>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</si>
  <si>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</si>
  <si>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</si>
  <si>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</si>
  <si>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</si>
  <si>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</si>
  <si>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</si>
  <si>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</si>
  <si>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</si>
  <si>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</si>
  <si>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</si>
  <si>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</si>
  <si>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</si>
  <si>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</si>
  <si>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</si>
  <si>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</si>
  <si>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</si>
  <si>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</si>
  <si>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</si>
  <si>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</si>
  <si>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</si>
  <si>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</si>
  <si>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</si>
  <si>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</si>
  <si>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</si>
  <si>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</si>
  <si>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</si>
  <si>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</si>
  <si>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</si>
  <si>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</si>
  <si>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</si>
  <si>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</si>
  <si>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</si>
  <si>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</si>
  <si>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</si>
  <si>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</si>
  <si>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</si>
  <si>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</si>
  <si>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</si>
  <si>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</si>
  <si>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</si>
  <si>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</si>
  <si>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</si>
  <si>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</si>
  <si>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</si>
  <si>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</si>
  <si>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</si>
  <si>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</si>
  <si>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</si>
  <si>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</si>
  <si>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</si>
  <si>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</si>
  <si>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</si>
  <si>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</si>
  <si>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</si>
  <si>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</si>
  <si>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</si>
  <si>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</si>
  <si>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</si>
  <si>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</si>
  <si>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</si>
  <si>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</si>
  <si>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</si>
  <si>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</si>
  <si>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</si>
  <si>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</si>
  <si>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</si>
  <si>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</si>
  <si>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</si>
  <si>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</si>
  <si>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</si>
  <si>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</si>
  <si>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</si>
  <si>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</si>
  <si>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</si>
  <si>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</si>
  <si>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</si>
  <si>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</si>
  <si>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</si>
  <si>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</si>
  <si>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</si>
  <si>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</si>
  <si>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</si>
  <si>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</si>
  <si>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</si>
  <si>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</si>
  <si>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</si>
  <si>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</si>
  <si>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</si>
  <si>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</si>
  <si>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</si>
  <si>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</si>
  <si>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</si>
  <si>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</si>
  <si>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</si>
  <si>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</si>
  <si>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</si>
  <si>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</si>
  <si>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</si>
  <si>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</si>
  <si>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</si>
  <si>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</si>
  <si>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</si>
  <si>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</si>
  <si>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</si>
  <si>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</si>
  <si>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</si>
  <si>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</si>
  <si>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</si>
  <si>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</si>
  <si>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</si>
  <si>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</si>
  <si>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</si>
  <si>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</si>
  <si>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</si>
  <si>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</si>
  <si>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</si>
  <si>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</si>
  <si>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</si>
  <si>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</si>
  <si>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</si>
  <si>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</si>
  <si>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</si>
  <si>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</si>
  <si>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</si>
  <si>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</si>
  <si>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</si>
  <si>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</si>
  <si>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</si>
  <si>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</si>
  <si>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</si>
  <si>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</si>
  <si>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</si>
  <si>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</si>
  <si>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</si>
  <si>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</si>
  <si>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</si>
  <si>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</si>
  <si>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</si>
  <si>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</si>
  <si>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</si>
  <si>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</si>
  <si>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</si>
  <si>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</si>
  <si>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</si>
  <si>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</si>
  <si>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</si>
  <si>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</si>
  <si>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</si>
  <si>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Carole ANDREOTTI</t>
  </si>
  <si>
    <t>Ce document permet de générer les codes des tables et champs d'une nomenclature ainsi que des libellés anglais. Il est là pour aider à compléter la demande de nomenclature.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</si>
  <si>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table/Type de champ</t>
    </r>
  </si>
  <si>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</si>
  <si>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</si>
  <si>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</si>
  <si>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</si>
  <si>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rPr>
        <b/>
        <sz val="11"/>
        <color theme="1"/>
        <rFont val="Calibri"/>
        <family val="2"/>
        <scheme val="minor"/>
      </rPr>
      <t>Ordre des trigrammes</t>
    </r>
    <r>
      <rPr>
        <sz val="11"/>
        <color theme="1"/>
        <rFont val="Calibri"/>
        <family val="2"/>
        <scheme val="minor"/>
      </rPr>
      <t xml:space="preserve"> : 
"Normal" pour que le dernier objet de gestion soit au début. Ex : Le code de l'état du contrat &gt; X_CTR_STT_COD &gt; Contract state code
 "Forcé" pour que l'ordre des trigrammes soit le même que le libelé. Ex : : Le code de l'état du contrat &gt; X_STT_CTR_COD &gt; State contract code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</si>
  <si>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</si>
  <si>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</si>
  <si>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</si>
  <si>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</si>
  <si>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</si>
  <si>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</si>
  <si>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</si>
  <si>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</si>
  <si>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</si>
  <si>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</si>
  <si>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</si>
  <si>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</si>
  <si>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</si>
  <si>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</si>
  <si>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</si>
  <si>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</si>
  <si>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</si>
  <si>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</si>
  <si>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</si>
  <si>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</si>
  <si>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</si>
  <si>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</si>
  <si>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</si>
  <si>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</si>
  <si>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</si>
  <si>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</si>
  <si>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</si>
  <si>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</si>
  <si>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</si>
  <si>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</si>
  <si>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</si>
  <si>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</si>
  <si>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</si>
  <si>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</si>
  <si>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</si>
  <si>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</si>
  <si>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</si>
  <si>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</si>
  <si>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</si>
  <si>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</si>
  <si>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</si>
  <si>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</si>
  <si>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</si>
  <si>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</si>
  <si>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</si>
  <si>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</si>
  <si>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</si>
  <si>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</si>
  <si>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</si>
  <si>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</si>
  <si>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</si>
  <si>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</si>
  <si>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</si>
  <si>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</si>
  <si>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</si>
  <si>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</si>
  <si>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</si>
  <si>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</si>
  <si>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</si>
  <si>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</si>
  <si>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</si>
  <si>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</si>
  <si>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</si>
  <si>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</si>
  <si>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</si>
  <si>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</si>
  <si>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</si>
  <si>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</si>
  <si>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</si>
  <si>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</si>
  <si>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</si>
  <si>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</si>
  <si>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</si>
  <si>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</si>
  <si>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</si>
  <si>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</si>
  <si>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</si>
  <si>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</si>
  <si>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</si>
  <si>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</si>
  <si>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</si>
  <si>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</si>
  <si>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</si>
  <si>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</si>
  <si>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</si>
  <si>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</si>
  <si>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</si>
  <si>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</si>
  <si>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</si>
  <si>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</si>
  <si>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</si>
  <si>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</si>
  <si>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</si>
  <si>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</si>
  <si>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</si>
  <si>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</si>
  <si>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</si>
  <si>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</si>
  <si>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</si>
  <si>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r>
      <t>Complèter les colonne</t>
    </r>
    <r>
      <rPr>
        <sz val="11"/>
        <rFont val="Calibri"/>
        <family val="2"/>
        <scheme val="minor"/>
      </rPr>
      <t>s (par sélection dans la liste déroulante) : Nom du BIB, Type de champ, Nature, Article + Objet de gestion et Ordre des trigrammes (jusquà 4 objets de gestion possible par champ)</t>
    </r>
  </si>
  <si>
    <t>Les feuilles "BIB", "Type de table" et "Type de champ" sont des référentiels qui ne doivent pas être modifiés.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</si>
  <si>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</si>
  <si>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</si>
  <si>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</si>
  <si>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</si>
  <si>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</si>
  <si>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</si>
  <si>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</si>
  <si>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</si>
  <si>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</si>
  <si>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</si>
  <si>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</si>
  <si>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</si>
  <si>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</si>
  <si>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</si>
  <si>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</si>
  <si>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</si>
  <si>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</si>
  <si>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</si>
  <si>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</si>
  <si>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</si>
  <si>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</si>
  <si>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</si>
  <si>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</si>
  <si>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</si>
  <si>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</si>
  <si>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</si>
  <si>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</si>
  <si>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</si>
  <si>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</si>
  <si>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</si>
  <si>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</si>
  <si>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</si>
  <si>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</si>
  <si>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</si>
  <si>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</si>
  <si>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</si>
  <si>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</si>
  <si>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</si>
  <si>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</si>
  <si>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</si>
  <si>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</si>
  <si>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</si>
  <si>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</si>
  <si>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</si>
  <si>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</si>
  <si>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</si>
  <si>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</si>
  <si>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</si>
  <si>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</si>
  <si>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</si>
  <si>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</si>
  <si>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</si>
  <si>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</si>
  <si>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</si>
  <si>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</si>
  <si>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</si>
  <si>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</si>
  <si>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</si>
  <si>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</si>
  <si>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</si>
  <si>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</si>
  <si>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</si>
  <si>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</si>
  <si>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</si>
  <si>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</si>
  <si>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</si>
  <si>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</si>
  <si>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</si>
  <si>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</si>
  <si>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</si>
  <si>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</si>
  <si>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</si>
  <si>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</si>
  <si>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</si>
  <si>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</si>
  <si>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</si>
  <si>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</si>
  <si>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</si>
  <si>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</si>
  <si>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</si>
  <si>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</si>
  <si>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</si>
  <si>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</si>
  <si>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</si>
  <si>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</si>
  <si>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</si>
  <si>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</si>
  <si>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</si>
  <si>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</si>
  <si>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</si>
  <si>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</si>
  <si>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</si>
  <si>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</si>
  <si>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</si>
  <si>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</si>
  <si>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</si>
  <si>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</si>
  <si>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</si>
  <si>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</si>
  <si>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</si>
  <si>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</si>
  <si>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</si>
  <si>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</si>
  <si>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</si>
  <si>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</si>
  <si>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</si>
  <si>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</si>
  <si>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</si>
  <si>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</si>
  <si>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</si>
  <si>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</si>
  <si>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</si>
  <si>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</si>
  <si>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</si>
  <si>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</si>
  <si>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</si>
  <si>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</si>
  <si>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</si>
  <si>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</si>
  <si>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</si>
  <si>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</si>
  <si>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</si>
  <si>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</si>
  <si>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</si>
  <si>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</si>
  <si>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</si>
  <si>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</si>
  <si>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</si>
  <si>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</si>
  <si>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</si>
  <si>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</si>
  <si>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</si>
  <si>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</si>
  <si>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</si>
  <si>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</si>
  <si>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</si>
  <si>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</si>
  <si>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</si>
  <si>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</si>
  <si>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</si>
  <si>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</si>
  <si>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</si>
  <si>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</si>
  <si>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</si>
  <si>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</si>
  <si>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</si>
  <si>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</si>
  <si>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</si>
  <si>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</si>
  <si>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</si>
  <si>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</si>
  <si>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</si>
  <si>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</si>
  <si>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</si>
  <si>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</si>
  <si>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</si>
  <si>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</si>
  <si>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</si>
  <si>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</si>
  <si>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</si>
  <si>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</si>
  <si>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</si>
  <si>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</si>
  <si>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</si>
  <si>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</si>
  <si>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Normal</t>
  </si>
  <si>
    <t xml:space="preserve">Progiciels financiers assurances </t>
  </si>
  <si>
    <t>PPF</t>
  </si>
  <si>
    <t>IBIP</t>
  </si>
  <si>
    <t xml:space="preserve">Insurance financial software </t>
  </si>
  <si>
    <t>INSFNCSFW</t>
  </si>
  <si>
    <t>inventaire</t>
  </si>
  <si>
    <t>Inventory</t>
  </si>
  <si>
    <t>IVY</t>
  </si>
  <si>
    <t>Valorisé</t>
  </si>
  <si>
    <t>VLT</t>
  </si>
  <si>
    <t>valuation</t>
  </si>
  <si>
    <t>enregistré</t>
  </si>
  <si>
    <t>amortissement</t>
  </si>
  <si>
    <t>Amortization</t>
  </si>
  <si>
    <t>AMZ</t>
  </si>
  <si>
    <t>ARBO R</t>
  </si>
  <si>
    <t>référenciel ARBO R</t>
  </si>
  <si>
    <t>Notation</t>
  </si>
  <si>
    <t>rating</t>
  </si>
  <si>
    <t>recorded</t>
  </si>
  <si>
    <t>Journal</t>
  </si>
  <si>
    <t>Diary</t>
  </si>
  <si>
    <t>DAR</t>
  </si>
  <si>
    <t>RRD</t>
  </si>
  <si>
    <t>RNG</t>
  </si>
  <si>
    <t>BALAMD</t>
  </si>
  <si>
    <t>LAM</t>
  </si>
  <si>
    <t>IASIMP</t>
  </si>
  <si>
    <t>AMP</t>
  </si>
  <si>
    <t>ATUAPI</t>
  </si>
  <si>
    <t>API</t>
  </si>
  <si>
    <t>PROFIN</t>
  </si>
  <si>
    <t>PF2</t>
  </si>
  <si>
    <t>GENIMP</t>
  </si>
  <si>
    <t>GMP</t>
  </si>
  <si>
    <t>ATUPRV</t>
  </si>
  <si>
    <t>LISTRS</t>
  </si>
  <si>
    <t>TUP</t>
  </si>
  <si>
    <t>LIR</t>
  </si>
  <si>
    <t>Solde débit</t>
  </si>
  <si>
    <t>solde crédit</t>
  </si>
  <si>
    <t>credit balance</t>
  </si>
  <si>
    <t>debit balance</t>
  </si>
  <si>
    <t xml:space="preserve">Mouvements débiteurs </t>
  </si>
  <si>
    <t>Mouvements créditeurs</t>
  </si>
  <si>
    <t>Date comptable</t>
  </si>
  <si>
    <t>accounting date</t>
  </si>
  <si>
    <t>ACGDAT</t>
  </si>
  <si>
    <t>type</t>
  </si>
  <si>
    <t>date de valorisation</t>
  </si>
  <si>
    <t>valorisation</t>
  </si>
  <si>
    <t>Fixing date</t>
  </si>
  <si>
    <t>FIXDAT</t>
  </si>
  <si>
    <t>Fixing</t>
  </si>
  <si>
    <t>tri</t>
  </si>
  <si>
    <t>sort</t>
  </si>
  <si>
    <t>SOR</t>
  </si>
  <si>
    <t>CRI</t>
  </si>
  <si>
    <t>Sort key</t>
  </si>
  <si>
    <t>Tri cle</t>
  </si>
  <si>
    <t>SORKE</t>
  </si>
  <si>
    <t>N-1</t>
  </si>
  <si>
    <t>Dotation</t>
  </si>
  <si>
    <t>Reprise sur resultat</t>
  </si>
  <si>
    <t>given security</t>
  </si>
  <si>
    <t>GIVSCU</t>
  </si>
  <si>
    <t>Valeur boursière</t>
  </si>
  <si>
    <t>Stock market value</t>
  </si>
  <si>
    <t>SKC</t>
  </si>
  <si>
    <t>achat</t>
  </si>
  <si>
    <t>Purchase</t>
  </si>
  <si>
    <t>stock</t>
  </si>
  <si>
    <t>STC</t>
  </si>
  <si>
    <t>Actuarial</t>
  </si>
  <si>
    <t>quantité</t>
  </si>
  <si>
    <t>Quantity</t>
  </si>
  <si>
    <t>QTT</t>
  </si>
  <si>
    <t>Quantity movements</t>
  </si>
  <si>
    <t xml:space="preserve">Quantité de mouvement </t>
  </si>
  <si>
    <t>QTTMVT</t>
  </si>
  <si>
    <t>Devise de conso</t>
  </si>
  <si>
    <t>Selected currency</t>
  </si>
  <si>
    <t>SELCCY</t>
  </si>
  <si>
    <t>provision nette</t>
  </si>
  <si>
    <t>Net provision</t>
  </si>
  <si>
    <t>Coupons</t>
  </si>
  <si>
    <t>CPN</t>
  </si>
  <si>
    <t>Coupons couru</t>
  </si>
  <si>
    <t>Accrued coupon</t>
  </si>
  <si>
    <t>ACN</t>
  </si>
  <si>
    <t>income</t>
  </si>
  <si>
    <t>INO</t>
  </si>
  <si>
    <t>court terme</t>
  </si>
  <si>
    <t>long terme</t>
  </si>
  <si>
    <t>Short term</t>
  </si>
  <si>
    <t>Long term</t>
  </si>
  <si>
    <t>profits</t>
  </si>
  <si>
    <t>LOS</t>
  </si>
  <si>
    <t>PRF</t>
  </si>
  <si>
    <t>SRM</t>
  </si>
  <si>
    <t>LNT</t>
  </si>
  <si>
    <t>plus-values</t>
  </si>
  <si>
    <t>moins-values</t>
  </si>
  <si>
    <t>NEG</t>
  </si>
  <si>
    <t>cours</t>
  </si>
  <si>
    <t>course</t>
  </si>
  <si>
    <t>à l'</t>
  </si>
  <si>
    <t>perçus</t>
  </si>
  <si>
    <t>Received</t>
  </si>
  <si>
    <t>RCV</t>
  </si>
  <si>
    <t>Variation</t>
  </si>
  <si>
    <t>plus moins-values</t>
  </si>
  <si>
    <t>VRT</t>
  </si>
  <si>
    <t>unrealized</t>
  </si>
  <si>
    <t>MLV</t>
  </si>
  <si>
    <t>UNZ</t>
  </si>
  <si>
    <t>latente</t>
  </si>
  <si>
    <t>valeur critique</t>
  </si>
  <si>
    <t>CRL</t>
  </si>
  <si>
    <t>réalisé</t>
  </si>
  <si>
    <t>Realized</t>
  </si>
  <si>
    <t>REZ</t>
  </si>
  <si>
    <t>sur</t>
  </si>
  <si>
    <t>on</t>
  </si>
  <si>
    <t>security</t>
  </si>
  <si>
    <t>SCU</t>
  </si>
  <si>
    <t>change en devise</t>
  </si>
  <si>
    <t xml:space="preserve"> Fx in fund currency</t>
  </si>
  <si>
    <t>CCYEXC</t>
  </si>
  <si>
    <t>parité</t>
  </si>
  <si>
    <t>parity</t>
  </si>
  <si>
    <t>PIT</t>
  </si>
  <si>
    <t>parité de change</t>
  </si>
  <si>
    <t>FX parity</t>
  </si>
  <si>
    <t>PITCHA</t>
  </si>
  <si>
    <t>Différence</t>
  </si>
  <si>
    <t>Difference</t>
  </si>
  <si>
    <t>DFR</t>
  </si>
  <si>
    <t>bague</t>
  </si>
  <si>
    <t>place</t>
  </si>
  <si>
    <t>PLC</t>
  </si>
  <si>
    <t>dépôt</t>
  </si>
  <si>
    <t>depot</t>
  </si>
  <si>
    <t>DPO</t>
  </si>
  <si>
    <t>cotation</t>
  </si>
  <si>
    <t>Quotation</t>
  </si>
  <si>
    <t>QUO</t>
  </si>
  <si>
    <t>Business model</t>
  </si>
  <si>
    <t>BIZMDE</t>
  </si>
  <si>
    <t>ou de</t>
  </si>
  <si>
    <t>sicav</t>
  </si>
  <si>
    <t>SCV</t>
  </si>
  <si>
    <t>Date echeance</t>
  </si>
  <si>
    <t>Echus date</t>
  </si>
  <si>
    <t>DATECH</t>
  </si>
  <si>
    <t>Quantité active</t>
  </si>
  <si>
    <t xml:space="preserve">Active quantity </t>
  </si>
  <si>
    <t>ACVQTT</t>
  </si>
  <si>
    <t>CCS</t>
  </si>
  <si>
    <t>cost price</t>
  </si>
  <si>
    <t>Prix de revient</t>
  </si>
  <si>
    <t>PD</t>
  </si>
  <si>
    <t>LGD</t>
  </si>
  <si>
    <t>ensemble</t>
  </si>
  <si>
    <t>ENS</t>
  </si>
  <si>
    <t>SCH</t>
  </si>
  <si>
    <t>estime</t>
  </si>
  <si>
    <t>Estimated</t>
  </si>
  <si>
    <t>nominal</t>
  </si>
  <si>
    <t>NML</t>
  </si>
  <si>
    <t>rendement</t>
  </si>
  <si>
    <t>Yield</t>
  </si>
  <si>
    <t>YIE</t>
  </si>
  <si>
    <t>rembousement</t>
  </si>
  <si>
    <t>Redemption</t>
  </si>
  <si>
    <t>RDP</t>
  </si>
  <si>
    <t>economique</t>
  </si>
  <si>
    <t>Economical</t>
  </si>
  <si>
    <t>Secteur</t>
  </si>
  <si>
    <t>sector</t>
  </si>
  <si>
    <t>SCT</t>
  </si>
  <si>
    <t>Secteur economique</t>
  </si>
  <si>
    <t>Economical sector</t>
  </si>
  <si>
    <t>ECOSCT</t>
  </si>
  <si>
    <t>redemption value</t>
  </si>
  <si>
    <t>VALRDP</t>
  </si>
  <si>
    <t>Valeur de revient</t>
  </si>
  <si>
    <t>Cours change</t>
  </si>
  <si>
    <t>Exchange rate</t>
  </si>
  <si>
    <t>EXCRAT</t>
  </si>
  <si>
    <t>perte</t>
  </si>
  <si>
    <t>loss</t>
  </si>
  <si>
    <t>net</t>
  </si>
  <si>
    <t>NET</t>
  </si>
  <si>
    <t>valuation date</t>
  </si>
  <si>
    <t xml:space="preserve">DATVAL </t>
  </si>
  <si>
    <t>due à l'</t>
  </si>
  <si>
    <t>due to</t>
  </si>
  <si>
    <t>devise de gestion</t>
  </si>
  <si>
    <t>management currency</t>
  </si>
  <si>
    <t>MGTCCY</t>
  </si>
  <si>
    <t>inflation</t>
  </si>
  <si>
    <t>NFL</t>
  </si>
  <si>
    <t>Inflation</t>
  </si>
  <si>
    <t>agence</t>
  </si>
  <si>
    <t>Agency</t>
  </si>
  <si>
    <t>AGC</t>
  </si>
  <si>
    <t>2nd meilleur</t>
  </si>
  <si>
    <t>Bucket</t>
  </si>
  <si>
    <t>BCK</t>
  </si>
  <si>
    <t>SPPI</t>
  </si>
  <si>
    <t>SPP</t>
  </si>
  <si>
    <t>DEB</t>
  </si>
  <si>
    <t>deb</t>
  </si>
  <si>
    <t>Zone à défaut</t>
  </si>
  <si>
    <t>Default area</t>
  </si>
  <si>
    <t>DEFAREA</t>
  </si>
  <si>
    <t>Date utilisée</t>
  </si>
  <si>
    <t>Used date</t>
  </si>
  <si>
    <t>USEDAT</t>
  </si>
  <si>
    <t>Devise du portefeuille</t>
  </si>
  <si>
    <t>Fund currency</t>
  </si>
  <si>
    <t>PTFCCY</t>
  </si>
  <si>
    <t>TL1</t>
  </si>
  <si>
    <t>EXTOURNE</t>
  </si>
  <si>
    <t>Credit note</t>
  </si>
  <si>
    <t>CDN</t>
  </si>
  <si>
    <t>DPS</t>
  </si>
  <si>
    <t>pays de cotation</t>
  </si>
  <si>
    <t>Quotation country</t>
  </si>
  <si>
    <t>QUOCTY</t>
  </si>
  <si>
    <t>initial</t>
  </si>
  <si>
    <t>INL</t>
  </si>
  <si>
    <t>TO2</t>
  </si>
  <si>
    <t>mot clé</t>
  </si>
  <si>
    <t>key word</t>
  </si>
  <si>
    <t>KWO</t>
  </si>
  <si>
    <t>prix</t>
  </si>
  <si>
    <t>price</t>
  </si>
  <si>
    <t>entrée sortie</t>
  </si>
  <si>
    <t>entry Exit</t>
  </si>
  <si>
    <t>ENTEXI</t>
  </si>
  <si>
    <t>dépositaire</t>
  </si>
  <si>
    <t>change</t>
  </si>
  <si>
    <t>NEGCCY</t>
  </si>
  <si>
    <t>valor currency</t>
  </si>
  <si>
    <t>VALCCY</t>
  </si>
  <si>
    <t>payment currency</t>
  </si>
  <si>
    <t>PAYCCY</t>
  </si>
  <si>
    <t>exchange</t>
  </si>
  <si>
    <t>EXC</t>
  </si>
  <si>
    <t>emplacement</t>
  </si>
  <si>
    <t>EPC</t>
  </si>
  <si>
    <t>disponible</t>
  </si>
  <si>
    <t>available</t>
  </si>
  <si>
    <t>AVA</t>
  </si>
  <si>
    <t>reserve de capitalisation</t>
  </si>
  <si>
    <t>CAPRER</t>
  </si>
  <si>
    <t>résultat</t>
  </si>
  <si>
    <t>result</t>
  </si>
  <si>
    <t>RST</t>
  </si>
  <si>
    <t>séparateur</t>
  </si>
  <si>
    <t>separator</t>
  </si>
  <si>
    <t>SEP</t>
  </si>
  <si>
    <t>classement</t>
  </si>
  <si>
    <t>ranking</t>
  </si>
  <si>
    <t>alphacote</t>
  </si>
  <si>
    <t>ALC</t>
  </si>
  <si>
    <t>unitaire</t>
  </si>
  <si>
    <t>unitary</t>
  </si>
  <si>
    <t>gérant</t>
  </si>
  <si>
    <t>quota</t>
  </si>
  <si>
    <t>quotité</t>
  </si>
  <si>
    <t>FITCH</t>
  </si>
  <si>
    <t>mood</t>
  </si>
  <si>
    <t>S&amp;P</t>
  </si>
  <si>
    <t>SNP</t>
  </si>
  <si>
    <t>MOO</t>
  </si>
  <si>
    <t>global</t>
  </si>
  <si>
    <t>FIH</t>
  </si>
  <si>
    <t>OVERALL</t>
  </si>
  <si>
    <t>OVL</t>
  </si>
  <si>
    <t>ISIN</t>
  </si>
  <si>
    <t>ISI</t>
  </si>
  <si>
    <t>macro</t>
  </si>
  <si>
    <t>MCR</t>
  </si>
  <si>
    <t>desk</t>
  </si>
  <si>
    <t>DSK</t>
  </si>
  <si>
    <t>Integration Date</t>
  </si>
  <si>
    <t>IGTDAT</t>
  </si>
  <si>
    <t>date concidérée</t>
  </si>
  <si>
    <t>concidered date</t>
  </si>
  <si>
    <t>CCDDAT</t>
  </si>
  <si>
    <t>environnement</t>
  </si>
  <si>
    <t>environment</t>
  </si>
  <si>
    <t>ERT</t>
  </si>
  <si>
    <t>overdraft</t>
  </si>
  <si>
    <t>ODF</t>
  </si>
  <si>
    <t>ALM</t>
  </si>
  <si>
    <t>OST</t>
  </si>
  <si>
    <t>conversion</t>
  </si>
  <si>
    <t>CNV</t>
  </si>
  <si>
    <t>revente</t>
  </si>
  <si>
    <t>RAL</t>
  </si>
  <si>
    <t>Resale</t>
  </si>
  <si>
    <t>décote</t>
  </si>
  <si>
    <t>DST</t>
  </si>
  <si>
    <t>release</t>
  </si>
  <si>
    <t>RLZ</t>
  </si>
  <si>
    <t>decree</t>
  </si>
  <si>
    <t>DCR</t>
  </si>
  <si>
    <t>vie</t>
  </si>
  <si>
    <t>life</t>
  </si>
  <si>
    <t>LIF</t>
  </si>
  <si>
    <t>moyen</t>
  </si>
  <si>
    <t>Average</t>
  </si>
  <si>
    <t>AVR</t>
  </si>
  <si>
    <t>CVX</t>
  </si>
  <si>
    <t>CDDCCY</t>
  </si>
  <si>
    <t xml:space="preserve">TL4 </t>
  </si>
  <si>
    <t>partie</t>
  </si>
  <si>
    <t>party</t>
  </si>
  <si>
    <t>DEPRECT</t>
  </si>
  <si>
    <t>résiduel</t>
  </si>
  <si>
    <t>RSD</t>
  </si>
  <si>
    <t>bagage</t>
  </si>
  <si>
    <t>BAG</t>
  </si>
  <si>
    <t>CDTBAL</t>
  </si>
  <si>
    <t>DBTBAL</t>
  </si>
  <si>
    <t>CDTMVT</t>
  </si>
  <si>
    <t>DBTMVT</t>
  </si>
  <si>
    <t>FXG</t>
  </si>
  <si>
    <t>clé 1</t>
  </si>
  <si>
    <t>clé 2</t>
  </si>
  <si>
    <t>clé 3</t>
  </si>
  <si>
    <t>clé 4</t>
  </si>
  <si>
    <t>clé 5</t>
  </si>
  <si>
    <t>clé 6</t>
  </si>
  <si>
    <t>Key 1</t>
  </si>
  <si>
    <t>Key 2</t>
  </si>
  <si>
    <t>Key 3</t>
  </si>
  <si>
    <t>Key 4</t>
  </si>
  <si>
    <t>Key 5</t>
  </si>
  <si>
    <t>Key 6</t>
  </si>
  <si>
    <t>KEY1</t>
  </si>
  <si>
    <t>KEY2</t>
  </si>
  <si>
    <t>KEY3</t>
  </si>
  <si>
    <t>KEY4</t>
  </si>
  <si>
    <t>KEY5</t>
  </si>
  <si>
    <t>KEY6</t>
  </si>
  <si>
    <t>Critère</t>
  </si>
  <si>
    <t>criteria</t>
  </si>
  <si>
    <t>reserve</t>
  </si>
  <si>
    <t>RER</t>
  </si>
  <si>
    <t>recover result</t>
  </si>
  <si>
    <t>RCRRST</t>
  </si>
  <si>
    <t>depreciation</t>
  </si>
  <si>
    <t>DPE</t>
  </si>
  <si>
    <t>actuaire</t>
  </si>
  <si>
    <t>relatif à l'actuariat</t>
  </si>
  <si>
    <t>ATL</t>
  </si>
  <si>
    <t>cours d'achat</t>
  </si>
  <si>
    <t>purchase Rate</t>
  </si>
  <si>
    <t>PDTRAT</t>
  </si>
  <si>
    <t>cours d'achat calculé</t>
  </si>
  <si>
    <t>calculated purchase rate</t>
  </si>
  <si>
    <t>CALPDTRAT</t>
  </si>
  <si>
    <t>PDT</t>
  </si>
  <si>
    <t>cours de vente</t>
  </si>
  <si>
    <t>Sell rate</t>
  </si>
  <si>
    <t>SLLRAT</t>
  </si>
  <si>
    <t>cours actuel</t>
  </si>
  <si>
    <t>current rate</t>
  </si>
  <si>
    <t>CRNRAT</t>
  </si>
  <si>
    <t>NETPVN</t>
  </si>
  <si>
    <t>Revenu</t>
  </si>
  <si>
    <t>REZMLV</t>
  </si>
  <si>
    <t>Plus moins-values latente</t>
  </si>
  <si>
    <t>unrealized MORE-OR-LESS-VALUE</t>
  </si>
  <si>
    <t>UNZMVL</t>
  </si>
  <si>
    <t>devise choisi</t>
  </si>
  <si>
    <t>Choise currency</t>
  </si>
  <si>
    <t>CCYCHE</t>
  </si>
  <si>
    <t>Impairment</t>
  </si>
  <si>
    <t>Dépréciation</t>
  </si>
  <si>
    <t>IMI</t>
  </si>
  <si>
    <t>hedge</t>
  </si>
  <si>
    <t>HDG</t>
  </si>
  <si>
    <t>couverture de risque</t>
  </si>
  <si>
    <t>pour domaine placement</t>
  </si>
  <si>
    <t>modèle d'entreprise</t>
  </si>
  <si>
    <t>Fiscal</t>
  </si>
  <si>
    <t>FSC</t>
  </si>
  <si>
    <t>cost value</t>
  </si>
  <si>
    <t>CSTVAL</t>
  </si>
  <si>
    <t>système</t>
  </si>
  <si>
    <t>SYS</t>
  </si>
  <si>
    <t>travail</t>
  </si>
  <si>
    <t>WRK</t>
  </si>
  <si>
    <t>titre boursier</t>
  </si>
  <si>
    <t>titre boursier cédé</t>
  </si>
  <si>
    <t>utiliser</t>
  </si>
  <si>
    <t xml:space="preserve">operation validation </t>
  </si>
  <si>
    <t>OPEVLD</t>
  </si>
  <si>
    <t>Devise négociée</t>
  </si>
  <si>
    <t>negociated currency</t>
  </si>
  <si>
    <t>groupe dépositaire</t>
  </si>
  <si>
    <t>depositary group</t>
  </si>
  <si>
    <t>DPSGRP</t>
  </si>
  <si>
    <t>depositary</t>
  </si>
  <si>
    <t>devise règlement</t>
  </si>
  <si>
    <t>restant dû</t>
  </si>
  <si>
    <t>outstanding</t>
  </si>
  <si>
    <t>Valeur de remboursement</t>
  </si>
  <si>
    <t>début de période</t>
  </si>
  <si>
    <t>fin de période</t>
  </si>
  <si>
    <t>start of period</t>
  </si>
  <si>
    <t>end of period</t>
  </si>
  <si>
    <t>PERSTA</t>
  </si>
  <si>
    <t>PEREND</t>
  </si>
  <si>
    <t>Date système</t>
  </si>
  <si>
    <t>system date</t>
  </si>
  <si>
    <t>SYSDAT</t>
  </si>
  <si>
    <t>négotiation</t>
  </si>
  <si>
    <t>negotiation</t>
  </si>
  <si>
    <t>autorisation</t>
  </si>
  <si>
    <t>Date d'intégration</t>
  </si>
  <si>
    <t>découvert</t>
  </si>
  <si>
    <t>devise consolidée</t>
  </si>
  <si>
    <t>consolidated currency</t>
  </si>
  <si>
    <t>discount</t>
  </si>
  <si>
    <t>devise valeur</t>
  </si>
  <si>
    <t>schedule</t>
  </si>
  <si>
    <t>échéancier</t>
  </si>
  <si>
    <t>Credit movement</t>
  </si>
  <si>
    <t>Debit movement</t>
  </si>
  <si>
    <t>more or less value</t>
  </si>
  <si>
    <t>realized more or less value</t>
  </si>
  <si>
    <t>plus moins-values réalisé</t>
  </si>
  <si>
    <t>residual</t>
  </si>
  <si>
    <t>capitalization reserve</t>
  </si>
  <si>
    <t>system</t>
  </si>
  <si>
    <t>critical value</t>
  </si>
  <si>
    <t>validation opération</t>
  </si>
  <si>
    <t>montant PDD</t>
  </si>
  <si>
    <t>PDD amount</t>
  </si>
  <si>
    <t>PDDAMT</t>
  </si>
  <si>
    <t>parution</t>
  </si>
  <si>
    <t>décret</t>
  </si>
  <si>
    <t>selection</t>
  </si>
  <si>
    <t>SEL</t>
  </si>
  <si>
    <t>valeur liquidative</t>
  </si>
  <si>
    <t>Net asset value</t>
  </si>
  <si>
    <t>NAV</t>
  </si>
  <si>
    <t>call</t>
  </si>
  <si>
    <t>PPFX_FNCTXN</t>
  </si>
  <si>
    <t>PPFX_PTF_IVY</t>
  </si>
  <si>
    <t>PPFX_AMZ_IVY</t>
  </si>
  <si>
    <t>PPFX_ABR</t>
  </si>
  <si>
    <t>PPFX_XMT_RNG</t>
  </si>
  <si>
    <t>PPFX_PTF_CHT</t>
  </si>
  <si>
    <t>PPFX_FNCTXN_DAR</t>
  </si>
  <si>
    <t>PPFX_LAM_FIL</t>
  </si>
  <si>
    <t>PPFX_AMP_FIL</t>
  </si>
  <si>
    <t>PPFX_API_FIL</t>
  </si>
  <si>
    <t>PPFX_PF2_FIL</t>
  </si>
  <si>
    <t>PPFX_GMP_FIL</t>
  </si>
  <si>
    <t>PPFX_TUP_FIL</t>
  </si>
  <si>
    <t>PPFX_LIR_FIL</t>
  </si>
  <si>
    <t>PTF_IVY</t>
  </si>
  <si>
    <t>AMZ_IVY</t>
  </si>
  <si>
    <t>XMT_RNG</t>
  </si>
  <si>
    <t>PTF_CHT</t>
  </si>
  <si>
    <t>FNCTXN_DAR</t>
  </si>
  <si>
    <t>LAM_FIL</t>
  </si>
  <si>
    <t>AMP_FIL</t>
  </si>
  <si>
    <t>API_FIL</t>
  </si>
  <si>
    <t>PF2_FIL</t>
  </si>
  <si>
    <t>GMP_FIL</t>
  </si>
  <si>
    <t>TUP_FIL</t>
  </si>
  <si>
    <t>LIR_FIL</t>
  </si>
  <si>
    <t>date de rattachement</t>
  </si>
  <si>
    <t>attachment date</t>
  </si>
  <si>
    <t>ATTDAT</t>
  </si>
  <si>
    <t>fédération</t>
  </si>
  <si>
    <t>task</t>
  </si>
  <si>
    <t>TAK</t>
  </si>
  <si>
    <t>tâche</t>
  </si>
  <si>
    <t>organisme propriétaire</t>
  </si>
  <si>
    <t xml:space="preserve">organize owning </t>
  </si>
  <si>
    <t>ORGOWN</t>
  </si>
  <si>
    <t>Tiers</t>
  </si>
  <si>
    <t>Identifiant fonctionnel</t>
  </si>
  <si>
    <t>P</t>
  </si>
  <si>
    <t>Permanente</t>
  </si>
  <si>
    <t>table permanente utilisée par nos traitements de chargement et non visible des utilisateurs</t>
  </si>
  <si>
    <t>Table de travail permanente</t>
  </si>
  <si>
    <t>Permanent work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</si>
</sst>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 _€_-;\-* #,##0\ _€_-;_-* &quot;-&quot;??\ _€_-;_-@_-"/>
  </numFmts>
  <fonts count="33">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theme="1"/>
      <name val="Times New Roman"/>
      <family val="1"/>
    </font>
    <font>
      <sz val="11"/>
      <color rgb="FF000000"/>
      <name val="Arial"/>
      <family val="2"/>
    </font>
    <font>
      <sz val="10"/>
      <color theme="1"/>
      <name val="Arial Unicode MS"/>
      <family val="2"/>
    </font>
    <font>
      <sz val="9"/>
      <color indexed="81"/>
      <name val="Tahoma"/>
      <family val="2"/>
    </font>
    <font>
      <b/>
      <sz val="9"/>
      <color indexed="81"/>
      <name val="Tahoma"/>
      <family val="2"/>
    </font>
    <font>
      <sz val="12"/>
      <name val="Calibri"/>
      <family val="2"/>
      <scheme val="minor"/>
    </font>
    <font>
      <i/>
      <sz val="10"/>
      <color theme="1"/>
      <name val="Calibri"/>
      <scheme val="minor"/>
    </font>
  </fonts>
  <fills count="10">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s>
  <borders count="9">
    <border>
      <left/>
      <right/>
      <top/>
      <bottom/>
      <diagonal/>
    </border>
    <border>
      <left/>
      <right/>
      <top style="thin">
        <color theme="4" tint="0.39997558519241921"/>
      </top>
      <bottom style="thin">
        <color theme="4" tint="0.39997558519241921"/>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medium">
        <color indexed="64"/>
      </left>
      <right/>
      <top style="medium">
        <color auto="1"/>
      </top>
      <bottom style="medium">
        <color auto="1"/>
      </bottom>
      <diagonal/>
    </border>
  </borders>
  <cellStyleXfs count="4">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cellStyleXfs>
  <cellXfs count="112">
    <xf numFmtId="0" fontId="0" fillId="0" borderId="0" xfId="0"/>
    <xf numFmtId="0" fontId="0" fillId="0" borderId="0" xfId="0" applyAlignment="1">
      <alignment horizontal="center" vertical="center"/>
    </xf>
    <xf numFmtId="0" fontId="7" fillId="5" borderId="1" xfId="0" applyFont="1" applyFill="1" applyBorder="1" applyAlignment="1">
      <alignment horizontal="center" vertical="center" wrapText="1"/>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3" xfId="2" applyFont="1" applyFill="1" applyBorder="1" applyAlignment="1">
      <alignment horizontal="center" vertical="center" wrapText="1"/>
    </xf>
    <xf numFmtId="0" fontId="2" fillId="6" borderId="4" xfId="2" applyFont="1" applyFill="1" applyBorder="1" applyAlignment="1">
      <alignment horizontal="center" vertical="center" wrapText="1"/>
    </xf>
    <xf numFmtId="0" fontId="2" fillId="6" borderId="2" xfId="2" applyFont="1" applyFill="1" applyBorder="1" applyAlignment="1">
      <alignment horizontal="center" vertical="center" wrapText="1"/>
    </xf>
    <xf numFmtId="0" fontId="2" fillId="6" borderId="3" xfId="0" applyFont="1" applyFill="1" applyBorder="1" applyAlignment="1">
      <alignment horizontal="center" vertical="top"/>
    </xf>
    <xf numFmtId="0" fontId="0" fillId="0" borderId="5"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2" xfId="0" applyFont="1" applyFill="1"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26" fillId="0" borderId="0" xfId="0" applyFont="1"/>
    <xf numFmtId="0" fontId="24" fillId="0" borderId="0" xfId="0" applyFont="1" applyFill="1"/>
    <xf numFmtId="14" fontId="13" fillId="0" borderId="0" xfId="0" applyNumberFormat="1" applyFont="1"/>
    <xf numFmtId="0" fontId="0" fillId="0" borderId="0" xfId="0"/>
    <xf numFmtId="0" fontId="0" fillId="0" borderId="0" xfId="0"/>
    <xf numFmtId="0" fontId="0" fillId="0" borderId="0" xfId="0"/>
    <xf numFmtId="0" fontId="0" fillId="0" borderId="0" xfId="0"/>
    <xf numFmtId="0" fontId="27" fillId="0" borderId="0" xfId="0" applyFont="1"/>
    <xf numFmtId="0" fontId="28" fillId="0" borderId="0" xfId="0" applyFont="1" applyAlignment="1">
      <alignment horizontal="left" vertical="center"/>
    </xf>
    <xf numFmtId="0" fontId="0" fillId="0" borderId="0" xfId="0"/>
    <xf numFmtId="0" fontId="0" fillId="9" borderId="0" xfId="0" applyFill="1"/>
    <xf numFmtId="0" fontId="0" fillId="0" borderId="0" xfId="0"/>
    <xf numFmtId="0" fontId="0" fillId="0" borderId="0" xfId="0"/>
    <xf numFmtId="0" fontId="0" fillId="0" borderId="0" xfId="0"/>
    <xf numFmtId="0" fontId="0" fillId="0" borderId="0" xfId="0"/>
    <xf numFmtId="0" fontId="0" fillId="0" borderId="0" xfId="0"/>
    <xf numFmtId="0" fontId="13" fillId="0" borderId="0" xfId="0" applyFont="1" applyFill="1"/>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2" xfId="0" applyFont="1" applyFill="1" applyBorder="1" applyAlignment="1">
      <alignment vertical="top"/>
    </xf>
    <xf numFmtId="0" fontId="12" fillId="0" borderId="2" xfId="0" applyFont="1" applyFill="1" applyBorder="1" applyAlignment="1">
      <alignment horizontal="center" vertical="center" wrapText="1"/>
    </xf>
    <xf numFmtId="0" fontId="13" fillId="0" borderId="0" xfId="0" applyFont="1" applyFill="1" applyAlignment="1">
      <alignment horizontal="center" wrapText="1"/>
    </xf>
    <xf numFmtId="0" fontId="13" fillId="0" borderId="6" xfId="0" applyFont="1" applyFill="1" applyBorder="1"/>
    <xf numFmtId="0" fontId="13" fillId="0" borderId="5" xfId="0" applyFont="1" applyFill="1" applyBorder="1" applyAlignment="1">
      <alignment horizontal="center" vertical="center"/>
    </xf>
    <xf numFmtId="0" fontId="13" fillId="0" borderId="0" xfId="0" applyFont="1" applyFill="1" applyAlignment="1">
      <alignment wrapText="1"/>
    </xf>
    <xf numFmtId="0" fontId="31" fillId="0" borderId="0" xfId="0" applyFont="1" applyFill="1" applyAlignment="1">
      <alignment vertical="center"/>
    </xf>
    <xf numFmtId="0" fontId="0" fillId="0" borderId="0" xfId="0"/>
    <xf numFmtId="0" fontId="0" fillId="0" borderId="0" xfId="0"/>
    <xf numFmtId="0" fontId="13" fillId="0" borderId="0" xfId="0" applyFont="1" applyFill="1" applyBorder="1"/>
    <xf numFmtId="0" fontId="13" fillId="0" borderId="7" xfId="0" applyFont="1" applyFill="1" applyBorder="1"/>
    <xf numFmtId="0" fontId="0" fillId="0" borderId="0" xfId="0"/>
    <xf numFmtId="0" fontId="6" fillId="0" borderId="0" xfId="0" applyFont="1" applyAlignment="1">
      <alignment horizontal="left" vertical="center"/>
    </xf>
    <xf numFmtId="0" fontId="31" fillId="0" borderId="0" xfId="0" applyFont="1" applyFill="1" applyAlignment="1">
      <alignment horizontal="left" vertical="center"/>
    </xf>
    <xf numFmtId="0" fontId="31" fillId="0" borderId="0" xfId="0" applyFont="1" applyFill="1" applyBorder="1" applyAlignment="1">
      <alignment horizontal="left" vertical="center"/>
    </xf>
    <xf numFmtId="0" fontId="0" fillId="0" borderId="0" xfId="0"/>
    <xf numFmtId="0" fontId="0" fillId="0" borderId="0" xfId="0"/>
    <xf numFmtId="0" fontId="0" fillId="0" borderId="0" xfId="0"/>
    <xf numFmtId="0" fontId="13" fillId="0" borderId="8" xfId="0" applyFont="1" applyFill="1" applyBorder="1" applyAlignment="1">
      <alignment horizontal="center" vertical="center"/>
    </xf>
    <xf numFmtId="0" fontId="0" fillId="0" borderId="0" xfId="0"/>
    <xf numFmtId="0" fontId="0" fillId="0" borderId="0" xfId="0" applyAlignment="1">
      <alignment horizontal="center" vertical="center"/>
    </xf>
    <xf numFmtId="0" fontId="12" fillId="0" borderId="0" xfId="0" applyFont="1" applyFill="1" applyBorder="1" applyAlignment="1">
      <alignment horizontal="center" vertical="center" wrapText="1"/>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center"/>
    </xf>
    <xf numFmtId="0" fontId="3" fillId="7"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3" fillId="4" borderId="0" xfId="0" applyFont="1" applyFill="1" applyAlignment="1">
      <alignment horizontal="center" vertical="center"/>
    </xf>
    <xf numFmtId="0" fontId="0" fillId="0" borderId="0" xfId="0" applyAlignment="1">
      <alignment horizontal="left"/>
    </xf>
    <xf numFmtId="0" fontId="3" fillId="3" borderId="0" xfId="0" applyFont="1" applyFill="1" applyAlignment="1">
      <alignment horizontal="center" vertical="center"/>
    </xf>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xf numFmtId="164" fontId="8" fillId="0" borderId="0" xfId="0" applyNumberFormat="1" applyFont="1" applyAlignment="1">
      <alignment horizontal="center" vertical="center" wrapText="1"/>
    </xf>
    <xf numFmtId="0" fontId="32" fillId="0" borderId="0" xfId="0" applyFont="1" applyAlignment="1">
      <alignment horizontal="left" vertical="center" wrapText="1"/>
    </xf>
  </cellXfs>
  <cellStyles count="4">
    <cellStyle name="Accent1" xfId="2" builtinId="29"/>
    <cellStyle name="Milliers" xfId="1" builtinId="3"/>
    <cellStyle name="Normal" xfId="0" builtinId="0"/>
    <cellStyle name="Normal 2" xfId="3"/>
  </cellStyles>
  <dxfs count="1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numFmt numFmtId="19" formatCode="dd/mm/yyyy"/>
    </dxf>
    <dxf>
      <font>
        <b/>
        <strike val="0"/>
        <outline val="0"/>
        <shadow val="0"/>
        <u val="none"/>
        <vertAlign val="baseline"/>
        <sz val="12"/>
        <color theme="1"/>
        <name val="Calibri"/>
        <scheme val="minor"/>
      </font>
      <alignment horizontal="center" vertical="center" textRotation="0" indent="0" justifyLastLine="0" shrinkToFit="0" readingOrder="0"/>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top style="medium">
          <color auto="1"/>
        </top>
        <bottom style="medium">
          <color auto="1"/>
        </bottom>
      </border>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border outline="0">
        <bottom style="medium">
          <color theme="1"/>
        </bottom>
      </border>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IBIQ/04-Application/Nomenclature/nomenclature%20SIAD%20-%20Copi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IBIQ/04-Application/Nomenclature/Dictionnaire_Nomenclature_SI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C2"/>
          <cell r="D2" t="str">
            <v>du</v>
          </cell>
          <cell r="E2" t="str">
            <v>rôle</v>
          </cell>
          <cell r="F2" t="str">
            <v>de l'</v>
          </cell>
          <cell r="G2" t="str">
            <v>acteur en assurance</v>
          </cell>
          <cell r="H2"/>
          <cell r="I2"/>
        </row>
        <row r="3">
          <cell r="C3"/>
          <cell r="D3" t="str">
            <v>du</v>
          </cell>
          <cell r="E3" t="str">
            <v>sous-rôle</v>
          </cell>
          <cell r="F3" t="str">
            <v>de l'</v>
          </cell>
          <cell r="G3" t="str">
            <v>acteur en assurance</v>
          </cell>
          <cell r="H3"/>
          <cell r="I3"/>
        </row>
        <row r="4">
          <cell r="C4"/>
          <cell r="D4" t="str">
            <v>de l'</v>
          </cell>
          <cell r="E4" t="str">
            <v>acteur en assurance</v>
          </cell>
          <cell r="F4" t="str">
            <v xml:space="preserve"> </v>
          </cell>
          <cell r="G4" t="str">
            <v>SIO</v>
          </cell>
          <cell r="H4"/>
          <cell r="I4"/>
        </row>
        <row r="5">
          <cell r="C5" t="str">
            <v>interne</v>
          </cell>
          <cell r="D5" t="str">
            <v>du</v>
          </cell>
          <cell r="E5" t="str">
            <v>contrat</v>
          </cell>
          <cell r="F5"/>
          <cell r="G5"/>
          <cell r="H5"/>
          <cell r="I5"/>
        </row>
        <row r="6">
          <cell r="C6" t="str">
            <v>externe</v>
          </cell>
          <cell r="D6" t="str">
            <v>du</v>
          </cell>
          <cell r="E6" t="str">
            <v>contrat</v>
          </cell>
          <cell r="F6"/>
          <cell r="G6"/>
          <cell r="H6"/>
          <cell r="I6"/>
        </row>
        <row r="7">
          <cell r="C7"/>
          <cell r="D7" t="str">
            <v>de l'</v>
          </cell>
          <cell r="E7" t="str">
            <v>acteur en assurance</v>
          </cell>
          <cell r="F7"/>
          <cell r="G7"/>
          <cell r="H7"/>
          <cell r="I7"/>
        </row>
        <row r="8">
          <cell r="C8"/>
          <cell r="D8" t="str">
            <v>de l'</v>
          </cell>
          <cell r="E8" t="str">
            <v>acteur en assurance</v>
          </cell>
          <cell r="F8"/>
          <cell r="G8"/>
          <cell r="H8"/>
          <cell r="I8"/>
        </row>
        <row r="9">
          <cell r="C9"/>
          <cell r="D9" t="str">
            <v>de l'</v>
          </cell>
          <cell r="E9" t="str">
            <v>acteur en assurance</v>
          </cell>
          <cell r="F9"/>
          <cell r="G9"/>
          <cell r="H9"/>
          <cell r="I9"/>
        </row>
        <row r="10">
          <cell r="C10"/>
          <cell r="D10" t="str">
            <v>de l'</v>
          </cell>
          <cell r="E10" t="str">
            <v>acteur en assurance</v>
          </cell>
          <cell r="F10"/>
          <cell r="G10"/>
          <cell r="H10"/>
          <cell r="I10"/>
        </row>
        <row r="11">
          <cell r="C11"/>
          <cell r="D11" t="str">
            <v>de l'</v>
          </cell>
          <cell r="E11" t="str">
            <v>acteur en assurance</v>
          </cell>
          <cell r="F11"/>
          <cell r="G11"/>
          <cell r="H11"/>
          <cell r="I11"/>
        </row>
        <row r="12">
          <cell r="C12"/>
          <cell r="D12" t="str">
            <v>de l'</v>
          </cell>
          <cell r="E12" t="str">
            <v>acteur en assurance</v>
          </cell>
          <cell r="F12"/>
          <cell r="G12"/>
          <cell r="H12"/>
          <cell r="I12"/>
        </row>
        <row r="13">
          <cell r="C13" t="str">
            <v>sexe</v>
          </cell>
          <cell r="D13" t="str">
            <v>de l'</v>
          </cell>
          <cell r="E13" t="str">
            <v>acteur en assurance</v>
          </cell>
          <cell r="F13"/>
          <cell r="G13"/>
          <cell r="H13"/>
          <cell r="I13"/>
        </row>
        <row r="14">
          <cell r="C14"/>
          <cell r="D14" t="str">
            <v>de l'</v>
          </cell>
          <cell r="E14" t="str">
            <v>acteur en assurance</v>
          </cell>
          <cell r="F14"/>
          <cell r="G14"/>
          <cell r="H14"/>
          <cell r="I14"/>
        </row>
        <row r="15">
          <cell r="C15"/>
          <cell r="D15" t="str">
            <v>de l'</v>
          </cell>
          <cell r="E15" t="str">
            <v>acteur en assurance</v>
          </cell>
          <cell r="F15"/>
          <cell r="G15"/>
          <cell r="H15"/>
          <cell r="I15"/>
        </row>
        <row r="16">
          <cell r="C16"/>
          <cell r="D16" t="str">
            <v>de l'</v>
          </cell>
          <cell r="E16" t="str">
            <v>acteur en assurance</v>
          </cell>
          <cell r="F16"/>
          <cell r="G16"/>
          <cell r="H16"/>
          <cell r="I16"/>
        </row>
        <row r="17">
          <cell r="C17"/>
          <cell r="D17" t="str">
            <v>de l'</v>
          </cell>
          <cell r="E17" t="str">
            <v>acteur en assurance</v>
          </cell>
          <cell r="F17"/>
          <cell r="G17"/>
          <cell r="H17"/>
          <cell r="I17"/>
        </row>
        <row r="18">
          <cell r="C18"/>
          <cell r="D18" t="str">
            <v>de la</v>
          </cell>
          <cell r="E18" t="str">
            <v>source</v>
          </cell>
          <cell r="F18"/>
          <cell r="G18"/>
          <cell r="H18"/>
          <cell r="I18"/>
        </row>
        <row r="19">
          <cell r="C19"/>
          <cell r="D19" t="str">
            <v>de l'</v>
          </cell>
          <cell r="E19" t="str">
            <v>acteur en assurance</v>
          </cell>
          <cell r="F19"/>
          <cell r="G19"/>
          <cell r="H19"/>
          <cell r="I19"/>
        </row>
        <row r="20">
          <cell r="C20" t="str">
            <v>Dernière image</v>
          </cell>
          <cell r="D20" t="str">
            <v>de l'</v>
          </cell>
          <cell r="E20" t="str">
            <v>acteur en assurance</v>
          </cell>
          <cell r="F20"/>
          <cell r="G20"/>
          <cell r="H20"/>
          <cell r="I20"/>
        </row>
        <row r="21">
          <cell r="C21"/>
          <cell r="D21" t="str">
            <v>de la</v>
          </cell>
          <cell r="E21" t="str">
            <v>période</v>
          </cell>
          <cell r="F21" t="str">
            <v>d'une</v>
          </cell>
          <cell r="G21" t="str">
            <v>ACEM</v>
          </cell>
          <cell r="H21" t="str">
            <v>de la</v>
          </cell>
          <cell r="I21" t="str">
            <v>campagne d'avantage</v>
          </cell>
        </row>
        <row r="22">
          <cell r="C22"/>
          <cell r="D22" t="str">
            <v>de la</v>
          </cell>
          <cell r="E22" t="str">
            <v>période de lancement</v>
          </cell>
          <cell r="F22" t="str">
            <v>d'une</v>
          </cell>
          <cell r="G22" t="str">
            <v>ACEM</v>
          </cell>
          <cell r="H22" t="str">
            <v>de la</v>
          </cell>
          <cell r="I22" t="str">
            <v>campagne d'avantage</v>
          </cell>
        </row>
        <row r="23">
          <cell r="C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cell r="F24"/>
          <cell r="G24"/>
          <cell r="H24"/>
          <cell r="I24"/>
        </row>
        <row r="25">
          <cell r="C25"/>
          <cell r="D25" t="str">
            <v>du</v>
          </cell>
          <cell r="E25" t="str">
            <v>motif</v>
          </cell>
          <cell r="F25" t="str">
            <v>de l'</v>
          </cell>
          <cell r="G25" t="str">
            <v>avantage</v>
          </cell>
          <cell r="H25"/>
          <cell r="I25"/>
        </row>
        <row r="26">
          <cell r="C26"/>
          <cell r="D26" t="str">
            <v>de l'</v>
          </cell>
          <cell r="E26" t="str">
            <v>etat</v>
          </cell>
          <cell r="F26" t="str">
            <v>de l'</v>
          </cell>
          <cell r="G26" t="str">
            <v>avantage</v>
          </cell>
          <cell r="H26"/>
          <cell r="I26"/>
        </row>
        <row r="27">
          <cell r="C27"/>
          <cell r="D27" t="str">
            <v>du</v>
          </cell>
          <cell r="E27" t="str">
            <v>type</v>
          </cell>
          <cell r="F27" t="str">
            <v>d'</v>
          </cell>
          <cell r="G27" t="str">
            <v>avantage</v>
          </cell>
          <cell r="H27"/>
          <cell r="I27"/>
        </row>
        <row r="28">
          <cell r="C28"/>
          <cell r="D28" t="str">
            <v>de l'</v>
          </cell>
          <cell r="E28" t="str">
            <v>etat</v>
          </cell>
          <cell r="F28" t="str">
            <v>de l'</v>
          </cell>
          <cell r="G28" t="str">
            <v>avantage</v>
          </cell>
          <cell r="H28"/>
          <cell r="I28"/>
        </row>
        <row r="29">
          <cell r="C29"/>
          <cell r="D29" t="str">
            <v>du</v>
          </cell>
          <cell r="E29" t="str">
            <v>motif</v>
          </cell>
          <cell r="F29" t="str">
            <v>de l'</v>
          </cell>
          <cell r="G29" t="str">
            <v>avantage</v>
          </cell>
          <cell r="H29"/>
          <cell r="I29"/>
        </row>
        <row r="30">
          <cell r="C30"/>
          <cell r="D30" t="str">
            <v>du</v>
          </cell>
          <cell r="E30" t="str">
            <v>motif</v>
          </cell>
          <cell r="F30" t="str">
            <v>de l'</v>
          </cell>
          <cell r="G30" t="str">
            <v>avantage</v>
          </cell>
          <cell r="H30"/>
          <cell r="I30"/>
        </row>
        <row r="31">
          <cell r="C31"/>
          <cell r="D31" t="str">
            <v>du</v>
          </cell>
          <cell r="E31" t="str">
            <v>motif</v>
          </cell>
          <cell r="F31" t="str">
            <v>de l'</v>
          </cell>
          <cell r="G31" t="str">
            <v>avantage</v>
          </cell>
          <cell r="H31"/>
          <cell r="I31"/>
        </row>
        <row r="32">
          <cell r="C32"/>
          <cell r="D32" t="str">
            <v>de l'</v>
          </cell>
          <cell r="E32" t="str">
            <v>etat</v>
          </cell>
          <cell r="F32" t="str">
            <v>de l'</v>
          </cell>
          <cell r="G32" t="str">
            <v>avantage</v>
          </cell>
          <cell r="H32"/>
          <cell r="I32"/>
        </row>
        <row r="33">
          <cell r="C33"/>
          <cell r="D33" t="str">
            <v>de l'</v>
          </cell>
          <cell r="E33" t="str">
            <v>etat</v>
          </cell>
          <cell r="F33" t="str">
            <v>de l'</v>
          </cell>
          <cell r="G33" t="str">
            <v>avantage</v>
          </cell>
          <cell r="H33"/>
          <cell r="I33"/>
        </row>
        <row r="34">
          <cell r="C34"/>
          <cell r="D34" t="str">
            <v>du</v>
          </cell>
          <cell r="E34" t="str">
            <v>type</v>
          </cell>
          <cell r="F34" t="str">
            <v>d'</v>
          </cell>
          <cell r="G34" t="str">
            <v>avantage</v>
          </cell>
          <cell r="H34"/>
          <cell r="I34"/>
        </row>
        <row r="35">
          <cell r="C35"/>
          <cell r="D35" t="str">
            <v>du</v>
          </cell>
          <cell r="E35" t="str">
            <v>type</v>
          </cell>
          <cell r="F35" t="str">
            <v>d'</v>
          </cell>
          <cell r="G35" t="str">
            <v>avantage</v>
          </cell>
          <cell r="H35"/>
          <cell r="I35"/>
        </row>
        <row r="36">
          <cell r="C36"/>
          <cell r="D36" t="str">
            <v>sur la</v>
          </cell>
          <cell r="E36" t="str">
            <v>spécificité</v>
          </cell>
          <cell r="F36" t="str">
            <v>de l'</v>
          </cell>
          <cell r="G36" t="str">
            <v>avantage contrat</v>
          </cell>
          <cell r="H36"/>
          <cell r="I36"/>
        </row>
        <row r="37">
          <cell r="C37"/>
          <cell r="D37" t="str">
            <v>du</v>
          </cell>
          <cell r="E37" t="str">
            <v>Type d'utilisateur autorisé</v>
          </cell>
          <cell r="F37" t="str">
            <v>de l'</v>
          </cell>
          <cell r="G37" t="str">
            <v>avantage sans campagne commerciale</v>
          </cell>
          <cell r="H37"/>
          <cell r="I37"/>
        </row>
        <row r="38">
          <cell r="C38"/>
          <cell r="D38" t="str">
            <v>du</v>
          </cell>
          <cell r="E38" t="str">
            <v>canal de distribution</v>
          </cell>
          <cell r="F38" t="str">
            <v>de l'</v>
          </cell>
          <cell r="G38" t="str">
            <v>avantage sans campagne commerciale</v>
          </cell>
          <cell r="H38"/>
          <cell r="I38"/>
        </row>
        <row r="39">
          <cell r="C39"/>
          <cell r="D39" t="str">
            <v>de l'</v>
          </cell>
          <cell r="E39" t="str">
            <v>état de l'enveloppe</v>
          </cell>
          <cell r="F39" t="str">
            <v>de l'</v>
          </cell>
          <cell r="G39" t="str">
            <v>avantage sans campagne commerciale</v>
          </cell>
          <cell r="H39"/>
          <cell r="I39"/>
        </row>
        <row r="40">
          <cell r="C40"/>
          <cell r="D40" t="str">
            <v>du</v>
          </cell>
          <cell r="E40" t="str">
            <v>type d'enveloppe</v>
          </cell>
          <cell r="F40" t="str">
            <v>de l'</v>
          </cell>
          <cell r="G40" t="str">
            <v>avantage sans campagne commerciale</v>
          </cell>
          <cell r="H40"/>
          <cell r="I40"/>
        </row>
        <row r="41">
          <cell r="C41"/>
          <cell r="D41" t="str">
            <v>du</v>
          </cell>
          <cell r="E41" t="str">
            <v>domaine assurance</v>
          </cell>
          <cell r="F41" t="str">
            <v>de l'</v>
          </cell>
          <cell r="G41" t="str">
            <v>avantage sans campagne commerciale</v>
          </cell>
          <cell r="H41"/>
          <cell r="I41"/>
        </row>
        <row r="42">
          <cell r="C42"/>
          <cell r="D42" t="str">
            <v>du</v>
          </cell>
          <cell r="E42" t="str">
            <v>Type d'utilisateur autorisé</v>
          </cell>
          <cell r="F42" t="str">
            <v>de l'</v>
          </cell>
          <cell r="G42" t="str">
            <v>avantage sans campagne commerciale</v>
          </cell>
          <cell r="H42"/>
          <cell r="I42"/>
        </row>
        <row r="43">
          <cell r="C43"/>
          <cell r="D43" t="str">
            <v>de l'</v>
          </cell>
          <cell r="E43" t="str">
            <v>utilisateur autorisé</v>
          </cell>
          <cell r="F43" t="str">
            <v>de l'</v>
          </cell>
          <cell r="G43" t="str">
            <v>avantage sans campagne commerciale</v>
          </cell>
          <cell r="H43"/>
          <cell r="I43"/>
        </row>
        <row r="44">
          <cell r="C44"/>
          <cell r="D44" t="str">
            <v>du</v>
          </cell>
          <cell r="E44" t="str">
            <v>Type d'utilisateur autorisé</v>
          </cell>
          <cell r="F44" t="str">
            <v>de l'</v>
          </cell>
          <cell r="G44" t="str">
            <v>avantage sans campagne commerciale</v>
          </cell>
          <cell r="H44"/>
          <cell r="I44"/>
        </row>
        <row r="45">
          <cell r="C45"/>
          <cell r="D45" t="str">
            <v>du</v>
          </cell>
          <cell r="E45" t="str">
            <v>canal de distribution</v>
          </cell>
          <cell r="F45" t="str">
            <v>de l'</v>
          </cell>
          <cell r="G45" t="str">
            <v>avantage sans campagne commerciale</v>
          </cell>
          <cell r="H45"/>
          <cell r="I45"/>
        </row>
        <row r="46">
          <cell r="C46"/>
          <cell r="D46" t="str">
            <v>du</v>
          </cell>
          <cell r="E46" t="str">
            <v>canal de distribution</v>
          </cell>
          <cell r="F46" t="str">
            <v>de l'</v>
          </cell>
          <cell r="G46" t="str">
            <v>avantage sans campagne commerciale</v>
          </cell>
          <cell r="H46"/>
          <cell r="I46"/>
        </row>
        <row r="47">
          <cell r="C47"/>
          <cell r="D47" t="str">
            <v>de l'</v>
          </cell>
          <cell r="E47" t="str">
            <v>état de l'enveloppe</v>
          </cell>
          <cell r="F47" t="str">
            <v>de l'</v>
          </cell>
          <cell r="G47" t="str">
            <v>avantage sans campagne commerciale</v>
          </cell>
          <cell r="H47"/>
          <cell r="I47"/>
        </row>
        <row r="48">
          <cell r="C48"/>
          <cell r="D48" t="str">
            <v>de l'</v>
          </cell>
          <cell r="E48" t="str">
            <v>état de l'enveloppe</v>
          </cell>
          <cell r="F48" t="str">
            <v>de l'</v>
          </cell>
          <cell r="G48" t="str">
            <v>avantage sans campagne commerciale</v>
          </cell>
          <cell r="H48"/>
          <cell r="I48"/>
        </row>
        <row r="49">
          <cell r="C49"/>
          <cell r="D49" t="str">
            <v>du</v>
          </cell>
          <cell r="E49" t="str">
            <v>type d'enveloppe</v>
          </cell>
          <cell r="F49" t="str">
            <v>de l'</v>
          </cell>
          <cell r="G49" t="str">
            <v>avantage sans campagne commerciale</v>
          </cell>
          <cell r="H49"/>
          <cell r="I49"/>
        </row>
        <row r="50">
          <cell r="C50"/>
          <cell r="D50" t="str">
            <v>du</v>
          </cell>
          <cell r="E50" t="str">
            <v>type d'enveloppe</v>
          </cell>
          <cell r="F50" t="str">
            <v>de l'</v>
          </cell>
          <cell r="G50" t="str">
            <v>avantage sans campagne commerciale</v>
          </cell>
          <cell r="H50"/>
          <cell r="I50"/>
        </row>
        <row r="51">
          <cell r="C51"/>
          <cell r="D51" t="str">
            <v>du</v>
          </cell>
          <cell r="E51" t="str">
            <v>domaine assurance</v>
          </cell>
          <cell r="F51" t="str">
            <v>de l'</v>
          </cell>
          <cell r="G51" t="str">
            <v>avantage sans campagne commerciale</v>
          </cell>
          <cell r="H51"/>
          <cell r="I51"/>
        </row>
        <row r="52">
          <cell r="C52"/>
          <cell r="D52" t="str">
            <v>du</v>
          </cell>
          <cell r="E52" t="str">
            <v>domaine assurance</v>
          </cell>
          <cell r="F52" t="str">
            <v>de l'</v>
          </cell>
          <cell r="G52" t="str">
            <v>avantage sans campagne commerciale</v>
          </cell>
          <cell r="H52"/>
          <cell r="I52"/>
        </row>
        <row r="53">
          <cell r="C53"/>
          <cell r="D53" t="str">
            <v>de la</v>
          </cell>
          <cell r="E53" t="str">
            <v>commission</v>
          </cell>
          <cell r="F53" t="str">
            <v>de l'</v>
          </cell>
          <cell r="G53" t="str">
            <v>avantage Temps Fort</v>
          </cell>
          <cell r="H53"/>
          <cell r="I53"/>
        </row>
        <row r="54">
          <cell r="C54"/>
          <cell r="D54" t="str">
            <v>de la</v>
          </cell>
          <cell r="E54" t="str">
            <v>cotisation</v>
          </cell>
          <cell r="F54" t="str">
            <v>de l'</v>
          </cell>
          <cell r="G54" t="str">
            <v>avantage Temps Fort</v>
          </cell>
          <cell r="H54"/>
          <cell r="I54"/>
        </row>
        <row r="55">
          <cell r="C55"/>
          <cell r="D55" t="str">
            <v>de la</v>
          </cell>
          <cell r="E55" t="str">
            <v>commission</v>
          </cell>
          <cell r="F55" t="str">
            <v>de l'</v>
          </cell>
          <cell r="G55" t="str">
            <v>avantage Temps Fort</v>
          </cell>
          <cell r="H55"/>
          <cell r="I55"/>
        </row>
        <row r="56">
          <cell r="C56"/>
          <cell r="D56" t="str">
            <v>d'</v>
          </cell>
          <cell r="E56" t="str">
            <v>ajustement tarifaire</v>
          </cell>
          <cell r="F56" t="str">
            <v>des</v>
          </cell>
          <cell r="G56" t="str">
            <v>avantages FONDO/ACORES</v>
          </cell>
          <cell r="H56"/>
          <cell r="I56"/>
        </row>
        <row r="57">
          <cell r="C57"/>
          <cell r="D57" t="str">
            <v>de la</v>
          </cell>
          <cell r="E57" t="str">
            <v>réduction</v>
          </cell>
          <cell r="F57" t="str">
            <v>des</v>
          </cell>
          <cell r="G57" t="str">
            <v>avantages FONDO/ACORES</v>
          </cell>
          <cell r="H57"/>
          <cell r="I57"/>
        </row>
        <row r="58">
          <cell r="C58"/>
          <cell r="D58" t="str">
            <v>entre</v>
          </cell>
          <cell r="E58" t="str">
            <v>géographique</v>
          </cell>
          <cell r="F58" t="str">
            <v>et</v>
          </cell>
          <cell r="G58" t="str">
            <v>campagne d'avantage</v>
          </cell>
          <cell r="H58"/>
          <cell r="I58"/>
        </row>
        <row r="59">
          <cell r="C59"/>
          <cell r="D59" t="str">
            <v>entre</v>
          </cell>
          <cell r="E59" t="str">
            <v>produit d'assurance</v>
          </cell>
          <cell r="F59" t="str">
            <v>et</v>
          </cell>
          <cell r="G59" t="str">
            <v>campagne d'avantage</v>
          </cell>
          <cell r="H59"/>
          <cell r="I59"/>
        </row>
        <row r="60">
          <cell r="C60"/>
          <cell r="D60" t="str">
            <v>entre</v>
          </cell>
          <cell r="E60" t="str">
            <v>ACEM</v>
          </cell>
          <cell r="F60" t="str">
            <v>et</v>
          </cell>
          <cell r="G60" t="str">
            <v>campagne d'avantage</v>
          </cell>
          <cell r="H60"/>
          <cell r="I60"/>
        </row>
        <row r="61">
          <cell r="C61"/>
          <cell r="D61" t="str">
            <v>du</v>
          </cell>
          <cell r="E61" t="str">
            <v>Type d'utilisateur autorisé</v>
          </cell>
          <cell r="F61" t="str">
            <v>de la</v>
          </cell>
          <cell r="G61" t="str">
            <v>campagne d'avantage</v>
          </cell>
          <cell r="H61"/>
          <cell r="I61"/>
        </row>
        <row r="62">
          <cell r="C62"/>
          <cell r="D62" t="str">
            <v>du</v>
          </cell>
          <cell r="E62" t="str">
            <v>type de bénéficiaire</v>
          </cell>
          <cell r="F62" t="str">
            <v>de la</v>
          </cell>
          <cell r="G62" t="str">
            <v>campagne d'avantage</v>
          </cell>
          <cell r="H62"/>
          <cell r="I62"/>
        </row>
        <row r="63">
          <cell r="C63"/>
          <cell r="D63" t="str">
            <v>du</v>
          </cell>
          <cell r="E63" t="str">
            <v>canal de distribution</v>
          </cell>
          <cell r="F63" t="str">
            <v>de la</v>
          </cell>
          <cell r="G63" t="str">
            <v>campagne d'avantage</v>
          </cell>
          <cell r="H63"/>
          <cell r="I63"/>
        </row>
        <row r="64">
          <cell r="C64"/>
          <cell r="D64" t="str">
            <v>du</v>
          </cell>
          <cell r="E64" t="str">
            <v>type de mois gratuit</v>
          </cell>
          <cell r="F64" t="str">
            <v>de la</v>
          </cell>
          <cell r="G64" t="str">
            <v>campagne d'avantage</v>
          </cell>
          <cell r="H64"/>
          <cell r="I64"/>
        </row>
        <row r="65">
          <cell r="C65"/>
          <cell r="D65" t="str">
            <v>du</v>
          </cell>
          <cell r="E65" t="str">
            <v>format</v>
          </cell>
          <cell r="F65" t="str">
            <v>de la</v>
          </cell>
          <cell r="G65" t="str">
            <v>campagne d'avantage</v>
          </cell>
          <cell r="H65"/>
          <cell r="I65"/>
        </row>
        <row r="66">
          <cell r="C66"/>
          <cell r="D66" t="str">
            <v>entre</v>
          </cell>
          <cell r="E66" t="str">
            <v>géographique</v>
          </cell>
          <cell r="F66" t="str">
            <v>et</v>
          </cell>
          <cell r="G66" t="str">
            <v>campagne d'avantage</v>
          </cell>
          <cell r="H66"/>
          <cell r="I66"/>
        </row>
        <row r="67">
          <cell r="C67"/>
          <cell r="D67" t="str">
            <v>entre</v>
          </cell>
          <cell r="E67" t="str">
            <v>produit d'assurance</v>
          </cell>
          <cell r="F67" t="str">
            <v>et</v>
          </cell>
          <cell r="G67" t="str">
            <v>campagne d'avantage</v>
          </cell>
          <cell r="H67"/>
          <cell r="I67"/>
        </row>
        <row r="68">
          <cell r="C68"/>
          <cell r="D68" t="str">
            <v>de la</v>
          </cell>
          <cell r="E68" t="str">
            <v>nature de l'offre</v>
          </cell>
          <cell r="F68" t="str">
            <v>de la</v>
          </cell>
          <cell r="G68" t="str">
            <v>campagne d'avantage</v>
          </cell>
          <cell r="H68"/>
          <cell r="I68"/>
        </row>
        <row r="69">
          <cell r="C69"/>
          <cell r="D69" t="str">
            <v>de l'</v>
          </cell>
          <cell r="E69" t="str">
            <v>état</v>
          </cell>
          <cell r="F69" t="str">
            <v>de la</v>
          </cell>
          <cell r="G69" t="str">
            <v>campagne d'avantage</v>
          </cell>
          <cell r="H69"/>
          <cell r="I69"/>
        </row>
        <row r="70">
          <cell r="C70"/>
          <cell r="D70" t="str">
            <v>entre</v>
          </cell>
          <cell r="E70" t="str">
            <v>ACEM</v>
          </cell>
          <cell r="F70" t="str">
            <v>et</v>
          </cell>
          <cell r="G70" t="str">
            <v>campagne d'avantage</v>
          </cell>
          <cell r="H70"/>
          <cell r="I70"/>
        </row>
        <row r="71">
          <cell r="C71"/>
          <cell r="D71" t="str">
            <v>entre</v>
          </cell>
          <cell r="E71" t="str">
            <v>géographique</v>
          </cell>
          <cell r="F71" t="str">
            <v>et</v>
          </cell>
          <cell r="G71" t="str">
            <v>campagne d'avantage</v>
          </cell>
          <cell r="H71"/>
          <cell r="I71"/>
        </row>
        <row r="72">
          <cell r="C72"/>
          <cell r="D72" t="str">
            <v>entre</v>
          </cell>
          <cell r="E72" t="str">
            <v>géographique</v>
          </cell>
          <cell r="F72" t="str">
            <v>et</v>
          </cell>
          <cell r="G72" t="str">
            <v>campagne d'avantage</v>
          </cell>
          <cell r="H72"/>
          <cell r="I72"/>
        </row>
        <row r="73">
          <cell r="C73"/>
          <cell r="D73" t="str">
            <v>entre</v>
          </cell>
          <cell r="E73" t="str">
            <v>produit d'assurance</v>
          </cell>
          <cell r="F73" t="str">
            <v>et</v>
          </cell>
          <cell r="G73" t="str">
            <v>campagne d'avantage</v>
          </cell>
          <cell r="H73"/>
          <cell r="I73"/>
        </row>
        <row r="74">
          <cell r="C74"/>
          <cell r="D74" t="str">
            <v>entre</v>
          </cell>
          <cell r="E74" t="str">
            <v>produit d'assurance</v>
          </cell>
          <cell r="F74" t="str">
            <v>et</v>
          </cell>
          <cell r="G74" t="str">
            <v>campagne d'avantage</v>
          </cell>
          <cell r="H74"/>
          <cell r="I74"/>
        </row>
        <row r="75">
          <cell r="C75"/>
          <cell r="D75" t="str">
            <v>entre</v>
          </cell>
          <cell r="E75" t="str">
            <v>ACEM</v>
          </cell>
          <cell r="F75" t="str">
            <v>et</v>
          </cell>
          <cell r="G75" t="str">
            <v>campagne d'avantage</v>
          </cell>
          <cell r="H75"/>
          <cell r="I75"/>
        </row>
        <row r="76">
          <cell r="C76"/>
          <cell r="D76" t="str">
            <v>entre</v>
          </cell>
          <cell r="E76" t="str">
            <v>ACEM</v>
          </cell>
          <cell r="F76" t="str">
            <v>et</v>
          </cell>
          <cell r="G76" t="str">
            <v>campagne d'avantage</v>
          </cell>
          <cell r="H76"/>
          <cell r="I76"/>
        </row>
        <row r="77">
          <cell r="C77"/>
          <cell r="D77" t="str">
            <v>de l'</v>
          </cell>
          <cell r="E77" t="str">
            <v>ACEM réalisée</v>
          </cell>
          <cell r="F77" t="str">
            <v>de la</v>
          </cell>
          <cell r="G77" t="str">
            <v>campagne d'avantage</v>
          </cell>
          <cell r="H77"/>
          <cell r="I77"/>
        </row>
        <row r="78">
          <cell r="C78"/>
          <cell r="D78" t="str">
            <v>de l'</v>
          </cell>
          <cell r="E78" t="str">
            <v>ACEM réalisée</v>
          </cell>
          <cell r="F78" t="str">
            <v>de la</v>
          </cell>
          <cell r="G78" t="str">
            <v>campagne d'avantage</v>
          </cell>
          <cell r="H78"/>
          <cell r="I78"/>
        </row>
        <row r="79">
          <cell r="C79"/>
          <cell r="D79" t="str">
            <v>du</v>
          </cell>
          <cell r="E79" t="str">
            <v>Type d'utilisateur autorisé</v>
          </cell>
          <cell r="F79" t="str">
            <v>de la</v>
          </cell>
          <cell r="G79" t="str">
            <v>campagne d'avantage</v>
          </cell>
          <cell r="H79"/>
          <cell r="I79"/>
        </row>
        <row r="80">
          <cell r="C80"/>
          <cell r="D80" t="str">
            <v>du</v>
          </cell>
          <cell r="E80" t="str">
            <v>Type d'utilisateur autorisé</v>
          </cell>
          <cell r="F80" t="str">
            <v>de la</v>
          </cell>
          <cell r="G80" t="str">
            <v>campagne d'avantage</v>
          </cell>
          <cell r="H80"/>
          <cell r="I80"/>
        </row>
        <row r="81">
          <cell r="C81"/>
          <cell r="D81" t="str">
            <v>du</v>
          </cell>
          <cell r="E81" t="str">
            <v>type de bénéficiaire</v>
          </cell>
          <cell r="F81" t="str">
            <v>de la</v>
          </cell>
          <cell r="G81" t="str">
            <v>campagne d'avantage</v>
          </cell>
          <cell r="H81"/>
          <cell r="I81"/>
        </row>
        <row r="82">
          <cell r="C82"/>
          <cell r="D82" t="str">
            <v>du</v>
          </cell>
          <cell r="E82" t="str">
            <v>type de bénéficiaire</v>
          </cell>
          <cell r="F82" t="str">
            <v>de la</v>
          </cell>
          <cell r="G82" t="str">
            <v>campagne d'avantage</v>
          </cell>
          <cell r="H82"/>
          <cell r="I82"/>
        </row>
        <row r="83">
          <cell r="C83"/>
          <cell r="D83" t="str">
            <v>du</v>
          </cell>
          <cell r="E83" t="str">
            <v>correspondant</v>
          </cell>
          <cell r="F83" t="str">
            <v>de la</v>
          </cell>
          <cell r="G83" t="str">
            <v>campagne d'avantage</v>
          </cell>
          <cell r="H83"/>
          <cell r="I83"/>
        </row>
        <row r="84">
          <cell r="C84"/>
          <cell r="D84" t="str">
            <v>du</v>
          </cell>
          <cell r="E84" t="str">
            <v>canal de distribution</v>
          </cell>
          <cell r="F84" t="str">
            <v>de la</v>
          </cell>
          <cell r="G84" t="str">
            <v>campagne d'avantage</v>
          </cell>
          <cell r="H84"/>
          <cell r="I84"/>
        </row>
        <row r="85">
          <cell r="C85"/>
          <cell r="D85" t="str">
            <v>du</v>
          </cell>
          <cell r="E85" t="str">
            <v>canal de distribution</v>
          </cell>
          <cell r="F85" t="str">
            <v>de la</v>
          </cell>
          <cell r="G85" t="str">
            <v>campagne d'avantage</v>
          </cell>
          <cell r="H85"/>
          <cell r="I85"/>
        </row>
        <row r="86">
          <cell r="C86"/>
          <cell r="D86" t="str">
            <v>du</v>
          </cell>
          <cell r="E86" t="str">
            <v>type de mois gratuit</v>
          </cell>
          <cell r="F86" t="str">
            <v>de la</v>
          </cell>
          <cell r="G86" t="str">
            <v>campagne d'avantage</v>
          </cell>
          <cell r="H86"/>
          <cell r="I86"/>
        </row>
        <row r="87">
          <cell r="C87"/>
          <cell r="D87" t="str">
            <v>du</v>
          </cell>
          <cell r="E87" t="str">
            <v>type de mois gratuit</v>
          </cell>
          <cell r="F87" t="str">
            <v>de la</v>
          </cell>
          <cell r="G87" t="str">
            <v>campagne d'avantage</v>
          </cell>
          <cell r="H87"/>
          <cell r="I87"/>
        </row>
        <row r="88">
          <cell r="C88"/>
          <cell r="D88" t="str">
            <v>du</v>
          </cell>
          <cell r="E88" t="str">
            <v>format</v>
          </cell>
          <cell r="F88" t="str">
            <v>de la</v>
          </cell>
          <cell r="G88" t="str">
            <v>campagne d'avantage</v>
          </cell>
          <cell r="H88"/>
          <cell r="I88"/>
        </row>
        <row r="89">
          <cell r="C89"/>
          <cell r="D89" t="str">
            <v>du</v>
          </cell>
          <cell r="E89" t="str">
            <v>format</v>
          </cell>
          <cell r="F89" t="str">
            <v>de la</v>
          </cell>
          <cell r="G89" t="str">
            <v>campagne d'avantage</v>
          </cell>
          <cell r="H89"/>
          <cell r="I89"/>
        </row>
        <row r="90">
          <cell r="C90"/>
          <cell r="D90" t="str">
            <v>sur l'</v>
          </cell>
          <cell r="E90" t="str">
            <v>observation</v>
          </cell>
          <cell r="F90" t="str">
            <v>de la</v>
          </cell>
          <cell r="G90" t="str">
            <v>campagne d'avantage</v>
          </cell>
          <cell r="H90"/>
          <cell r="I90"/>
        </row>
        <row r="91">
          <cell r="C91"/>
          <cell r="D91" t="str">
            <v>de la</v>
          </cell>
          <cell r="E91" t="str">
            <v>nature de l'offre</v>
          </cell>
          <cell r="F91" t="str">
            <v>de la</v>
          </cell>
          <cell r="G91" t="str">
            <v>campagne d'avantage</v>
          </cell>
          <cell r="H91"/>
          <cell r="I91"/>
        </row>
        <row r="92">
          <cell r="C92"/>
          <cell r="D92" t="str">
            <v>de la</v>
          </cell>
          <cell r="E92" t="str">
            <v>nature de l'offre</v>
          </cell>
          <cell r="F92" t="str">
            <v>de la</v>
          </cell>
          <cell r="G92" t="str">
            <v>campagne d'avantage</v>
          </cell>
          <cell r="H92"/>
          <cell r="I92"/>
        </row>
        <row r="93">
          <cell r="C93"/>
          <cell r="D93" t="str">
            <v>de l'</v>
          </cell>
          <cell r="E93" t="str">
            <v>opération</v>
          </cell>
          <cell r="F93" t="str">
            <v>de la</v>
          </cell>
          <cell r="G93" t="str">
            <v>campagne d'avantage</v>
          </cell>
          <cell r="H93"/>
          <cell r="I93"/>
        </row>
        <row r="94">
          <cell r="C94"/>
          <cell r="D94" t="str">
            <v>de l'</v>
          </cell>
          <cell r="E94" t="str">
            <v>état</v>
          </cell>
          <cell r="F94" t="str">
            <v>de la</v>
          </cell>
          <cell r="G94" t="str">
            <v>campagne d'avantage</v>
          </cell>
          <cell r="H94"/>
          <cell r="I94"/>
        </row>
        <row r="95">
          <cell r="C95"/>
          <cell r="D95" t="str">
            <v>de l'</v>
          </cell>
          <cell r="E95" t="str">
            <v>état</v>
          </cell>
          <cell r="F95" t="str">
            <v>de la</v>
          </cell>
          <cell r="G95" t="str">
            <v>campagne d'avantage</v>
          </cell>
          <cell r="H95"/>
          <cell r="I95"/>
        </row>
        <row r="96">
          <cell r="C96" t="str">
            <v>maximum</v>
          </cell>
          <cell r="D96" t="str">
            <v>de</v>
          </cell>
          <cell r="E96" t="str">
            <v>commande</v>
          </cell>
          <cell r="F96" t="str">
            <v>sur la</v>
          </cell>
          <cell r="G96" t="str">
            <v>période de lancement</v>
          </cell>
          <cell r="H96" t="str">
            <v>de la</v>
          </cell>
          <cell r="I96" t="str">
            <v>campagne d'avantage</v>
          </cell>
        </row>
        <row r="97">
          <cell r="C97"/>
          <cell r="D97" t="str">
            <v>de la</v>
          </cell>
          <cell r="E97" t="str">
            <v>devise du montant</v>
          </cell>
          <cell r="F97" t="str">
            <v>de la</v>
          </cell>
          <cell r="G97" t="str">
            <v>commission</v>
          </cell>
          <cell r="H97" t="str">
            <v>de l'</v>
          </cell>
          <cell r="I97" t="str">
            <v>avantage Temps Fort</v>
          </cell>
        </row>
        <row r="98">
          <cell r="C98"/>
          <cell r="D98" t="str">
            <v>du</v>
          </cell>
          <cell r="E98" t="str">
            <v>type de motif</v>
          </cell>
          <cell r="F98" t="str">
            <v>de la</v>
          </cell>
          <cell r="G98" t="str">
            <v>consommation d'avantage</v>
          </cell>
          <cell r="H98"/>
          <cell r="I98"/>
        </row>
        <row r="99">
          <cell r="C99"/>
          <cell r="D99" t="str">
            <v>du</v>
          </cell>
          <cell r="E99" t="str">
            <v>type de motif</v>
          </cell>
          <cell r="F99" t="str">
            <v>de la</v>
          </cell>
          <cell r="G99" t="str">
            <v>consommation d'avantage</v>
          </cell>
          <cell r="H99"/>
          <cell r="I99"/>
        </row>
        <row r="100">
          <cell r="C100"/>
          <cell r="D100" t="str">
            <v>du</v>
          </cell>
          <cell r="E100" t="str">
            <v>type de motif</v>
          </cell>
          <cell r="F100" t="str">
            <v>de la</v>
          </cell>
          <cell r="G100" t="str">
            <v>consommation d'avantage</v>
          </cell>
          <cell r="H100"/>
          <cell r="I100"/>
        </row>
        <row r="101">
          <cell r="C101"/>
          <cell r="D101" t="str">
            <v>du</v>
          </cell>
          <cell r="E101" t="str">
            <v>type de motif</v>
          </cell>
          <cell r="F101" t="str">
            <v>de la</v>
          </cell>
          <cell r="G101" t="str">
            <v>consommation d'avantage</v>
          </cell>
          <cell r="H101"/>
          <cell r="I101"/>
        </row>
        <row r="102">
          <cell r="C102"/>
          <cell r="D102" t="str">
            <v>de la</v>
          </cell>
          <cell r="E102" t="str">
            <v>devise du montant</v>
          </cell>
          <cell r="F102" t="str">
            <v>de la</v>
          </cell>
          <cell r="G102" t="str">
            <v>cotisation</v>
          </cell>
          <cell r="H102" t="str">
            <v>de l'</v>
          </cell>
          <cell r="I102" t="str">
            <v>avantage Temps Fort</v>
          </cell>
        </row>
        <row r="103">
          <cell r="C103"/>
          <cell r="D103" t="str">
            <v>du</v>
          </cell>
          <cell r="E103" t="str">
            <v>Regroupement de guichet</v>
          </cell>
          <cell r="F103" t="str">
            <v>de la</v>
          </cell>
          <cell r="G103" t="str">
            <v>direction régionale</v>
          </cell>
          <cell r="H103"/>
          <cell r="I103"/>
        </row>
        <row r="104">
          <cell r="C104"/>
          <cell r="D104" t="str">
            <v>de la</v>
          </cell>
          <cell r="E104" t="str">
            <v>devise du montant</v>
          </cell>
          <cell r="F104" t="str">
            <v>de la</v>
          </cell>
          <cell r="G104" t="str">
            <v>réduction</v>
          </cell>
          <cell r="H104" t="str">
            <v>des</v>
          </cell>
          <cell r="I104" t="str">
            <v>avantages FONDO/ACORES</v>
          </cell>
        </row>
        <row r="105">
          <cell r="C105"/>
          <cell r="D105" t="str">
            <v>de la</v>
          </cell>
          <cell r="E105" t="str">
            <v>campagne d'avantage</v>
          </cell>
          <cell r="F105"/>
          <cell r="G105"/>
          <cell r="H105"/>
          <cell r="I105"/>
        </row>
        <row r="106">
          <cell r="C106"/>
          <cell r="D106" t="str">
            <v>de</v>
          </cell>
          <cell r="E106" t="str">
            <v>consommation d'avantage</v>
          </cell>
          <cell r="F106"/>
          <cell r="G106"/>
          <cell r="H106"/>
          <cell r="I106"/>
        </row>
        <row r="107">
          <cell r="C107"/>
          <cell r="D107" t="str">
            <v>de l'</v>
          </cell>
          <cell r="E107" t="str">
            <v>avantage contrat</v>
          </cell>
          <cell r="F107"/>
          <cell r="G107"/>
          <cell r="H107"/>
          <cell r="I107"/>
        </row>
        <row r="108">
          <cell r="C108"/>
          <cell r="D108" t="str">
            <v>de l'</v>
          </cell>
          <cell r="E108" t="str">
            <v>avantage sans campagne commerciale</v>
          </cell>
          <cell r="F108"/>
          <cell r="G108"/>
          <cell r="H108"/>
          <cell r="I108"/>
        </row>
        <row r="109">
          <cell r="C109"/>
          <cell r="D109" t="str">
            <v>de</v>
          </cell>
          <cell r="E109" t="str">
            <v>consommation d'avantage</v>
          </cell>
          <cell r="F109"/>
          <cell r="G109"/>
          <cell r="H109"/>
          <cell r="I109"/>
        </row>
        <row r="110">
          <cell r="C110"/>
          <cell r="D110" t="str">
            <v>de la</v>
          </cell>
          <cell r="E110" t="str">
            <v>campagne d'avantage</v>
          </cell>
          <cell r="F110"/>
          <cell r="G110"/>
          <cell r="H110"/>
          <cell r="I110"/>
        </row>
        <row r="111">
          <cell r="C111"/>
          <cell r="D111" t="str">
            <v>de</v>
          </cell>
          <cell r="E111" t="str">
            <v>consommation d'avantage</v>
          </cell>
          <cell r="F111"/>
          <cell r="G111"/>
          <cell r="H111"/>
          <cell r="I111"/>
        </row>
        <row r="112">
          <cell r="C112"/>
          <cell r="D112" t="str">
            <v>de l'</v>
          </cell>
          <cell r="E112" t="str">
            <v>avantage contrat</v>
          </cell>
          <cell r="F112"/>
          <cell r="G112"/>
          <cell r="H112"/>
          <cell r="I112"/>
        </row>
        <row r="113">
          <cell r="C113"/>
          <cell r="D113" t="str">
            <v>de l'</v>
          </cell>
          <cell r="E113" t="str">
            <v>avantage sans campagne commerciale</v>
          </cell>
          <cell r="F113"/>
          <cell r="G113"/>
          <cell r="H113"/>
          <cell r="I113"/>
        </row>
        <row r="114">
          <cell r="C114"/>
          <cell r="D114" t="str">
            <v>de</v>
          </cell>
          <cell r="E114" t="str">
            <v>consommation d'avantage</v>
          </cell>
          <cell r="F114"/>
          <cell r="G114"/>
          <cell r="H114"/>
          <cell r="I114"/>
        </row>
        <row r="115">
          <cell r="C115"/>
          <cell r="D115" t="str">
            <v>de la</v>
          </cell>
          <cell r="E115" t="str">
            <v>consommation d'avantage</v>
          </cell>
          <cell r="F115"/>
          <cell r="G115"/>
          <cell r="H115"/>
          <cell r="I115"/>
        </row>
        <row r="116">
          <cell r="C116"/>
          <cell r="D116" t="str">
            <v>de l'</v>
          </cell>
          <cell r="E116" t="str">
            <v>avantage mois gratuit</v>
          </cell>
          <cell r="F116"/>
          <cell r="G116"/>
          <cell r="H116"/>
          <cell r="I116"/>
        </row>
        <row r="117">
          <cell r="C117"/>
          <cell r="D117" t="str">
            <v>des</v>
          </cell>
          <cell r="E117" t="str">
            <v>avantages FONDO/ACORES</v>
          </cell>
          <cell r="F117"/>
          <cell r="G117"/>
          <cell r="H117"/>
          <cell r="I117"/>
        </row>
        <row r="118">
          <cell r="C118"/>
          <cell r="D118" t="str">
            <v>d'</v>
          </cell>
          <cell r="E118" t="str">
            <v>autres types</v>
          </cell>
          <cell r="F118"/>
          <cell r="G118"/>
          <cell r="H118"/>
          <cell r="I118"/>
        </row>
        <row r="119">
          <cell r="C119"/>
          <cell r="D119" t="str">
            <v>de la</v>
          </cell>
          <cell r="E119" t="str">
            <v>campagne d'avantage</v>
          </cell>
          <cell r="F119"/>
          <cell r="G119"/>
          <cell r="H119"/>
          <cell r="I119"/>
        </row>
        <row r="120">
          <cell r="C120"/>
          <cell r="D120" t="str">
            <v>de la</v>
          </cell>
          <cell r="E120" t="str">
            <v>campagne d'avantage</v>
          </cell>
          <cell r="F120"/>
          <cell r="G120"/>
          <cell r="H120"/>
          <cell r="I120"/>
        </row>
        <row r="121">
          <cell r="C121"/>
          <cell r="D121" t="str">
            <v>de la</v>
          </cell>
          <cell r="E121" t="str">
            <v>campagne d'avantage</v>
          </cell>
          <cell r="F121"/>
          <cell r="G121"/>
          <cell r="H121"/>
          <cell r="I121"/>
        </row>
        <row r="122">
          <cell r="C122"/>
          <cell r="D122" t="str">
            <v>de la</v>
          </cell>
          <cell r="E122" t="str">
            <v>campagne d'avantage</v>
          </cell>
          <cell r="F122"/>
          <cell r="G122"/>
          <cell r="H122"/>
          <cell r="I122"/>
        </row>
        <row r="123">
          <cell r="C123"/>
          <cell r="D123" t="str">
            <v>de la</v>
          </cell>
          <cell r="E123" t="str">
            <v>campagne d'avantage</v>
          </cell>
          <cell r="F123"/>
          <cell r="G123"/>
          <cell r="H123"/>
          <cell r="I123"/>
        </row>
        <row r="124">
          <cell r="C124"/>
          <cell r="D124" t="str">
            <v>de la</v>
          </cell>
          <cell r="E124" t="str">
            <v>campagne d'avantage</v>
          </cell>
          <cell r="F124"/>
          <cell r="G124"/>
          <cell r="H124"/>
          <cell r="I124"/>
        </row>
        <row r="125">
          <cell r="C125"/>
          <cell r="D125" t="str">
            <v>de la</v>
          </cell>
          <cell r="E125" t="str">
            <v>consommation d'avantage</v>
          </cell>
          <cell r="F125"/>
          <cell r="G125"/>
          <cell r="H125"/>
          <cell r="I125"/>
        </row>
        <row r="126">
          <cell r="C126"/>
          <cell r="D126" t="str">
            <v>de</v>
          </cell>
          <cell r="E126" t="str">
            <v>consommation d'avantage</v>
          </cell>
          <cell r="F126"/>
          <cell r="G126"/>
          <cell r="H126"/>
          <cell r="I126"/>
        </row>
        <row r="127">
          <cell r="C127"/>
          <cell r="D127" t="str">
            <v>de la</v>
          </cell>
          <cell r="E127" t="str">
            <v>consommation d'avantage</v>
          </cell>
          <cell r="F127"/>
          <cell r="G127"/>
          <cell r="H127"/>
          <cell r="I127"/>
        </row>
        <row r="128">
          <cell r="C128"/>
          <cell r="D128" t="str">
            <v>de</v>
          </cell>
          <cell r="E128" t="str">
            <v>consommation d'avantage</v>
          </cell>
          <cell r="F128"/>
          <cell r="G128"/>
          <cell r="H128"/>
          <cell r="I128"/>
        </row>
        <row r="129">
          <cell r="C129"/>
          <cell r="D129" t="str">
            <v>de</v>
          </cell>
          <cell r="E129" t="str">
            <v>consommation d'avantage</v>
          </cell>
          <cell r="F129"/>
          <cell r="G129"/>
          <cell r="H129"/>
          <cell r="I129"/>
        </row>
        <row r="130">
          <cell r="C130"/>
          <cell r="D130" t="str">
            <v>de</v>
          </cell>
          <cell r="E130" t="str">
            <v>consommation d'avantage</v>
          </cell>
          <cell r="F130"/>
          <cell r="G130"/>
          <cell r="H130"/>
          <cell r="I130"/>
        </row>
        <row r="131">
          <cell r="C131"/>
          <cell r="D131" t="str">
            <v>de l'</v>
          </cell>
          <cell r="E131" t="str">
            <v>avantage contrat</v>
          </cell>
          <cell r="F131"/>
          <cell r="G131"/>
          <cell r="H131"/>
          <cell r="I131"/>
        </row>
        <row r="132">
          <cell r="C132"/>
          <cell r="D132" t="str">
            <v>de l'</v>
          </cell>
          <cell r="E132" t="str">
            <v>avantage contrat</v>
          </cell>
          <cell r="F132"/>
          <cell r="G132"/>
          <cell r="H132"/>
          <cell r="I132"/>
        </row>
        <row r="133">
          <cell r="C133"/>
          <cell r="D133" t="str">
            <v>de l'</v>
          </cell>
          <cell r="E133" t="str">
            <v>avantage contrat</v>
          </cell>
          <cell r="F133"/>
          <cell r="G133"/>
          <cell r="H133"/>
          <cell r="I133"/>
        </row>
        <row r="134">
          <cell r="C134"/>
          <cell r="D134" t="str">
            <v>de l'</v>
          </cell>
          <cell r="E134" t="str">
            <v>avantage sans campagne commerciale</v>
          </cell>
          <cell r="F134"/>
          <cell r="G134"/>
          <cell r="H134"/>
          <cell r="I134"/>
        </row>
        <row r="135">
          <cell r="C135"/>
          <cell r="D135" t="str">
            <v>de l'</v>
          </cell>
          <cell r="E135" t="str">
            <v>avantage sans campagne commerciale</v>
          </cell>
          <cell r="F135"/>
          <cell r="G135"/>
          <cell r="H135"/>
          <cell r="I135"/>
        </row>
        <row r="136">
          <cell r="C136"/>
          <cell r="D136" t="str">
            <v>de la</v>
          </cell>
          <cell r="E136" t="str">
            <v>campagne d'avantage</v>
          </cell>
          <cell r="F136"/>
          <cell r="G136"/>
          <cell r="H136"/>
          <cell r="I136"/>
        </row>
        <row r="137">
          <cell r="C137"/>
          <cell r="D137" t="str">
            <v>de l'</v>
          </cell>
          <cell r="E137" t="str">
            <v>avantage contrat</v>
          </cell>
          <cell r="F137"/>
          <cell r="G137"/>
          <cell r="H137"/>
          <cell r="I137"/>
        </row>
        <row r="138">
          <cell r="C138"/>
          <cell r="D138" t="str">
            <v>de l'</v>
          </cell>
          <cell r="E138" t="str">
            <v>avantage sans campagne commerciale</v>
          </cell>
          <cell r="F138"/>
          <cell r="G138"/>
          <cell r="H138"/>
          <cell r="I138"/>
        </row>
        <row r="139">
          <cell r="C139"/>
          <cell r="D139" t="str">
            <v>de l'</v>
          </cell>
          <cell r="E139" t="str">
            <v>activité</v>
          </cell>
          <cell r="F139"/>
          <cell r="G139"/>
          <cell r="H139"/>
          <cell r="I139"/>
        </row>
        <row r="140">
          <cell r="C140"/>
          <cell r="D140" t="str">
            <v>du</v>
          </cell>
          <cell r="E140" t="str">
            <v>regroupement secteur d'activité</v>
          </cell>
          <cell r="F140"/>
          <cell r="G140"/>
          <cell r="H140"/>
          <cell r="I140"/>
        </row>
        <row r="141">
          <cell r="C141" t="str">
            <v>mois gratuit</v>
          </cell>
          <cell r="D141" t="str">
            <v>de la</v>
          </cell>
          <cell r="E141" t="str">
            <v>campagne d'avantage</v>
          </cell>
          <cell r="F141"/>
          <cell r="G141"/>
          <cell r="H141"/>
          <cell r="I141"/>
        </row>
        <row r="142">
          <cell r="C142" t="str">
            <v>mois gratuit</v>
          </cell>
          <cell r="D142" t="str">
            <v>de l'</v>
          </cell>
          <cell r="E142" t="str">
            <v>avantage contrat</v>
          </cell>
          <cell r="F142"/>
          <cell r="G142"/>
          <cell r="H142"/>
          <cell r="I142"/>
        </row>
        <row r="143">
          <cell r="C143" t="str">
            <v>Dernière image</v>
          </cell>
          <cell r="D143" t="str">
            <v>entre</v>
          </cell>
          <cell r="E143" t="str">
            <v>géographique</v>
          </cell>
          <cell r="F143" t="str">
            <v>et</v>
          </cell>
          <cell r="G143" t="str">
            <v>campagne d'avantage</v>
          </cell>
          <cell r="H143"/>
          <cell r="I143"/>
        </row>
        <row r="144">
          <cell r="C144" t="str">
            <v>Dernière image</v>
          </cell>
          <cell r="D144" t="str">
            <v>entre</v>
          </cell>
          <cell r="E144" t="str">
            <v>produit d'assurance</v>
          </cell>
          <cell r="F144" t="str">
            <v>et</v>
          </cell>
          <cell r="G144" t="str">
            <v>campagne d'avantage</v>
          </cell>
          <cell r="H144"/>
          <cell r="I144"/>
        </row>
        <row r="145">
          <cell r="C145" t="str">
            <v>Dernière image</v>
          </cell>
          <cell r="D145" t="str">
            <v>de la</v>
          </cell>
          <cell r="E145" t="str">
            <v>campagne d'avantage</v>
          </cell>
          <cell r="F145"/>
          <cell r="G145"/>
          <cell r="H145"/>
          <cell r="I145"/>
        </row>
        <row r="146">
          <cell r="C146" t="str">
            <v>Dernière image</v>
          </cell>
          <cell r="D146" t="str">
            <v>entre</v>
          </cell>
          <cell r="E146" t="str">
            <v>ACEM</v>
          </cell>
          <cell r="F146" t="str">
            <v>et</v>
          </cell>
          <cell r="G146" t="str">
            <v>campagne d'avantage</v>
          </cell>
          <cell r="H146"/>
          <cell r="I146"/>
        </row>
        <row r="147">
          <cell r="C147" t="str">
            <v>Dernière image</v>
          </cell>
          <cell r="D147" t="str">
            <v>de</v>
          </cell>
          <cell r="E147" t="str">
            <v>consommation d'avantage</v>
          </cell>
          <cell r="F147"/>
          <cell r="G147"/>
          <cell r="H147"/>
          <cell r="I147"/>
        </row>
        <row r="148">
          <cell r="C148" t="str">
            <v>Dernière image</v>
          </cell>
          <cell r="D148" t="str">
            <v>de l'</v>
          </cell>
          <cell r="E148" t="str">
            <v>avantage contrat</v>
          </cell>
          <cell r="F148"/>
          <cell r="G148"/>
          <cell r="H148"/>
          <cell r="I148"/>
        </row>
        <row r="149">
          <cell r="C149" t="str">
            <v>Dernière image</v>
          </cell>
          <cell r="D149" t="str">
            <v>de l'</v>
          </cell>
          <cell r="E149" t="str">
            <v>avantage sans campagne commerciale</v>
          </cell>
          <cell r="F149"/>
          <cell r="G149"/>
          <cell r="H149"/>
          <cell r="I149"/>
        </row>
        <row r="150">
          <cell r="C150" t="str">
            <v>dernier crédit</v>
          </cell>
          <cell r="D150" t="str">
            <v>de l'</v>
          </cell>
          <cell r="E150" t="str">
            <v>avantage sans campagne commerciale</v>
          </cell>
          <cell r="F150"/>
          <cell r="G150"/>
          <cell r="H150"/>
          <cell r="I150"/>
        </row>
        <row r="151">
          <cell r="C151" t="str">
            <v>Rattachement</v>
          </cell>
          <cell r="D151" t="str">
            <v>du</v>
          </cell>
          <cell r="E151" t="str">
            <v>Contrat</v>
          </cell>
          <cell r="F151" t="str">
            <v>au</v>
          </cell>
          <cell r="G151" t="str">
            <v>Bureau du guichet</v>
          </cell>
          <cell r="H151"/>
          <cell r="I151"/>
        </row>
        <row r="152">
          <cell r="C152" t="str">
            <v>rattachement</v>
          </cell>
          <cell r="D152" t="str">
            <v>à</v>
          </cell>
          <cell r="E152" t="str">
            <v>"Centre Est Europe"</v>
          </cell>
          <cell r="F152" t="str">
            <v>du</v>
          </cell>
          <cell r="G152" t="str">
            <v>Regroupement de guichet</v>
          </cell>
          <cell r="H152"/>
          <cell r="I152"/>
        </row>
        <row r="153">
          <cell r="C153" t="str">
            <v>Banque Interco</v>
          </cell>
          <cell r="D153" t="str">
            <v>de l'</v>
          </cell>
          <cell r="E153" t="str">
            <v>établissement</v>
          </cell>
          <cell r="F153"/>
          <cell r="G153"/>
          <cell r="H153"/>
          <cell r="I153"/>
        </row>
        <row r="154">
          <cell r="C154"/>
          <cell r="D154" t="str">
            <v>de la</v>
          </cell>
          <cell r="E154" t="str">
            <v>section</v>
          </cell>
          <cell r="F154" t="str">
            <v>dans la</v>
          </cell>
          <cell r="G154" t="str">
            <v>base organisme</v>
          </cell>
          <cell r="H154"/>
          <cell r="I154"/>
        </row>
        <row r="155">
          <cell r="C155"/>
          <cell r="D155" t="str">
            <v>de la</v>
          </cell>
          <cell r="E155" t="str">
            <v>section</v>
          </cell>
          <cell r="F155" t="str">
            <v>dans la</v>
          </cell>
          <cell r="G155" t="str">
            <v>base organisme</v>
          </cell>
          <cell r="H155"/>
          <cell r="I155"/>
        </row>
        <row r="156">
          <cell r="C156"/>
          <cell r="D156" t="str">
            <v>de la</v>
          </cell>
          <cell r="E156" t="str">
            <v>Catégorie de l'activité</v>
          </cell>
          <cell r="F156" t="str">
            <v>du</v>
          </cell>
          <cell r="G156" t="str">
            <v>Bureau du Guichet</v>
          </cell>
          <cell r="H156"/>
          <cell r="I156"/>
        </row>
        <row r="157">
          <cell r="C157"/>
          <cell r="D157" t="str">
            <v>de la</v>
          </cell>
          <cell r="E157" t="str">
            <v>Sous Catégorie de l'activité</v>
          </cell>
          <cell r="F157" t="str">
            <v>du</v>
          </cell>
          <cell r="G157" t="str">
            <v>Bureau du Guichet</v>
          </cell>
          <cell r="H157"/>
          <cell r="I157"/>
        </row>
        <row r="158">
          <cell r="C158"/>
          <cell r="D158" t="str">
            <v>du</v>
          </cell>
          <cell r="E158" t="str">
            <v>Mode de gestion</v>
          </cell>
          <cell r="F158" t="str">
            <v>du</v>
          </cell>
          <cell r="G158" t="str">
            <v>Bureau du Guichet</v>
          </cell>
          <cell r="H158"/>
          <cell r="I158"/>
        </row>
        <row r="159">
          <cell r="C159"/>
          <cell r="D159" t="str">
            <v>de la</v>
          </cell>
          <cell r="E159" t="str">
            <v>Catégorie de l'activité</v>
          </cell>
          <cell r="F159" t="str">
            <v>du</v>
          </cell>
          <cell r="G159" t="str">
            <v>Bureau du Guichet</v>
          </cell>
          <cell r="H159"/>
          <cell r="I159"/>
        </row>
        <row r="160">
          <cell r="C160"/>
          <cell r="D160" t="str">
            <v>de la</v>
          </cell>
          <cell r="E160" t="str">
            <v>Catégorie de l'activité</v>
          </cell>
          <cell r="F160" t="str">
            <v>du</v>
          </cell>
          <cell r="G160" t="str">
            <v>Bureau du Guichet</v>
          </cell>
          <cell r="H160"/>
          <cell r="I160"/>
        </row>
        <row r="161">
          <cell r="C161"/>
          <cell r="D161" t="str">
            <v>de la</v>
          </cell>
          <cell r="E161" t="str">
            <v>Sous Catégorie de l'activité</v>
          </cell>
          <cell r="F161" t="str">
            <v>du</v>
          </cell>
          <cell r="G161" t="str">
            <v>Bureau du Guichet</v>
          </cell>
          <cell r="H161"/>
          <cell r="I161"/>
        </row>
        <row r="162">
          <cell r="C162"/>
          <cell r="D162" t="str">
            <v>de la</v>
          </cell>
          <cell r="E162" t="str">
            <v>Sous Catégorie de l'activité</v>
          </cell>
          <cell r="F162" t="str">
            <v>du</v>
          </cell>
          <cell r="G162" t="str">
            <v>Bureau du Guichet</v>
          </cell>
          <cell r="H162"/>
          <cell r="I162"/>
        </row>
        <row r="163">
          <cell r="C163"/>
          <cell r="D163" t="str">
            <v>du</v>
          </cell>
          <cell r="E163" t="str">
            <v>Mode de Gestion</v>
          </cell>
          <cell r="F163" t="str">
            <v>du</v>
          </cell>
          <cell r="G163" t="str">
            <v>Bureau du Guichet</v>
          </cell>
          <cell r="H163"/>
          <cell r="I163"/>
        </row>
        <row r="164">
          <cell r="C164"/>
          <cell r="D164" t="str">
            <v>du</v>
          </cell>
          <cell r="E164" t="str">
            <v>Mode de Gestion</v>
          </cell>
          <cell r="F164" t="str">
            <v>du</v>
          </cell>
          <cell r="G164" t="str">
            <v>Bureau du Guichet</v>
          </cell>
          <cell r="H164"/>
          <cell r="I164"/>
        </row>
        <row r="165">
          <cell r="C165"/>
          <cell r="D165" t="str">
            <v xml:space="preserve"> </v>
          </cell>
          <cell r="E165" t="str">
            <v>SIRET</v>
          </cell>
          <cell r="F165" t="str">
            <v>du</v>
          </cell>
          <cell r="G165" t="str">
            <v>Bureau du Guichet</v>
          </cell>
          <cell r="H165"/>
          <cell r="I165"/>
        </row>
        <row r="166">
          <cell r="C166"/>
          <cell r="D166" t="str">
            <v>de la</v>
          </cell>
          <cell r="E166" t="str">
            <v>Nature</v>
          </cell>
          <cell r="F166" t="str">
            <v>de l'</v>
          </cell>
          <cell r="G166" t="str">
            <v>Entité Gestionnaire</v>
          </cell>
          <cell r="H166"/>
          <cell r="I166"/>
        </row>
        <row r="167">
          <cell r="C167"/>
          <cell r="D167" t="str">
            <v>de la</v>
          </cell>
          <cell r="E167" t="str">
            <v>Situation</v>
          </cell>
          <cell r="F167" t="str">
            <v>de l'</v>
          </cell>
          <cell r="G167" t="str">
            <v>Entité Gestionnaire</v>
          </cell>
          <cell r="H167"/>
          <cell r="I167"/>
        </row>
        <row r="168">
          <cell r="C168"/>
          <cell r="D168" t="str">
            <v>de la</v>
          </cell>
          <cell r="E168" t="str">
            <v>Nature</v>
          </cell>
          <cell r="F168" t="str">
            <v>de l'</v>
          </cell>
          <cell r="G168" t="str">
            <v>Entité gestionnaire</v>
          </cell>
          <cell r="H168" t="str">
            <v>du</v>
          </cell>
          <cell r="I168" t="str">
            <v>Guichet de l'établissement</v>
          </cell>
        </row>
        <row r="169">
          <cell r="C169"/>
          <cell r="D169" t="str">
            <v>de la</v>
          </cell>
          <cell r="E169" t="str">
            <v>Nature</v>
          </cell>
          <cell r="F169" t="str">
            <v>de l'</v>
          </cell>
          <cell r="G169" t="str">
            <v>Entité gestionnaire</v>
          </cell>
          <cell r="H169" t="str">
            <v>du</v>
          </cell>
          <cell r="I169" t="str">
            <v>Guichet de l'établissement</v>
          </cell>
        </row>
        <row r="170">
          <cell r="C170"/>
          <cell r="D170" t="str">
            <v>de la</v>
          </cell>
          <cell r="E170" t="str">
            <v>Situation</v>
          </cell>
          <cell r="F170" t="str">
            <v>de l'</v>
          </cell>
          <cell r="G170" t="str">
            <v>Entité gestionnaire</v>
          </cell>
          <cell r="H170" t="str">
            <v>du</v>
          </cell>
          <cell r="I170" t="str">
            <v>Guichet de l'établissement</v>
          </cell>
        </row>
        <row r="171">
          <cell r="C171"/>
          <cell r="D171" t="str">
            <v>de la</v>
          </cell>
          <cell r="E171" t="str">
            <v>Situation</v>
          </cell>
          <cell r="F171" t="str">
            <v>de l'</v>
          </cell>
          <cell r="G171" t="str">
            <v>Entité gestionnaire</v>
          </cell>
          <cell r="H171" t="str">
            <v>du</v>
          </cell>
          <cell r="I171" t="str">
            <v>Guichet de l'établissement</v>
          </cell>
        </row>
        <row r="172">
          <cell r="C172"/>
          <cell r="D172" t="str">
            <v>de la</v>
          </cell>
          <cell r="E172" t="str">
            <v>Nature</v>
          </cell>
          <cell r="F172" t="str">
            <v>de l'</v>
          </cell>
          <cell r="G172" t="str">
            <v>Entité Gestionnaire</v>
          </cell>
          <cell r="H172"/>
          <cell r="I172"/>
        </row>
        <row r="173">
          <cell r="C173"/>
          <cell r="D173" t="str">
            <v>de la</v>
          </cell>
          <cell r="E173" t="str">
            <v>Nature</v>
          </cell>
          <cell r="F173" t="str">
            <v>de l'</v>
          </cell>
          <cell r="G173" t="str">
            <v>Entité Gestionnaire</v>
          </cell>
          <cell r="H173"/>
          <cell r="I173"/>
        </row>
        <row r="174">
          <cell r="C174"/>
          <cell r="D174" t="str">
            <v>de la</v>
          </cell>
          <cell r="E174" t="str">
            <v>Situation</v>
          </cell>
          <cell r="F174" t="str">
            <v>de l'</v>
          </cell>
          <cell r="G174" t="str">
            <v>Entité Gestionnaire</v>
          </cell>
          <cell r="H174"/>
          <cell r="I174"/>
        </row>
        <row r="175">
          <cell r="C175"/>
          <cell r="D175" t="str">
            <v>de la</v>
          </cell>
          <cell r="E175" t="str">
            <v>Situation</v>
          </cell>
          <cell r="F175" t="str">
            <v>de l'</v>
          </cell>
          <cell r="G175" t="str">
            <v>Entité Gestionnaire</v>
          </cell>
          <cell r="H175"/>
          <cell r="I175"/>
        </row>
        <row r="176">
          <cell r="C176"/>
          <cell r="D176" t="str">
            <v>du</v>
          </cell>
          <cell r="E176" t="str">
            <v>Type d'utilisation</v>
          </cell>
          <cell r="F176" t="str">
            <v>de l'</v>
          </cell>
          <cell r="G176" t="str">
            <v>établissement</v>
          </cell>
          <cell r="H176"/>
          <cell r="I176"/>
        </row>
        <row r="177">
          <cell r="C177"/>
          <cell r="D177" t="str">
            <v>de l'</v>
          </cell>
          <cell r="E177" t="str">
            <v>BIC</v>
          </cell>
          <cell r="F177" t="str">
            <v>de l'</v>
          </cell>
          <cell r="G177" t="str">
            <v>établissement</v>
          </cell>
          <cell r="H177"/>
          <cell r="I177"/>
        </row>
        <row r="178">
          <cell r="C178"/>
          <cell r="D178" t="str">
            <v>du</v>
          </cell>
          <cell r="E178" t="str">
            <v>Type d'Entité Bancaire</v>
          </cell>
          <cell r="F178" t="str">
            <v>de l'</v>
          </cell>
          <cell r="G178" t="str">
            <v>établissement</v>
          </cell>
          <cell r="H178"/>
          <cell r="I178"/>
        </row>
        <row r="179">
          <cell r="C179"/>
          <cell r="D179" t="str">
            <v>du</v>
          </cell>
          <cell r="E179" t="str">
            <v>Type d'Entité Bancaire</v>
          </cell>
          <cell r="F179" t="str">
            <v>de l'</v>
          </cell>
          <cell r="G179" t="str">
            <v>établissement</v>
          </cell>
          <cell r="H179"/>
          <cell r="I179"/>
        </row>
        <row r="180">
          <cell r="C180"/>
          <cell r="D180" t="str">
            <v>du</v>
          </cell>
          <cell r="E180" t="str">
            <v>Réseau bancaire</v>
          </cell>
          <cell r="F180" t="str">
            <v>de l'</v>
          </cell>
          <cell r="G180" t="str">
            <v>établissement</v>
          </cell>
          <cell r="H180"/>
          <cell r="I180"/>
        </row>
        <row r="181">
          <cell r="C181"/>
          <cell r="D181" t="str">
            <v>du</v>
          </cell>
          <cell r="E181" t="str">
            <v>Réseau Bancaire</v>
          </cell>
          <cell r="F181" t="str">
            <v>de l'</v>
          </cell>
          <cell r="G181" t="str">
            <v>établissement</v>
          </cell>
          <cell r="H181"/>
          <cell r="I181"/>
        </row>
        <row r="182">
          <cell r="C182"/>
          <cell r="D182" t="str">
            <v>d'</v>
          </cell>
          <cell r="E182" t="str">
            <v>Identifiant d'Entité Légale (LEI)</v>
          </cell>
          <cell r="F182" t="str">
            <v>de l'</v>
          </cell>
          <cell r="G182" t="str">
            <v>établissement</v>
          </cell>
          <cell r="H182"/>
          <cell r="I182"/>
        </row>
        <row r="183">
          <cell r="C183"/>
          <cell r="D183" t="str">
            <v>de l'</v>
          </cell>
          <cell r="E183" t="str">
            <v>Entité centralisatrice des tiers</v>
          </cell>
          <cell r="F183" t="str">
            <v>de l'</v>
          </cell>
          <cell r="G183" t="str">
            <v>établissement</v>
          </cell>
          <cell r="H183"/>
          <cell r="I183"/>
        </row>
        <row r="184">
          <cell r="C184"/>
          <cell r="D184" t="str">
            <v xml:space="preserve"> </v>
          </cell>
          <cell r="E184" t="str">
            <v>SIRET</v>
          </cell>
          <cell r="F184" t="str">
            <v>de l'</v>
          </cell>
          <cell r="G184" t="str">
            <v>établissement</v>
          </cell>
          <cell r="H184"/>
          <cell r="I184"/>
        </row>
        <row r="185">
          <cell r="C185"/>
          <cell r="D185" t="str">
            <v>du</v>
          </cell>
          <cell r="E185" t="str">
            <v>Type d'utilisation</v>
          </cell>
          <cell r="F185" t="str">
            <v>de l'</v>
          </cell>
          <cell r="G185" t="str">
            <v>établissement</v>
          </cell>
          <cell r="H185"/>
          <cell r="I185"/>
        </row>
        <row r="186">
          <cell r="C186"/>
          <cell r="D186" t="str">
            <v>du</v>
          </cell>
          <cell r="E186" t="str">
            <v>Type d'utilisation</v>
          </cell>
          <cell r="F186" t="str">
            <v>de l'</v>
          </cell>
          <cell r="G186" t="str">
            <v>établissement</v>
          </cell>
          <cell r="H186"/>
          <cell r="I186"/>
        </row>
        <row r="187">
          <cell r="C187"/>
          <cell r="D187" t="str">
            <v>du</v>
          </cell>
          <cell r="E187" t="str">
            <v>Réseau bancaire</v>
          </cell>
          <cell r="F187" t="str">
            <v>de la</v>
          </cell>
          <cell r="G187" t="str">
            <v>Fédération</v>
          </cell>
          <cell r="H187"/>
          <cell r="I187"/>
        </row>
        <row r="188">
          <cell r="C188"/>
          <cell r="D188" t="str">
            <v>du</v>
          </cell>
          <cell r="E188" t="str">
            <v>Réseau Bancaire</v>
          </cell>
          <cell r="F188" t="str">
            <v>de la</v>
          </cell>
          <cell r="G188" t="str">
            <v>Fédération</v>
          </cell>
          <cell r="H188"/>
          <cell r="I188"/>
        </row>
        <row r="189">
          <cell r="C189"/>
          <cell r="D189" t="str">
            <v xml:space="preserve"> </v>
          </cell>
          <cell r="E189" t="str">
            <v>suspension de commissionnement</v>
          </cell>
          <cell r="F189" t="str">
            <v>du</v>
          </cell>
          <cell r="G189" t="str">
            <v>Guichet de l'établissement</v>
          </cell>
          <cell r="H189"/>
          <cell r="I189"/>
        </row>
        <row r="190">
          <cell r="C190"/>
          <cell r="D190" t="str">
            <v xml:space="preserve"> </v>
          </cell>
          <cell r="E190" t="str">
            <v>commissionable</v>
          </cell>
          <cell r="F190" t="str">
            <v>du</v>
          </cell>
          <cell r="G190" t="str">
            <v>Guichet de l'établissement</v>
          </cell>
          <cell r="H190"/>
          <cell r="I190"/>
        </row>
        <row r="191">
          <cell r="C191"/>
          <cell r="D191" t="str">
            <v>du</v>
          </cell>
          <cell r="E191" t="str">
            <v>Type</v>
          </cell>
          <cell r="F191" t="str">
            <v>du</v>
          </cell>
          <cell r="G191" t="str">
            <v>Guichet de l'établissement</v>
          </cell>
          <cell r="H191"/>
          <cell r="I191"/>
        </row>
        <row r="192">
          <cell r="C192"/>
          <cell r="D192" t="str">
            <v>du</v>
          </cell>
          <cell r="E192" t="str">
            <v>Pays</v>
          </cell>
          <cell r="F192" t="str">
            <v>du</v>
          </cell>
          <cell r="G192" t="str">
            <v>Guichet de l'établissement</v>
          </cell>
          <cell r="H192"/>
          <cell r="I192"/>
        </row>
        <row r="193">
          <cell r="C193"/>
          <cell r="D193" t="str">
            <v>du</v>
          </cell>
          <cell r="E193" t="str">
            <v>Pays</v>
          </cell>
          <cell r="F193" t="str">
            <v>du</v>
          </cell>
          <cell r="G193" t="str">
            <v>Guichet de l'établissement</v>
          </cell>
          <cell r="H193"/>
          <cell r="I193"/>
        </row>
        <row r="194">
          <cell r="C194"/>
          <cell r="D194" t="str">
            <v>du</v>
          </cell>
          <cell r="E194" t="str">
            <v>Type</v>
          </cell>
          <cell r="F194" t="str">
            <v>du</v>
          </cell>
          <cell r="G194" t="str">
            <v>Guichet de l'établissement</v>
          </cell>
          <cell r="H194"/>
          <cell r="I194"/>
        </row>
        <row r="195">
          <cell r="C195"/>
          <cell r="D195" t="str">
            <v>du</v>
          </cell>
          <cell r="E195" t="str">
            <v>Type</v>
          </cell>
          <cell r="F195" t="str">
            <v>du</v>
          </cell>
          <cell r="G195" t="str">
            <v>Guichet de l'établissement</v>
          </cell>
          <cell r="H195"/>
          <cell r="I195"/>
        </row>
        <row r="196">
          <cell r="C196"/>
          <cell r="D196" t="str">
            <v>du</v>
          </cell>
          <cell r="E196" t="str">
            <v>code métier</v>
          </cell>
          <cell r="F196" t="str">
            <v>du</v>
          </cell>
          <cell r="G196" t="str">
            <v>pilotage financier</v>
          </cell>
          <cell r="H196"/>
          <cell r="I196"/>
        </row>
        <row r="197">
          <cell r="C197"/>
          <cell r="D197" t="str">
            <v>du</v>
          </cell>
          <cell r="E197" t="str">
            <v>Préfixe</v>
          </cell>
          <cell r="F197" t="str">
            <v>du</v>
          </cell>
          <cell r="G197" t="str">
            <v>Regroupement de Guichet</v>
          </cell>
          <cell r="H197"/>
          <cell r="I197"/>
        </row>
        <row r="198">
          <cell r="C198"/>
          <cell r="D198" t="str">
            <v>du</v>
          </cell>
          <cell r="E198" t="str">
            <v>Guichet  Maître de l'établissement</v>
          </cell>
          <cell r="F198" t="str">
            <v>du</v>
          </cell>
          <cell r="G198" t="str">
            <v>Regroupement de Guichet</v>
          </cell>
          <cell r="H198"/>
          <cell r="I198"/>
        </row>
        <row r="199">
          <cell r="C199"/>
          <cell r="D199" t="str">
            <v>du</v>
          </cell>
          <cell r="E199" t="str">
            <v>Périmètre de Couverture</v>
          </cell>
          <cell r="F199" t="str">
            <v>du</v>
          </cell>
          <cell r="G199" t="str">
            <v>Regroupement de Guichet</v>
          </cell>
          <cell r="H199"/>
          <cell r="I199"/>
        </row>
        <row r="200">
          <cell r="C200"/>
          <cell r="D200" t="str">
            <v>de l'</v>
          </cell>
          <cell r="E200" t="str">
            <v>établissement Maître</v>
          </cell>
          <cell r="F200" t="str">
            <v>du</v>
          </cell>
          <cell r="G200" t="str">
            <v>Regroupement de Guichet</v>
          </cell>
          <cell r="H200"/>
          <cell r="I200"/>
        </row>
        <row r="201">
          <cell r="C201"/>
          <cell r="D201" t="str">
            <v>du</v>
          </cell>
          <cell r="E201" t="str">
            <v>Préfixe</v>
          </cell>
          <cell r="F201" t="str">
            <v>du</v>
          </cell>
          <cell r="G201" t="str">
            <v>Regroupement de Guichet</v>
          </cell>
          <cell r="H201"/>
          <cell r="I201"/>
        </row>
        <row r="202">
          <cell r="C202"/>
          <cell r="D202" t="str">
            <v>du</v>
          </cell>
          <cell r="E202" t="str">
            <v>Préfixe</v>
          </cell>
          <cell r="F202" t="str">
            <v>du</v>
          </cell>
          <cell r="G202" t="str">
            <v>Regroupement de Guichet</v>
          </cell>
          <cell r="H202"/>
          <cell r="I202"/>
        </row>
        <row r="203">
          <cell r="C203"/>
          <cell r="D203" t="str">
            <v>du</v>
          </cell>
          <cell r="E203" t="str">
            <v>Guichet de l'établissement</v>
          </cell>
          <cell r="F203" t="str">
            <v>de la</v>
          </cell>
          <cell r="G203" t="str">
            <v>section</v>
          </cell>
          <cell r="H203"/>
          <cell r="I203"/>
        </row>
        <row r="204">
          <cell r="C204"/>
          <cell r="D204" t="str">
            <v>du</v>
          </cell>
          <cell r="E204" t="str">
            <v>Guichet de l'établissement</v>
          </cell>
          <cell r="F204" t="str">
            <v>de la</v>
          </cell>
          <cell r="G204" t="str">
            <v>section</v>
          </cell>
          <cell r="H204"/>
          <cell r="I204"/>
        </row>
        <row r="205">
          <cell r="C205"/>
          <cell r="D205" t="str">
            <v>de la</v>
          </cell>
          <cell r="E205" t="str">
            <v>fédération</v>
          </cell>
          <cell r="F205" t="str">
            <v>de la</v>
          </cell>
          <cell r="G205" t="str">
            <v>section</v>
          </cell>
          <cell r="H205"/>
          <cell r="I205"/>
        </row>
        <row r="206">
          <cell r="C206"/>
          <cell r="D206" t="str">
            <v>de la</v>
          </cell>
          <cell r="E206" t="str">
            <v>fédération</v>
          </cell>
          <cell r="F206" t="str">
            <v>de la</v>
          </cell>
          <cell r="G206" t="str">
            <v>section</v>
          </cell>
          <cell r="H206"/>
          <cell r="I206"/>
        </row>
        <row r="207">
          <cell r="C207"/>
          <cell r="D207" t="str">
            <v>de la</v>
          </cell>
          <cell r="E207" t="str">
            <v>localité</v>
          </cell>
          <cell r="F207" t="str">
            <v>de la</v>
          </cell>
          <cell r="G207" t="str">
            <v>section</v>
          </cell>
          <cell r="H207"/>
          <cell r="I207"/>
        </row>
        <row r="208">
          <cell r="C208"/>
          <cell r="D208" t="str">
            <v>de la</v>
          </cell>
          <cell r="E208" t="str">
            <v>nature</v>
          </cell>
          <cell r="F208" t="str">
            <v>de la</v>
          </cell>
          <cell r="G208" t="str">
            <v>section</v>
          </cell>
          <cell r="H208"/>
          <cell r="I208"/>
        </row>
        <row r="209">
          <cell r="C209"/>
          <cell r="D209" t="str">
            <v>de l'</v>
          </cell>
          <cell r="E209" t="str">
            <v>établissement</v>
          </cell>
          <cell r="F209" t="str">
            <v>de la</v>
          </cell>
          <cell r="G209" t="str">
            <v>section</v>
          </cell>
          <cell r="H209"/>
          <cell r="I209"/>
        </row>
        <row r="210">
          <cell r="C210"/>
          <cell r="D210" t="str">
            <v>de l'</v>
          </cell>
          <cell r="E210" t="str">
            <v>établissement</v>
          </cell>
          <cell r="F210" t="str">
            <v>de la</v>
          </cell>
          <cell r="G210" t="str">
            <v>section</v>
          </cell>
          <cell r="H210"/>
          <cell r="I210"/>
        </row>
        <row r="211">
          <cell r="C211"/>
          <cell r="D211" t="str">
            <v>du</v>
          </cell>
          <cell r="E211" t="str">
            <v>responsable</v>
          </cell>
          <cell r="F211" t="str">
            <v>de la</v>
          </cell>
          <cell r="G211" t="str">
            <v>section</v>
          </cell>
          <cell r="H211"/>
          <cell r="I211"/>
        </row>
        <row r="212">
          <cell r="C212"/>
          <cell r="D212" t="str">
            <v>du</v>
          </cell>
          <cell r="E212" t="str">
            <v>responsable</v>
          </cell>
          <cell r="F212" t="str">
            <v>de la</v>
          </cell>
          <cell r="G212" t="str">
            <v>section</v>
          </cell>
          <cell r="H212"/>
          <cell r="I212"/>
        </row>
        <row r="213">
          <cell r="C213"/>
          <cell r="D213" t="str">
            <v>du</v>
          </cell>
          <cell r="E213" t="str">
            <v>responsable</v>
          </cell>
          <cell r="F213" t="str">
            <v>de la</v>
          </cell>
          <cell r="G213" t="str">
            <v>section</v>
          </cell>
          <cell r="H213"/>
          <cell r="I213"/>
        </row>
        <row r="214">
          <cell r="C214"/>
          <cell r="D214" t="str">
            <v>du</v>
          </cell>
          <cell r="E214" t="str">
            <v>Mode de gestion</v>
          </cell>
          <cell r="F214"/>
          <cell r="G214" t="str">
            <v>SIRET</v>
          </cell>
          <cell r="H214" t="str">
            <v>et</v>
          </cell>
          <cell r="I214" t="str">
            <v>SIREN</v>
          </cell>
        </row>
        <row r="215">
          <cell r="C215"/>
          <cell r="D215" t="str">
            <v>du</v>
          </cell>
          <cell r="E215" t="str">
            <v>Mode de gestion</v>
          </cell>
          <cell r="F215"/>
          <cell r="G215" t="str">
            <v>SIRET</v>
          </cell>
          <cell r="H215" t="str">
            <v>et</v>
          </cell>
          <cell r="I215" t="str">
            <v>SIREN</v>
          </cell>
        </row>
        <row r="216">
          <cell r="C216"/>
          <cell r="D216" t="str">
            <v>du</v>
          </cell>
          <cell r="E216" t="str">
            <v>Mode de gestion</v>
          </cell>
          <cell r="F216"/>
          <cell r="G216" t="str">
            <v>SIRET</v>
          </cell>
          <cell r="H216" t="str">
            <v>et</v>
          </cell>
          <cell r="I216" t="str">
            <v>SIREN</v>
          </cell>
        </row>
        <row r="217">
          <cell r="C217"/>
          <cell r="D217" t="str">
            <v xml:space="preserve"> </v>
          </cell>
          <cell r="E217" t="str">
            <v>Mode de gestion</v>
          </cell>
          <cell r="F217"/>
          <cell r="G217" t="str">
            <v>SIRET</v>
          </cell>
          <cell r="H217" t="str">
            <v>et</v>
          </cell>
          <cell r="I217" t="str">
            <v>SIREN</v>
          </cell>
        </row>
        <row r="218">
          <cell r="C218"/>
          <cell r="D218" t="str">
            <v>du</v>
          </cell>
          <cell r="E218" t="str">
            <v>Mode de gestion</v>
          </cell>
          <cell r="F218"/>
          <cell r="G218" t="str">
            <v>SIRET</v>
          </cell>
          <cell r="H218" t="str">
            <v>et</v>
          </cell>
          <cell r="I218" t="str">
            <v>SIREN</v>
          </cell>
        </row>
        <row r="219">
          <cell r="C219"/>
          <cell r="D219" t="str">
            <v>du</v>
          </cell>
          <cell r="E219" t="str">
            <v>Mode de gestion</v>
          </cell>
          <cell r="F219" t="str">
            <v>des</v>
          </cell>
          <cell r="G219" t="str">
            <v>Tiers</v>
          </cell>
          <cell r="H219"/>
          <cell r="I219"/>
        </row>
        <row r="220">
          <cell r="C220"/>
          <cell r="D220" t="str">
            <v>du</v>
          </cell>
          <cell r="E220" t="str">
            <v>Mode de gestion</v>
          </cell>
          <cell r="F220" t="str">
            <v>des</v>
          </cell>
          <cell r="G220" t="str">
            <v>Tiers</v>
          </cell>
          <cell r="H220" t="str">
            <v>de l'</v>
          </cell>
          <cell r="I220" t="str">
            <v>établissement</v>
          </cell>
        </row>
        <row r="221">
          <cell r="C221"/>
          <cell r="D221" t="str">
            <v>du</v>
          </cell>
          <cell r="E221" t="str">
            <v>Mode de gestion</v>
          </cell>
          <cell r="F221" t="str">
            <v>des</v>
          </cell>
          <cell r="G221" t="str">
            <v>Tiers</v>
          </cell>
          <cell r="H221" t="str">
            <v>de l'</v>
          </cell>
          <cell r="I221" t="str">
            <v>établissement</v>
          </cell>
        </row>
        <row r="222">
          <cell r="C222"/>
          <cell r="D222" t="str">
            <v>du</v>
          </cell>
          <cell r="E222" t="str">
            <v>Mode de gestion</v>
          </cell>
          <cell r="F222" t="str">
            <v>des</v>
          </cell>
          <cell r="G222" t="str">
            <v>Tiers</v>
          </cell>
          <cell r="H222"/>
          <cell r="I222"/>
        </row>
        <row r="223">
          <cell r="C223"/>
          <cell r="D223" t="str">
            <v>du</v>
          </cell>
          <cell r="E223" t="str">
            <v>Mode de gestion</v>
          </cell>
          <cell r="F223" t="str">
            <v>des</v>
          </cell>
          <cell r="G223" t="str">
            <v>Tiers</v>
          </cell>
          <cell r="H223"/>
          <cell r="I223"/>
        </row>
        <row r="224">
          <cell r="C224" t="str">
            <v>Complet</v>
          </cell>
          <cell r="D224" t="str">
            <v>du</v>
          </cell>
          <cell r="E224" t="str">
            <v>Regroupement de Guichet</v>
          </cell>
          <cell r="F224"/>
          <cell r="G224"/>
          <cell r="H224"/>
          <cell r="I224"/>
        </row>
        <row r="225">
          <cell r="C225"/>
          <cell r="D225" t="str">
            <v>du</v>
          </cell>
          <cell r="E225" t="str">
            <v>Regroupement de guichet</v>
          </cell>
          <cell r="F225"/>
          <cell r="G225"/>
          <cell r="H225"/>
          <cell r="I225"/>
        </row>
        <row r="226">
          <cell r="C226"/>
          <cell r="D226" t="str">
            <v>de l'</v>
          </cell>
          <cell r="E226" t="str">
            <v>Entité gestionnaire</v>
          </cell>
          <cell r="F226"/>
          <cell r="G226"/>
          <cell r="H226"/>
          <cell r="I226"/>
        </row>
        <row r="227">
          <cell r="C227"/>
          <cell r="D227" t="str">
            <v>de</v>
          </cell>
          <cell r="E227" t="str">
            <v>guichet de rattachement</v>
          </cell>
          <cell r="F227"/>
          <cell r="G227"/>
          <cell r="H227"/>
          <cell r="I227"/>
        </row>
        <row r="228">
          <cell r="C228"/>
          <cell r="D228" t="str">
            <v>de</v>
          </cell>
          <cell r="E228" t="str">
            <v>PVA</v>
          </cell>
          <cell r="F228"/>
          <cell r="G228"/>
          <cell r="H228"/>
          <cell r="I228"/>
        </row>
        <row r="229">
          <cell r="C229"/>
          <cell r="D229" t="str">
            <v>du</v>
          </cell>
          <cell r="E229" t="str">
            <v>Type d'Entité Bancaire</v>
          </cell>
          <cell r="F229"/>
          <cell r="G229"/>
          <cell r="H229"/>
          <cell r="I229"/>
        </row>
        <row r="230">
          <cell r="C230"/>
          <cell r="D230" t="str">
            <v>du</v>
          </cell>
          <cell r="E230" t="str">
            <v>Réseau Bancaire</v>
          </cell>
          <cell r="F230"/>
          <cell r="G230"/>
          <cell r="H230"/>
          <cell r="I230"/>
        </row>
        <row r="231">
          <cell r="C231"/>
          <cell r="D231" t="str">
            <v>du</v>
          </cell>
          <cell r="E231" t="str">
            <v>Regroupement de guichet</v>
          </cell>
          <cell r="F231"/>
          <cell r="G231"/>
          <cell r="H231"/>
          <cell r="I231"/>
        </row>
        <row r="232">
          <cell r="C232"/>
          <cell r="D232" t="str">
            <v>du</v>
          </cell>
          <cell r="E232" t="str">
            <v>Pays</v>
          </cell>
          <cell r="F232"/>
          <cell r="G232"/>
          <cell r="H232"/>
          <cell r="I232"/>
        </row>
        <row r="233">
          <cell r="C233"/>
          <cell r="D233" t="str">
            <v>de l'</v>
          </cell>
          <cell r="E233" t="str">
            <v>Entité Gestionnaire</v>
          </cell>
          <cell r="F233"/>
          <cell r="G233"/>
          <cell r="H233"/>
          <cell r="I233"/>
        </row>
        <row r="234">
          <cell r="C234"/>
          <cell r="D234" t="str">
            <v>de la</v>
          </cell>
          <cell r="E234" t="str">
            <v>section</v>
          </cell>
          <cell r="F234"/>
          <cell r="G234"/>
          <cell r="H234"/>
          <cell r="I234"/>
        </row>
        <row r="235">
          <cell r="C235"/>
          <cell r="D235" t="str">
            <v>du</v>
          </cell>
          <cell r="E235" t="str">
            <v>Guichet de l'établissement</v>
          </cell>
          <cell r="F235"/>
          <cell r="G235"/>
          <cell r="H235"/>
          <cell r="I235"/>
        </row>
        <row r="236">
          <cell r="C236"/>
          <cell r="D236" t="str">
            <v>du</v>
          </cell>
          <cell r="E236" t="str">
            <v>Guichet de l'établissement</v>
          </cell>
          <cell r="F236"/>
          <cell r="G236"/>
          <cell r="H236"/>
          <cell r="I236"/>
        </row>
        <row r="237">
          <cell r="C237"/>
          <cell r="D237" t="str">
            <v>du</v>
          </cell>
          <cell r="E237" t="str">
            <v>Bureau du Guichet</v>
          </cell>
          <cell r="F237"/>
          <cell r="G237"/>
          <cell r="H237"/>
          <cell r="I237"/>
        </row>
        <row r="238">
          <cell r="C238"/>
          <cell r="D238" t="str">
            <v>du</v>
          </cell>
          <cell r="E238" t="str">
            <v>Bureau du Guichet</v>
          </cell>
          <cell r="F238"/>
          <cell r="G238"/>
          <cell r="H238"/>
          <cell r="I238"/>
        </row>
        <row r="239">
          <cell r="C239"/>
          <cell r="D239" t="str">
            <v>du</v>
          </cell>
          <cell r="E239" t="str">
            <v>Regroupement de Guichet</v>
          </cell>
          <cell r="F239"/>
          <cell r="G239"/>
          <cell r="H239"/>
          <cell r="I239"/>
        </row>
        <row r="240">
          <cell r="C240"/>
          <cell r="D240" t="str">
            <v>du</v>
          </cell>
          <cell r="E240" t="str">
            <v>Regroupement de Guichet</v>
          </cell>
          <cell r="F240"/>
          <cell r="G240"/>
          <cell r="H240"/>
          <cell r="I240"/>
        </row>
        <row r="241">
          <cell r="C241"/>
          <cell r="D241" t="str">
            <v>du</v>
          </cell>
          <cell r="E241" t="str">
            <v>Regroupement de Guichet</v>
          </cell>
          <cell r="F241"/>
          <cell r="G241"/>
          <cell r="H241"/>
          <cell r="I241"/>
        </row>
        <row r="242">
          <cell r="C242"/>
          <cell r="D242" t="str">
            <v>du</v>
          </cell>
          <cell r="E242" t="str">
            <v>Regroupement de Guichet</v>
          </cell>
          <cell r="F242"/>
          <cell r="G242"/>
          <cell r="H242"/>
          <cell r="I242"/>
        </row>
        <row r="243">
          <cell r="C243" t="str">
            <v>métier</v>
          </cell>
          <cell r="D243" t="str">
            <v>du</v>
          </cell>
          <cell r="E243" t="str">
            <v>pilotage financier</v>
          </cell>
          <cell r="F243"/>
          <cell r="G243"/>
          <cell r="H243"/>
          <cell r="I243"/>
        </row>
        <row r="244">
          <cell r="C244"/>
          <cell r="D244" t="str">
            <v>de l'</v>
          </cell>
          <cell r="E244" t="str">
            <v>établissement</v>
          </cell>
          <cell r="F244"/>
          <cell r="G244"/>
          <cell r="H244"/>
          <cell r="I244"/>
        </row>
        <row r="245">
          <cell r="C245"/>
          <cell r="D245" t="str">
            <v>de l'</v>
          </cell>
          <cell r="E245" t="str">
            <v>établissement</v>
          </cell>
          <cell r="F245"/>
          <cell r="G245"/>
          <cell r="H245"/>
          <cell r="I245"/>
        </row>
        <row r="246">
          <cell r="C246"/>
          <cell r="D246" t="str">
            <v>de la</v>
          </cell>
          <cell r="E246" t="str">
            <v>Fédération</v>
          </cell>
          <cell r="F246"/>
          <cell r="G246"/>
          <cell r="H246"/>
          <cell r="I246"/>
        </row>
        <row r="247">
          <cell r="C247"/>
          <cell r="D247" t="str">
            <v>de la</v>
          </cell>
          <cell r="E247" t="str">
            <v>Fédération</v>
          </cell>
          <cell r="F247"/>
          <cell r="G247"/>
          <cell r="H247"/>
          <cell r="I247"/>
        </row>
        <row r="248">
          <cell r="C248"/>
          <cell r="D248" t="str">
            <v>de la</v>
          </cell>
          <cell r="E248" t="str">
            <v>section</v>
          </cell>
          <cell r="F248"/>
          <cell r="G248"/>
          <cell r="H248"/>
          <cell r="I248"/>
        </row>
        <row r="249">
          <cell r="C249"/>
          <cell r="D249" t="str">
            <v>du</v>
          </cell>
          <cell r="E249" t="str">
            <v>Type d'entité bancaire</v>
          </cell>
          <cell r="F249"/>
          <cell r="G249"/>
          <cell r="H249"/>
          <cell r="I249"/>
        </row>
        <row r="250">
          <cell r="C250"/>
          <cell r="D250" t="str">
            <v>du</v>
          </cell>
          <cell r="E250" t="str">
            <v>Type d'entité bancaire</v>
          </cell>
          <cell r="F250"/>
          <cell r="G250"/>
          <cell r="H250"/>
          <cell r="I250"/>
        </row>
        <row r="251">
          <cell r="C251"/>
          <cell r="D251" t="str">
            <v>du</v>
          </cell>
          <cell r="E251" t="str">
            <v>Réseau Bancaire</v>
          </cell>
          <cell r="F251"/>
          <cell r="G251"/>
          <cell r="H251"/>
          <cell r="I251"/>
        </row>
        <row r="252">
          <cell r="C252"/>
          <cell r="D252" t="str">
            <v>du</v>
          </cell>
          <cell r="E252" t="str">
            <v>Réseau Bancaire</v>
          </cell>
          <cell r="F252"/>
          <cell r="G252"/>
          <cell r="H252"/>
          <cell r="I252"/>
        </row>
        <row r="253">
          <cell r="C253"/>
          <cell r="D253" t="str">
            <v>du</v>
          </cell>
          <cell r="E253" t="str">
            <v>Guichet de l'établissement</v>
          </cell>
          <cell r="F253"/>
          <cell r="G253"/>
          <cell r="H253"/>
          <cell r="I253"/>
        </row>
        <row r="254">
          <cell r="C254"/>
          <cell r="D254" t="str">
            <v>du</v>
          </cell>
          <cell r="E254" t="str">
            <v>Guichet de l'établissement</v>
          </cell>
          <cell r="F254"/>
          <cell r="G254"/>
          <cell r="H254"/>
          <cell r="I254"/>
        </row>
        <row r="255">
          <cell r="C255"/>
          <cell r="D255" t="str">
            <v>du</v>
          </cell>
          <cell r="E255" t="str">
            <v>Guichet de l'établissement</v>
          </cell>
          <cell r="F255"/>
          <cell r="G255"/>
          <cell r="H255"/>
          <cell r="I255"/>
        </row>
        <row r="256">
          <cell r="C256"/>
          <cell r="D256" t="str">
            <v>du</v>
          </cell>
          <cell r="E256" t="str">
            <v>Guichet de l'établissement</v>
          </cell>
          <cell r="F256"/>
          <cell r="G256"/>
          <cell r="H256"/>
          <cell r="I256"/>
        </row>
        <row r="257">
          <cell r="C257"/>
          <cell r="D257" t="str">
            <v>du</v>
          </cell>
          <cell r="E257" t="str">
            <v>Guichet de l'établissement</v>
          </cell>
          <cell r="F257"/>
          <cell r="G257"/>
          <cell r="H257"/>
          <cell r="I257"/>
        </row>
        <row r="258">
          <cell r="C258"/>
          <cell r="D258" t="str">
            <v>du</v>
          </cell>
          <cell r="E258" t="str">
            <v>Guichet de l'établissement</v>
          </cell>
          <cell r="F258"/>
          <cell r="G258"/>
          <cell r="H258"/>
          <cell r="I258"/>
        </row>
        <row r="259">
          <cell r="C259"/>
          <cell r="D259" t="str">
            <v>du</v>
          </cell>
          <cell r="E259" t="str">
            <v>Guichet de l'établissement</v>
          </cell>
          <cell r="F259"/>
          <cell r="G259"/>
          <cell r="H259"/>
          <cell r="I259"/>
        </row>
        <row r="260">
          <cell r="C260"/>
          <cell r="D260" t="str">
            <v>du</v>
          </cell>
          <cell r="E260" t="str">
            <v>Guichet de l'établissement</v>
          </cell>
          <cell r="F260"/>
          <cell r="G260"/>
          <cell r="H260"/>
          <cell r="I260"/>
        </row>
        <row r="261">
          <cell r="C261"/>
          <cell r="D261" t="str">
            <v>du</v>
          </cell>
          <cell r="E261" t="str">
            <v>Guichet de l'établissement</v>
          </cell>
          <cell r="F261"/>
          <cell r="G261"/>
          <cell r="H261"/>
          <cell r="I261"/>
        </row>
        <row r="262">
          <cell r="C262"/>
          <cell r="D262" t="str">
            <v>du</v>
          </cell>
          <cell r="E262" t="str">
            <v>Bureau du Guichet</v>
          </cell>
          <cell r="F262"/>
          <cell r="G262"/>
          <cell r="H262"/>
          <cell r="I262"/>
        </row>
        <row r="263">
          <cell r="C263"/>
          <cell r="D263" t="str">
            <v>du</v>
          </cell>
          <cell r="E263" t="str">
            <v>Bureau du Guichet</v>
          </cell>
          <cell r="F263"/>
          <cell r="G263"/>
          <cell r="H263"/>
          <cell r="I263"/>
        </row>
        <row r="264">
          <cell r="C264"/>
          <cell r="D264" t="str">
            <v>du</v>
          </cell>
          <cell r="E264" t="str">
            <v>Bureau du Guichet</v>
          </cell>
          <cell r="F264"/>
          <cell r="G264"/>
          <cell r="H264"/>
          <cell r="I264"/>
        </row>
        <row r="265">
          <cell r="C265"/>
          <cell r="D265" t="str">
            <v>du</v>
          </cell>
          <cell r="E265" t="str">
            <v>Bureau du Guichet</v>
          </cell>
          <cell r="F265"/>
          <cell r="G265"/>
          <cell r="H265"/>
          <cell r="I265"/>
        </row>
        <row r="266">
          <cell r="C266"/>
          <cell r="D266" t="str">
            <v>du</v>
          </cell>
          <cell r="E266" t="str">
            <v>Bureau du Guichet</v>
          </cell>
          <cell r="F266"/>
          <cell r="G266"/>
          <cell r="H266"/>
          <cell r="I266"/>
        </row>
        <row r="267">
          <cell r="C267"/>
          <cell r="D267" t="str">
            <v>du</v>
          </cell>
          <cell r="E267" t="str">
            <v>Bureau du Guichet</v>
          </cell>
          <cell r="F267"/>
          <cell r="G267"/>
          <cell r="H267"/>
          <cell r="I267"/>
        </row>
        <row r="268">
          <cell r="C268"/>
          <cell r="D268" t="str">
            <v>du</v>
          </cell>
          <cell r="E268" t="str">
            <v>Regroupement de Guichet</v>
          </cell>
          <cell r="F268"/>
          <cell r="G268"/>
          <cell r="H268"/>
          <cell r="I268"/>
        </row>
        <row r="269">
          <cell r="C269"/>
          <cell r="D269" t="str">
            <v>du</v>
          </cell>
          <cell r="E269" t="str">
            <v>Regroupement de Guichet</v>
          </cell>
          <cell r="F269"/>
          <cell r="G269"/>
          <cell r="H269"/>
          <cell r="I269"/>
        </row>
        <row r="270">
          <cell r="C270"/>
          <cell r="D270" t="str">
            <v>du</v>
          </cell>
          <cell r="E270" t="str">
            <v>Regroupement de Guichet</v>
          </cell>
          <cell r="F270"/>
          <cell r="G270"/>
          <cell r="H270"/>
          <cell r="I270"/>
        </row>
        <row r="271">
          <cell r="C271"/>
          <cell r="D271" t="str">
            <v>du</v>
          </cell>
          <cell r="E271" t="str">
            <v>Regroupement de Guichet</v>
          </cell>
          <cell r="F271"/>
          <cell r="G271"/>
          <cell r="H271"/>
          <cell r="I271"/>
        </row>
        <row r="272">
          <cell r="C272"/>
          <cell r="D272" t="str">
            <v>du</v>
          </cell>
          <cell r="E272" t="str">
            <v>Pays</v>
          </cell>
          <cell r="F272"/>
          <cell r="G272"/>
          <cell r="H272"/>
          <cell r="I272"/>
        </row>
        <row r="273">
          <cell r="C273"/>
          <cell r="D273" t="str">
            <v>du</v>
          </cell>
          <cell r="E273" t="str">
            <v>Pays</v>
          </cell>
          <cell r="F273"/>
          <cell r="G273"/>
          <cell r="H273"/>
          <cell r="I273"/>
        </row>
        <row r="274">
          <cell r="C274"/>
          <cell r="D274" t="str">
            <v>de l'</v>
          </cell>
          <cell r="E274" t="str">
            <v>établissement</v>
          </cell>
          <cell r="F274"/>
          <cell r="G274"/>
          <cell r="H274"/>
          <cell r="I274"/>
        </row>
        <row r="275">
          <cell r="C275"/>
          <cell r="D275" t="str">
            <v>de l'</v>
          </cell>
          <cell r="E275" t="str">
            <v>établissement</v>
          </cell>
          <cell r="F275"/>
          <cell r="G275"/>
          <cell r="H275"/>
          <cell r="I275"/>
        </row>
        <row r="276">
          <cell r="C276"/>
          <cell r="D276" t="str">
            <v>de l'</v>
          </cell>
          <cell r="E276" t="str">
            <v>établissement</v>
          </cell>
          <cell r="F276"/>
          <cell r="G276"/>
          <cell r="H276"/>
          <cell r="I276"/>
        </row>
        <row r="277">
          <cell r="C277"/>
          <cell r="D277" t="str">
            <v>de l'</v>
          </cell>
          <cell r="E277" t="str">
            <v>établissement</v>
          </cell>
          <cell r="F277"/>
          <cell r="G277"/>
          <cell r="H277"/>
          <cell r="I277"/>
        </row>
        <row r="278">
          <cell r="C278"/>
          <cell r="D278" t="str">
            <v>de l'</v>
          </cell>
          <cell r="E278" t="str">
            <v>établissement</v>
          </cell>
          <cell r="F278"/>
          <cell r="G278"/>
          <cell r="H278"/>
          <cell r="I278"/>
        </row>
        <row r="279">
          <cell r="C279"/>
          <cell r="D279" t="str">
            <v>de l'</v>
          </cell>
          <cell r="E279" t="str">
            <v>établissement</v>
          </cell>
          <cell r="F279"/>
          <cell r="G279"/>
          <cell r="H279"/>
          <cell r="I279"/>
        </row>
        <row r="280">
          <cell r="C280"/>
          <cell r="D280" t="str">
            <v>de l'</v>
          </cell>
          <cell r="E280" t="str">
            <v>établissement</v>
          </cell>
          <cell r="F280"/>
          <cell r="G280"/>
          <cell r="H280"/>
          <cell r="I280"/>
        </row>
        <row r="281">
          <cell r="C281"/>
          <cell r="D281" t="str">
            <v>de la</v>
          </cell>
          <cell r="E281" t="str">
            <v>Fédération</v>
          </cell>
          <cell r="F281"/>
          <cell r="G281"/>
          <cell r="H281"/>
          <cell r="I281"/>
        </row>
        <row r="282">
          <cell r="C282"/>
          <cell r="D282" t="str">
            <v>de la</v>
          </cell>
          <cell r="E282" t="str">
            <v>Fédération</v>
          </cell>
          <cell r="F282"/>
          <cell r="G282"/>
          <cell r="H282"/>
          <cell r="I282"/>
        </row>
        <row r="283">
          <cell r="C283"/>
          <cell r="D283" t="str">
            <v>de la</v>
          </cell>
          <cell r="E283" t="str">
            <v>Fédération</v>
          </cell>
          <cell r="F283"/>
          <cell r="G283"/>
          <cell r="H283"/>
          <cell r="I283"/>
        </row>
        <row r="284">
          <cell r="C284" t="str">
            <v>INSEE</v>
          </cell>
          <cell r="D284" t="str">
            <v>du</v>
          </cell>
          <cell r="E284" t="str">
            <v>pays de résidence</v>
          </cell>
          <cell r="F284"/>
          <cell r="G284"/>
          <cell r="H284"/>
          <cell r="I284"/>
        </row>
        <row r="285">
          <cell r="C285" t="str">
            <v>ADRE</v>
          </cell>
          <cell r="D285" t="str">
            <v>de la</v>
          </cell>
          <cell r="E285" t="str">
            <v>section</v>
          </cell>
          <cell r="F285"/>
          <cell r="G285"/>
          <cell r="H285"/>
          <cell r="I285"/>
        </row>
        <row r="286">
          <cell r="C286"/>
          <cell r="D286" t="str">
            <v>de l'</v>
          </cell>
          <cell r="E286" t="str">
            <v>Entité Gestionnaire</v>
          </cell>
          <cell r="F286"/>
          <cell r="G286"/>
          <cell r="H286"/>
          <cell r="I286"/>
        </row>
        <row r="287">
          <cell r="C287"/>
          <cell r="D287" t="str">
            <v>de la</v>
          </cell>
          <cell r="E287" t="str">
            <v>section</v>
          </cell>
          <cell r="F287"/>
          <cell r="G287"/>
          <cell r="H287"/>
          <cell r="I287"/>
        </row>
        <row r="288">
          <cell r="C288"/>
          <cell r="D288" t="str">
            <v>de la</v>
          </cell>
          <cell r="E288" t="str">
            <v>section</v>
          </cell>
          <cell r="F288"/>
          <cell r="G288"/>
          <cell r="H288"/>
          <cell r="I288"/>
        </row>
        <row r="289">
          <cell r="C289"/>
          <cell r="D289" t="str">
            <v>de la</v>
          </cell>
          <cell r="E289" t="str">
            <v>section</v>
          </cell>
          <cell r="F289"/>
          <cell r="G289"/>
          <cell r="H289"/>
          <cell r="I289"/>
        </row>
        <row r="290">
          <cell r="C290"/>
          <cell r="D290" t="str">
            <v>de la</v>
          </cell>
          <cell r="E290" t="str">
            <v>section</v>
          </cell>
          <cell r="F290"/>
          <cell r="G290"/>
          <cell r="H290"/>
          <cell r="I290"/>
        </row>
        <row r="291">
          <cell r="C291"/>
          <cell r="D291" t="str">
            <v>de la</v>
          </cell>
          <cell r="E291" t="str">
            <v>section</v>
          </cell>
          <cell r="F291"/>
          <cell r="G291"/>
          <cell r="H291"/>
          <cell r="I291"/>
        </row>
        <row r="292">
          <cell r="C292"/>
          <cell r="D292" t="str">
            <v>de la</v>
          </cell>
          <cell r="E292" t="str">
            <v>section</v>
          </cell>
          <cell r="F292"/>
          <cell r="G292"/>
          <cell r="H292"/>
          <cell r="I292"/>
        </row>
        <row r="293">
          <cell r="C293"/>
          <cell r="D293" t="str">
            <v>de la</v>
          </cell>
          <cell r="E293" t="str">
            <v>section</v>
          </cell>
          <cell r="F293"/>
          <cell r="G293"/>
          <cell r="H293"/>
          <cell r="I293"/>
        </row>
        <row r="294">
          <cell r="C294" t="str">
            <v>Dossier</v>
          </cell>
          <cell r="D294" t="str">
            <v>de</v>
          </cell>
          <cell r="E294" t="str">
            <v>Prélèvement Forfaitaire Libératoire (PFL)</v>
          </cell>
          <cell r="F294" t="str">
            <v>du</v>
          </cell>
          <cell r="G294" t="str">
            <v>Guichet de l'établissement</v>
          </cell>
          <cell r="H294"/>
          <cell r="I294"/>
        </row>
        <row r="295">
          <cell r="C295"/>
          <cell r="D295" t="str">
            <v>de la</v>
          </cell>
          <cell r="E295" t="str">
            <v>section</v>
          </cell>
          <cell r="F295"/>
          <cell r="G295"/>
          <cell r="H295"/>
          <cell r="I295"/>
        </row>
        <row r="296">
          <cell r="C296"/>
          <cell r="D296" t="str">
            <v>de la</v>
          </cell>
          <cell r="E296" t="str">
            <v>section</v>
          </cell>
          <cell r="F296"/>
          <cell r="G296"/>
          <cell r="H296"/>
          <cell r="I296"/>
        </row>
        <row r="297">
          <cell r="C297"/>
          <cell r="D297" t="str">
            <v>de</v>
          </cell>
          <cell r="E297" t="str">
            <v>section</v>
          </cell>
          <cell r="F297"/>
          <cell r="G297"/>
          <cell r="H297"/>
          <cell r="I297"/>
        </row>
        <row r="298">
          <cell r="C298"/>
          <cell r="D298" t="str">
            <v>de la</v>
          </cell>
          <cell r="E298" t="str">
            <v>section</v>
          </cell>
          <cell r="F298"/>
          <cell r="G298"/>
          <cell r="H298"/>
          <cell r="I298"/>
        </row>
        <row r="299">
          <cell r="C299"/>
          <cell r="D299" t="str">
            <v>du</v>
          </cell>
          <cell r="E299" t="str">
            <v>code section</v>
          </cell>
          <cell r="F299"/>
          <cell r="G299"/>
          <cell r="H299"/>
          <cell r="I299"/>
        </row>
        <row r="300">
          <cell r="C300" t="str">
            <v>département</v>
          </cell>
          <cell r="D300" t="str">
            <v>de la</v>
          </cell>
          <cell r="E300" t="str">
            <v>section</v>
          </cell>
          <cell r="F300"/>
          <cell r="G300"/>
          <cell r="H300"/>
          <cell r="I300"/>
        </row>
        <row r="301">
          <cell r="C301" t="str">
            <v>commune</v>
          </cell>
          <cell r="D301" t="str">
            <v>de la</v>
          </cell>
          <cell r="E301" t="str">
            <v>section</v>
          </cell>
          <cell r="F301"/>
          <cell r="G301"/>
          <cell r="H301"/>
          <cell r="I301"/>
        </row>
        <row r="302">
          <cell r="C302" t="str">
            <v>Dernière image</v>
          </cell>
          <cell r="D302" t="str">
            <v>du</v>
          </cell>
          <cell r="E302" t="str">
            <v>Regroupement de guichet</v>
          </cell>
          <cell r="F302"/>
          <cell r="G302"/>
          <cell r="H302"/>
          <cell r="I302"/>
        </row>
        <row r="303">
          <cell r="C303" t="str">
            <v>agrément</v>
          </cell>
          <cell r="D303" t="str">
            <v>du</v>
          </cell>
          <cell r="E303" t="str">
            <v>Guichet de l'établissement</v>
          </cell>
          <cell r="F303"/>
          <cell r="G303"/>
          <cell r="H303"/>
          <cell r="I303"/>
        </row>
        <row r="304">
          <cell r="C304" t="str">
            <v>calendrier</v>
          </cell>
          <cell r="D304" t="str">
            <v>de la</v>
          </cell>
          <cell r="E304" t="str">
            <v>section</v>
          </cell>
          <cell r="F304"/>
          <cell r="G304"/>
          <cell r="H304"/>
          <cell r="I304"/>
        </row>
        <row r="305">
          <cell r="C305" t="str">
            <v>éligibilité</v>
          </cell>
          <cell r="D305" t="str">
            <v>du</v>
          </cell>
          <cell r="E305" t="str">
            <v>BBAN</v>
          </cell>
          <cell r="F305" t="str">
            <v>de la</v>
          </cell>
          <cell r="G305" t="str">
            <v>Carte avance santé</v>
          </cell>
          <cell r="H305"/>
          <cell r="I305"/>
        </row>
        <row r="306">
          <cell r="C306" t="str">
            <v>opposition</v>
          </cell>
          <cell r="D306" t="str">
            <v>à la</v>
          </cell>
          <cell r="E306" t="str">
            <v>carte avance santé</v>
          </cell>
          <cell r="F306"/>
          <cell r="G306"/>
          <cell r="H306"/>
          <cell r="I306"/>
        </row>
        <row r="307">
          <cell r="C307" t="str">
            <v>opposition</v>
          </cell>
          <cell r="D307" t="str">
            <v>du</v>
          </cell>
          <cell r="E307" t="str">
            <v>mouvement CAS</v>
          </cell>
          <cell r="F307"/>
          <cell r="G307"/>
          <cell r="H307"/>
          <cell r="I307"/>
        </row>
        <row r="308">
          <cell r="C308" t="str">
            <v>éligibilité</v>
          </cell>
          <cell r="D308" t="str">
            <v>du</v>
          </cell>
          <cell r="E308" t="str">
            <v>contrat</v>
          </cell>
          <cell r="F308"/>
          <cell r="G308"/>
          <cell r="H308"/>
          <cell r="I308"/>
        </row>
        <row r="309">
          <cell r="C309"/>
          <cell r="D309" t="str">
            <v>du</v>
          </cell>
          <cell r="E309" t="str">
            <v>rédacteur initiateur</v>
          </cell>
          <cell r="F309" t="str">
            <v>de l'</v>
          </cell>
          <cell r="G309" t="str">
            <v>action</v>
          </cell>
          <cell r="H309" t="str">
            <v>sur le</v>
          </cell>
          <cell r="I309" t="str">
            <v>rejet CAS</v>
          </cell>
        </row>
        <row r="310">
          <cell r="C310"/>
          <cell r="D310" t="str">
            <v>du</v>
          </cell>
          <cell r="E310" t="str">
            <v>mois</v>
          </cell>
          <cell r="F310" t="str">
            <v>de l'</v>
          </cell>
          <cell r="G310" t="str">
            <v>année</v>
          </cell>
          <cell r="H310" t="str">
            <v>d'</v>
          </cell>
          <cell r="I310" t="str">
            <v>OPC</v>
          </cell>
        </row>
        <row r="311">
          <cell r="C311"/>
          <cell r="D311" t="str">
            <v>du</v>
          </cell>
          <cell r="E311" t="str">
            <v>mouvement CAS</v>
          </cell>
          <cell r="F311" t="str">
            <v>par les</v>
          </cell>
          <cell r="G311" t="str">
            <v>assurances</v>
          </cell>
          <cell r="H311"/>
          <cell r="I311"/>
        </row>
        <row r="312">
          <cell r="C312"/>
          <cell r="D312" t="str">
            <v>du</v>
          </cell>
          <cell r="E312" t="str">
            <v>rejet CAS</v>
          </cell>
          <cell r="F312" t="str">
            <v>par les</v>
          </cell>
          <cell r="G312" t="str">
            <v>assurances</v>
          </cell>
          <cell r="H312"/>
          <cell r="I312"/>
        </row>
        <row r="313">
          <cell r="C313"/>
          <cell r="D313" t="str">
            <v>du</v>
          </cell>
          <cell r="E313" t="str">
            <v>rédacteur</v>
          </cell>
          <cell r="F313"/>
          <cell r="G313" t="str">
            <v>ayant résolu</v>
          </cell>
          <cell r="H313" t="str">
            <v>le</v>
          </cell>
          <cell r="I313" t="str">
            <v>rejet CAS</v>
          </cell>
        </row>
        <row r="314">
          <cell r="C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cell r="F315"/>
          <cell r="G315"/>
          <cell r="H315"/>
          <cell r="I315"/>
        </row>
        <row r="316">
          <cell r="C316"/>
          <cell r="D316" t="str">
            <v>du</v>
          </cell>
          <cell r="E316" t="str">
            <v>type de contrat</v>
          </cell>
          <cell r="F316" t="str">
            <v>de la</v>
          </cell>
          <cell r="G316" t="str">
            <v>Carte avance santé</v>
          </cell>
          <cell r="H316"/>
          <cell r="I316"/>
        </row>
        <row r="317">
          <cell r="C317"/>
          <cell r="D317" t="str">
            <v>du</v>
          </cell>
          <cell r="E317" t="str">
            <v>role du tiers titulaire</v>
          </cell>
          <cell r="F317" t="str">
            <v>de la</v>
          </cell>
          <cell r="G317" t="str">
            <v>Carte avance santé</v>
          </cell>
          <cell r="H317"/>
          <cell r="I317"/>
        </row>
        <row r="318">
          <cell r="C318" t="str">
            <v>adhésion</v>
          </cell>
          <cell r="D318" t="str">
            <v>du</v>
          </cell>
          <cell r="E318" t="str">
            <v>contrat</v>
          </cell>
          <cell r="F318"/>
          <cell r="G318"/>
          <cell r="H318"/>
          <cell r="I318"/>
        </row>
        <row r="319">
          <cell r="C319"/>
          <cell r="D319" t="str">
            <v>du</v>
          </cell>
          <cell r="E319" t="str">
            <v>BBAN</v>
          </cell>
          <cell r="F319" t="str">
            <v>de la</v>
          </cell>
          <cell r="G319" t="str">
            <v>Carte avance santé</v>
          </cell>
          <cell r="H319"/>
          <cell r="I319"/>
        </row>
        <row r="320">
          <cell r="C320"/>
          <cell r="D320" t="str">
            <v>du</v>
          </cell>
          <cell r="E320" t="str">
            <v>type de contrat</v>
          </cell>
          <cell r="F320" t="str">
            <v>de la</v>
          </cell>
          <cell r="G320" t="str">
            <v>Carte avance santé</v>
          </cell>
          <cell r="H320"/>
          <cell r="I320"/>
        </row>
        <row r="321">
          <cell r="C321"/>
          <cell r="D321" t="str">
            <v>du</v>
          </cell>
          <cell r="E321" t="str">
            <v>type de contrat</v>
          </cell>
          <cell r="F321" t="str">
            <v>de la</v>
          </cell>
          <cell r="G321" t="str">
            <v>Carte avance santé</v>
          </cell>
          <cell r="H321"/>
          <cell r="I321"/>
        </row>
        <row r="322">
          <cell r="C322"/>
          <cell r="D322" t="str">
            <v>du</v>
          </cell>
          <cell r="E322" t="str">
            <v>tiers titulaire</v>
          </cell>
          <cell r="F322" t="str">
            <v>de la</v>
          </cell>
          <cell r="G322" t="str">
            <v>Carte avance santé</v>
          </cell>
          <cell r="H322"/>
          <cell r="I322"/>
        </row>
        <row r="323">
          <cell r="C323"/>
          <cell r="D323" t="str">
            <v>du</v>
          </cell>
          <cell r="E323" t="str">
            <v>tiers titulaire</v>
          </cell>
          <cell r="F323" t="str">
            <v>de la</v>
          </cell>
          <cell r="G323" t="str">
            <v>Carte avance santé</v>
          </cell>
          <cell r="H323"/>
          <cell r="I323"/>
        </row>
        <row r="324">
          <cell r="C324"/>
          <cell r="D324" t="str">
            <v>du</v>
          </cell>
          <cell r="E324" t="str">
            <v>tiers titulaire</v>
          </cell>
          <cell r="F324" t="str">
            <v>de la</v>
          </cell>
          <cell r="G324" t="str">
            <v>Carte avance santé</v>
          </cell>
          <cell r="H324"/>
          <cell r="I324"/>
        </row>
        <row r="325">
          <cell r="C325"/>
          <cell r="D325" t="str">
            <v>du</v>
          </cell>
          <cell r="E325" t="str">
            <v>role du tiers titulaire</v>
          </cell>
          <cell r="F325" t="str">
            <v>de la</v>
          </cell>
          <cell r="G325" t="str">
            <v>Carte avance santé</v>
          </cell>
          <cell r="H325"/>
          <cell r="I325"/>
        </row>
        <row r="326">
          <cell r="C326"/>
          <cell r="D326" t="str">
            <v>du</v>
          </cell>
          <cell r="E326" t="str">
            <v>role du tiers titulaire</v>
          </cell>
          <cell r="F326" t="str">
            <v>de la</v>
          </cell>
          <cell r="G326" t="str">
            <v>Carte avance santé</v>
          </cell>
          <cell r="H326"/>
          <cell r="I326"/>
        </row>
        <row r="327">
          <cell r="C327"/>
          <cell r="D327" t="str">
            <v>de la</v>
          </cell>
          <cell r="E327" t="str">
            <v>banque</v>
          </cell>
          <cell r="F327" t="str">
            <v>du</v>
          </cell>
          <cell r="G327" t="str">
            <v>commercant</v>
          </cell>
          <cell r="H327" t="str">
            <v>du</v>
          </cell>
          <cell r="I327" t="str">
            <v>mouvement CAS</v>
          </cell>
        </row>
        <row r="328">
          <cell r="C328"/>
          <cell r="D328" t="str">
            <v>de la</v>
          </cell>
          <cell r="E328" t="str">
            <v>banque</v>
          </cell>
          <cell r="F328" t="str">
            <v>du</v>
          </cell>
          <cell r="G328" t="str">
            <v>commercant</v>
          </cell>
          <cell r="H328" t="str">
            <v>du</v>
          </cell>
          <cell r="I328" t="str">
            <v>mouvement CAS</v>
          </cell>
        </row>
        <row r="329">
          <cell r="C329"/>
          <cell r="D329" t="str">
            <v>du</v>
          </cell>
          <cell r="E329" t="str">
            <v>département</v>
          </cell>
          <cell r="F329" t="str">
            <v>du</v>
          </cell>
          <cell r="G329" t="str">
            <v>commercant</v>
          </cell>
          <cell r="H329" t="str">
            <v>du</v>
          </cell>
          <cell r="I329" t="str">
            <v>mouvement CAS</v>
          </cell>
        </row>
        <row r="330">
          <cell r="C330"/>
          <cell r="D330" t="str">
            <v>de</v>
          </cell>
          <cell r="E330" t="str">
            <v>TPE</v>
          </cell>
          <cell r="F330" t="str">
            <v>du</v>
          </cell>
          <cell r="G330" t="str">
            <v>commercant</v>
          </cell>
          <cell r="H330" t="str">
            <v>du</v>
          </cell>
          <cell r="I330" t="str">
            <v>mouvement CAS</v>
          </cell>
        </row>
        <row r="331">
          <cell r="C331"/>
          <cell r="D331" t="str">
            <v>du</v>
          </cell>
          <cell r="E331" t="str">
            <v>SIRET</v>
          </cell>
          <cell r="F331" t="str">
            <v>du</v>
          </cell>
          <cell r="G331" t="str">
            <v>commercant</v>
          </cell>
          <cell r="H331" t="str">
            <v>du</v>
          </cell>
          <cell r="I331" t="str">
            <v>mouvement CAS</v>
          </cell>
        </row>
        <row r="332">
          <cell r="C332"/>
          <cell r="D332" t="str">
            <v>de la</v>
          </cell>
          <cell r="E332" t="str">
            <v>commune</v>
          </cell>
          <cell r="F332" t="str">
            <v>du</v>
          </cell>
          <cell r="G332" t="str">
            <v>commercant</v>
          </cell>
          <cell r="H332" t="str">
            <v>du</v>
          </cell>
          <cell r="I332" t="str">
            <v>mouvement CAS</v>
          </cell>
        </row>
        <row r="333">
          <cell r="C333"/>
          <cell r="D333" t="str">
            <v>sur la</v>
          </cell>
          <cell r="E333" t="str">
            <v>situation</v>
          </cell>
          <cell r="F333" t="str">
            <v>du</v>
          </cell>
          <cell r="G333" t="str">
            <v>contrat</v>
          </cell>
          <cell r="H333"/>
          <cell r="I333"/>
        </row>
        <row r="334">
          <cell r="C334"/>
          <cell r="D334" t="str">
            <v>de l'</v>
          </cell>
          <cell r="E334" t="str">
            <v>Entité gestionnaire</v>
          </cell>
          <cell r="F334" t="str">
            <v>du</v>
          </cell>
          <cell r="G334" t="str">
            <v>contrat</v>
          </cell>
          <cell r="H334"/>
          <cell r="I334"/>
        </row>
        <row r="335">
          <cell r="C335"/>
          <cell r="D335" t="str">
            <v>des</v>
          </cell>
          <cell r="E335" t="str">
            <v>soins santé</v>
          </cell>
          <cell r="F335" t="str">
            <v>du</v>
          </cell>
          <cell r="G335" t="str">
            <v>Décompte santé</v>
          </cell>
          <cell r="H335" t="str">
            <v>du</v>
          </cell>
          <cell r="I335" t="str">
            <v>mouvement CAS</v>
          </cell>
        </row>
        <row r="336">
          <cell r="C336"/>
          <cell r="D336" t="str">
            <v>des</v>
          </cell>
          <cell r="E336" t="str">
            <v>soins santé</v>
          </cell>
          <cell r="F336" t="str">
            <v>du</v>
          </cell>
          <cell r="G336" t="str">
            <v>Décompte santé</v>
          </cell>
          <cell r="H336" t="str">
            <v>du</v>
          </cell>
          <cell r="I336" t="str">
            <v>mouvement CAS</v>
          </cell>
        </row>
        <row r="337">
          <cell r="C337"/>
          <cell r="D337" t="str">
            <v>du</v>
          </cell>
          <cell r="E337" t="str">
            <v>mouvement CAS</v>
          </cell>
          <cell r="F337"/>
          <cell r="G337" t="str">
            <v>devise d'origine</v>
          </cell>
          <cell r="H337"/>
          <cell r="I337"/>
        </row>
        <row r="338">
          <cell r="C338" t="str">
            <v>action</v>
          </cell>
          <cell r="D338" t="str">
            <v>sur le</v>
          </cell>
          <cell r="E338" t="str">
            <v>rejet CAS</v>
          </cell>
          <cell r="F338"/>
          <cell r="G338"/>
          <cell r="H338"/>
          <cell r="I338"/>
        </row>
        <row r="339">
          <cell r="C339"/>
          <cell r="D339" t="str">
            <v>du</v>
          </cell>
          <cell r="E339" t="str">
            <v>remboursement CPAM</v>
          </cell>
          <cell r="F339" t="str">
            <v>de la</v>
          </cell>
          <cell r="G339" t="str">
            <v>Ligne de soins</v>
          </cell>
          <cell r="H339" t="str">
            <v>du</v>
          </cell>
          <cell r="I339" t="str">
            <v>mouvement CAS</v>
          </cell>
        </row>
        <row r="340">
          <cell r="C340"/>
          <cell r="D340" t="str">
            <v>des</v>
          </cell>
          <cell r="E340" t="str">
            <v>frais réels</v>
          </cell>
          <cell r="F340" t="str">
            <v>de la</v>
          </cell>
          <cell r="G340" t="str">
            <v>Ligne de soins</v>
          </cell>
          <cell r="H340" t="str">
            <v>du</v>
          </cell>
          <cell r="I340" t="str">
            <v>mouvement CAS</v>
          </cell>
        </row>
        <row r="341">
          <cell r="C341"/>
          <cell r="D341" t="str">
            <v>du</v>
          </cell>
          <cell r="E341" t="str">
            <v>niveau de l'association</v>
          </cell>
          <cell r="F341" t="str">
            <v>de la</v>
          </cell>
          <cell r="G341" t="str">
            <v>Ligne de soins</v>
          </cell>
          <cell r="H341" t="str">
            <v>au</v>
          </cell>
          <cell r="I341" t="str">
            <v>mouvement CAS</v>
          </cell>
        </row>
        <row r="342">
          <cell r="C342"/>
          <cell r="D342" t="str">
            <v>de la</v>
          </cell>
          <cell r="E342" t="str">
            <v>catégorie</v>
          </cell>
          <cell r="F342" t="str">
            <v>du</v>
          </cell>
          <cell r="G342" t="str">
            <v>MCC</v>
          </cell>
          <cell r="H342"/>
          <cell r="I342"/>
        </row>
        <row r="343">
          <cell r="C343"/>
          <cell r="D343" t="str">
            <v>du</v>
          </cell>
          <cell r="E343" t="str">
            <v>mouvement CAS</v>
          </cell>
          <cell r="F343" t="str">
            <v>par la</v>
          </cell>
          <cell r="G343" t="str">
            <v>monétique</v>
          </cell>
          <cell r="H343"/>
          <cell r="I343"/>
        </row>
        <row r="344">
          <cell r="C344"/>
          <cell r="D344" t="str">
            <v>du</v>
          </cell>
          <cell r="E344" t="str">
            <v>mouvement CAS</v>
          </cell>
          <cell r="F344" t="str">
            <v>à la</v>
          </cell>
          <cell r="G344" t="str">
            <v>monétique</v>
          </cell>
          <cell r="H344"/>
          <cell r="I344"/>
        </row>
        <row r="345">
          <cell r="C345"/>
          <cell r="D345" t="str">
            <v>de la</v>
          </cell>
          <cell r="E345" t="str">
            <v>situation</v>
          </cell>
          <cell r="F345" t="str">
            <v>du</v>
          </cell>
          <cell r="G345" t="str">
            <v>mouvement CAS</v>
          </cell>
          <cell r="H345"/>
          <cell r="I345"/>
        </row>
        <row r="346">
          <cell r="C346"/>
          <cell r="D346" t="str">
            <v>du</v>
          </cell>
          <cell r="E346" t="str">
            <v>type de compte</v>
          </cell>
          <cell r="F346" t="str">
            <v>du</v>
          </cell>
          <cell r="G346" t="str">
            <v>mouvement CAS</v>
          </cell>
          <cell r="H346"/>
          <cell r="I346"/>
        </row>
        <row r="347">
          <cell r="C347"/>
          <cell r="D347" t="str">
            <v>du</v>
          </cell>
          <cell r="E347" t="str">
            <v>motif du retour</v>
          </cell>
          <cell r="F347" t="str">
            <v>du</v>
          </cell>
          <cell r="G347" t="str">
            <v>mouvement CAS</v>
          </cell>
          <cell r="H347"/>
          <cell r="I347"/>
        </row>
        <row r="348">
          <cell r="C348"/>
          <cell r="D348" t="str">
            <v>de la</v>
          </cell>
          <cell r="E348" t="str">
            <v>situation</v>
          </cell>
          <cell r="F348" t="str">
            <v>du</v>
          </cell>
          <cell r="G348" t="str">
            <v>mouvement CAS</v>
          </cell>
          <cell r="H348"/>
          <cell r="I348"/>
        </row>
        <row r="349">
          <cell r="C349"/>
          <cell r="D349" t="str">
            <v>de l'</v>
          </cell>
          <cell r="E349" t="str">
            <v>etat</v>
          </cell>
          <cell r="F349" t="str">
            <v>du</v>
          </cell>
          <cell r="G349" t="str">
            <v>mouvement CAS</v>
          </cell>
          <cell r="H349"/>
          <cell r="I349"/>
        </row>
        <row r="350">
          <cell r="C350"/>
          <cell r="D350" t="str">
            <v>entre</v>
          </cell>
          <cell r="E350" t="str">
            <v>contrat</v>
          </cell>
          <cell r="F350" t="str">
            <v>et</v>
          </cell>
          <cell r="G350" t="str">
            <v>mouvement CAS</v>
          </cell>
          <cell r="H350"/>
          <cell r="I350"/>
        </row>
        <row r="351">
          <cell r="C351"/>
          <cell r="D351" t="str">
            <v>entre</v>
          </cell>
          <cell r="E351" t="str">
            <v>contrat</v>
          </cell>
          <cell r="F351" t="str">
            <v>et</v>
          </cell>
          <cell r="G351" t="str">
            <v>mouvement CAS</v>
          </cell>
          <cell r="H351"/>
          <cell r="I351"/>
        </row>
        <row r="352">
          <cell r="C352"/>
          <cell r="D352" t="str">
            <v>entre</v>
          </cell>
          <cell r="E352" t="str">
            <v>contrat</v>
          </cell>
          <cell r="F352" t="str">
            <v>et</v>
          </cell>
          <cell r="G352" t="str">
            <v>mouvement CAS</v>
          </cell>
          <cell r="H352"/>
          <cell r="I352"/>
        </row>
        <row r="353">
          <cell r="C353"/>
          <cell r="D353" t="str">
            <v>entre</v>
          </cell>
          <cell r="E353" t="str">
            <v>contrat</v>
          </cell>
          <cell r="F353" t="str">
            <v>et</v>
          </cell>
          <cell r="G353" t="str">
            <v>mouvement CAS</v>
          </cell>
          <cell r="H353"/>
          <cell r="I353"/>
        </row>
        <row r="354">
          <cell r="C354"/>
          <cell r="D354" t="str">
            <v>entre</v>
          </cell>
          <cell r="E354" t="str">
            <v>contrat</v>
          </cell>
          <cell r="F354" t="str">
            <v>et</v>
          </cell>
          <cell r="G354" t="str">
            <v>mouvement CAS</v>
          </cell>
          <cell r="H354"/>
          <cell r="I354"/>
        </row>
        <row r="355">
          <cell r="C355"/>
          <cell r="D355" t="str">
            <v>entre</v>
          </cell>
          <cell r="E355" t="str">
            <v>contrat</v>
          </cell>
          <cell r="F355" t="str">
            <v>et</v>
          </cell>
          <cell r="G355" t="str">
            <v>mouvement CAS</v>
          </cell>
          <cell r="H355"/>
          <cell r="I355"/>
        </row>
        <row r="356">
          <cell r="C356"/>
          <cell r="D356" t="str">
            <v>de</v>
          </cell>
          <cell r="E356" t="str">
            <v>débit</v>
          </cell>
          <cell r="F356" t="str">
            <v>du</v>
          </cell>
          <cell r="G356" t="str">
            <v>mouvement CAS</v>
          </cell>
          <cell r="H356"/>
          <cell r="I356"/>
        </row>
        <row r="357">
          <cell r="C357"/>
          <cell r="D357" t="str">
            <v>de la</v>
          </cell>
          <cell r="E357" t="str">
            <v>ligne de soins</v>
          </cell>
          <cell r="F357" t="str">
            <v>au</v>
          </cell>
          <cell r="G357" t="str">
            <v>mouvement CAS</v>
          </cell>
          <cell r="H357"/>
          <cell r="I357"/>
        </row>
        <row r="358">
          <cell r="C358"/>
          <cell r="D358" t="str">
            <v>entre</v>
          </cell>
          <cell r="E358" t="str">
            <v>Ligne de soins</v>
          </cell>
          <cell r="F358" t="str">
            <v>et</v>
          </cell>
          <cell r="G358" t="str">
            <v>mouvement CAS</v>
          </cell>
          <cell r="H358"/>
          <cell r="I358"/>
        </row>
        <row r="359">
          <cell r="C359"/>
          <cell r="D359" t="str">
            <v>entre</v>
          </cell>
          <cell r="E359" t="str">
            <v>Ligne de soins</v>
          </cell>
          <cell r="F359" t="str">
            <v>et</v>
          </cell>
          <cell r="G359" t="str">
            <v>mouvement CAS</v>
          </cell>
          <cell r="H359"/>
          <cell r="I359"/>
        </row>
        <row r="360">
          <cell r="C360"/>
          <cell r="D360" t="str">
            <v>entre</v>
          </cell>
          <cell r="E360" t="str">
            <v>Ligne de soins</v>
          </cell>
          <cell r="F360" t="str">
            <v>et</v>
          </cell>
          <cell r="G360" t="str">
            <v>mouvement CAS</v>
          </cell>
          <cell r="H360"/>
          <cell r="I360"/>
        </row>
        <row r="361">
          <cell r="C361"/>
          <cell r="D361" t="str">
            <v>entre</v>
          </cell>
          <cell r="E361" t="str">
            <v>ligne de soins</v>
          </cell>
          <cell r="F361" t="str">
            <v>et</v>
          </cell>
          <cell r="G361" t="str">
            <v>mouvement CAS</v>
          </cell>
          <cell r="H361"/>
          <cell r="I361"/>
        </row>
        <row r="362">
          <cell r="C362"/>
          <cell r="D362" t="str">
            <v>entre</v>
          </cell>
          <cell r="E362" t="str">
            <v>ligne de soins</v>
          </cell>
          <cell r="F362" t="str">
            <v>et</v>
          </cell>
          <cell r="G362" t="str">
            <v>mouvement CAS</v>
          </cell>
          <cell r="H362"/>
          <cell r="I362"/>
        </row>
        <row r="363">
          <cell r="C363"/>
          <cell r="D363" t="str">
            <v>entre</v>
          </cell>
          <cell r="E363" t="str">
            <v>ligne de soins</v>
          </cell>
          <cell r="F363" t="str">
            <v>et</v>
          </cell>
          <cell r="G363" t="str">
            <v>mouvement CAS</v>
          </cell>
          <cell r="H363"/>
          <cell r="I363"/>
        </row>
        <row r="364">
          <cell r="C364"/>
          <cell r="D364" t="str">
            <v>de</v>
          </cell>
          <cell r="E364" t="str">
            <v>recyclage</v>
          </cell>
          <cell r="F364" t="str">
            <v>du</v>
          </cell>
          <cell r="G364" t="str">
            <v>mouvement CAS</v>
          </cell>
          <cell r="H364"/>
          <cell r="I364"/>
        </row>
        <row r="365">
          <cell r="C365"/>
          <cell r="D365" t="str">
            <v>de la</v>
          </cell>
          <cell r="E365" t="str">
            <v>situation</v>
          </cell>
          <cell r="F365" t="str">
            <v>du</v>
          </cell>
          <cell r="G365" t="str">
            <v>mouvement CAS</v>
          </cell>
          <cell r="H365"/>
          <cell r="I365"/>
        </row>
        <row r="366">
          <cell r="C366"/>
          <cell r="D366" t="str">
            <v>de la</v>
          </cell>
          <cell r="E366" t="str">
            <v>situation</v>
          </cell>
          <cell r="F366" t="str">
            <v>du</v>
          </cell>
          <cell r="G366" t="str">
            <v>mouvement CAS</v>
          </cell>
          <cell r="H366"/>
          <cell r="I366"/>
        </row>
        <row r="367">
          <cell r="C367"/>
          <cell r="D367" t="str">
            <v>de la</v>
          </cell>
          <cell r="E367" t="str">
            <v>situation</v>
          </cell>
          <cell r="F367" t="str">
            <v>du</v>
          </cell>
          <cell r="G367" t="str">
            <v>mouvement CAS</v>
          </cell>
          <cell r="H367"/>
          <cell r="I367"/>
        </row>
        <row r="368">
          <cell r="C368"/>
          <cell r="D368" t="str">
            <v>de la</v>
          </cell>
          <cell r="E368" t="str">
            <v>situation</v>
          </cell>
          <cell r="F368" t="str">
            <v>du</v>
          </cell>
          <cell r="G368" t="str">
            <v>mouvement CAS</v>
          </cell>
          <cell r="H368"/>
          <cell r="I368"/>
        </row>
        <row r="369">
          <cell r="C369"/>
          <cell r="D369" t="str">
            <v>de la</v>
          </cell>
          <cell r="E369" t="str">
            <v>situation</v>
          </cell>
          <cell r="F369" t="str">
            <v>du</v>
          </cell>
          <cell r="G369" t="str">
            <v>mouvement CAS</v>
          </cell>
          <cell r="H369"/>
          <cell r="I369"/>
        </row>
        <row r="370">
          <cell r="C370"/>
          <cell r="D370" t="str">
            <v>de la</v>
          </cell>
          <cell r="E370" t="str">
            <v>situation</v>
          </cell>
          <cell r="F370" t="str">
            <v>du</v>
          </cell>
          <cell r="G370" t="str">
            <v>mouvement CAS</v>
          </cell>
          <cell r="H370"/>
          <cell r="I370"/>
        </row>
        <row r="371">
          <cell r="C371"/>
          <cell r="D371" t="str">
            <v>du</v>
          </cell>
          <cell r="E371" t="str">
            <v>type de compte</v>
          </cell>
          <cell r="F371" t="str">
            <v>du</v>
          </cell>
          <cell r="G371" t="str">
            <v>mouvement CAS</v>
          </cell>
          <cell r="H371"/>
          <cell r="I371"/>
        </row>
        <row r="372">
          <cell r="C372"/>
          <cell r="D372" t="str">
            <v>du</v>
          </cell>
          <cell r="E372" t="str">
            <v>type de compte</v>
          </cell>
          <cell r="F372" t="str">
            <v>du</v>
          </cell>
          <cell r="G372" t="str">
            <v>mouvement CAS</v>
          </cell>
          <cell r="H372"/>
          <cell r="I372"/>
        </row>
        <row r="373">
          <cell r="C373"/>
          <cell r="D373" t="str">
            <v>du</v>
          </cell>
          <cell r="E373" t="str">
            <v>BBAN de prélèvement</v>
          </cell>
          <cell r="F373" t="str">
            <v>du</v>
          </cell>
          <cell r="G373" t="str">
            <v>mouvement CAS</v>
          </cell>
          <cell r="H373"/>
          <cell r="I373"/>
        </row>
        <row r="374">
          <cell r="C374"/>
          <cell r="D374" t="str">
            <v>de la</v>
          </cell>
          <cell r="E374" t="str">
            <v>devise</v>
          </cell>
          <cell r="F374" t="str">
            <v>du</v>
          </cell>
          <cell r="G374" t="str">
            <v>mouvement CAS</v>
          </cell>
          <cell r="H374"/>
          <cell r="I374"/>
        </row>
        <row r="375">
          <cell r="C375"/>
          <cell r="D375" t="str">
            <v>du</v>
          </cell>
          <cell r="E375" t="str">
            <v>commercant</v>
          </cell>
          <cell r="F375" t="str">
            <v>du</v>
          </cell>
          <cell r="G375" t="str">
            <v>mouvement CAS</v>
          </cell>
          <cell r="H375"/>
          <cell r="I375"/>
        </row>
        <row r="376">
          <cell r="C376"/>
          <cell r="D376" t="str">
            <v>de</v>
          </cell>
          <cell r="E376" t="str">
            <v>contrat</v>
          </cell>
          <cell r="F376" t="str">
            <v>du</v>
          </cell>
          <cell r="G376" t="str">
            <v>mouvement CAS</v>
          </cell>
          <cell r="H376"/>
          <cell r="I376"/>
        </row>
        <row r="377">
          <cell r="C377"/>
          <cell r="D377" t="str">
            <v>de la</v>
          </cell>
          <cell r="E377" t="str">
            <v>Société d'assurance</v>
          </cell>
          <cell r="F377" t="str">
            <v>du</v>
          </cell>
          <cell r="G377" t="str">
            <v>mouvement CAS</v>
          </cell>
          <cell r="H377"/>
          <cell r="I377"/>
        </row>
        <row r="378">
          <cell r="C378"/>
          <cell r="D378" t="str">
            <v>de la</v>
          </cell>
          <cell r="E378" t="str">
            <v>devise d'origine</v>
          </cell>
          <cell r="F378" t="str">
            <v>du</v>
          </cell>
          <cell r="G378" t="str">
            <v>mouvement CAS</v>
          </cell>
          <cell r="H378"/>
          <cell r="I378"/>
        </row>
        <row r="379">
          <cell r="C379"/>
          <cell r="D379" t="str">
            <v>de l'</v>
          </cell>
          <cell r="E379" t="str">
            <v>ancien BBAN</v>
          </cell>
          <cell r="F379" t="str">
            <v>du</v>
          </cell>
          <cell r="G379" t="str">
            <v>mouvement CAS</v>
          </cell>
          <cell r="H379"/>
          <cell r="I379"/>
        </row>
        <row r="380">
          <cell r="C380"/>
          <cell r="D380" t="str">
            <v>du</v>
          </cell>
          <cell r="E380" t="str">
            <v>motif du retour</v>
          </cell>
          <cell r="F380" t="str">
            <v>du</v>
          </cell>
          <cell r="G380" t="str">
            <v>mouvement CAS</v>
          </cell>
          <cell r="H380"/>
          <cell r="I380"/>
        </row>
        <row r="381">
          <cell r="C381"/>
          <cell r="D381" t="str">
            <v>du</v>
          </cell>
          <cell r="E381" t="str">
            <v>motif du retour</v>
          </cell>
          <cell r="F381" t="str">
            <v>du</v>
          </cell>
          <cell r="G381" t="str">
            <v>mouvement CAS</v>
          </cell>
          <cell r="H381"/>
          <cell r="I381"/>
        </row>
        <row r="382">
          <cell r="C382"/>
          <cell r="D382" t="str">
            <v>de l'</v>
          </cell>
          <cell r="E382" t="str">
            <v>etat</v>
          </cell>
          <cell r="F382" t="str">
            <v>du</v>
          </cell>
          <cell r="G382" t="str">
            <v>mouvement CAS</v>
          </cell>
          <cell r="H382"/>
          <cell r="I382"/>
        </row>
        <row r="383">
          <cell r="C383"/>
          <cell r="D383" t="str">
            <v>de l'</v>
          </cell>
          <cell r="E383" t="str">
            <v>etat</v>
          </cell>
          <cell r="F383" t="str">
            <v>du</v>
          </cell>
          <cell r="G383" t="str">
            <v>mouvement CAS</v>
          </cell>
          <cell r="H383"/>
          <cell r="I383"/>
        </row>
        <row r="384">
          <cell r="C384"/>
          <cell r="D384" t="str">
            <v>de l'</v>
          </cell>
          <cell r="E384" t="str">
            <v>action</v>
          </cell>
          <cell r="F384" t="str">
            <v>sur le</v>
          </cell>
          <cell r="G384" t="str">
            <v>rejet CAS</v>
          </cell>
          <cell r="H384"/>
          <cell r="I384"/>
        </row>
        <row r="385">
          <cell r="C385"/>
          <cell r="D385" t="str">
            <v>du</v>
          </cell>
          <cell r="E385" t="str">
            <v>motif</v>
          </cell>
          <cell r="F385" t="str">
            <v>du</v>
          </cell>
          <cell r="G385" t="str">
            <v>rejet CAS</v>
          </cell>
          <cell r="H385"/>
          <cell r="I385"/>
        </row>
        <row r="386">
          <cell r="C386"/>
          <cell r="D386" t="str">
            <v>de l'</v>
          </cell>
          <cell r="E386" t="str">
            <v>edition courrier</v>
          </cell>
          <cell r="F386" t="str">
            <v>du</v>
          </cell>
          <cell r="G386" t="str">
            <v>rejet CAS</v>
          </cell>
          <cell r="H386"/>
          <cell r="I386"/>
        </row>
        <row r="387">
          <cell r="C387"/>
          <cell r="D387" t="str">
            <v>de l'</v>
          </cell>
          <cell r="E387" t="str">
            <v>etat</v>
          </cell>
          <cell r="F387" t="str">
            <v>du</v>
          </cell>
          <cell r="G387" t="str">
            <v>rejet CAS</v>
          </cell>
          <cell r="H387"/>
          <cell r="I387"/>
        </row>
        <row r="388">
          <cell r="C388"/>
          <cell r="D388" t="str">
            <v>de l'</v>
          </cell>
          <cell r="E388" t="str">
            <v>action</v>
          </cell>
          <cell r="F388" t="str">
            <v>sur le</v>
          </cell>
          <cell r="G388" t="str">
            <v>rejet CAS</v>
          </cell>
          <cell r="H388"/>
          <cell r="I388"/>
        </row>
        <row r="389">
          <cell r="C389"/>
          <cell r="D389" t="str">
            <v>de l'</v>
          </cell>
          <cell r="E389" t="str">
            <v>action</v>
          </cell>
          <cell r="F389" t="str">
            <v>sur le</v>
          </cell>
          <cell r="G389" t="str">
            <v>rejet CAS</v>
          </cell>
          <cell r="H389"/>
          <cell r="I389"/>
        </row>
        <row r="390">
          <cell r="C390"/>
          <cell r="D390" t="str">
            <v>du</v>
          </cell>
          <cell r="E390" t="str">
            <v>motif</v>
          </cell>
          <cell r="F390" t="str">
            <v>du</v>
          </cell>
          <cell r="G390" t="str">
            <v>rejet CAS</v>
          </cell>
          <cell r="H390"/>
          <cell r="I390"/>
        </row>
        <row r="391">
          <cell r="C391"/>
          <cell r="D391" t="str">
            <v>du</v>
          </cell>
          <cell r="E391" t="str">
            <v>motif</v>
          </cell>
          <cell r="F391" t="str">
            <v>du</v>
          </cell>
          <cell r="G391" t="str">
            <v>rejet CAS</v>
          </cell>
          <cell r="H391"/>
          <cell r="I391"/>
        </row>
        <row r="392">
          <cell r="C392"/>
          <cell r="D392" t="str">
            <v>de l'</v>
          </cell>
          <cell r="E392" t="str">
            <v>edition courrier</v>
          </cell>
          <cell r="F392" t="str">
            <v>du</v>
          </cell>
          <cell r="G392" t="str">
            <v>rejet CAS</v>
          </cell>
          <cell r="H392"/>
          <cell r="I392"/>
        </row>
        <row r="393">
          <cell r="C393"/>
          <cell r="D393" t="str">
            <v>de l'</v>
          </cell>
          <cell r="E393" t="str">
            <v>edition courrier</v>
          </cell>
          <cell r="F393" t="str">
            <v>du</v>
          </cell>
          <cell r="G393" t="str">
            <v>rejet CAS</v>
          </cell>
          <cell r="H393"/>
          <cell r="I393"/>
        </row>
        <row r="394">
          <cell r="C394"/>
          <cell r="D394" t="str">
            <v>de l'</v>
          </cell>
          <cell r="E394" t="str">
            <v>etat</v>
          </cell>
          <cell r="F394" t="str">
            <v>du</v>
          </cell>
          <cell r="G394" t="str">
            <v>rejet CAS</v>
          </cell>
          <cell r="H394"/>
          <cell r="I394"/>
        </row>
        <row r="395">
          <cell r="C395"/>
          <cell r="D395" t="str">
            <v>de l'</v>
          </cell>
          <cell r="E395" t="str">
            <v>etat</v>
          </cell>
          <cell r="F395" t="str">
            <v>du</v>
          </cell>
          <cell r="G395" t="str">
            <v>rejet CAS</v>
          </cell>
          <cell r="H395"/>
          <cell r="I395"/>
        </row>
        <row r="396">
          <cell r="C396" t="str">
            <v>SIO</v>
          </cell>
          <cell r="D396" t="str">
            <v>du</v>
          </cell>
          <cell r="E396" t="str">
            <v>contrat</v>
          </cell>
          <cell r="F396" t="str">
            <v>de la</v>
          </cell>
          <cell r="G396" t="str">
            <v>Carte avance santé</v>
          </cell>
          <cell r="H396"/>
          <cell r="I396"/>
        </row>
        <row r="397">
          <cell r="C397" t="str">
            <v>ISO</v>
          </cell>
          <cell r="D397" t="str">
            <v>de la</v>
          </cell>
          <cell r="E397" t="str">
            <v>carte avance santé</v>
          </cell>
          <cell r="F397"/>
          <cell r="G397"/>
          <cell r="H397"/>
          <cell r="I397"/>
        </row>
        <row r="398">
          <cell r="C398"/>
          <cell r="D398" t="str">
            <v>du</v>
          </cell>
          <cell r="E398" t="str">
            <v>rejet CAS</v>
          </cell>
          <cell r="F398"/>
          <cell r="G398"/>
          <cell r="H398"/>
          <cell r="I398"/>
        </row>
        <row r="399">
          <cell r="C399"/>
          <cell r="D399" t="str">
            <v>de</v>
          </cell>
          <cell r="E399" t="str">
            <v>Contrat S18</v>
          </cell>
          <cell r="F399"/>
          <cell r="G399"/>
          <cell r="H399"/>
          <cell r="I399"/>
        </row>
        <row r="400">
          <cell r="C400"/>
          <cell r="D400" t="str">
            <v>sur l'</v>
          </cell>
          <cell r="E400" t="str">
            <v>age du tiers titulaire</v>
          </cell>
          <cell r="F400"/>
          <cell r="G400"/>
          <cell r="H400"/>
          <cell r="I400"/>
        </row>
        <row r="401">
          <cell r="C401"/>
          <cell r="D401" t="str">
            <v>du</v>
          </cell>
          <cell r="E401" t="str">
            <v>contrat CAS</v>
          </cell>
          <cell r="F401"/>
          <cell r="G401"/>
          <cell r="H401"/>
          <cell r="I401"/>
        </row>
        <row r="402">
          <cell r="C402"/>
          <cell r="D402" t="str">
            <v>du</v>
          </cell>
          <cell r="E402" t="str">
            <v>mouvement CAS</v>
          </cell>
          <cell r="F402"/>
          <cell r="G402"/>
          <cell r="H402"/>
          <cell r="I402"/>
        </row>
        <row r="403">
          <cell r="C403"/>
          <cell r="D403" t="str">
            <v>du</v>
          </cell>
          <cell r="E403" t="str">
            <v>rejet CAS</v>
          </cell>
          <cell r="F403"/>
          <cell r="G403"/>
          <cell r="H403"/>
          <cell r="I403"/>
        </row>
        <row r="404">
          <cell r="C404"/>
          <cell r="D404" t="str">
            <v>du</v>
          </cell>
          <cell r="E404" t="str">
            <v>commercant</v>
          </cell>
          <cell r="F404"/>
          <cell r="G404"/>
          <cell r="H404"/>
          <cell r="I404"/>
        </row>
        <row r="405">
          <cell r="C405"/>
          <cell r="D405" t="str">
            <v>du</v>
          </cell>
          <cell r="E405" t="str">
            <v>MCC</v>
          </cell>
          <cell r="F405"/>
          <cell r="G405"/>
          <cell r="H405"/>
          <cell r="I405"/>
        </row>
        <row r="406">
          <cell r="C406"/>
          <cell r="D406" t="str">
            <v>du</v>
          </cell>
          <cell r="E406" t="str">
            <v>mouvement CAS</v>
          </cell>
          <cell r="F406"/>
          <cell r="G406"/>
          <cell r="H406"/>
          <cell r="I406"/>
        </row>
        <row r="407">
          <cell r="C407"/>
          <cell r="D407" t="str">
            <v>du</v>
          </cell>
          <cell r="E407" t="str">
            <v>mouvement CAS</v>
          </cell>
          <cell r="F407"/>
          <cell r="G407"/>
          <cell r="H407"/>
          <cell r="I407"/>
        </row>
        <row r="408">
          <cell r="C408"/>
          <cell r="D408" t="str">
            <v>du</v>
          </cell>
          <cell r="E408" t="str">
            <v>mouvement CAS</v>
          </cell>
          <cell r="F408"/>
          <cell r="G408"/>
          <cell r="H408"/>
          <cell r="I408"/>
        </row>
        <row r="409">
          <cell r="C409"/>
          <cell r="D409" t="str">
            <v>du</v>
          </cell>
          <cell r="E409" t="str">
            <v>mouvement CAS</v>
          </cell>
          <cell r="F409"/>
          <cell r="G409"/>
          <cell r="H409"/>
          <cell r="I409"/>
        </row>
        <row r="410">
          <cell r="C410"/>
          <cell r="D410" t="str">
            <v>du</v>
          </cell>
          <cell r="E410" t="str">
            <v>mouvement CAS</v>
          </cell>
          <cell r="F410"/>
          <cell r="G410"/>
          <cell r="H410"/>
          <cell r="I410"/>
        </row>
        <row r="411">
          <cell r="C411"/>
          <cell r="D411" t="str">
            <v>du</v>
          </cell>
          <cell r="E411" t="str">
            <v>mouvement CAS</v>
          </cell>
          <cell r="F411"/>
          <cell r="G411"/>
          <cell r="H411"/>
          <cell r="I411"/>
        </row>
        <row r="412">
          <cell r="C412"/>
          <cell r="D412" t="str">
            <v>du</v>
          </cell>
          <cell r="E412" t="str">
            <v>mouvement CAS</v>
          </cell>
          <cell r="F412"/>
          <cell r="G412"/>
          <cell r="H412"/>
          <cell r="I412"/>
        </row>
        <row r="413">
          <cell r="C413"/>
          <cell r="D413" t="str">
            <v>du</v>
          </cell>
          <cell r="E413" t="str">
            <v>mouvement CAS</v>
          </cell>
          <cell r="F413"/>
          <cell r="G413"/>
          <cell r="H413"/>
          <cell r="I413"/>
        </row>
        <row r="414">
          <cell r="C414"/>
          <cell r="D414" t="str">
            <v>du</v>
          </cell>
          <cell r="E414" t="str">
            <v>rejet CAS</v>
          </cell>
          <cell r="F414"/>
          <cell r="G414"/>
          <cell r="H414"/>
          <cell r="I414"/>
        </row>
        <row r="415">
          <cell r="C415"/>
          <cell r="D415" t="str">
            <v>du</v>
          </cell>
          <cell r="E415" t="str">
            <v>rejet CAS</v>
          </cell>
          <cell r="F415"/>
          <cell r="G415"/>
          <cell r="H415"/>
          <cell r="I415"/>
        </row>
        <row r="416">
          <cell r="C416"/>
          <cell r="D416" t="str">
            <v>du</v>
          </cell>
          <cell r="E416" t="str">
            <v>rejet CAS</v>
          </cell>
          <cell r="F416"/>
          <cell r="G416"/>
          <cell r="H416"/>
          <cell r="I416"/>
        </row>
        <row r="417">
          <cell r="C417"/>
          <cell r="D417" t="str">
            <v>du</v>
          </cell>
          <cell r="E417" t="str">
            <v>rejet CAS</v>
          </cell>
          <cell r="F417"/>
          <cell r="G417"/>
          <cell r="H417"/>
          <cell r="I417"/>
        </row>
        <row r="418">
          <cell r="C418"/>
          <cell r="D418" t="str">
            <v>du</v>
          </cell>
          <cell r="E418" t="str">
            <v>rejet CAS</v>
          </cell>
          <cell r="F418"/>
          <cell r="G418"/>
          <cell r="H418"/>
          <cell r="I418"/>
        </row>
        <row r="419">
          <cell r="C419"/>
          <cell r="D419" t="str">
            <v>du</v>
          </cell>
          <cell r="E419" t="str">
            <v>rejet CAS</v>
          </cell>
          <cell r="F419"/>
          <cell r="G419"/>
          <cell r="H419"/>
          <cell r="I419"/>
        </row>
        <row r="420">
          <cell r="C420"/>
          <cell r="D420" t="str">
            <v>du</v>
          </cell>
          <cell r="E420" t="str">
            <v>rejet CAS</v>
          </cell>
          <cell r="F420"/>
          <cell r="G420"/>
          <cell r="H420"/>
          <cell r="I420"/>
        </row>
        <row r="421">
          <cell r="C421"/>
          <cell r="D421" t="str">
            <v>du</v>
          </cell>
          <cell r="E421" t="str">
            <v>rejet CAS</v>
          </cell>
          <cell r="F421"/>
          <cell r="G421"/>
          <cell r="H421"/>
          <cell r="I421"/>
        </row>
        <row r="422">
          <cell r="C422"/>
          <cell r="D422" t="str">
            <v>du</v>
          </cell>
          <cell r="E422" t="str">
            <v>rejet CAS</v>
          </cell>
          <cell r="F422"/>
          <cell r="G422"/>
          <cell r="H422"/>
          <cell r="I422"/>
        </row>
        <row r="423">
          <cell r="C423"/>
          <cell r="D423" t="str">
            <v>du</v>
          </cell>
          <cell r="E423" t="str">
            <v>rejet CAS</v>
          </cell>
          <cell r="F423"/>
          <cell r="G423"/>
          <cell r="H423"/>
          <cell r="I423"/>
        </row>
        <row r="424">
          <cell r="C424"/>
          <cell r="D424" t="str">
            <v>du</v>
          </cell>
          <cell r="E424" t="str">
            <v>rejet CAS</v>
          </cell>
          <cell r="F424"/>
          <cell r="G424"/>
          <cell r="H424"/>
          <cell r="I424"/>
        </row>
        <row r="425">
          <cell r="C425"/>
          <cell r="D425" t="str">
            <v>du</v>
          </cell>
          <cell r="E425" t="str">
            <v>contrat</v>
          </cell>
          <cell r="F425"/>
          <cell r="G425"/>
          <cell r="H425"/>
          <cell r="I425"/>
        </row>
        <row r="426">
          <cell r="C426"/>
          <cell r="D426" t="str">
            <v>d'</v>
          </cell>
          <cell r="E426" t="str">
            <v>extraction</v>
          </cell>
          <cell r="F426"/>
          <cell r="G426"/>
          <cell r="H426"/>
          <cell r="I426"/>
        </row>
        <row r="427">
          <cell r="C427"/>
          <cell r="D427" t="str">
            <v>du</v>
          </cell>
          <cell r="E427" t="str">
            <v>contrat CAS</v>
          </cell>
          <cell r="F427"/>
          <cell r="G427"/>
          <cell r="H427"/>
          <cell r="I427"/>
        </row>
        <row r="428">
          <cell r="C428"/>
          <cell r="D428" t="str">
            <v>du</v>
          </cell>
          <cell r="E428" t="str">
            <v>mouvement CAS</v>
          </cell>
          <cell r="F428"/>
          <cell r="G428"/>
          <cell r="H428"/>
          <cell r="I428"/>
        </row>
        <row r="429">
          <cell r="C429"/>
          <cell r="D429" t="str">
            <v>du</v>
          </cell>
          <cell r="E429" t="str">
            <v>rejet CAS</v>
          </cell>
          <cell r="F429"/>
          <cell r="G429"/>
          <cell r="H429"/>
          <cell r="I429"/>
        </row>
        <row r="430">
          <cell r="C430"/>
          <cell r="D430" t="str">
            <v>de la</v>
          </cell>
          <cell r="E430" t="str">
            <v>donnée</v>
          </cell>
          <cell r="F430"/>
          <cell r="G430"/>
          <cell r="H430"/>
          <cell r="I430"/>
        </row>
        <row r="431">
          <cell r="C431"/>
          <cell r="D431" t="str">
            <v>du</v>
          </cell>
          <cell r="E431" t="str">
            <v>MCC</v>
          </cell>
          <cell r="F431"/>
          <cell r="G431"/>
          <cell r="H431"/>
          <cell r="I431"/>
        </row>
        <row r="432">
          <cell r="C432"/>
          <cell r="D432" t="str">
            <v>d'</v>
          </cell>
          <cell r="E432" t="str">
            <v>échéance rejetée</v>
          </cell>
          <cell r="F432"/>
          <cell r="G432"/>
          <cell r="H432"/>
          <cell r="I432"/>
        </row>
        <row r="433">
          <cell r="C433" t="str">
            <v>Dernière image</v>
          </cell>
          <cell r="D433" t="str">
            <v>de la</v>
          </cell>
          <cell r="E433" t="str">
            <v>situation</v>
          </cell>
          <cell r="F433" t="str">
            <v>du</v>
          </cell>
          <cell r="G433" t="str">
            <v>mouvement CAS</v>
          </cell>
          <cell r="H433"/>
          <cell r="I433"/>
        </row>
        <row r="434">
          <cell r="C434" t="str">
            <v>Dernière image</v>
          </cell>
          <cell r="D434" t="str">
            <v>du</v>
          </cell>
          <cell r="E434" t="str">
            <v>rejet CAS</v>
          </cell>
          <cell r="F434"/>
          <cell r="G434"/>
          <cell r="H434"/>
          <cell r="I434"/>
        </row>
        <row r="435">
          <cell r="C435" t="str">
            <v>contrat</v>
          </cell>
          <cell r="D435" t="str">
            <v>du</v>
          </cell>
          <cell r="E435" t="str">
            <v>rejet CAS</v>
          </cell>
          <cell r="F435"/>
          <cell r="G435"/>
          <cell r="H435"/>
          <cell r="I435"/>
        </row>
        <row r="436">
          <cell r="C436" t="str">
            <v>activité</v>
          </cell>
          <cell r="D436" t="str">
            <v>du</v>
          </cell>
          <cell r="E436" t="str">
            <v>MCC</v>
          </cell>
          <cell r="F436"/>
          <cell r="G436"/>
          <cell r="H436"/>
          <cell r="I436"/>
        </row>
        <row r="437">
          <cell r="C437" t="str">
            <v>présence</v>
          </cell>
          <cell r="D437" t="str">
            <v>du</v>
          </cell>
          <cell r="E437" t="str">
            <v>professionnel de santé</v>
          </cell>
          <cell r="F437" t="str">
            <v>du</v>
          </cell>
          <cell r="G437" t="str">
            <v>MCC</v>
          </cell>
          <cell r="H437"/>
          <cell r="I437"/>
        </row>
        <row r="438">
          <cell r="C438"/>
          <cell r="D438" t="str">
            <v>de la</v>
          </cell>
          <cell r="E438" t="str">
            <v>Carte avance santé</v>
          </cell>
          <cell r="F438"/>
          <cell r="G438"/>
          <cell r="H438"/>
          <cell r="I438"/>
        </row>
        <row r="439">
          <cell r="C439"/>
          <cell r="D439" t="str">
            <v>de la</v>
          </cell>
          <cell r="E439" t="str">
            <v>transaction d'autorisation</v>
          </cell>
          <cell r="F439" t="str">
            <v>de la</v>
          </cell>
          <cell r="G439" t="str">
            <v>Carte avance santé</v>
          </cell>
          <cell r="H439"/>
          <cell r="I439"/>
        </row>
        <row r="440">
          <cell r="C440"/>
          <cell r="D440" t="str">
            <v>du</v>
          </cell>
          <cell r="E440" t="str">
            <v>type</v>
          </cell>
          <cell r="F440" t="str">
            <v>d'</v>
          </cell>
          <cell r="G440" t="str">
            <v>enregistrement</v>
          </cell>
          <cell r="H440" t="str">
            <v>de la</v>
          </cell>
          <cell r="I440" t="str">
            <v>transaction d'autorisation</v>
          </cell>
        </row>
        <row r="441">
          <cell r="C441"/>
          <cell r="D441" t="str">
            <v>de</v>
          </cell>
          <cell r="E441" t="str">
            <v>carte</v>
          </cell>
          <cell r="F441" t="str">
            <v>de la</v>
          </cell>
          <cell r="G441" t="str">
            <v>transaction d'autorisation</v>
          </cell>
          <cell r="H441"/>
          <cell r="I441"/>
        </row>
        <row r="442">
          <cell r="C442"/>
          <cell r="D442" t="str">
            <v>de la</v>
          </cell>
          <cell r="E442" t="str">
            <v>transaction d'autorisation</v>
          </cell>
          <cell r="F442"/>
          <cell r="G442"/>
          <cell r="H442"/>
          <cell r="I442"/>
        </row>
        <row r="443">
          <cell r="C443"/>
          <cell r="D443" t="str">
            <v>de la</v>
          </cell>
          <cell r="E443" t="str">
            <v>transaction d'autorisation</v>
          </cell>
          <cell r="F443"/>
          <cell r="G443"/>
          <cell r="H443"/>
          <cell r="I443"/>
        </row>
        <row r="444">
          <cell r="C444"/>
          <cell r="D444" t="str">
            <v>de la</v>
          </cell>
          <cell r="E444" t="str">
            <v>transaction d'autorisation</v>
          </cell>
          <cell r="F444"/>
          <cell r="G444"/>
          <cell r="H444"/>
          <cell r="I444"/>
        </row>
        <row r="445">
          <cell r="C445"/>
          <cell r="D445" t="str">
            <v>de la</v>
          </cell>
          <cell r="E445" t="str">
            <v>devise</v>
          </cell>
          <cell r="F445" t="str">
            <v>de la</v>
          </cell>
          <cell r="G445" t="str">
            <v>transaction d'autorisation</v>
          </cell>
          <cell r="H445"/>
          <cell r="I445"/>
        </row>
        <row r="446">
          <cell r="C446"/>
          <cell r="D446" t="str">
            <v>de la</v>
          </cell>
          <cell r="E446" t="str">
            <v>réponse du serveur</v>
          </cell>
          <cell r="F446"/>
          <cell r="G446"/>
          <cell r="H446"/>
          <cell r="I446"/>
        </row>
        <row r="447">
          <cell r="C447"/>
          <cell r="D447" t="str">
            <v>du</v>
          </cell>
          <cell r="E447" t="str">
            <v>motif</v>
          </cell>
          <cell r="F447" t="str">
            <v>de la</v>
          </cell>
          <cell r="G447" t="str">
            <v>réponse du serveur</v>
          </cell>
          <cell r="H447"/>
          <cell r="I447"/>
        </row>
        <row r="448">
          <cell r="C448"/>
          <cell r="D448" t="str">
            <v>du</v>
          </cell>
          <cell r="E448" t="str">
            <v>motif</v>
          </cell>
          <cell r="F448" t="str">
            <v>de la</v>
          </cell>
          <cell r="G448" t="str">
            <v>réponse du serveur</v>
          </cell>
          <cell r="H448"/>
          <cell r="I448"/>
        </row>
        <row r="449">
          <cell r="C449"/>
          <cell r="D449" t="str">
            <v>du</v>
          </cell>
          <cell r="E449" t="str">
            <v>mode de lecture</v>
          </cell>
          <cell r="F449"/>
          <cell r="G449"/>
          <cell r="H449"/>
          <cell r="I449"/>
        </row>
        <row r="450">
          <cell r="C450"/>
          <cell r="D450" t="str">
            <v>d'</v>
          </cell>
          <cell r="E450" t="str">
            <v>autorisation</v>
          </cell>
          <cell r="F450"/>
          <cell r="G450"/>
          <cell r="H450"/>
          <cell r="I450"/>
        </row>
        <row r="451">
          <cell r="C451"/>
          <cell r="D451" t="str">
            <v>de l'</v>
          </cell>
          <cell r="E451" t="str">
            <v>accepteur</v>
          </cell>
          <cell r="F451"/>
          <cell r="G451"/>
          <cell r="H451"/>
          <cell r="I451"/>
        </row>
        <row r="452">
          <cell r="C452"/>
          <cell r="D452" t="str">
            <v>du</v>
          </cell>
          <cell r="E452" t="str">
            <v>pays</v>
          </cell>
          <cell r="F452"/>
          <cell r="G452" t="str">
            <v>accepteur</v>
          </cell>
          <cell r="H452"/>
          <cell r="I452"/>
        </row>
        <row r="453">
          <cell r="C453"/>
          <cell r="D453" t="str">
            <v>du</v>
          </cell>
          <cell r="E453" t="str">
            <v>pays</v>
          </cell>
          <cell r="F453"/>
          <cell r="G453" t="str">
            <v>accepteur</v>
          </cell>
          <cell r="H453"/>
          <cell r="I453"/>
        </row>
        <row r="454">
          <cell r="C454"/>
          <cell r="D454" t="str">
            <v>du</v>
          </cell>
          <cell r="E454" t="str">
            <v>MCC</v>
          </cell>
          <cell r="F454" t="str">
            <v>du</v>
          </cell>
          <cell r="G454" t="str">
            <v>TPE</v>
          </cell>
          <cell r="H454"/>
          <cell r="I454"/>
        </row>
        <row r="455">
          <cell r="C455"/>
          <cell r="D455" t="str">
            <v>du</v>
          </cell>
          <cell r="E455" t="str">
            <v>commercant</v>
          </cell>
          <cell r="F455"/>
          <cell r="G455"/>
          <cell r="H455"/>
          <cell r="I455"/>
        </row>
        <row r="456">
          <cell r="C456"/>
          <cell r="D456" t="str">
            <v>de l'</v>
          </cell>
          <cell r="E456" t="str">
            <v>acquéreur</v>
          </cell>
          <cell r="F456"/>
          <cell r="G456"/>
          <cell r="H456"/>
          <cell r="I456"/>
        </row>
        <row r="457">
          <cell r="C457"/>
          <cell r="D457" t="str">
            <v>de</v>
          </cell>
          <cell r="E457" t="str">
            <v>TPE</v>
          </cell>
          <cell r="F457"/>
          <cell r="G457"/>
          <cell r="H457"/>
          <cell r="I457"/>
        </row>
        <row r="458">
          <cell r="C458"/>
          <cell r="D458" t="str">
            <v>de</v>
          </cell>
          <cell r="E458" t="str">
            <v>contrat CAS</v>
          </cell>
          <cell r="F458"/>
          <cell r="G458"/>
          <cell r="H458"/>
          <cell r="I458"/>
        </row>
        <row r="459">
          <cell r="C459"/>
          <cell r="D459" t="str">
            <v>du</v>
          </cell>
          <cell r="E459" t="str">
            <v>banque</v>
          </cell>
          <cell r="F459"/>
          <cell r="G459" t="str">
            <v>guichet</v>
          </cell>
          <cell r="H459" t="str">
            <v>du</v>
          </cell>
          <cell r="I459" t="str">
            <v>gestionnaire</v>
          </cell>
        </row>
        <row r="460">
          <cell r="C460"/>
          <cell r="D460" t="str">
            <v>du</v>
          </cell>
          <cell r="E460" t="str">
            <v>RIB</v>
          </cell>
          <cell r="F460" t="str">
            <v>d'</v>
          </cell>
          <cell r="G460" t="str">
            <v>opération</v>
          </cell>
          <cell r="H460"/>
          <cell r="I460"/>
        </row>
        <row r="461">
          <cell r="C461"/>
          <cell r="D461" t="str">
            <v>du</v>
          </cell>
          <cell r="E461" t="str">
            <v>département</v>
          </cell>
          <cell r="F461"/>
          <cell r="G461"/>
          <cell r="H461"/>
          <cell r="I461"/>
        </row>
        <row r="462">
          <cell r="C462"/>
          <cell r="D462" t="str">
            <v>de la</v>
          </cell>
          <cell r="E462" t="str">
            <v>ville</v>
          </cell>
          <cell r="F462" t="str">
            <v>du</v>
          </cell>
          <cell r="G462" t="str">
            <v>commercant</v>
          </cell>
          <cell r="H462"/>
          <cell r="I462"/>
        </row>
        <row r="463">
          <cell r="C463"/>
          <cell r="D463" t="str">
            <v>du</v>
          </cell>
          <cell r="E463" t="str">
            <v>pays</v>
          </cell>
          <cell r="F463"/>
          <cell r="G463" t="str">
            <v>acquéreur</v>
          </cell>
          <cell r="H463"/>
          <cell r="I463"/>
        </row>
        <row r="464">
          <cell r="C464"/>
          <cell r="D464" t="str">
            <v>du</v>
          </cell>
          <cell r="E464" t="str">
            <v>pays</v>
          </cell>
          <cell r="F464"/>
          <cell r="G464" t="str">
            <v>acquéreur</v>
          </cell>
          <cell r="H464"/>
          <cell r="I464"/>
        </row>
        <row r="465">
          <cell r="C465"/>
          <cell r="D465" t="str">
            <v>du</v>
          </cell>
          <cell r="E465" t="str">
            <v>type</v>
          </cell>
          <cell r="F465" t="str">
            <v>de</v>
          </cell>
          <cell r="G465" t="str">
            <v>stockage</v>
          </cell>
          <cell r="H465"/>
          <cell r="I465"/>
        </row>
        <row r="466">
          <cell r="C466"/>
          <cell r="D466"/>
          <cell r="E466"/>
          <cell r="F466"/>
          <cell r="G466"/>
          <cell r="H466"/>
          <cell r="I466"/>
        </row>
        <row r="467">
          <cell r="C467"/>
          <cell r="D467" t="str">
            <v>de la</v>
          </cell>
          <cell r="E467" t="str">
            <v>dette</v>
          </cell>
          <cell r="F467"/>
          <cell r="G467"/>
          <cell r="H467"/>
          <cell r="I467"/>
        </row>
        <row r="468">
          <cell r="C468" t="str">
            <v>dernière image</v>
          </cell>
          <cell r="D468" t="str">
            <v>de l'</v>
          </cell>
          <cell r="E468" t="str">
            <v>affectation</v>
          </cell>
          <cell r="F468"/>
          <cell r="G468"/>
          <cell r="H468"/>
          <cell r="I468"/>
        </row>
        <row r="469">
          <cell r="C469" t="str">
            <v>dernière image</v>
          </cell>
          <cell r="D469" t="str">
            <v>du</v>
          </cell>
          <cell r="E469" t="str">
            <v>collaborateur</v>
          </cell>
          <cell r="F469"/>
          <cell r="G469"/>
          <cell r="H469"/>
          <cell r="I469"/>
        </row>
        <row r="470">
          <cell r="C470"/>
          <cell r="D470" t="str">
            <v>du</v>
          </cell>
          <cell r="E470" t="str">
            <v>type</v>
          </cell>
          <cell r="F470" t="str">
            <v>d'</v>
          </cell>
          <cell r="G470" t="str">
            <v>affectation</v>
          </cell>
          <cell r="H470"/>
          <cell r="I470"/>
        </row>
        <row r="471">
          <cell r="C471"/>
          <cell r="D471" t="str">
            <v>de la</v>
          </cell>
          <cell r="E471" t="str">
            <v>source applicative</v>
          </cell>
          <cell r="F471" t="str">
            <v>de l'</v>
          </cell>
          <cell r="G471" t="str">
            <v>affectation</v>
          </cell>
          <cell r="H471"/>
          <cell r="I471"/>
        </row>
        <row r="472">
          <cell r="C472"/>
          <cell r="D472" t="str">
            <v>du</v>
          </cell>
          <cell r="E472" t="str">
            <v>type</v>
          </cell>
          <cell r="F472" t="str">
            <v>d'</v>
          </cell>
          <cell r="G472" t="str">
            <v>affectation</v>
          </cell>
          <cell r="H472"/>
          <cell r="I472"/>
        </row>
        <row r="473">
          <cell r="C473"/>
          <cell r="D473" t="str">
            <v>du</v>
          </cell>
          <cell r="E473" t="str">
            <v>type</v>
          </cell>
          <cell r="F473" t="str">
            <v>d'</v>
          </cell>
          <cell r="G473" t="str">
            <v>affectation</v>
          </cell>
          <cell r="H473"/>
          <cell r="I473"/>
        </row>
        <row r="474">
          <cell r="C474"/>
          <cell r="D474" t="str">
            <v>du</v>
          </cell>
          <cell r="E474" t="str">
            <v>type</v>
          </cell>
          <cell r="F474" t="str">
            <v>de</v>
          </cell>
          <cell r="G474" t="str">
            <v>collaborateur</v>
          </cell>
          <cell r="H474"/>
          <cell r="I474"/>
        </row>
        <row r="475">
          <cell r="C475"/>
          <cell r="D475" t="str">
            <v>de la</v>
          </cell>
          <cell r="E475" t="str">
            <v>source applicative</v>
          </cell>
          <cell r="F475" t="str">
            <v>du</v>
          </cell>
          <cell r="G475" t="str">
            <v>collaborateur</v>
          </cell>
          <cell r="H475"/>
          <cell r="I475"/>
        </row>
        <row r="476">
          <cell r="C476"/>
          <cell r="D476" t="str">
            <v>du</v>
          </cell>
          <cell r="E476" t="str">
            <v>type</v>
          </cell>
          <cell r="F476" t="str">
            <v>de</v>
          </cell>
          <cell r="G476" t="str">
            <v>collaborateur</v>
          </cell>
          <cell r="H476"/>
          <cell r="I476"/>
        </row>
        <row r="477">
          <cell r="C477"/>
          <cell r="D477" t="str">
            <v>du</v>
          </cell>
          <cell r="E477" t="str">
            <v>type</v>
          </cell>
          <cell r="F477" t="str">
            <v>de</v>
          </cell>
          <cell r="G477" t="str">
            <v>collaborateur</v>
          </cell>
          <cell r="H477"/>
          <cell r="I477"/>
        </row>
        <row r="478">
          <cell r="C478"/>
          <cell r="D478" t="str">
            <v>de l'</v>
          </cell>
          <cell r="E478" t="str">
            <v>affectation</v>
          </cell>
          <cell r="F478"/>
          <cell r="G478"/>
          <cell r="H478"/>
          <cell r="I478"/>
        </row>
        <row r="479">
          <cell r="C479"/>
          <cell r="D479" t="str">
            <v>du</v>
          </cell>
          <cell r="E479" t="str">
            <v>collaborateur</v>
          </cell>
          <cell r="F479"/>
          <cell r="G479"/>
          <cell r="H479"/>
          <cell r="I479"/>
        </row>
        <row r="480">
          <cell r="C480"/>
          <cell r="D480" t="str">
            <v>du</v>
          </cell>
          <cell r="E480" t="str">
            <v>collaborateur</v>
          </cell>
          <cell r="F480"/>
          <cell r="G480"/>
          <cell r="H480"/>
          <cell r="I480"/>
        </row>
        <row r="481">
          <cell r="C481"/>
          <cell r="D481" t="str">
            <v>du</v>
          </cell>
          <cell r="E481" t="str">
            <v>collaborateur hiérarchie</v>
          </cell>
          <cell r="F481"/>
          <cell r="G481"/>
          <cell r="H481"/>
          <cell r="I481"/>
        </row>
        <row r="482">
          <cell r="C482"/>
          <cell r="D482" t="str">
            <v>du</v>
          </cell>
          <cell r="E482" t="str">
            <v>collaborateur</v>
          </cell>
          <cell r="F482"/>
          <cell r="G482"/>
          <cell r="H482"/>
          <cell r="I482"/>
        </row>
        <row r="483">
          <cell r="C483"/>
          <cell r="D483" t="str">
            <v>de l'</v>
          </cell>
          <cell r="E483" t="str">
            <v>identifiant fonctionnel</v>
          </cell>
          <cell r="F483" t="str">
            <v>du</v>
          </cell>
          <cell r="G483" t="str">
            <v>collaborateur</v>
          </cell>
          <cell r="H483"/>
          <cell r="I483"/>
        </row>
        <row r="484">
          <cell r="C484"/>
          <cell r="D484" t="str">
            <v>de l'</v>
          </cell>
          <cell r="E484" t="str">
            <v>affectation</v>
          </cell>
          <cell r="F484"/>
          <cell r="G484"/>
          <cell r="H484"/>
          <cell r="I484"/>
        </row>
        <row r="485">
          <cell r="C485"/>
          <cell r="D485" t="str">
            <v>de l'</v>
          </cell>
          <cell r="E485" t="str">
            <v>affectation</v>
          </cell>
          <cell r="F485"/>
          <cell r="G485"/>
          <cell r="H485"/>
          <cell r="I485"/>
        </row>
        <row r="486">
          <cell r="C486"/>
          <cell r="D486" t="str">
            <v>du</v>
          </cell>
          <cell r="E486" t="str">
            <v>collaborateur</v>
          </cell>
          <cell r="F486"/>
          <cell r="G486"/>
          <cell r="H486"/>
          <cell r="I486"/>
        </row>
        <row r="487">
          <cell r="C487"/>
          <cell r="D487" t="str">
            <v>du</v>
          </cell>
          <cell r="E487" t="str">
            <v>collaborateur</v>
          </cell>
          <cell r="F487"/>
          <cell r="G487"/>
          <cell r="H487"/>
          <cell r="I487"/>
        </row>
        <row r="488">
          <cell r="C488"/>
          <cell r="D488" t="str">
            <v>de l'</v>
          </cell>
          <cell r="E488" t="str">
            <v>affectation</v>
          </cell>
          <cell r="F488"/>
          <cell r="G488"/>
          <cell r="H488"/>
          <cell r="I488"/>
        </row>
        <row r="489">
          <cell r="C489"/>
          <cell r="D489" t="str">
            <v>de l'</v>
          </cell>
          <cell r="E489" t="str">
            <v>affectation</v>
          </cell>
          <cell r="F489"/>
          <cell r="G489"/>
          <cell r="H489"/>
          <cell r="I489"/>
        </row>
        <row r="490">
          <cell r="C490"/>
          <cell r="D490" t="str">
            <v>du</v>
          </cell>
          <cell r="E490" t="str">
            <v>collaborateur</v>
          </cell>
          <cell r="F490"/>
          <cell r="G490"/>
          <cell r="H490"/>
          <cell r="I490"/>
        </row>
        <row r="491">
          <cell r="C491"/>
          <cell r="D491" t="str">
            <v>du</v>
          </cell>
          <cell r="E491" t="str">
            <v>collaborateur</v>
          </cell>
          <cell r="F491"/>
          <cell r="G491"/>
          <cell r="H491"/>
          <cell r="I491"/>
        </row>
        <row r="492">
          <cell r="C492"/>
          <cell r="D492" t="str">
            <v>du</v>
          </cell>
          <cell r="E492" t="str">
            <v>collaborateur</v>
          </cell>
          <cell r="F492"/>
          <cell r="G492"/>
          <cell r="H492"/>
          <cell r="I492"/>
        </row>
        <row r="493">
          <cell r="C493"/>
          <cell r="D493" t="str">
            <v>du</v>
          </cell>
          <cell r="E493" t="str">
            <v>collaborateur</v>
          </cell>
          <cell r="F493"/>
          <cell r="G493"/>
          <cell r="H493"/>
          <cell r="I493"/>
        </row>
        <row r="494">
          <cell r="C494" t="str">
            <v>professionnelle</v>
          </cell>
          <cell r="D494" t="str">
            <v>du</v>
          </cell>
          <cell r="E494" t="str">
            <v>collaborateur</v>
          </cell>
          <cell r="F494"/>
          <cell r="G494"/>
          <cell r="H494"/>
          <cell r="I494"/>
        </row>
        <row r="495">
          <cell r="C495" t="str">
            <v>téléphone professionnel</v>
          </cell>
          <cell r="D495" t="str">
            <v>du</v>
          </cell>
          <cell r="E495" t="str">
            <v>collaborateur</v>
          </cell>
          <cell r="F495"/>
          <cell r="G495"/>
          <cell r="H495"/>
          <cell r="I495"/>
        </row>
        <row r="496">
          <cell r="C496"/>
          <cell r="D496" t="str">
            <v>du</v>
          </cell>
          <cell r="E496" t="str">
            <v>collaborateur</v>
          </cell>
          <cell r="F496"/>
          <cell r="G496"/>
          <cell r="H496"/>
          <cell r="I496"/>
        </row>
        <row r="497">
          <cell r="C497" t="str">
            <v>invariant</v>
          </cell>
          <cell r="D497" t="str">
            <v>du</v>
          </cell>
          <cell r="E497" t="str">
            <v>collaborateur</v>
          </cell>
          <cell r="F497"/>
          <cell r="G497"/>
          <cell r="H497"/>
          <cell r="I497"/>
        </row>
        <row r="498">
          <cell r="C498" t="str">
            <v>courant</v>
          </cell>
          <cell r="D498" t="str">
            <v>du</v>
          </cell>
          <cell r="E498" t="str">
            <v>collaborateur</v>
          </cell>
          <cell r="F498"/>
          <cell r="G498"/>
          <cell r="H498"/>
          <cell r="I498"/>
        </row>
        <row r="499">
          <cell r="C499"/>
          <cell r="D499" t="str">
            <v>du</v>
          </cell>
          <cell r="E499" t="str">
            <v>collaborateur</v>
          </cell>
          <cell r="F499"/>
          <cell r="G499"/>
          <cell r="H499"/>
          <cell r="I499"/>
        </row>
        <row r="500">
          <cell r="C500"/>
          <cell r="D500" t="str">
            <v>d'</v>
          </cell>
          <cell r="E500" t="str">
            <v>affectation</v>
          </cell>
          <cell r="F500" t="str">
            <v>à la</v>
          </cell>
          <cell r="G500" t="str">
            <v>structure</v>
          </cell>
          <cell r="H500"/>
          <cell r="I500"/>
        </row>
        <row r="501">
          <cell r="C501"/>
          <cell r="D501" t="str">
            <v>d'</v>
          </cell>
          <cell r="E501" t="str">
            <v>affectation</v>
          </cell>
          <cell r="F501" t="str">
            <v>à la</v>
          </cell>
          <cell r="G501" t="str">
            <v>structure</v>
          </cell>
          <cell r="H501"/>
          <cell r="I501"/>
        </row>
        <row r="502">
          <cell r="C502"/>
          <cell r="D502" t="str">
            <v>d'</v>
          </cell>
          <cell r="E502" t="str">
            <v>affectation</v>
          </cell>
          <cell r="F502" t="str">
            <v>à la</v>
          </cell>
          <cell r="G502" t="str">
            <v>structure</v>
          </cell>
          <cell r="H502"/>
          <cell r="I502"/>
        </row>
        <row r="503">
          <cell r="C503"/>
          <cell r="D503" t="str">
            <v>de la</v>
          </cell>
          <cell r="E503" t="str">
            <v>structure</v>
          </cell>
          <cell r="F503"/>
          <cell r="G503"/>
          <cell r="H503"/>
          <cell r="I503"/>
        </row>
        <row r="504">
          <cell r="C504"/>
          <cell r="D504" t="str">
            <v>de la</v>
          </cell>
          <cell r="E504" t="str">
            <v>structure</v>
          </cell>
          <cell r="F504"/>
          <cell r="G504"/>
          <cell r="H504"/>
          <cell r="I504"/>
        </row>
        <row r="505">
          <cell r="C505"/>
          <cell r="D505" t="str">
            <v>de l'</v>
          </cell>
          <cell r="E505" t="str">
            <v>organigramme</v>
          </cell>
          <cell r="F505" t="str">
            <v>de la</v>
          </cell>
          <cell r="G505" t="str">
            <v>structure</v>
          </cell>
          <cell r="H505"/>
          <cell r="I505"/>
        </row>
        <row r="506">
          <cell r="C506"/>
          <cell r="D506" t="str">
            <v>d'</v>
          </cell>
          <cell r="E506" t="str">
            <v>affectation</v>
          </cell>
          <cell r="F506"/>
          <cell r="G506"/>
          <cell r="H506"/>
          <cell r="I506"/>
        </row>
        <row r="507">
          <cell r="C507"/>
          <cell r="D507" t="str">
            <v>d'</v>
          </cell>
          <cell r="E507" t="str">
            <v>affectation</v>
          </cell>
          <cell r="F507"/>
          <cell r="G507"/>
          <cell r="H507"/>
          <cell r="I507"/>
        </row>
        <row r="508">
          <cell r="C508"/>
          <cell r="D508" t="str">
            <v>de la</v>
          </cell>
          <cell r="E508" t="str">
            <v>profession</v>
          </cell>
          <cell r="F508" t="str">
            <v>du</v>
          </cell>
          <cell r="G508" t="str">
            <v>collaborateur</v>
          </cell>
          <cell r="H508"/>
          <cell r="I508"/>
        </row>
        <row r="509">
          <cell r="C509"/>
          <cell r="D509" t="str">
            <v>de la</v>
          </cell>
          <cell r="E509" t="str">
            <v>profession</v>
          </cell>
          <cell r="F509" t="str">
            <v>du</v>
          </cell>
          <cell r="G509" t="str">
            <v>collaborateur</v>
          </cell>
          <cell r="H509"/>
          <cell r="I509"/>
        </row>
        <row r="510">
          <cell r="C510"/>
          <cell r="D510" t="str">
            <v>de la</v>
          </cell>
          <cell r="E510" t="str">
            <v>profession</v>
          </cell>
          <cell r="F510" t="str">
            <v>du</v>
          </cell>
          <cell r="G510" t="str">
            <v>collaborateur</v>
          </cell>
          <cell r="H510"/>
          <cell r="I510"/>
        </row>
        <row r="511">
          <cell r="C511" t="str">
            <v>dernière image</v>
          </cell>
          <cell r="D511" t="str">
            <v>d'</v>
          </cell>
          <cell r="E511" t="str">
            <v>affectation</v>
          </cell>
          <cell r="F511" t="str">
            <v>à la</v>
          </cell>
          <cell r="G511" t="str">
            <v>structure</v>
          </cell>
          <cell r="H511"/>
          <cell r="I511"/>
        </row>
        <row r="512">
          <cell r="C512" t="str">
            <v>détachement</v>
          </cell>
          <cell r="D512" t="str">
            <v>de la</v>
          </cell>
          <cell r="E512" t="str">
            <v>structure</v>
          </cell>
          <cell r="F512"/>
          <cell r="G512"/>
          <cell r="H512"/>
          <cell r="I512"/>
        </row>
        <row r="513">
          <cell r="C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cell r="F514"/>
          <cell r="G514"/>
          <cell r="H514"/>
          <cell r="I514"/>
        </row>
        <row r="515">
          <cell r="C515"/>
          <cell r="D515" t="str">
            <v>d'</v>
          </cell>
          <cell r="E515" t="str">
            <v>affectation</v>
          </cell>
          <cell r="F515" t="str">
            <v>à un</v>
          </cell>
          <cell r="G515" t="str">
            <v>utilisateur</v>
          </cell>
          <cell r="H515"/>
          <cell r="I515"/>
        </row>
        <row r="516">
          <cell r="C516"/>
          <cell r="D516" t="str">
            <v>d'</v>
          </cell>
          <cell r="E516" t="str">
            <v>affectation</v>
          </cell>
          <cell r="F516" t="str">
            <v>à un</v>
          </cell>
          <cell r="G516" t="str">
            <v>utilisateur</v>
          </cell>
          <cell r="H516"/>
          <cell r="I516"/>
        </row>
        <row r="517">
          <cell r="C517"/>
          <cell r="D517" t="str">
            <v>d'</v>
          </cell>
          <cell r="E517" t="str">
            <v>affectation</v>
          </cell>
          <cell r="F517" t="str">
            <v>à un</v>
          </cell>
          <cell r="G517" t="str">
            <v>utilisateur</v>
          </cell>
          <cell r="H517"/>
          <cell r="I517"/>
        </row>
        <row r="518">
          <cell r="C518" t="str">
            <v>dernière image</v>
          </cell>
          <cell r="D518" t="str">
            <v>d'</v>
          </cell>
          <cell r="E518" t="str">
            <v>affectation</v>
          </cell>
          <cell r="F518" t="str">
            <v>à un</v>
          </cell>
          <cell r="G518" t="str">
            <v>utilisateur</v>
          </cell>
          <cell r="H518"/>
          <cell r="I518"/>
        </row>
        <row r="519">
          <cell r="C519"/>
          <cell r="D519" t="str">
            <v>de l'</v>
          </cell>
          <cell r="E519" t="str">
            <v>utilisateur</v>
          </cell>
          <cell r="F519"/>
          <cell r="G519"/>
          <cell r="H519"/>
          <cell r="I519"/>
        </row>
        <row r="520">
          <cell r="C520"/>
          <cell r="D520" t="str">
            <v>de la</v>
          </cell>
          <cell r="E520" t="str">
            <v>section</v>
          </cell>
          <cell r="F520" t="str">
            <v>de l'</v>
          </cell>
          <cell r="G520" t="str">
            <v>utilisateur</v>
          </cell>
          <cell r="H520"/>
          <cell r="I520"/>
        </row>
        <row r="521">
          <cell r="C521"/>
          <cell r="D521" t="str">
            <v>de la</v>
          </cell>
          <cell r="E521" t="str">
            <v>section</v>
          </cell>
          <cell r="F521" t="str">
            <v>de l'</v>
          </cell>
          <cell r="G521" t="str">
            <v>utilisateur</v>
          </cell>
          <cell r="H521"/>
          <cell r="I521"/>
        </row>
        <row r="522">
          <cell r="C522"/>
          <cell r="D522" t="str">
            <v>de l'</v>
          </cell>
          <cell r="E522" t="str">
            <v>entité gestionnaire</v>
          </cell>
          <cell r="F522" t="str">
            <v>de l'</v>
          </cell>
          <cell r="G522" t="str">
            <v>utilisateur</v>
          </cell>
          <cell r="H522"/>
          <cell r="I522"/>
        </row>
        <row r="523">
          <cell r="C523"/>
          <cell r="D523" t="str">
            <v>de la</v>
          </cell>
          <cell r="E523" t="str">
            <v>localisation</v>
          </cell>
          <cell r="F523" t="str">
            <v>de l'</v>
          </cell>
          <cell r="G523" t="str">
            <v>utilisateur</v>
          </cell>
          <cell r="H523"/>
          <cell r="I523"/>
        </row>
        <row r="524">
          <cell r="C524"/>
          <cell r="D524" t="str">
            <v>du</v>
          </cell>
          <cell r="E524" t="str">
            <v>groupe de distribution</v>
          </cell>
          <cell r="F524" t="str">
            <v>de l'</v>
          </cell>
          <cell r="G524" t="str">
            <v>utilisateur</v>
          </cell>
          <cell r="H524"/>
          <cell r="I524"/>
        </row>
        <row r="525">
          <cell r="C525"/>
          <cell r="D525" t="str">
            <v>du</v>
          </cell>
          <cell r="E525" t="str">
            <v>fond de page</v>
          </cell>
          <cell r="F525" t="str">
            <v>de l'</v>
          </cell>
          <cell r="G525" t="str">
            <v>utilisateur</v>
          </cell>
          <cell r="H525"/>
          <cell r="I525"/>
        </row>
        <row r="526">
          <cell r="C526" t="str">
            <v>alias</v>
          </cell>
          <cell r="D526" t="str">
            <v>de l'</v>
          </cell>
          <cell r="E526" t="str">
            <v>utilisateur</v>
          </cell>
          <cell r="F526"/>
          <cell r="G526"/>
          <cell r="H526"/>
          <cell r="I526"/>
        </row>
        <row r="527">
          <cell r="C527" t="str">
            <v>rédacteur</v>
          </cell>
          <cell r="D527" t="str">
            <v>de l'</v>
          </cell>
          <cell r="E527" t="str">
            <v>utilisateur</v>
          </cell>
          <cell r="F527"/>
          <cell r="G527"/>
          <cell r="H527"/>
          <cell r="I527"/>
        </row>
        <row r="528">
          <cell r="C528"/>
          <cell r="D528" t="str">
            <v>du</v>
          </cell>
          <cell r="E528" t="str">
            <v>rédacteur</v>
          </cell>
          <cell r="F528"/>
          <cell r="G528"/>
          <cell r="H528"/>
          <cell r="I528"/>
        </row>
        <row r="529">
          <cell r="C529" t="str">
            <v>état</v>
          </cell>
          <cell r="D529" t="str">
            <v>du</v>
          </cell>
          <cell r="E529" t="str">
            <v>rédacteur</v>
          </cell>
          <cell r="F529"/>
          <cell r="G529"/>
          <cell r="H529"/>
          <cell r="I529"/>
        </row>
        <row r="530">
          <cell r="C530" t="str">
            <v>externe</v>
          </cell>
          <cell r="D530" t="str">
            <v>du</v>
          </cell>
          <cell r="E530" t="str">
            <v>rédacteur</v>
          </cell>
          <cell r="F530"/>
          <cell r="G530"/>
          <cell r="H530"/>
          <cell r="I530"/>
        </row>
        <row r="531">
          <cell r="C531" t="str">
            <v>interne</v>
          </cell>
          <cell r="D531" t="str">
            <v>du</v>
          </cell>
          <cell r="E531" t="str">
            <v>rédacteur</v>
          </cell>
          <cell r="F531"/>
          <cell r="G531"/>
          <cell r="H531"/>
          <cell r="I531"/>
        </row>
        <row r="532">
          <cell r="C532"/>
          <cell r="D532" t="str">
            <v>du</v>
          </cell>
          <cell r="E532" t="str">
            <v>grade</v>
          </cell>
          <cell r="F532" t="str">
            <v>du</v>
          </cell>
          <cell r="G532" t="str">
            <v>rédacteur</v>
          </cell>
          <cell r="H532"/>
          <cell r="I532"/>
        </row>
        <row r="533">
          <cell r="C533"/>
          <cell r="D533" t="str">
            <v>du</v>
          </cell>
          <cell r="E533" t="str">
            <v>grade</v>
          </cell>
          <cell r="F533" t="str">
            <v>du</v>
          </cell>
          <cell r="G533" t="str">
            <v>rédacteur</v>
          </cell>
          <cell r="H533"/>
          <cell r="I533"/>
        </row>
        <row r="534">
          <cell r="C534"/>
          <cell r="D534" t="str">
            <v>du</v>
          </cell>
          <cell r="E534" t="str">
            <v>grade</v>
          </cell>
          <cell r="F534" t="str">
            <v>du</v>
          </cell>
          <cell r="G534" t="str">
            <v>rédacteur</v>
          </cell>
          <cell r="H534"/>
          <cell r="I534"/>
        </row>
        <row r="535">
          <cell r="C535"/>
          <cell r="D535" t="str">
            <v>du</v>
          </cell>
          <cell r="E535" t="str">
            <v>service</v>
          </cell>
          <cell r="F535" t="str">
            <v>du</v>
          </cell>
          <cell r="G535" t="str">
            <v>rédacteur</v>
          </cell>
          <cell r="H535"/>
          <cell r="I535"/>
        </row>
        <row r="536">
          <cell r="C536"/>
          <cell r="D536" t="str">
            <v>du</v>
          </cell>
          <cell r="E536" t="str">
            <v>service</v>
          </cell>
          <cell r="F536" t="str">
            <v>du</v>
          </cell>
          <cell r="G536" t="str">
            <v>rédacteur</v>
          </cell>
          <cell r="H536"/>
          <cell r="I536"/>
        </row>
        <row r="537">
          <cell r="C537"/>
          <cell r="D537" t="str">
            <v>du</v>
          </cell>
          <cell r="E537" t="str">
            <v>service</v>
          </cell>
          <cell r="F537" t="str">
            <v>du</v>
          </cell>
          <cell r="G537" t="str">
            <v>rédacteur</v>
          </cell>
          <cell r="H537"/>
          <cell r="I537"/>
        </row>
        <row r="538">
          <cell r="C538"/>
          <cell r="D538" t="str">
            <v>de la</v>
          </cell>
          <cell r="E538" t="str">
            <v>localisation</v>
          </cell>
          <cell r="F538" t="str">
            <v>du</v>
          </cell>
          <cell r="G538" t="str">
            <v>rédacteur</v>
          </cell>
          <cell r="H538"/>
          <cell r="I538"/>
        </row>
        <row r="539">
          <cell r="C539"/>
          <cell r="D539" t="str">
            <v>de la</v>
          </cell>
          <cell r="E539" t="str">
            <v>localisation</v>
          </cell>
          <cell r="F539" t="str">
            <v>du</v>
          </cell>
          <cell r="G539" t="str">
            <v>rédacteur</v>
          </cell>
          <cell r="H539"/>
          <cell r="I539"/>
        </row>
        <row r="540">
          <cell r="C540"/>
          <cell r="D540" t="str">
            <v>de la</v>
          </cell>
          <cell r="E540" t="str">
            <v>localisation</v>
          </cell>
          <cell r="F540" t="str">
            <v>du</v>
          </cell>
          <cell r="G540" t="str">
            <v>rédacteur</v>
          </cell>
          <cell r="H540"/>
          <cell r="I540"/>
        </row>
        <row r="541">
          <cell r="C541"/>
          <cell r="D541" t="str">
            <v>de l'</v>
          </cell>
          <cell r="E541" t="str">
            <v>équipe</v>
          </cell>
          <cell r="F541" t="str">
            <v>du</v>
          </cell>
          <cell r="G541" t="str">
            <v>rédacteur</v>
          </cell>
          <cell r="H541"/>
          <cell r="I541"/>
        </row>
        <row r="542">
          <cell r="C542"/>
          <cell r="D542" t="str">
            <v>de l'</v>
          </cell>
          <cell r="E542" t="str">
            <v>équipe</v>
          </cell>
          <cell r="F542" t="str">
            <v>du</v>
          </cell>
          <cell r="G542" t="str">
            <v>rédacteur</v>
          </cell>
          <cell r="H542"/>
          <cell r="I542"/>
        </row>
        <row r="543">
          <cell r="C543"/>
          <cell r="D543" t="str">
            <v>de l'</v>
          </cell>
          <cell r="E543" t="str">
            <v>équipe</v>
          </cell>
          <cell r="F543" t="str">
            <v>du</v>
          </cell>
          <cell r="G543" t="str">
            <v>rédacteur</v>
          </cell>
          <cell r="H543"/>
          <cell r="I543"/>
        </row>
        <row r="544">
          <cell r="C544" t="str">
            <v>téléphone</v>
          </cell>
          <cell r="D544" t="str">
            <v>du</v>
          </cell>
          <cell r="E544" t="str">
            <v>rédacteur</v>
          </cell>
          <cell r="F544"/>
          <cell r="G544"/>
          <cell r="H544"/>
          <cell r="I544"/>
        </row>
        <row r="545">
          <cell r="C545" t="str">
            <v>fax</v>
          </cell>
          <cell r="D545" t="str">
            <v>du</v>
          </cell>
          <cell r="E545" t="str">
            <v>rédacteur</v>
          </cell>
          <cell r="F545"/>
          <cell r="G545"/>
          <cell r="H545"/>
          <cell r="I545"/>
        </row>
        <row r="546">
          <cell r="C546" t="str">
            <v>autorisé</v>
          </cell>
          <cell r="D546" t="str">
            <v>du</v>
          </cell>
          <cell r="E546" t="str">
            <v>rédacteur</v>
          </cell>
          <cell r="F546"/>
          <cell r="G546"/>
          <cell r="H546"/>
          <cell r="I546"/>
        </row>
        <row r="547">
          <cell r="C547"/>
          <cell r="D547" t="str">
            <v>du</v>
          </cell>
          <cell r="E547" t="str">
            <v>montant autorisé</v>
          </cell>
          <cell r="F547" t="str">
            <v>du</v>
          </cell>
          <cell r="G547" t="str">
            <v>rédacteur</v>
          </cell>
          <cell r="H547"/>
          <cell r="I547"/>
        </row>
        <row r="548">
          <cell r="C548"/>
          <cell r="D548" t="str">
            <v>de la</v>
          </cell>
          <cell r="E548" t="str">
            <v>source applicative</v>
          </cell>
          <cell r="F548" t="str">
            <v>de l'</v>
          </cell>
          <cell r="G548" t="str">
            <v>affectation</v>
          </cell>
          <cell r="H548" t="str">
            <v>à un</v>
          </cell>
          <cell r="I548" t="str">
            <v>utilisateur</v>
          </cell>
        </row>
        <row r="549">
          <cell r="C549"/>
          <cell r="D549" t="str">
            <v>de la</v>
          </cell>
          <cell r="E549" t="str">
            <v>relation hiérarchique</v>
          </cell>
          <cell r="F549"/>
          <cell r="G549"/>
          <cell r="H549"/>
          <cell r="I549"/>
        </row>
        <row r="550">
          <cell r="C550"/>
          <cell r="D550" t="str">
            <v>de la</v>
          </cell>
          <cell r="E550" t="str">
            <v>relation hiérarchique</v>
          </cell>
          <cell r="F550"/>
          <cell r="G550"/>
          <cell r="H550"/>
          <cell r="I550"/>
        </row>
        <row r="551">
          <cell r="C551"/>
          <cell r="D551" t="str">
            <v>de la</v>
          </cell>
          <cell r="E551" t="str">
            <v>relation hiérarchique</v>
          </cell>
          <cell r="F551"/>
          <cell r="G551"/>
          <cell r="H551"/>
          <cell r="I551"/>
        </row>
        <row r="552">
          <cell r="C552" t="str">
            <v>dernière image</v>
          </cell>
          <cell r="D552" t="str">
            <v>de la</v>
          </cell>
          <cell r="E552" t="str">
            <v>relation hiérarchique</v>
          </cell>
          <cell r="F552"/>
          <cell r="G552"/>
          <cell r="H552"/>
          <cell r="I552"/>
        </row>
        <row r="553">
          <cell r="C553"/>
          <cell r="D553" t="str">
            <v>de la</v>
          </cell>
          <cell r="E553" t="str">
            <v>source applicative</v>
          </cell>
          <cell r="F553" t="str">
            <v>de la</v>
          </cell>
          <cell r="G553" t="str">
            <v>relation hiérarchique</v>
          </cell>
          <cell r="H553"/>
          <cell r="I553"/>
        </row>
        <row r="554">
          <cell r="C554" t="str">
            <v>enregistrement</v>
          </cell>
          <cell r="D554" t="str">
            <v>dans le</v>
          </cell>
          <cell r="E554" t="str">
            <v>SID</v>
          </cell>
          <cell r="F554"/>
          <cell r="G554"/>
          <cell r="H554"/>
          <cell r="I554"/>
        </row>
        <row r="555">
          <cell r="C555" t="str">
            <v>enregistrement</v>
          </cell>
          <cell r="D555" t="str">
            <v>dans le</v>
          </cell>
          <cell r="E555" t="str">
            <v>SIO</v>
          </cell>
          <cell r="F555"/>
          <cell r="G555"/>
          <cell r="H555"/>
          <cell r="I555"/>
        </row>
        <row r="556">
          <cell r="C556" t="str">
            <v>OPC</v>
          </cell>
          <cell r="D556" t="str">
            <v>du</v>
          </cell>
          <cell r="E556" t="str">
            <v>traitement</v>
          </cell>
          <cell r="F556"/>
          <cell r="G556"/>
          <cell r="H556"/>
          <cell r="I556"/>
        </row>
        <row r="557">
          <cell r="C557"/>
          <cell r="D557" t="str">
            <v>dans le</v>
          </cell>
          <cell r="E557" t="str">
            <v>SID</v>
          </cell>
          <cell r="F557"/>
          <cell r="G557"/>
          <cell r="H557"/>
          <cell r="I557"/>
        </row>
        <row r="558">
          <cell r="C558"/>
          <cell r="D558" t="str">
            <v>dans le</v>
          </cell>
          <cell r="E558" t="str">
            <v>SIO</v>
          </cell>
          <cell r="F558"/>
          <cell r="G558"/>
          <cell r="H558"/>
          <cell r="I558"/>
        </row>
        <row r="559">
          <cell r="C559"/>
          <cell r="D559" t="str">
            <v>des</v>
          </cell>
          <cell r="E559" t="str">
            <v>clé</v>
          </cell>
          <cell r="F559"/>
          <cell r="G559"/>
          <cell r="H559"/>
          <cell r="I559"/>
        </row>
        <row r="560">
          <cell r="C560"/>
          <cell r="D560" t="str">
            <v>du</v>
          </cell>
          <cell r="E560" t="str">
            <v>site d'origine</v>
          </cell>
          <cell r="F560"/>
          <cell r="G560"/>
          <cell r="H560"/>
          <cell r="I560"/>
        </row>
        <row r="561">
          <cell r="C561"/>
          <cell r="D561" t="str">
            <v>de la</v>
          </cell>
          <cell r="E561" t="str">
            <v>requête</v>
          </cell>
          <cell r="F561"/>
          <cell r="G561"/>
          <cell r="H561"/>
          <cell r="I561"/>
        </row>
        <row r="562">
          <cell r="C562"/>
          <cell r="D562" t="str">
            <v>du</v>
          </cell>
          <cell r="E562" t="str">
            <v>schéma</v>
          </cell>
          <cell r="F562"/>
          <cell r="G562"/>
          <cell r="H562"/>
          <cell r="I562"/>
        </row>
        <row r="563">
          <cell r="C563"/>
          <cell r="D563" t="str">
            <v>de la</v>
          </cell>
          <cell r="E563" t="str">
            <v>table</v>
          </cell>
          <cell r="F563"/>
          <cell r="G563"/>
          <cell r="H563"/>
          <cell r="I563"/>
        </row>
        <row r="564">
          <cell r="C564"/>
          <cell r="D564" t="str">
            <v>de la</v>
          </cell>
          <cell r="E564" t="str">
            <v>référence</v>
          </cell>
          <cell r="F564" t="str">
            <v>des</v>
          </cell>
          <cell r="G564" t="str">
            <v>conditions et moyens de paiement</v>
          </cell>
          <cell r="H564"/>
          <cell r="I564"/>
        </row>
        <row r="565">
          <cell r="C565"/>
          <cell r="D565" t="str">
            <v>de l'</v>
          </cell>
          <cell r="E565" t="str">
            <v>archivage</v>
          </cell>
          <cell r="F565" t="str">
            <v>des</v>
          </cell>
          <cell r="G565" t="str">
            <v>conditions et moyens de paiement</v>
          </cell>
          <cell r="H565"/>
          <cell r="I565"/>
        </row>
        <row r="566">
          <cell r="C566"/>
          <cell r="D566" t="str">
            <v>du</v>
          </cell>
          <cell r="E566" t="str">
            <v>compte bancaire</v>
          </cell>
          <cell r="F566" t="str">
            <v>des</v>
          </cell>
          <cell r="G566" t="str">
            <v>conditions et moyens de paiement</v>
          </cell>
          <cell r="H566"/>
          <cell r="I566"/>
        </row>
        <row r="567">
          <cell r="C567"/>
          <cell r="D567" t="str">
            <v>de</v>
          </cell>
          <cell r="E567" t="str">
            <v>crédit</v>
          </cell>
          <cell r="F567" t="str">
            <v>des</v>
          </cell>
          <cell r="G567" t="str">
            <v>conditions et moyens de paiement</v>
          </cell>
          <cell r="H567"/>
          <cell r="I567"/>
        </row>
        <row r="568">
          <cell r="C568"/>
          <cell r="D568" t="str">
            <v>d'</v>
          </cell>
          <cell r="E568" t="str">
            <v>objet assuré</v>
          </cell>
          <cell r="F568" t="str">
            <v>des</v>
          </cell>
          <cell r="G568" t="str">
            <v>conditions et moyens de paiement</v>
          </cell>
          <cell r="H568"/>
          <cell r="I568"/>
        </row>
        <row r="569">
          <cell r="C569"/>
          <cell r="D569" t="str">
            <v>d'</v>
          </cell>
          <cell r="E569" t="str">
            <v>objet assuré</v>
          </cell>
          <cell r="F569" t="str">
            <v>des</v>
          </cell>
          <cell r="G569" t="str">
            <v>conditions et moyens de paiement</v>
          </cell>
          <cell r="H569"/>
          <cell r="I569"/>
        </row>
        <row r="570">
          <cell r="C570"/>
          <cell r="D570" t="str">
            <v>de</v>
          </cell>
          <cell r="E570" t="str">
            <v>fractionnement</v>
          </cell>
          <cell r="F570" t="str">
            <v>des</v>
          </cell>
          <cell r="G570" t="str">
            <v>conditions et moyens de paiement</v>
          </cell>
          <cell r="H570"/>
          <cell r="I570"/>
        </row>
        <row r="571">
          <cell r="C571"/>
          <cell r="D571" t="str">
            <v>de l'</v>
          </cell>
          <cell r="E571" t="str">
            <v>état</v>
          </cell>
          <cell r="F571" t="str">
            <v>des</v>
          </cell>
          <cell r="G571" t="str">
            <v>conditions et moyens de paiement</v>
          </cell>
          <cell r="H571"/>
          <cell r="I571"/>
        </row>
        <row r="572">
          <cell r="C572"/>
          <cell r="D572" t="str">
            <v>de la</v>
          </cell>
          <cell r="E572" t="str">
            <v>mise à jour</v>
          </cell>
          <cell r="F572" t="str">
            <v>des</v>
          </cell>
          <cell r="G572" t="str">
            <v>conditions et moyens de paiement</v>
          </cell>
          <cell r="H572"/>
          <cell r="I572"/>
        </row>
        <row r="573">
          <cell r="C573" t="str">
            <v>choisi</v>
          </cell>
          <cell r="D573" t="str">
            <v>des</v>
          </cell>
          <cell r="E573" t="str">
            <v>conditions et moyens de paiement</v>
          </cell>
          <cell r="F573"/>
          <cell r="G573"/>
          <cell r="H573"/>
          <cell r="I573"/>
        </row>
        <row r="574">
          <cell r="C574"/>
          <cell r="D574" t="str">
            <v>du</v>
          </cell>
          <cell r="E574" t="str">
            <v>type d'utilisation</v>
          </cell>
          <cell r="F574" t="str">
            <v>des</v>
          </cell>
          <cell r="G574" t="str">
            <v>conditions et moyens de paiement</v>
          </cell>
          <cell r="H574"/>
          <cell r="I574"/>
        </row>
        <row r="575">
          <cell r="C575"/>
          <cell r="D575" t="str">
            <v>de</v>
          </cell>
          <cell r="E575" t="str">
            <v>référence interne</v>
          </cell>
          <cell r="F575" t="str">
            <v>du</v>
          </cell>
          <cell r="G575" t="str">
            <v>contrat</v>
          </cell>
          <cell r="H575"/>
          <cell r="I575"/>
        </row>
        <row r="576">
          <cell r="C576"/>
          <cell r="D576" t="str">
            <v>de</v>
          </cell>
          <cell r="E576" t="str">
            <v>référence externe</v>
          </cell>
          <cell r="F576" t="str">
            <v>du</v>
          </cell>
          <cell r="G576" t="str">
            <v>contrat</v>
          </cell>
          <cell r="H576"/>
          <cell r="I576"/>
        </row>
        <row r="577">
          <cell r="C577"/>
          <cell r="D577" t="str">
            <v>du</v>
          </cell>
          <cell r="E577" t="str">
            <v>créateur</v>
          </cell>
          <cell r="F577" t="str">
            <v>de la</v>
          </cell>
          <cell r="G577" t="str">
            <v>référence</v>
          </cell>
          <cell r="H577" t="str">
            <v>des</v>
          </cell>
          <cell r="I577" t="str">
            <v>conditions et moyens de paiement</v>
          </cell>
        </row>
        <row r="578">
          <cell r="C578"/>
          <cell r="D578" t="str">
            <v>de la</v>
          </cell>
          <cell r="E578" t="str">
            <v>première réception</v>
          </cell>
          <cell r="F578" t="str">
            <v>dans le</v>
          </cell>
          <cell r="G578" t="str">
            <v>SID</v>
          </cell>
          <cell r="H578"/>
          <cell r="I578"/>
        </row>
        <row r="579">
          <cell r="C579"/>
          <cell r="D579" t="str">
            <v>de la</v>
          </cell>
          <cell r="E579" t="str">
            <v>dernière réception</v>
          </cell>
          <cell r="F579" t="str">
            <v>dans le</v>
          </cell>
          <cell r="G579" t="str">
            <v>SID</v>
          </cell>
          <cell r="H579"/>
          <cell r="I579"/>
        </row>
        <row r="580">
          <cell r="C580"/>
          <cell r="D580" t="str">
            <v>de</v>
          </cell>
          <cell r="E580" t="str">
            <v>suppression</v>
          </cell>
          <cell r="F580" t="str">
            <v>dans le</v>
          </cell>
          <cell r="G580" t="str">
            <v>SIO</v>
          </cell>
          <cell r="H580"/>
          <cell r="I580"/>
        </row>
        <row r="581">
          <cell r="C581"/>
          <cell r="D581" t="str">
            <v>de</v>
          </cell>
          <cell r="E581" t="str">
            <v>suppression</v>
          </cell>
          <cell r="F581" t="str">
            <v>dans le</v>
          </cell>
          <cell r="G581" t="str">
            <v>SIO</v>
          </cell>
          <cell r="H581"/>
          <cell r="I581"/>
        </row>
        <row r="582">
          <cell r="C582"/>
          <cell r="D582" t="str">
            <v>de la</v>
          </cell>
          <cell r="E582" t="str">
            <v>réactivation</v>
          </cell>
          <cell r="F582" t="str">
            <v>dans le</v>
          </cell>
          <cell r="G582" t="str">
            <v>SIO</v>
          </cell>
          <cell r="H582"/>
          <cell r="I582"/>
        </row>
        <row r="583">
          <cell r="C583"/>
          <cell r="D583" t="str">
            <v>des</v>
          </cell>
          <cell r="E583" t="str">
            <v>conditions et moyens de paiement</v>
          </cell>
          <cell r="F583"/>
          <cell r="G583"/>
          <cell r="H583"/>
          <cell r="I583"/>
        </row>
        <row r="584">
          <cell r="C584"/>
          <cell r="D584" t="str">
            <v>des</v>
          </cell>
          <cell r="E584" t="str">
            <v>conditions et moyens de paiement</v>
          </cell>
          <cell r="F584"/>
          <cell r="G584"/>
          <cell r="H584"/>
          <cell r="I584"/>
        </row>
        <row r="585">
          <cell r="C585"/>
          <cell r="D585" t="str">
            <v>des</v>
          </cell>
          <cell r="E585" t="str">
            <v>conditions et moyens de paiement</v>
          </cell>
          <cell r="F585"/>
          <cell r="G585"/>
          <cell r="H585"/>
          <cell r="I585"/>
        </row>
        <row r="586">
          <cell r="C586"/>
          <cell r="D586" t="str">
            <v>des</v>
          </cell>
          <cell r="E586" t="str">
            <v>conditions et moyens de paiement</v>
          </cell>
          <cell r="F586"/>
          <cell r="G586"/>
          <cell r="H586"/>
          <cell r="I586"/>
        </row>
        <row r="587">
          <cell r="C587"/>
          <cell r="D587" t="str">
            <v>des</v>
          </cell>
          <cell r="E587" t="str">
            <v>conditions et moyens de paiement</v>
          </cell>
          <cell r="F587"/>
          <cell r="G587"/>
          <cell r="H587"/>
          <cell r="I587"/>
        </row>
        <row r="588">
          <cell r="C588"/>
          <cell r="D588" t="str">
            <v>des</v>
          </cell>
          <cell r="E588" t="str">
            <v>conditions et moyens de paiement</v>
          </cell>
          <cell r="F588"/>
          <cell r="G588"/>
          <cell r="H588"/>
          <cell r="I588"/>
        </row>
        <row r="589">
          <cell r="C589"/>
          <cell r="D589" t="str">
            <v>des</v>
          </cell>
          <cell r="E589" t="str">
            <v>conditions et moyens de paiement</v>
          </cell>
          <cell r="F589"/>
          <cell r="G589"/>
          <cell r="H589"/>
          <cell r="I589"/>
        </row>
        <row r="590">
          <cell r="C590"/>
          <cell r="D590" t="str">
            <v>des</v>
          </cell>
          <cell r="E590" t="str">
            <v>conditions et moyens de paiement</v>
          </cell>
          <cell r="F590"/>
          <cell r="G590"/>
          <cell r="H590"/>
          <cell r="I590"/>
        </row>
        <row r="591">
          <cell r="C591"/>
          <cell r="D591" t="str">
            <v>des</v>
          </cell>
          <cell r="E591" t="str">
            <v>conditions et moyens de paiement</v>
          </cell>
          <cell r="F591"/>
          <cell r="G591"/>
          <cell r="H591"/>
          <cell r="I591"/>
        </row>
        <row r="592">
          <cell r="C592"/>
          <cell r="D592" t="str">
            <v>du</v>
          </cell>
          <cell r="E592" t="str">
            <v>BBAN</v>
          </cell>
          <cell r="F592"/>
          <cell r="G592"/>
          <cell r="H592"/>
          <cell r="I592"/>
        </row>
        <row r="593">
          <cell r="C593"/>
          <cell r="D593" t="str">
            <v>des</v>
          </cell>
          <cell r="E593" t="str">
            <v>conditions et moyens de paiement</v>
          </cell>
          <cell r="F593"/>
          <cell r="G593"/>
          <cell r="H593"/>
          <cell r="I593"/>
        </row>
        <row r="594">
          <cell r="C594"/>
          <cell r="D594" t="str">
            <v>de l'</v>
          </cell>
          <cell r="E594" t="str">
            <v>application source</v>
          </cell>
          <cell r="F594"/>
          <cell r="G594"/>
          <cell r="H594"/>
          <cell r="I594"/>
        </row>
        <row r="595">
          <cell r="C595" t="str">
            <v>affichage</v>
          </cell>
          <cell r="D595" t="str">
            <v>de l'</v>
          </cell>
          <cell r="E595" t="str">
            <v>Objectif</v>
          </cell>
          <cell r="F595"/>
          <cell r="G595"/>
          <cell r="H595"/>
          <cell r="I595"/>
        </row>
        <row r="596">
          <cell r="C596" t="str">
            <v>masquage</v>
          </cell>
          <cell r="D596" t="str">
            <v>de l'</v>
          </cell>
          <cell r="E596" t="str">
            <v>Objectif atteint</v>
          </cell>
          <cell r="F596"/>
          <cell r="G596"/>
          <cell r="H596"/>
          <cell r="I596"/>
        </row>
        <row r="597">
          <cell r="C597" t="str">
            <v>extinction</v>
          </cell>
          <cell r="D597" t="str">
            <v>de l'</v>
          </cell>
          <cell r="E597" t="str">
            <v>Objectif</v>
          </cell>
          <cell r="F597"/>
          <cell r="G597"/>
          <cell r="H597"/>
          <cell r="I597"/>
        </row>
        <row r="598">
          <cell r="C598" t="str">
            <v>traitement estimé</v>
          </cell>
          <cell r="D598" t="str">
            <v>de la</v>
          </cell>
          <cell r="E598" t="str">
            <v>Demande</v>
          </cell>
          <cell r="F598"/>
          <cell r="G598"/>
          <cell r="H598"/>
          <cell r="I598"/>
        </row>
        <row r="599">
          <cell r="C599" t="str">
            <v>priorité</v>
          </cell>
          <cell r="D599" t="str">
            <v>de la</v>
          </cell>
          <cell r="E599" t="str">
            <v>Demande</v>
          </cell>
          <cell r="F599"/>
          <cell r="G599"/>
          <cell r="H599"/>
          <cell r="I599"/>
        </row>
        <row r="600">
          <cell r="C600"/>
          <cell r="D600" t="str">
            <v>de la</v>
          </cell>
          <cell r="E600" t="str">
            <v>Branche assurance</v>
          </cell>
          <cell r="F600" t="str">
            <v>de l'</v>
          </cell>
          <cell r="G600" t="str">
            <v>Activité</v>
          </cell>
          <cell r="H600"/>
          <cell r="I600"/>
        </row>
        <row r="601">
          <cell r="C601"/>
          <cell r="D601" t="str">
            <v>de</v>
          </cell>
          <cell r="E601" t="str">
            <v>Priorité</v>
          </cell>
          <cell r="F601" t="str">
            <v>de l'</v>
          </cell>
          <cell r="G601" t="str">
            <v>Activité</v>
          </cell>
          <cell r="H601"/>
          <cell r="I601"/>
        </row>
        <row r="602">
          <cell r="C602"/>
          <cell r="D602" t="str">
            <v>du</v>
          </cell>
          <cell r="E602" t="str">
            <v>Canal de distribution</v>
          </cell>
          <cell r="F602" t="str">
            <v>de l'</v>
          </cell>
          <cell r="G602" t="str">
            <v>Activité</v>
          </cell>
          <cell r="H602"/>
          <cell r="I602"/>
        </row>
        <row r="603">
          <cell r="C603"/>
          <cell r="D603" t="str">
            <v>du</v>
          </cell>
          <cell r="E603" t="str">
            <v>Canal de distribution</v>
          </cell>
          <cell r="F603" t="str">
            <v>de l'</v>
          </cell>
          <cell r="G603" t="str">
            <v>Activité</v>
          </cell>
          <cell r="H603"/>
          <cell r="I603"/>
        </row>
        <row r="604">
          <cell r="C604"/>
          <cell r="D604" t="str">
            <v>de la</v>
          </cell>
          <cell r="E604" t="str">
            <v>Branche assurance</v>
          </cell>
          <cell r="F604" t="str">
            <v>de l'</v>
          </cell>
          <cell r="G604" t="str">
            <v>Activité</v>
          </cell>
          <cell r="H604"/>
          <cell r="I604"/>
        </row>
        <row r="605">
          <cell r="C605"/>
          <cell r="D605" t="str">
            <v>du</v>
          </cell>
          <cell r="E605" t="str">
            <v>Site de stockage</v>
          </cell>
          <cell r="F605" t="str">
            <v>de l'</v>
          </cell>
          <cell r="G605" t="str">
            <v>Activité</v>
          </cell>
          <cell r="H605"/>
          <cell r="I605"/>
        </row>
        <row r="606">
          <cell r="C606"/>
          <cell r="D606" t="str">
            <v>du</v>
          </cell>
          <cell r="E606" t="str">
            <v>Site de stockage</v>
          </cell>
          <cell r="F606" t="str">
            <v>de l'</v>
          </cell>
          <cell r="G606" t="str">
            <v>application informatique</v>
          </cell>
          <cell r="H606"/>
          <cell r="I606"/>
        </row>
        <row r="607">
          <cell r="C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cell r="F608"/>
          <cell r="G608"/>
          <cell r="H608"/>
          <cell r="I608"/>
        </row>
        <row r="609">
          <cell r="C609"/>
          <cell r="D609" t="str">
            <v>entre</v>
          </cell>
          <cell r="E609" t="str">
            <v>Activité</v>
          </cell>
          <cell r="F609" t="str">
            <v>et</v>
          </cell>
          <cell r="G609" t="str">
            <v>Canal de distribution</v>
          </cell>
          <cell r="H609"/>
          <cell r="I609"/>
        </row>
        <row r="610">
          <cell r="C610"/>
          <cell r="D610" t="str">
            <v>entre</v>
          </cell>
          <cell r="E610" t="str">
            <v>Activité</v>
          </cell>
          <cell r="F610" t="str">
            <v>et</v>
          </cell>
          <cell r="G610" t="str">
            <v>Canal de distribution</v>
          </cell>
          <cell r="H610"/>
          <cell r="I610"/>
        </row>
        <row r="611">
          <cell r="C611"/>
          <cell r="D611" t="str">
            <v>entre</v>
          </cell>
          <cell r="E611" t="str">
            <v>Activité</v>
          </cell>
          <cell r="F611" t="str">
            <v>et</v>
          </cell>
          <cell r="G611" t="str">
            <v>Canal de distribution</v>
          </cell>
          <cell r="H611"/>
          <cell r="I611"/>
        </row>
        <row r="612">
          <cell r="C612"/>
          <cell r="D612" t="str">
            <v>entre</v>
          </cell>
          <cell r="E612" t="str">
            <v>Activité</v>
          </cell>
          <cell r="F612" t="str">
            <v>et</v>
          </cell>
          <cell r="G612" t="str">
            <v>Canal de distribution</v>
          </cell>
          <cell r="H612"/>
          <cell r="I612"/>
        </row>
        <row r="613">
          <cell r="C613"/>
          <cell r="D613" t="str">
            <v>entre</v>
          </cell>
          <cell r="E613" t="str">
            <v>Activité</v>
          </cell>
          <cell r="F613" t="str">
            <v>et</v>
          </cell>
          <cell r="G613" t="str">
            <v>Canal de distribution</v>
          </cell>
          <cell r="H613"/>
          <cell r="I613"/>
        </row>
        <row r="614">
          <cell r="C614"/>
          <cell r="D614" t="str">
            <v>entre</v>
          </cell>
          <cell r="E614" t="str">
            <v>Activité</v>
          </cell>
          <cell r="F614" t="str">
            <v>et</v>
          </cell>
          <cell r="G614" t="str">
            <v>Canal de distribution</v>
          </cell>
          <cell r="H614"/>
          <cell r="I614"/>
        </row>
        <row r="615">
          <cell r="C615" t="str">
            <v>ancien</v>
          </cell>
          <cell r="D615" t="str">
            <v>de l'</v>
          </cell>
          <cell r="E615" t="str">
            <v>Objectif</v>
          </cell>
          <cell r="F615"/>
          <cell r="G615"/>
          <cell r="H615"/>
          <cell r="I615"/>
        </row>
        <row r="616">
          <cell r="C616"/>
          <cell r="D616" t="str">
            <v>entre</v>
          </cell>
          <cell r="E616" t="str">
            <v>Activité</v>
          </cell>
          <cell r="F616" t="str">
            <v>et</v>
          </cell>
          <cell r="G616" t="str">
            <v>Demande</v>
          </cell>
          <cell r="H616"/>
          <cell r="I616"/>
        </row>
        <row r="617">
          <cell r="C617"/>
          <cell r="D617" t="str">
            <v>entre</v>
          </cell>
          <cell r="E617" t="str">
            <v>Application informatique</v>
          </cell>
          <cell r="F617" t="str">
            <v>et</v>
          </cell>
          <cell r="G617" t="str">
            <v>Demande</v>
          </cell>
          <cell r="H617"/>
          <cell r="I617"/>
        </row>
        <row r="618">
          <cell r="C618"/>
          <cell r="D618" t="str">
            <v>entre</v>
          </cell>
          <cell r="E618" t="str">
            <v>Qualifiant</v>
          </cell>
          <cell r="F618" t="str">
            <v>et</v>
          </cell>
          <cell r="G618" t="str">
            <v>Demande</v>
          </cell>
          <cell r="H618"/>
          <cell r="I618"/>
        </row>
        <row r="619">
          <cell r="C619"/>
          <cell r="D619" t="str">
            <v>de la</v>
          </cell>
          <cell r="E619" t="str">
            <v>Branche assurance</v>
          </cell>
          <cell r="F619" t="str">
            <v>de la</v>
          </cell>
          <cell r="G619" t="str">
            <v>Demande</v>
          </cell>
          <cell r="H619"/>
          <cell r="I619"/>
        </row>
        <row r="620">
          <cell r="C620"/>
          <cell r="D620" t="str">
            <v>entre</v>
          </cell>
          <cell r="E620" t="str">
            <v>Activité</v>
          </cell>
          <cell r="F620" t="str">
            <v>et</v>
          </cell>
          <cell r="G620" t="str">
            <v>Demande</v>
          </cell>
          <cell r="H620"/>
          <cell r="I620"/>
        </row>
        <row r="621">
          <cell r="C621"/>
          <cell r="D621" t="str">
            <v>entre</v>
          </cell>
          <cell r="E621" t="str">
            <v>Application informatique</v>
          </cell>
          <cell r="F621" t="str">
            <v>et</v>
          </cell>
          <cell r="G621" t="str">
            <v>Demande</v>
          </cell>
          <cell r="H621"/>
          <cell r="I621"/>
        </row>
        <row r="622">
          <cell r="C622"/>
          <cell r="D622" t="str">
            <v>entre</v>
          </cell>
          <cell r="E622" t="str">
            <v>Qualifiant</v>
          </cell>
          <cell r="F622" t="str">
            <v>et</v>
          </cell>
          <cell r="G622" t="str">
            <v>Demande</v>
          </cell>
          <cell r="H622"/>
          <cell r="I622"/>
        </row>
        <row r="623">
          <cell r="C623"/>
          <cell r="D623" t="str">
            <v>entre</v>
          </cell>
          <cell r="E623" t="str">
            <v>Activité</v>
          </cell>
          <cell r="F623" t="str">
            <v>et</v>
          </cell>
          <cell r="G623" t="str">
            <v>Demande</v>
          </cell>
          <cell r="H623"/>
          <cell r="I623"/>
        </row>
        <row r="624">
          <cell r="C624"/>
          <cell r="D624" t="str">
            <v>entre</v>
          </cell>
          <cell r="E624" t="str">
            <v>Activité</v>
          </cell>
          <cell r="F624" t="str">
            <v>et</v>
          </cell>
          <cell r="G624" t="str">
            <v>Demande</v>
          </cell>
          <cell r="H624"/>
          <cell r="I624"/>
        </row>
        <row r="625">
          <cell r="C625"/>
          <cell r="D625" t="str">
            <v>entre</v>
          </cell>
          <cell r="E625" t="str">
            <v>Activité</v>
          </cell>
          <cell r="F625" t="str">
            <v>et</v>
          </cell>
          <cell r="G625" t="str">
            <v>Demande</v>
          </cell>
          <cell r="H625"/>
          <cell r="I625"/>
        </row>
        <row r="626">
          <cell r="C626"/>
          <cell r="D626" t="str">
            <v>entre</v>
          </cell>
          <cell r="E626" t="str">
            <v>Activité</v>
          </cell>
          <cell r="F626" t="str">
            <v>et</v>
          </cell>
          <cell r="G626" t="str">
            <v>Demande</v>
          </cell>
          <cell r="H626"/>
          <cell r="I626"/>
        </row>
        <row r="627">
          <cell r="C627"/>
          <cell r="D627" t="str">
            <v>entre</v>
          </cell>
          <cell r="E627" t="str">
            <v>Application informatique</v>
          </cell>
          <cell r="F627" t="str">
            <v>et</v>
          </cell>
          <cell r="G627" t="str">
            <v>Demande</v>
          </cell>
          <cell r="H627"/>
          <cell r="I627"/>
        </row>
        <row r="628">
          <cell r="C628"/>
          <cell r="D628" t="str">
            <v>entre</v>
          </cell>
          <cell r="E628" t="str">
            <v>Application informatique</v>
          </cell>
          <cell r="F628" t="str">
            <v>et</v>
          </cell>
          <cell r="G628" t="str">
            <v>Demande</v>
          </cell>
          <cell r="H628"/>
          <cell r="I628"/>
        </row>
        <row r="629">
          <cell r="C629"/>
          <cell r="D629" t="str">
            <v>entre</v>
          </cell>
          <cell r="E629" t="str">
            <v>Qualifiant</v>
          </cell>
          <cell r="F629" t="str">
            <v>et</v>
          </cell>
          <cell r="G629" t="str">
            <v>Demande</v>
          </cell>
          <cell r="H629"/>
          <cell r="I629"/>
        </row>
        <row r="630">
          <cell r="C630"/>
          <cell r="D630" t="str">
            <v>entre</v>
          </cell>
          <cell r="E630" t="str">
            <v>Qualifiant</v>
          </cell>
          <cell r="F630" t="str">
            <v>et</v>
          </cell>
          <cell r="G630" t="str">
            <v>Demande</v>
          </cell>
          <cell r="H630"/>
          <cell r="I630"/>
        </row>
        <row r="631">
          <cell r="C631"/>
          <cell r="D631" t="str">
            <v>entre</v>
          </cell>
          <cell r="E631" t="str">
            <v>Qualifiant</v>
          </cell>
          <cell r="F631" t="str">
            <v>et</v>
          </cell>
          <cell r="G631" t="str">
            <v>Demande</v>
          </cell>
          <cell r="H631"/>
          <cell r="I631"/>
        </row>
        <row r="632">
          <cell r="C632"/>
          <cell r="D632" t="str">
            <v>entre</v>
          </cell>
          <cell r="E632" t="str">
            <v>Qualifiant</v>
          </cell>
          <cell r="F632" t="str">
            <v>et</v>
          </cell>
          <cell r="G632" t="str">
            <v>Demande</v>
          </cell>
          <cell r="H632"/>
          <cell r="I632"/>
        </row>
        <row r="633">
          <cell r="C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cell r="H634"/>
          <cell r="I634"/>
        </row>
        <row r="635">
          <cell r="C635"/>
          <cell r="D635" t="str">
            <v>du</v>
          </cell>
          <cell r="E635" t="str">
            <v>Type</v>
          </cell>
          <cell r="F635" t="str">
            <v>de la</v>
          </cell>
          <cell r="G635" t="str">
            <v>Demande</v>
          </cell>
          <cell r="H635" t="str">
            <v>de l'</v>
          </cell>
          <cell r="I635" t="str">
            <v>Activité</v>
          </cell>
        </row>
        <row r="636">
          <cell r="C636"/>
          <cell r="D636" t="str">
            <v>entre</v>
          </cell>
          <cell r="E636" t="str">
            <v>Activité</v>
          </cell>
          <cell r="F636" t="str">
            <v>et</v>
          </cell>
          <cell r="G636" t="str">
            <v>Demande</v>
          </cell>
          <cell r="H636"/>
          <cell r="I636"/>
        </row>
        <row r="637">
          <cell r="C637" t="str">
            <v>Dernière image</v>
          </cell>
          <cell r="D637" t="str">
            <v>entre</v>
          </cell>
          <cell r="E637" t="str">
            <v>Qualifiant</v>
          </cell>
          <cell r="F637" t="str">
            <v>et</v>
          </cell>
          <cell r="G637" t="str">
            <v>Employé</v>
          </cell>
          <cell r="H637"/>
          <cell r="I637"/>
        </row>
        <row r="638">
          <cell r="C638"/>
          <cell r="D638" t="str">
            <v>entre</v>
          </cell>
          <cell r="E638" t="str">
            <v>Activité</v>
          </cell>
          <cell r="F638" t="str">
            <v>et</v>
          </cell>
          <cell r="G638" t="str">
            <v>Demande</v>
          </cell>
          <cell r="H638"/>
          <cell r="I638"/>
        </row>
        <row r="639">
          <cell r="C639"/>
          <cell r="D639" t="str">
            <v>entre</v>
          </cell>
          <cell r="E639" t="str">
            <v>Application informatique</v>
          </cell>
          <cell r="F639" t="str">
            <v>et</v>
          </cell>
          <cell r="G639" t="str">
            <v>Demande</v>
          </cell>
          <cell r="H639"/>
          <cell r="I639"/>
        </row>
        <row r="640">
          <cell r="C640"/>
          <cell r="D640" t="str">
            <v>de la</v>
          </cell>
          <cell r="E640" t="str">
            <v>Branche assurance</v>
          </cell>
          <cell r="F640" t="str">
            <v>de la</v>
          </cell>
          <cell r="G640" t="str">
            <v>Demande</v>
          </cell>
          <cell r="H640"/>
          <cell r="I640"/>
        </row>
        <row r="641">
          <cell r="C641"/>
          <cell r="D641" t="str">
            <v>entre</v>
          </cell>
          <cell r="E641" t="str">
            <v>Qualifiant</v>
          </cell>
          <cell r="F641" t="str">
            <v>et</v>
          </cell>
          <cell r="G641" t="str">
            <v>Demande</v>
          </cell>
          <cell r="H641"/>
          <cell r="I641"/>
        </row>
        <row r="642">
          <cell r="C642"/>
          <cell r="D642" t="str">
            <v>du</v>
          </cell>
          <cell r="E642" t="str">
            <v>Site de stockage</v>
          </cell>
          <cell r="F642" t="str">
            <v>de la</v>
          </cell>
          <cell r="G642" t="str">
            <v>Demande</v>
          </cell>
          <cell r="H642"/>
          <cell r="I642"/>
        </row>
        <row r="643">
          <cell r="C643"/>
          <cell r="D643" t="str">
            <v>du</v>
          </cell>
          <cell r="E643" t="str">
            <v>Type</v>
          </cell>
          <cell r="F643" t="str">
            <v>de la</v>
          </cell>
          <cell r="G643" t="str">
            <v>Demande</v>
          </cell>
          <cell r="H643"/>
          <cell r="I643"/>
        </row>
        <row r="644">
          <cell r="C644"/>
          <cell r="D644" t="str">
            <v>du</v>
          </cell>
          <cell r="E644" t="str">
            <v>Type</v>
          </cell>
          <cell r="F644" t="str">
            <v>de la</v>
          </cell>
          <cell r="G644" t="str">
            <v>Demande</v>
          </cell>
          <cell r="H644"/>
          <cell r="I644"/>
        </row>
        <row r="645">
          <cell r="C645"/>
          <cell r="D645" t="str">
            <v>entre</v>
          </cell>
          <cell r="E645" t="str">
            <v>Activité</v>
          </cell>
          <cell r="F645" t="str">
            <v>et</v>
          </cell>
          <cell r="G645" t="str">
            <v>Employé</v>
          </cell>
          <cell r="H645"/>
          <cell r="I645"/>
        </row>
        <row r="646">
          <cell r="C646" t="str">
            <v>Dernière image</v>
          </cell>
          <cell r="D646" t="str">
            <v>de l'</v>
          </cell>
          <cell r="E646" t="str">
            <v>Objectif</v>
          </cell>
          <cell r="F646"/>
          <cell r="G646"/>
          <cell r="H646"/>
          <cell r="I646"/>
        </row>
        <row r="647">
          <cell r="C647"/>
          <cell r="D647" t="str">
            <v>entre</v>
          </cell>
          <cell r="E647" t="str">
            <v>Qualifiant</v>
          </cell>
          <cell r="F647" t="str">
            <v>et</v>
          </cell>
          <cell r="G647" t="str">
            <v>Employé</v>
          </cell>
          <cell r="H647"/>
          <cell r="I647"/>
        </row>
        <row r="648">
          <cell r="C648"/>
          <cell r="D648" t="str">
            <v>entre</v>
          </cell>
          <cell r="E648" t="str">
            <v>Activité</v>
          </cell>
          <cell r="F648" t="str">
            <v>et</v>
          </cell>
          <cell r="G648" t="str">
            <v>Employé</v>
          </cell>
          <cell r="H648"/>
          <cell r="I648"/>
        </row>
        <row r="649">
          <cell r="C649"/>
          <cell r="D649" t="str">
            <v>entre</v>
          </cell>
          <cell r="E649" t="str">
            <v>Qualifiant</v>
          </cell>
          <cell r="F649" t="str">
            <v>et</v>
          </cell>
          <cell r="G649" t="str">
            <v>Employé</v>
          </cell>
          <cell r="H649"/>
          <cell r="I649"/>
        </row>
        <row r="650">
          <cell r="C650"/>
          <cell r="D650" t="str">
            <v>entre</v>
          </cell>
          <cell r="E650" t="str">
            <v>Activité</v>
          </cell>
          <cell r="F650" t="str">
            <v>et</v>
          </cell>
          <cell r="G650" t="str">
            <v>Employé</v>
          </cell>
          <cell r="H650"/>
          <cell r="I650"/>
        </row>
        <row r="651">
          <cell r="C651"/>
          <cell r="D651" t="str">
            <v>entre</v>
          </cell>
          <cell r="E651" t="str">
            <v>Activité</v>
          </cell>
          <cell r="F651" t="str">
            <v>et</v>
          </cell>
          <cell r="G651" t="str">
            <v>Employé</v>
          </cell>
          <cell r="H651"/>
          <cell r="I651"/>
        </row>
        <row r="652">
          <cell r="C652"/>
          <cell r="D652" t="str">
            <v>entre</v>
          </cell>
          <cell r="E652" t="str">
            <v>Activité</v>
          </cell>
          <cell r="F652" t="str">
            <v>et</v>
          </cell>
          <cell r="G652" t="str">
            <v>Employé</v>
          </cell>
          <cell r="H652"/>
          <cell r="I652"/>
        </row>
        <row r="653">
          <cell r="C653"/>
          <cell r="D653" t="str">
            <v>entre</v>
          </cell>
          <cell r="E653" t="str">
            <v>Activité</v>
          </cell>
          <cell r="F653" t="str">
            <v>et</v>
          </cell>
          <cell r="G653" t="str">
            <v>Employé</v>
          </cell>
          <cell r="H653"/>
          <cell r="I653"/>
        </row>
        <row r="654">
          <cell r="C654"/>
          <cell r="D654" t="str">
            <v>entre</v>
          </cell>
          <cell r="E654" t="str">
            <v>Qualifiant</v>
          </cell>
          <cell r="F654" t="str">
            <v>et</v>
          </cell>
          <cell r="G654" t="str">
            <v>Employé</v>
          </cell>
          <cell r="H654"/>
          <cell r="I654"/>
        </row>
        <row r="655">
          <cell r="C655"/>
          <cell r="D655" t="str">
            <v>entre</v>
          </cell>
          <cell r="E655" t="str">
            <v>Qualifiant</v>
          </cell>
          <cell r="F655" t="str">
            <v>et</v>
          </cell>
          <cell r="G655" t="str">
            <v>Employé</v>
          </cell>
          <cell r="H655"/>
          <cell r="I655"/>
        </row>
        <row r="656">
          <cell r="C656"/>
          <cell r="D656" t="str">
            <v>entre</v>
          </cell>
          <cell r="E656" t="str">
            <v>Activité</v>
          </cell>
          <cell r="F656" t="str">
            <v>et</v>
          </cell>
          <cell r="G656" t="str">
            <v>Employé</v>
          </cell>
          <cell r="H656"/>
          <cell r="I656"/>
        </row>
        <row r="657">
          <cell r="C657"/>
          <cell r="D657" t="str">
            <v>entre</v>
          </cell>
          <cell r="E657" t="str">
            <v>Qualifiant</v>
          </cell>
          <cell r="F657" t="str">
            <v>et</v>
          </cell>
          <cell r="G657" t="str">
            <v>Employé</v>
          </cell>
          <cell r="H657"/>
          <cell r="I657"/>
        </row>
        <row r="658">
          <cell r="C658"/>
          <cell r="D658" t="str">
            <v>de l'</v>
          </cell>
          <cell r="E658" t="str">
            <v>Etat</v>
          </cell>
          <cell r="F658" t="str">
            <v>de l'</v>
          </cell>
          <cell r="G658" t="str">
            <v>Etape de la demande</v>
          </cell>
          <cell r="H658"/>
          <cell r="I658"/>
        </row>
        <row r="659">
          <cell r="C659"/>
          <cell r="D659" t="str">
            <v>de l'</v>
          </cell>
          <cell r="E659" t="str">
            <v>Etat</v>
          </cell>
          <cell r="F659" t="str">
            <v>de l'</v>
          </cell>
          <cell r="G659" t="str">
            <v>Etape de la demande</v>
          </cell>
          <cell r="H659"/>
          <cell r="I659"/>
        </row>
        <row r="660">
          <cell r="C660"/>
          <cell r="D660" t="str">
            <v>de l'</v>
          </cell>
          <cell r="E660" t="str">
            <v>Etat</v>
          </cell>
          <cell r="F660" t="str">
            <v>de l'</v>
          </cell>
          <cell r="G660" t="str">
            <v>Etape de la demande</v>
          </cell>
          <cell r="H660"/>
          <cell r="I660"/>
        </row>
        <row r="661">
          <cell r="C661"/>
          <cell r="D661" t="str">
            <v>de l'</v>
          </cell>
          <cell r="E661" t="str">
            <v>origine</v>
          </cell>
          <cell r="F661" t="str">
            <v>de l'</v>
          </cell>
          <cell r="G661" t="str">
            <v>événement</v>
          </cell>
          <cell r="H661"/>
          <cell r="I661"/>
        </row>
        <row r="662">
          <cell r="C662"/>
          <cell r="D662" t="str">
            <v>de l'</v>
          </cell>
          <cell r="E662" t="str">
            <v>origine</v>
          </cell>
          <cell r="F662" t="str">
            <v>de l'</v>
          </cell>
          <cell r="G662" t="str">
            <v>événement</v>
          </cell>
          <cell r="H662"/>
          <cell r="I662"/>
        </row>
        <row r="663">
          <cell r="C663"/>
          <cell r="D663" t="str">
            <v>de l'</v>
          </cell>
          <cell r="E663" t="str">
            <v>origine</v>
          </cell>
          <cell r="F663" t="str">
            <v>de l'</v>
          </cell>
          <cell r="G663" t="str">
            <v>événement</v>
          </cell>
          <cell r="H663"/>
          <cell r="I663"/>
        </row>
        <row r="664">
          <cell r="C664"/>
          <cell r="D664" t="str">
            <v>de la</v>
          </cell>
          <cell r="E664" t="str">
            <v>Branche assurance</v>
          </cell>
          <cell r="F664" t="str">
            <v>du</v>
          </cell>
          <cell r="G664" t="str">
            <v>Flux à l'origine de la demande</v>
          </cell>
          <cell r="H664"/>
          <cell r="I664"/>
        </row>
        <row r="665">
          <cell r="C665"/>
          <cell r="D665" t="str">
            <v>de la</v>
          </cell>
          <cell r="E665" t="str">
            <v>Confidentialité</v>
          </cell>
          <cell r="F665" t="str">
            <v>du</v>
          </cell>
          <cell r="G665" t="str">
            <v>Flux à l'origine de la demande</v>
          </cell>
          <cell r="H665"/>
          <cell r="I665"/>
        </row>
        <row r="666">
          <cell r="C666"/>
          <cell r="D666" t="str">
            <v>du</v>
          </cell>
          <cell r="E666" t="str">
            <v>Canal de distribution</v>
          </cell>
          <cell r="F666" t="str">
            <v>du</v>
          </cell>
          <cell r="G666" t="str">
            <v>Flux à l'origine de la demande</v>
          </cell>
          <cell r="H666"/>
          <cell r="I666"/>
        </row>
        <row r="667">
          <cell r="C667"/>
          <cell r="D667" t="str">
            <v>du</v>
          </cell>
          <cell r="E667" t="str">
            <v>Canal de distribution</v>
          </cell>
          <cell r="F667" t="str">
            <v>du</v>
          </cell>
          <cell r="G667" t="str">
            <v>Flux à l'origine de la demande</v>
          </cell>
          <cell r="H667"/>
          <cell r="I667"/>
        </row>
        <row r="668">
          <cell r="C668"/>
          <cell r="D668" t="str">
            <v>de la</v>
          </cell>
          <cell r="E668" t="str">
            <v>Branche assurance</v>
          </cell>
          <cell r="F668" t="str">
            <v>du</v>
          </cell>
          <cell r="G668" t="str">
            <v>Flux à l'origine de la demande</v>
          </cell>
          <cell r="H668"/>
          <cell r="I668"/>
        </row>
        <row r="669">
          <cell r="C669"/>
          <cell r="D669" t="str">
            <v>de l'</v>
          </cell>
          <cell r="E669" t="str">
            <v>Application de stockage</v>
          </cell>
          <cell r="F669" t="str">
            <v>du</v>
          </cell>
          <cell r="G669" t="str">
            <v>Flux à l'origine de la demande</v>
          </cell>
          <cell r="H669"/>
          <cell r="I669"/>
        </row>
        <row r="670">
          <cell r="C670"/>
          <cell r="D670" t="str">
            <v>du</v>
          </cell>
          <cell r="E670" t="str">
            <v>Site de stockage</v>
          </cell>
          <cell r="F670" t="str">
            <v>du</v>
          </cell>
          <cell r="G670" t="str">
            <v>Flux à l'origine de la demande</v>
          </cell>
          <cell r="H670"/>
          <cell r="I670"/>
        </row>
        <row r="671">
          <cell r="C671"/>
          <cell r="D671" t="str">
            <v>du</v>
          </cell>
          <cell r="E671" t="str">
            <v>Type</v>
          </cell>
          <cell r="F671" t="str">
            <v>du</v>
          </cell>
          <cell r="G671" t="str">
            <v>Flux à l'origine de la demande</v>
          </cell>
          <cell r="H671"/>
          <cell r="I671"/>
        </row>
        <row r="672">
          <cell r="C672"/>
          <cell r="D672" t="str">
            <v>du</v>
          </cell>
          <cell r="E672" t="str">
            <v>Type</v>
          </cell>
          <cell r="F672" t="str">
            <v>du</v>
          </cell>
          <cell r="G672" t="str">
            <v>Flux à l'origine de la demande</v>
          </cell>
          <cell r="H672"/>
          <cell r="I672"/>
        </row>
        <row r="673">
          <cell r="C673"/>
          <cell r="D673" t="str">
            <v>du</v>
          </cell>
          <cell r="E673" t="str">
            <v>Type</v>
          </cell>
          <cell r="F673" t="str">
            <v>du</v>
          </cell>
          <cell r="G673" t="str">
            <v>Flux à l'origine de la demande</v>
          </cell>
          <cell r="H673"/>
          <cell r="I673"/>
        </row>
        <row r="674">
          <cell r="C674"/>
          <cell r="D674" t="str">
            <v>du</v>
          </cell>
          <cell r="E674" t="str">
            <v>Type</v>
          </cell>
          <cell r="F674" t="str">
            <v>de</v>
          </cell>
          <cell r="G674" t="str">
            <v>Groupe TRIBU</v>
          </cell>
          <cell r="H674"/>
          <cell r="I674"/>
        </row>
        <row r="675">
          <cell r="C675"/>
          <cell r="D675" t="str">
            <v>du</v>
          </cell>
          <cell r="E675" t="str">
            <v>Type</v>
          </cell>
          <cell r="F675" t="str">
            <v>de</v>
          </cell>
          <cell r="G675" t="str">
            <v>Groupe TRIBU</v>
          </cell>
          <cell r="H675"/>
          <cell r="I675"/>
        </row>
        <row r="676">
          <cell r="C676"/>
          <cell r="D676" t="str">
            <v>du</v>
          </cell>
          <cell r="E676" t="str">
            <v>Type</v>
          </cell>
          <cell r="F676" t="str">
            <v>de</v>
          </cell>
          <cell r="G676" t="str">
            <v>Groupe TRIBU</v>
          </cell>
          <cell r="H676"/>
          <cell r="I676"/>
        </row>
        <row r="677">
          <cell r="C677"/>
          <cell r="D677" t="str">
            <v>de la</v>
          </cell>
          <cell r="E677" t="str">
            <v>Périodicité</v>
          </cell>
          <cell r="F677" t="str">
            <v>de l'</v>
          </cell>
          <cell r="G677" t="str">
            <v>Objectif</v>
          </cell>
          <cell r="H677"/>
          <cell r="I677"/>
        </row>
        <row r="678">
          <cell r="C678"/>
          <cell r="D678" t="str">
            <v>de la</v>
          </cell>
          <cell r="E678" t="str">
            <v>Plage de distribution</v>
          </cell>
          <cell r="F678" t="str">
            <v>de l'</v>
          </cell>
          <cell r="G678" t="str">
            <v>Objectif</v>
          </cell>
          <cell r="H678"/>
          <cell r="I678"/>
        </row>
        <row r="679">
          <cell r="C679"/>
          <cell r="D679" t="str">
            <v>de la</v>
          </cell>
          <cell r="E679" t="str">
            <v>Périodicité</v>
          </cell>
          <cell r="F679" t="str">
            <v>de l'</v>
          </cell>
          <cell r="G679" t="str">
            <v>Objectif</v>
          </cell>
          <cell r="H679"/>
          <cell r="I679"/>
        </row>
        <row r="680">
          <cell r="C680"/>
          <cell r="D680" t="str">
            <v>de la</v>
          </cell>
          <cell r="E680" t="str">
            <v>Périodicité</v>
          </cell>
          <cell r="F680" t="str">
            <v>de l'</v>
          </cell>
          <cell r="G680" t="str">
            <v>Objectif</v>
          </cell>
          <cell r="H680"/>
          <cell r="I680"/>
        </row>
        <row r="681">
          <cell r="C681"/>
          <cell r="D681" t="str">
            <v>du</v>
          </cell>
          <cell r="E681" t="str">
            <v>Site de stockage</v>
          </cell>
          <cell r="F681" t="str">
            <v>de l'</v>
          </cell>
          <cell r="G681" t="str">
            <v>Objectif</v>
          </cell>
          <cell r="H681"/>
          <cell r="I681"/>
        </row>
        <row r="682">
          <cell r="C682"/>
          <cell r="D682" t="str">
            <v>entre</v>
          </cell>
          <cell r="E682" t="str">
            <v>Activité</v>
          </cell>
          <cell r="F682" t="str">
            <v>et</v>
          </cell>
          <cell r="G682" t="str">
            <v>Qualifiant</v>
          </cell>
          <cell r="H682"/>
          <cell r="I682"/>
        </row>
        <row r="683">
          <cell r="C683"/>
          <cell r="D683" t="str">
            <v>de</v>
          </cell>
          <cell r="E683" t="str">
            <v>Priorité</v>
          </cell>
          <cell r="F683" t="str">
            <v>du</v>
          </cell>
          <cell r="G683" t="str">
            <v>Qualifiant</v>
          </cell>
          <cell r="H683"/>
          <cell r="I683"/>
        </row>
        <row r="684">
          <cell r="C684"/>
          <cell r="D684" t="str">
            <v>entre</v>
          </cell>
          <cell r="E684" t="str">
            <v>Activité</v>
          </cell>
          <cell r="F684" t="str">
            <v>et</v>
          </cell>
          <cell r="G684" t="str">
            <v>Qualifiant</v>
          </cell>
          <cell r="H684"/>
          <cell r="I684"/>
        </row>
        <row r="685">
          <cell r="C685"/>
          <cell r="D685" t="str">
            <v>entre</v>
          </cell>
          <cell r="E685" t="str">
            <v>Activité</v>
          </cell>
          <cell r="F685" t="str">
            <v>et</v>
          </cell>
          <cell r="G685" t="str">
            <v>Qualifiant</v>
          </cell>
          <cell r="H685"/>
          <cell r="I685"/>
        </row>
        <row r="687">
          <cell r="C687"/>
          <cell r="D687" t="str">
            <v>entre</v>
          </cell>
          <cell r="E687" t="str">
            <v>Activité</v>
          </cell>
          <cell r="F687" t="str">
            <v>et</v>
          </cell>
          <cell r="G687" t="str">
            <v>Qualifiant</v>
          </cell>
          <cell r="H687"/>
          <cell r="I687"/>
        </row>
        <row r="688">
          <cell r="C688"/>
          <cell r="D688" t="str">
            <v>entre</v>
          </cell>
          <cell r="E688" t="str">
            <v>Activité</v>
          </cell>
          <cell r="F688" t="str">
            <v>et</v>
          </cell>
          <cell r="G688" t="str">
            <v>Qualifiant</v>
          </cell>
          <cell r="H688"/>
          <cell r="I688"/>
        </row>
        <row r="689">
          <cell r="C689"/>
          <cell r="D689" t="str">
            <v>du</v>
          </cell>
          <cell r="E689" t="str">
            <v>Site de stockage</v>
          </cell>
          <cell r="F689" t="str">
            <v>du</v>
          </cell>
          <cell r="G689" t="str">
            <v>Qualifiant</v>
          </cell>
          <cell r="H689"/>
          <cell r="I689"/>
        </row>
        <row r="690">
          <cell r="C690"/>
          <cell r="D690" t="str">
            <v>du</v>
          </cell>
          <cell r="E690" t="str">
            <v>Type</v>
          </cell>
          <cell r="F690" t="str">
            <v>du</v>
          </cell>
          <cell r="G690" t="str">
            <v>Qualifiant</v>
          </cell>
          <cell r="H690"/>
          <cell r="I690"/>
        </row>
        <row r="691">
          <cell r="C691"/>
          <cell r="D691" t="str">
            <v>du</v>
          </cell>
          <cell r="E691" t="str">
            <v>Type</v>
          </cell>
          <cell r="F691" t="str">
            <v>du</v>
          </cell>
          <cell r="G691" t="str">
            <v>Qualifiant</v>
          </cell>
          <cell r="H691"/>
          <cell r="I691"/>
        </row>
        <row r="692">
          <cell r="C692"/>
          <cell r="D692" t="str">
            <v>de l'</v>
          </cell>
          <cell r="E692" t="str">
            <v>Objectif</v>
          </cell>
          <cell r="F692"/>
          <cell r="G692"/>
          <cell r="H692"/>
          <cell r="I692"/>
        </row>
        <row r="693">
          <cell r="C693"/>
          <cell r="D693" t="str">
            <v>du</v>
          </cell>
          <cell r="E693" t="str">
            <v>Flux à l'origine de la demande</v>
          </cell>
          <cell r="F693"/>
          <cell r="G693"/>
          <cell r="H693"/>
          <cell r="I693"/>
        </row>
        <row r="694">
          <cell r="C694"/>
          <cell r="D694" t="str">
            <v>de l'</v>
          </cell>
          <cell r="E694" t="str">
            <v>Etape de la demande</v>
          </cell>
          <cell r="F694"/>
          <cell r="G694"/>
          <cell r="H694"/>
          <cell r="I694"/>
        </row>
        <row r="695">
          <cell r="C695"/>
          <cell r="D695" t="str">
            <v>de l'</v>
          </cell>
          <cell r="E695" t="str">
            <v>Activité</v>
          </cell>
          <cell r="F695"/>
          <cell r="G695"/>
          <cell r="H695"/>
          <cell r="I695"/>
        </row>
        <row r="696">
          <cell r="C696"/>
          <cell r="D696" t="str">
            <v>de l'</v>
          </cell>
          <cell r="E696" t="str">
            <v>Objectif</v>
          </cell>
          <cell r="F696"/>
          <cell r="G696"/>
          <cell r="H696"/>
          <cell r="I696"/>
        </row>
        <row r="697">
          <cell r="C697"/>
          <cell r="D697" t="str">
            <v>du</v>
          </cell>
          <cell r="E697" t="str">
            <v>Qualifiant</v>
          </cell>
          <cell r="F697"/>
          <cell r="G697"/>
          <cell r="H697"/>
          <cell r="I697"/>
        </row>
        <row r="698">
          <cell r="C698"/>
          <cell r="D698" t="str">
            <v>de la</v>
          </cell>
          <cell r="E698" t="str">
            <v>demande</v>
          </cell>
          <cell r="F698"/>
          <cell r="G698"/>
          <cell r="H698"/>
          <cell r="I698"/>
        </row>
        <row r="699">
          <cell r="C699"/>
          <cell r="D699" t="str">
            <v>de l'</v>
          </cell>
          <cell r="E699" t="str">
            <v>Activité</v>
          </cell>
          <cell r="F699"/>
          <cell r="G699"/>
          <cell r="H699"/>
          <cell r="I699"/>
        </row>
        <row r="700">
          <cell r="C700"/>
          <cell r="D700" t="str">
            <v>du</v>
          </cell>
          <cell r="E700" t="str">
            <v>Sinistre</v>
          </cell>
          <cell r="F700"/>
          <cell r="G700"/>
          <cell r="H700"/>
          <cell r="I700"/>
        </row>
        <row r="701">
          <cell r="C701"/>
          <cell r="D701" t="str">
            <v>de l'</v>
          </cell>
          <cell r="E701" t="str">
            <v>Application informatique</v>
          </cell>
          <cell r="F701"/>
          <cell r="G701"/>
          <cell r="H701"/>
          <cell r="I701"/>
        </row>
        <row r="702">
          <cell r="C702"/>
          <cell r="D702" t="str">
            <v>du</v>
          </cell>
          <cell r="E702" t="str">
            <v>Contrat</v>
          </cell>
          <cell r="F702"/>
          <cell r="G702"/>
          <cell r="H702"/>
          <cell r="I702"/>
        </row>
        <row r="703">
          <cell r="C703"/>
          <cell r="D703" t="str">
            <v>du</v>
          </cell>
          <cell r="E703" t="str">
            <v>Canal de distribution</v>
          </cell>
          <cell r="F703"/>
          <cell r="G703"/>
          <cell r="H703"/>
          <cell r="I703"/>
        </row>
        <row r="704">
          <cell r="C704"/>
          <cell r="D704" t="str">
            <v>de la</v>
          </cell>
          <cell r="E704" t="str">
            <v>Portée de l'objectif</v>
          </cell>
          <cell r="F704"/>
          <cell r="G704"/>
          <cell r="H704"/>
          <cell r="I704"/>
        </row>
        <row r="705">
          <cell r="C705"/>
          <cell r="D705" t="str">
            <v>du</v>
          </cell>
          <cell r="E705" t="str">
            <v>Qualifiant</v>
          </cell>
          <cell r="F705"/>
          <cell r="G705"/>
          <cell r="H705"/>
          <cell r="I705"/>
        </row>
        <row r="706">
          <cell r="C706"/>
          <cell r="D706" t="str">
            <v>de la</v>
          </cell>
          <cell r="E706" t="str">
            <v>Demande</v>
          </cell>
          <cell r="F706"/>
          <cell r="G706"/>
          <cell r="H706"/>
          <cell r="I706"/>
        </row>
        <row r="707">
          <cell r="C707"/>
          <cell r="D707" t="str">
            <v>du</v>
          </cell>
          <cell r="E707" t="str">
            <v>Flux à l'origine de la demande</v>
          </cell>
          <cell r="F707"/>
          <cell r="G707"/>
          <cell r="H707"/>
          <cell r="I707"/>
        </row>
        <row r="708">
          <cell r="C708"/>
          <cell r="D708" t="str">
            <v>de l'</v>
          </cell>
          <cell r="E708" t="str">
            <v>Etape de la demande</v>
          </cell>
          <cell r="F708"/>
          <cell r="G708"/>
          <cell r="H708"/>
          <cell r="I708"/>
        </row>
        <row r="709">
          <cell r="C709"/>
          <cell r="D709" t="str">
            <v>de la</v>
          </cell>
          <cell r="E709" t="str">
            <v>Demande liée</v>
          </cell>
          <cell r="F709"/>
          <cell r="G709"/>
          <cell r="H709"/>
          <cell r="I709"/>
        </row>
        <row r="710">
          <cell r="C710"/>
          <cell r="D710" t="str">
            <v>de l'</v>
          </cell>
          <cell r="E710" t="str">
            <v>Etiquette</v>
          </cell>
          <cell r="F710"/>
          <cell r="G710"/>
          <cell r="H710"/>
          <cell r="I710"/>
        </row>
        <row r="711">
          <cell r="C711"/>
          <cell r="D711" t="str">
            <v>du</v>
          </cell>
          <cell r="E711" t="str">
            <v>Tiers</v>
          </cell>
          <cell r="F711"/>
          <cell r="G711"/>
          <cell r="H711"/>
          <cell r="I711"/>
        </row>
        <row r="712">
          <cell r="C712"/>
          <cell r="D712" t="str">
            <v>de l'</v>
          </cell>
          <cell r="E712" t="str">
            <v>Objectif</v>
          </cell>
          <cell r="F712"/>
          <cell r="G712"/>
          <cell r="H712"/>
          <cell r="I712"/>
        </row>
        <row r="713">
          <cell r="C713"/>
          <cell r="D713" t="str">
            <v>de l'</v>
          </cell>
          <cell r="E713" t="str">
            <v>Objectif</v>
          </cell>
          <cell r="F713"/>
          <cell r="G713"/>
          <cell r="H713"/>
          <cell r="I713"/>
        </row>
        <row r="714">
          <cell r="C714"/>
          <cell r="D714" t="str">
            <v>de la</v>
          </cell>
          <cell r="E714" t="str">
            <v>Demande</v>
          </cell>
          <cell r="F714"/>
          <cell r="G714"/>
          <cell r="H714"/>
          <cell r="I714"/>
        </row>
        <row r="715">
          <cell r="C715"/>
          <cell r="D715" t="str">
            <v>de la</v>
          </cell>
          <cell r="E715" t="str">
            <v>Demande</v>
          </cell>
          <cell r="F715"/>
          <cell r="G715"/>
          <cell r="H715"/>
          <cell r="I715"/>
        </row>
        <row r="716">
          <cell r="C716"/>
          <cell r="D716" t="str">
            <v>de la</v>
          </cell>
          <cell r="E716" t="str">
            <v>Demande</v>
          </cell>
          <cell r="F716"/>
          <cell r="G716"/>
          <cell r="H716"/>
          <cell r="I716"/>
        </row>
        <row r="717">
          <cell r="C717"/>
          <cell r="D717" t="str">
            <v>de la</v>
          </cell>
          <cell r="E717" t="str">
            <v>Demande</v>
          </cell>
          <cell r="F717"/>
          <cell r="G717"/>
          <cell r="H717"/>
          <cell r="I717"/>
        </row>
        <row r="718">
          <cell r="C718"/>
          <cell r="D718" t="str">
            <v>de la</v>
          </cell>
          <cell r="E718" t="str">
            <v>Demande</v>
          </cell>
          <cell r="F718"/>
          <cell r="G718"/>
          <cell r="H718"/>
          <cell r="I718"/>
        </row>
        <row r="719">
          <cell r="C719"/>
          <cell r="D719" t="str">
            <v>de la</v>
          </cell>
          <cell r="E719" t="str">
            <v>Demande</v>
          </cell>
          <cell r="F719"/>
          <cell r="G719"/>
          <cell r="H719"/>
          <cell r="I719"/>
        </row>
        <row r="720">
          <cell r="C720"/>
          <cell r="D720" t="str">
            <v>de la</v>
          </cell>
          <cell r="E720" t="str">
            <v>Demande</v>
          </cell>
          <cell r="F720"/>
          <cell r="G720"/>
          <cell r="H720"/>
          <cell r="I720"/>
        </row>
        <row r="721">
          <cell r="C721"/>
          <cell r="D721" t="str">
            <v>du</v>
          </cell>
          <cell r="E721" t="str">
            <v>Flux à l'origine de la demande</v>
          </cell>
          <cell r="F721"/>
          <cell r="G721"/>
          <cell r="H721"/>
          <cell r="I721"/>
        </row>
        <row r="722">
          <cell r="C722"/>
          <cell r="D722" t="str">
            <v>du</v>
          </cell>
          <cell r="E722" t="str">
            <v>Flux à l'origine de la demande</v>
          </cell>
          <cell r="F722"/>
          <cell r="G722"/>
          <cell r="H722"/>
          <cell r="I722"/>
        </row>
        <row r="723">
          <cell r="C723"/>
          <cell r="D723" t="str">
            <v>de l'</v>
          </cell>
          <cell r="E723" t="str">
            <v>Etape de la demande</v>
          </cell>
          <cell r="F723"/>
          <cell r="G723"/>
          <cell r="H723"/>
          <cell r="I723"/>
        </row>
        <row r="724">
          <cell r="C724"/>
          <cell r="D724" t="str">
            <v>de l'</v>
          </cell>
          <cell r="E724" t="str">
            <v>Etape de la demande</v>
          </cell>
          <cell r="F724"/>
          <cell r="G724"/>
          <cell r="H724"/>
          <cell r="I724"/>
        </row>
        <row r="725">
          <cell r="C725"/>
          <cell r="D725" t="str">
            <v>de l'</v>
          </cell>
          <cell r="E725" t="str">
            <v>Etape de la demande</v>
          </cell>
          <cell r="F725"/>
          <cell r="G725"/>
          <cell r="H725"/>
          <cell r="I725"/>
        </row>
        <row r="726">
          <cell r="C726"/>
          <cell r="D726" t="str">
            <v>de l'</v>
          </cell>
          <cell r="E726" t="str">
            <v>Etape de la demande</v>
          </cell>
          <cell r="F726"/>
          <cell r="G726"/>
          <cell r="H726"/>
          <cell r="I726"/>
        </row>
        <row r="727">
          <cell r="C727"/>
          <cell r="D727" t="str">
            <v>de la</v>
          </cell>
          <cell r="E727" t="str">
            <v>Demande liée</v>
          </cell>
          <cell r="F727"/>
          <cell r="G727"/>
          <cell r="H727"/>
          <cell r="I727"/>
        </row>
        <row r="728">
          <cell r="C728"/>
          <cell r="D728" t="str">
            <v>de la</v>
          </cell>
          <cell r="E728" t="str">
            <v>Demande liée</v>
          </cell>
          <cell r="F728"/>
          <cell r="G728"/>
          <cell r="H728"/>
          <cell r="I728"/>
        </row>
        <row r="729">
          <cell r="C729"/>
          <cell r="D729" t="str">
            <v>de l'</v>
          </cell>
          <cell r="E729" t="str">
            <v>Etiquette</v>
          </cell>
          <cell r="F729"/>
          <cell r="G729"/>
          <cell r="H729"/>
          <cell r="I729"/>
        </row>
        <row r="730">
          <cell r="C730"/>
          <cell r="D730" t="str">
            <v>de l'</v>
          </cell>
          <cell r="E730" t="str">
            <v>Etiquette</v>
          </cell>
          <cell r="F730"/>
          <cell r="G730"/>
          <cell r="H730"/>
          <cell r="I730"/>
        </row>
        <row r="731">
          <cell r="C731"/>
          <cell r="D731" t="str">
            <v>de l'</v>
          </cell>
          <cell r="E731" t="str">
            <v>Activité</v>
          </cell>
          <cell r="F731"/>
          <cell r="G731"/>
          <cell r="H731"/>
          <cell r="I731"/>
        </row>
        <row r="732">
          <cell r="C732"/>
          <cell r="D732" t="str">
            <v>de l'</v>
          </cell>
          <cell r="E732" t="str">
            <v>Activité</v>
          </cell>
          <cell r="F732"/>
          <cell r="G732"/>
          <cell r="H732"/>
          <cell r="I732"/>
        </row>
        <row r="733">
          <cell r="C733"/>
          <cell r="D733" t="str">
            <v>de l'</v>
          </cell>
          <cell r="E733" t="str">
            <v>Activité</v>
          </cell>
          <cell r="F733"/>
          <cell r="G733"/>
          <cell r="H733"/>
          <cell r="I733"/>
        </row>
        <row r="734">
          <cell r="C734"/>
          <cell r="D734" t="str">
            <v>du</v>
          </cell>
          <cell r="E734" t="str">
            <v>Sinistre</v>
          </cell>
          <cell r="F734"/>
          <cell r="G734"/>
          <cell r="H734"/>
          <cell r="I734"/>
        </row>
        <row r="735">
          <cell r="C735"/>
          <cell r="D735" t="str">
            <v>de l'</v>
          </cell>
          <cell r="E735" t="str">
            <v>Application informatique</v>
          </cell>
          <cell r="F735"/>
          <cell r="G735"/>
          <cell r="H735"/>
          <cell r="I735"/>
        </row>
        <row r="736">
          <cell r="C736" t="str">
            <v>Dernière image</v>
          </cell>
          <cell r="D736" t="str">
            <v>entre</v>
          </cell>
          <cell r="E736" t="str">
            <v>Activité</v>
          </cell>
          <cell r="F736" t="str">
            <v>et</v>
          </cell>
          <cell r="G736" t="str">
            <v>Qualifiant</v>
          </cell>
          <cell r="H736"/>
          <cell r="I736"/>
        </row>
        <row r="737">
          <cell r="C737"/>
          <cell r="D737" t="str">
            <v>de l'</v>
          </cell>
          <cell r="E737" t="str">
            <v>Application informatique</v>
          </cell>
          <cell r="F737"/>
          <cell r="G737"/>
          <cell r="H737"/>
          <cell r="I737"/>
        </row>
        <row r="738">
          <cell r="C738"/>
          <cell r="D738" t="str">
            <v>de l'</v>
          </cell>
          <cell r="E738" t="str">
            <v>Application informatique</v>
          </cell>
          <cell r="F738"/>
          <cell r="G738"/>
          <cell r="H738"/>
          <cell r="I738"/>
        </row>
        <row r="739">
          <cell r="C739"/>
          <cell r="D739" t="str">
            <v>de l'</v>
          </cell>
          <cell r="E739" t="str">
            <v>Application informatique</v>
          </cell>
          <cell r="F739"/>
          <cell r="G739"/>
          <cell r="H739"/>
          <cell r="I739"/>
        </row>
        <row r="740">
          <cell r="C740" t="str">
            <v>Dernière image</v>
          </cell>
          <cell r="D740" t="str">
            <v>entre</v>
          </cell>
          <cell r="E740" t="str">
            <v>Activité</v>
          </cell>
          <cell r="F740" t="str">
            <v>et</v>
          </cell>
          <cell r="G740" t="str">
            <v>Demande</v>
          </cell>
          <cell r="H740"/>
          <cell r="I740"/>
        </row>
        <row r="741">
          <cell r="C741"/>
          <cell r="D741" t="str">
            <v>du</v>
          </cell>
          <cell r="E741" t="str">
            <v>Canal de distribution</v>
          </cell>
          <cell r="F741"/>
          <cell r="G741"/>
          <cell r="H741"/>
          <cell r="I741"/>
        </row>
        <row r="742">
          <cell r="C742" t="str">
            <v>Dernière image</v>
          </cell>
          <cell r="D742" t="str">
            <v>entre</v>
          </cell>
          <cell r="E742" t="str">
            <v>Application informatique</v>
          </cell>
          <cell r="F742" t="str">
            <v>et</v>
          </cell>
          <cell r="G742" t="str">
            <v>Demande</v>
          </cell>
          <cell r="H742"/>
          <cell r="I742"/>
        </row>
        <row r="743">
          <cell r="C743"/>
          <cell r="D743" t="str">
            <v>du</v>
          </cell>
          <cell r="E743" t="str">
            <v>Canal de distribution</v>
          </cell>
          <cell r="F743"/>
          <cell r="G743"/>
          <cell r="H743"/>
          <cell r="I743"/>
        </row>
        <row r="744">
          <cell r="C744" t="str">
            <v>Dernière image</v>
          </cell>
          <cell r="D744" t="str">
            <v>entre</v>
          </cell>
          <cell r="E744" t="str">
            <v>Qualifiant</v>
          </cell>
          <cell r="F744" t="str">
            <v>et</v>
          </cell>
          <cell r="G744" t="str">
            <v>Demande</v>
          </cell>
          <cell r="H744"/>
          <cell r="I744"/>
        </row>
        <row r="745">
          <cell r="C745"/>
          <cell r="D745" t="str">
            <v>de l'</v>
          </cell>
          <cell r="E745" t="str">
            <v>Objectif</v>
          </cell>
          <cell r="F745"/>
          <cell r="G745"/>
          <cell r="H745"/>
          <cell r="I745"/>
        </row>
        <row r="746">
          <cell r="C746"/>
          <cell r="D746" t="str">
            <v>de l'</v>
          </cell>
          <cell r="E746" t="str">
            <v>Objectif</v>
          </cell>
          <cell r="F746"/>
          <cell r="G746"/>
          <cell r="H746"/>
          <cell r="I746"/>
        </row>
        <row r="747">
          <cell r="C747" t="str">
            <v>Dernière image</v>
          </cell>
          <cell r="D747" t="str">
            <v>du</v>
          </cell>
          <cell r="E747" t="str">
            <v>Flux à l'origine de la demande</v>
          </cell>
          <cell r="F747"/>
          <cell r="G747"/>
          <cell r="H747"/>
          <cell r="I747"/>
        </row>
        <row r="748">
          <cell r="C748"/>
          <cell r="D748" t="str">
            <v>de la</v>
          </cell>
          <cell r="E748" t="str">
            <v>Portée de l'objectif</v>
          </cell>
          <cell r="F748"/>
          <cell r="G748"/>
          <cell r="H748"/>
          <cell r="I748"/>
        </row>
        <row r="749">
          <cell r="C749" t="str">
            <v>Dernière image</v>
          </cell>
          <cell r="D749" t="str">
            <v>de l'</v>
          </cell>
          <cell r="E749" t="str">
            <v>Etape de la demande</v>
          </cell>
          <cell r="F749"/>
          <cell r="G749"/>
          <cell r="H749"/>
          <cell r="I749"/>
        </row>
        <row r="750">
          <cell r="C750"/>
          <cell r="D750" t="str">
            <v>de la</v>
          </cell>
          <cell r="E750" t="str">
            <v>Portée de l'objectif</v>
          </cell>
          <cell r="F750"/>
          <cell r="G750"/>
          <cell r="H750"/>
          <cell r="I750"/>
        </row>
        <row r="751">
          <cell r="C751"/>
          <cell r="D751" t="str">
            <v>du</v>
          </cell>
          <cell r="E751" t="str">
            <v>Qualifiant</v>
          </cell>
          <cell r="F751"/>
          <cell r="G751"/>
          <cell r="H751"/>
          <cell r="I751"/>
        </row>
        <row r="752">
          <cell r="C752"/>
          <cell r="D752" t="str">
            <v>du</v>
          </cell>
          <cell r="E752" t="str">
            <v>Qualifiant</v>
          </cell>
          <cell r="F752"/>
          <cell r="G752"/>
          <cell r="H752"/>
          <cell r="I752"/>
        </row>
        <row r="753">
          <cell r="C753"/>
          <cell r="D753" t="str">
            <v>du</v>
          </cell>
          <cell r="E753" t="str">
            <v>Qualifiant</v>
          </cell>
          <cell r="F753"/>
          <cell r="G753"/>
          <cell r="H753"/>
          <cell r="I753"/>
        </row>
        <row r="754">
          <cell r="C754"/>
          <cell r="D754" t="str">
            <v>de la</v>
          </cell>
          <cell r="E754" t="str">
            <v>Demande</v>
          </cell>
          <cell r="F754"/>
          <cell r="G754"/>
          <cell r="H754"/>
          <cell r="I754"/>
        </row>
        <row r="755">
          <cell r="C755"/>
          <cell r="D755" t="str">
            <v>du</v>
          </cell>
          <cell r="E755" t="str">
            <v>Flux à l'origine de la demande</v>
          </cell>
          <cell r="F755"/>
          <cell r="G755"/>
          <cell r="H755"/>
          <cell r="I755"/>
        </row>
        <row r="756">
          <cell r="C756"/>
          <cell r="D756" t="str">
            <v>du</v>
          </cell>
          <cell r="E756" t="str">
            <v>Flux à l'origine de la demande</v>
          </cell>
          <cell r="F756"/>
          <cell r="G756"/>
          <cell r="H756"/>
          <cell r="I756"/>
        </row>
        <row r="757">
          <cell r="C757"/>
          <cell r="D757" t="str">
            <v>du</v>
          </cell>
          <cell r="E757" t="str">
            <v>Flux à l'origine de la demande</v>
          </cell>
          <cell r="F757"/>
          <cell r="G757"/>
          <cell r="H757"/>
          <cell r="I757"/>
        </row>
        <row r="758">
          <cell r="C758"/>
          <cell r="D758" t="str">
            <v>de la</v>
          </cell>
          <cell r="E758" t="str">
            <v>Demande liée</v>
          </cell>
          <cell r="F758"/>
          <cell r="G758"/>
          <cell r="H758"/>
          <cell r="I758"/>
        </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1" t="str">
            <v>différé</v>
          </cell>
          <cell r="D761" t="str">
            <v>de l'</v>
          </cell>
          <cell r="E761" t="str">
            <v>Etape de la demande</v>
          </cell>
          <cell r="F761"/>
          <cell r="G761"/>
          <cell r="H761"/>
          <cell r="I761"/>
        </row>
        <row r="762">
          <cell r="C762" t="str">
            <v>prise en charge</v>
          </cell>
          <cell r="D762" t="str">
            <v>par</v>
          </cell>
          <cell r="E762" t="str">
            <v>Employé</v>
          </cell>
          <cell r="F762" t="str">
            <v>de l'</v>
          </cell>
          <cell r="G762" t="str">
            <v>Etape de la demande</v>
          </cell>
          <cell r="H762"/>
          <cell r="I762"/>
        </row>
        <row r="763">
          <cell r="C763" t="str">
            <v>prise en charge</v>
          </cell>
          <cell r="D763" t="str">
            <v>par</v>
          </cell>
          <cell r="E763" t="str">
            <v>Employé</v>
          </cell>
          <cell r="F763" t="str">
            <v>de l'</v>
          </cell>
          <cell r="G763" t="str">
            <v>Etape de la demande</v>
          </cell>
          <cell r="H763"/>
          <cell r="I763"/>
        </row>
        <row r="764">
          <cell r="C764" t="str">
            <v>possession</v>
          </cell>
          <cell r="D764" t="str">
            <v>de</v>
          </cell>
          <cell r="E764" t="str">
            <v>Contrat complémentaire</v>
          </cell>
          <cell r="F764" t="str">
            <v>du</v>
          </cell>
          <cell r="G764" t="str">
            <v>contrat prévoyance santé</v>
          </cell>
          <cell r="H764"/>
          <cell r="I764"/>
        </row>
        <row r="765">
          <cell r="C765" t="str">
            <v>prélèvement</v>
          </cell>
          <cell r="D765" t="str">
            <v>de la</v>
          </cell>
          <cell r="E765" t="str">
            <v>cotisation</v>
          </cell>
          <cell r="F765"/>
          <cell r="G765"/>
          <cell r="H765"/>
          <cell r="I765"/>
        </row>
        <row r="766">
          <cell r="C766" t="str">
            <v>groupement</v>
          </cell>
          <cell r="D766" t="str">
            <v>de l'</v>
          </cell>
          <cell r="E766" t="str">
            <v>avenant du contrat</v>
          </cell>
          <cell r="F766"/>
          <cell r="G766"/>
          <cell r="H766"/>
          <cell r="I766"/>
        </row>
        <row r="767">
          <cell r="C767" t="str">
            <v>dernier</v>
          </cell>
          <cell r="D767" t="str">
            <v>du</v>
          </cell>
          <cell r="E767" t="str">
            <v>avenant du contrat</v>
          </cell>
          <cell r="F767"/>
          <cell r="G767"/>
          <cell r="H767"/>
          <cell r="I767"/>
        </row>
        <row r="768">
          <cell r="C768" t="str">
            <v>version</v>
          </cell>
          <cell r="D768" t="str">
            <v>de l'</v>
          </cell>
          <cell r="E768" t="str">
            <v>Avenant du contrat</v>
          </cell>
          <cell r="F768"/>
          <cell r="G768"/>
          <cell r="H768"/>
          <cell r="I768"/>
        </row>
        <row r="769">
          <cell r="C769" t="str">
            <v>dernier</v>
          </cell>
          <cell r="D769" t="str">
            <v>du</v>
          </cell>
          <cell r="E769" t="str">
            <v>etat</v>
          </cell>
          <cell r="F769"/>
          <cell r="G769"/>
          <cell r="H769"/>
          <cell r="I769"/>
        </row>
        <row r="770">
          <cell r="C770" t="str">
            <v>dernière image</v>
          </cell>
          <cell r="D770" t="str">
            <v>de l'</v>
          </cell>
          <cell r="E770" t="str">
            <v>objet assuré</v>
          </cell>
          <cell r="F770" t="str">
            <v>du</v>
          </cell>
          <cell r="G770" t="str">
            <v>contrat</v>
          </cell>
          <cell r="H770"/>
          <cell r="I770"/>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cell r="F773"/>
          <cell r="G773"/>
          <cell r="H773"/>
          <cell r="I773"/>
        </row>
        <row r="774">
          <cell r="C774" t="str">
            <v>dernière image</v>
          </cell>
          <cell r="D774" t="str">
            <v>de l'</v>
          </cell>
          <cell r="E774" t="str">
            <v>objet assuré</v>
          </cell>
          <cell r="F774" t="str">
            <v>du</v>
          </cell>
          <cell r="G774" t="str">
            <v>contrat prévoyance santé</v>
          </cell>
          <cell r="H774"/>
          <cell r="I774"/>
        </row>
        <row r="775">
          <cell r="C775" t="str">
            <v>dernière image</v>
          </cell>
          <cell r="D775" t="str">
            <v>de l'</v>
          </cell>
          <cell r="E775" t="str">
            <v>avenant du contrat prévoyance santé</v>
          </cell>
          <cell r="F775"/>
          <cell r="G775"/>
          <cell r="H775"/>
          <cell r="I775"/>
        </row>
        <row r="776">
          <cell r="C776" t="str">
            <v>dernière image</v>
          </cell>
          <cell r="D776" t="str">
            <v>de l'</v>
          </cell>
          <cell r="E776" t="str">
            <v>échéance du contrat</v>
          </cell>
          <cell r="F776"/>
          <cell r="G776"/>
          <cell r="H776"/>
          <cell r="I776"/>
        </row>
        <row r="777">
          <cell r="C777"/>
          <cell r="D777" t="str">
            <v>du</v>
          </cell>
          <cell r="E777" t="str">
            <v>type</v>
          </cell>
          <cell r="F777" t="str">
            <v>de</v>
          </cell>
          <cell r="G777" t="str">
            <v>contrat</v>
          </cell>
          <cell r="H777"/>
          <cell r="I777"/>
        </row>
        <row r="778">
          <cell r="C778"/>
          <cell r="D778" t="str">
            <v>du</v>
          </cell>
          <cell r="E778" t="str">
            <v>type</v>
          </cell>
          <cell r="F778" t="str">
            <v>de</v>
          </cell>
          <cell r="G778" t="str">
            <v>contrat</v>
          </cell>
          <cell r="H778"/>
          <cell r="I778"/>
        </row>
        <row r="779">
          <cell r="C779" t="str">
            <v>annulé</v>
          </cell>
          <cell r="D779" t="str">
            <v>du</v>
          </cell>
          <cell r="E779" t="str">
            <v>Contrat</v>
          </cell>
          <cell r="F779"/>
          <cell r="G779"/>
          <cell r="H779"/>
          <cell r="I779"/>
        </row>
        <row r="780">
          <cell r="C780" t="str">
            <v>migré</v>
          </cell>
          <cell r="D780" t="str">
            <v>de</v>
          </cell>
          <cell r="E780" t="str">
            <v>Contrat</v>
          </cell>
          <cell r="F780"/>
          <cell r="G780"/>
          <cell r="H780"/>
          <cell r="I780"/>
        </row>
        <row r="781">
          <cell r="C781" t="str">
            <v>remplacé</v>
          </cell>
          <cell r="D781" t="str">
            <v>de</v>
          </cell>
          <cell r="E781" t="str">
            <v>Contrat</v>
          </cell>
          <cell r="F781"/>
          <cell r="G781"/>
          <cell r="H781"/>
          <cell r="I781"/>
        </row>
        <row r="782">
          <cell r="C782" t="str">
            <v>responsable</v>
          </cell>
          <cell r="D782" t="str">
            <v>de</v>
          </cell>
          <cell r="E782" t="str">
            <v>Contrat</v>
          </cell>
          <cell r="F782"/>
          <cell r="G782"/>
          <cell r="H782"/>
          <cell r="I782"/>
        </row>
        <row r="783">
          <cell r="C783" t="str">
            <v>dernière saisie</v>
          </cell>
          <cell r="D783" t="str">
            <v>de la</v>
          </cell>
          <cell r="E783" t="str">
            <v>Situation</v>
          </cell>
          <cell r="F783" t="str">
            <v>du</v>
          </cell>
          <cell r="G783" t="str">
            <v>Contrat</v>
          </cell>
          <cell r="H783"/>
          <cell r="I783"/>
        </row>
        <row r="784">
          <cell r="C784" t="str">
            <v>remplaçant</v>
          </cell>
          <cell r="D784" t="str">
            <v>de</v>
          </cell>
          <cell r="E784" t="str">
            <v>Contrat</v>
          </cell>
          <cell r="F784"/>
          <cell r="G784"/>
          <cell r="H784"/>
          <cell r="I784"/>
        </row>
        <row r="785">
          <cell r="C785" t="str">
            <v>multidétention</v>
          </cell>
          <cell r="D785" t="str">
            <v>de la</v>
          </cell>
          <cell r="E785" t="str">
            <v>Prévention bien-être collectif</v>
          </cell>
          <cell r="F785" t="str">
            <v>de l'</v>
          </cell>
          <cell r="G785" t="str">
            <v>avenant du contrat prévoyance santé</v>
          </cell>
          <cell r="H785"/>
          <cell r="I785"/>
        </row>
        <row r="786">
          <cell r="C786" t="str">
            <v>multidétention</v>
          </cell>
          <cell r="D786" t="str">
            <v>de la</v>
          </cell>
          <cell r="E786" t="str">
            <v>Prévention bien-être individuel</v>
          </cell>
          <cell r="F786" t="str">
            <v>de l'</v>
          </cell>
          <cell r="G786" t="str">
            <v>avenant du contrat prévoyance santé</v>
          </cell>
          <cell r="H786"/>
          <cell r="I786"/>
        </row>
        <row r="787">
          <cell r="C787" t="str">
            <v>multidétention</v>
          </cell>
          <cell r="D787" t="str">
            <v>de la</v>
          </cell>
          <cell r="E787" t="str">
            <v>Loi Madelin</v>
          </cell>
          <cell r="F787" t="str">
            <v>de l'</v>
          </cell>
          <cell r="G787" t="str">
            <v>avenant du contrat prévoyance santé</v>
          </cell>
          <cell r="H787"/>
          <cell r="I787"/>
        </row>
        <row r="788">
          <cell r="C788" t="str">
            <v>responsable</v>
          </cell>
          <cell r="D788" t="str">
            <v>de l'</v>
          </cell>
          <cell r="E788" t="str">
            <v>avenant du contrat prévoyance santé</v>
          </cell>
          <cell r="F788"/>
          <cell r="G788"/>
          <cell r="H788"/>
          <cell r="I788"/>
        </row>
        <row r="789">
          <cell r="C789" t="str">
            <v>exploitant agricole</v>
          </cell>
          <cell r="D789" t="str">
            <v>du</v>
          </cell>
          <cell r="E789" t="str">
            <v>souscripteur</v>
          </cell>
          <cell r="F789" t="str">
            <v>de l'</v>
          </cell>
          <cell r="G789" t="str">
            <v>avenant du contrat prévoyance santé</v>
          </cell>
          <cell r="H789"/>
          <cell r="I789"/>
        </row>
        <row r="790">
          <cell r="C790" t="str">
            <v>solidaire</v>
          </cell>
          <cell r="D790" t="str">
            <v>de l'</v>
          </cell>
          <cell r="E790" t="str">
            <v>avenant du contrat prévoyance santé</v>
          </cell>
          <cell r="F790"/>
          <cell r="G790"/>
          <cell r="H790"/>
          <cell r="I790"/>
        </row>
        <row r="791">
          <cell r="C791" t="str">
            <v>complémentaire santé</v>
          </cell>
          <cell r="D791" t="str">
            <v>de l'</v>
          </cell>
          <cell r="E791" t="str">
            <v>avenant du contrat prévoyance santé</v>
          </cell>
          <cell r="F791"/>
          <cell r="G791"/>
          <cell r="H791"/>
          <cell r="I791"/>
        </row>
        <row r="792">
          <cell r="C792"/>
          <cell r="D792" t="str">
            <v>du</v>
          </cell>
          <cell r="E792" t="str">
            <v>motif</v>
          </cell>
          <cell r="F792" t="str">
            <v>de l'</v>
          </cell>
          <cell r="G792" t="str">
            <v>avantage sans campagne commerciale</v>
          </cell>
          <cell r="H792"/>
          <cell r="I792"/>
        </row>
        <row r="793">
          <cell r="C793"/>
          <cell r="D793" t="str">
            <v>de</v>
          </cell>
          <cell r="E793" t="str">
            <v>frais</v>
          </cell>
          <cell r="F793" t="str">
            <v>d'</v>
          </cell>
          <cell r="G793" t="str">
            <v>avenant du contrat</v>
          </cell>
          <cell r="H793"/>
          <cell r="I793"/>
        </row>
        <row r="794">
          <cell r="C794"/>
          <cell r="D794" t="str">
            <v>du</v>
          </cell>
          <cell r="E794" t="str">
            <v>Canal de Distribution</v>
          </cell>
          <cell r="F794" t="str">
            <v>de l'</v>
          </cell>
          <cell r="G794" t="str">
            <v>Avenant du contrat</v>
          </cell>
          <cell r="H794"/>
          <cell r="I794"/>
        </row>
        <row r="795">
          <cell r="C795"/>
          <cell r="D795" t="str">
            <v>de l'</v>
          </cell>
          <cell r="E795" t="str">
            <v>Entité gestionnaire</v>
          </cell>
          <cell r="F795" t="str">
            <v>de l'</v>
          </cell>
          <cell r="G795" t="str">
            <v>Avenant du contrat</v>
          </cell>
          <cell r="H795"/>
          <cell r="I795"/>
        </row>
        <row r="796">
          <cell r="C796"/>
          <cell r="D796" t="str">
            <v>de l'</v>
          </cell>
          <cell r="E796" t="str">
            <v>Identifiant unique</v>
          </cell>
          <cell r="F796" t="str">
            <v>de l'</v>
          </cell>
          <cell r="G796" t="str">
            <v>Avenant du contrat</v>
          </cell>
          <cell r="H796"/>
          <cell r="I796"/>
        </row>
        <row r="797">
          <cell r="C797"/>
          <cell r="D797" t="str">
            <v>de l'</v>
          </cell>
          <cell r="E797" t="str">
            <v>Identifiant unique</v>
          </cell>
          <cell r="F797" t="str">
            <v>de l'</v>
          </cell>
          <cell r="G797" t="str">
            <v>Avenant du contrat</v>
          </cell>
          <cell r="H797"/>
          <cell r="I797"/>
        </row>
        <row r="798">
          <cell r="C798"/>
          <cell r="D798" t="str">
            <v>du</v>
          </cell>
          <cell r="E798" t="str">
            <v>Motif</v>
          </cell>
          <cell r="F798" t="str">
            <v>de</v>
          </cell>
          <cell r="G798" t="str">
            <v>Avenant du contrat</v>
          </cell>
          <cell r="H798"/>
          <cell r="I798"/>
        </row>
        <row r="799">
          <cell r="C799"/>
          <cell r="D799" t="str">
            <v>de la</v>
          </cell>
          <cell r="E799" t="str">
            <v>devise</v>
          </cell>
          <cell r="F799" t="str">
            <v>de l'</v>
          </cell>
          <cell r="G799" t="str">
            <v>Avenant du contrat</v>
          </cell>
          <cell r="H799"/>
          <cell r="I799"/>
        </row>
        <row r="800">
          <cell r="C800"/>
          <cell r="D800" t="str">
            <v>du</v>
          </cell>
          <cell r="E800" t="str">
            <v>créateur</v>
          </cell>
          <cell r="F800" t="str">
            <v>de l'</v>
          </cell>
          <cell r="G800" t="str">
            <v>avenant du contrat</v>
          </cell>
          <cell r="H800"/>
          <cell r="I800"/>
        </row>
        <row r="801">
          <cell r="C801"/>
          <cell r="D801" t="str">
            <v>du</v>
          </cell>
          <cell r="E801" t="str">
            <v>Canal de Distribution</v>
          </cell>
          <cell r="F801" t="str">
            <v>de l'</v>
          </cell>
          <cell r="G801" t="str">
            <v>Avenant du contrat</v>
          </cell>
          <cell r="H801"/>
          <cell r="I801"/>
        </row>
        <row r="802">
          <cell r="C802"/>
          <cell r="D802" t="str">
            <v>du</v>
          </cell>
          <cell r="E802" t="str">
            <v>Canal de Distribution</v>
          </cell>
          <cell r="F802" t="str">
            <v>de l'</v>
          </cell>
          <cell r="G802" t="str">
            <v>Avenant du contrat</v>
          </cell>
          <cell r="H802"/>
          <cell r="I802"/>
        </row>
        <row r="803">
          <cell r="C803"/>
          <cell r="D803" t="str">
            <v>du</v>
          </cell>
          <cell r="E803" t="str">
            <v>Produit d'Assurance</v>
          </cell>
          <cell r="F803" t="str">
            <v>de l'</v>
          </cell>
          <cell r="G803" t="str">
            <v>Avenant du contrat</v>
          </cell>
          <cell r="H803"/>
          <cell r="I803"/>
        </row>
        <row r="804">
          <cell r="C804"/>
          <cell r="D804" t="str">
            <v>de l'</v>
          </cell>
          <cell r="E804" t="str">
            <v>intermédiaire de gestion</v>
          </cell>
          <cell r="F804" t="str">
            <v>de l'</v>
          </cell>
          <cell r="G804" t="str">
            <v>avenant du contrat</v>
          </cell>
          <cell r="H804"/>
          <cell r="I804"/>
        </row>
        <row r="805">
          <cell r="C805"/>
          <cell r="D805" t="str">
            <v>de l'</v>
          </cell>
          <cell r="E805" t="str">
            <v>Entité gestionnaire</v>
          </cell>
          <cell r="F805" t="str">
            <v>de l'</v>
          </cell>
          <cell r="G805" t="str">
            <v>Avenant du contrat</v>
          </cell>
          <cell r="H805"/>
          <cell r="I805"/>
        </row>
        <row r="806">
          <cell r="C806"/>
          <cell r="D806" t="str">
            <v>de l'</v>
          </cell>
          <cell r="E806" t="str">
            <v>Entité gestionnaire</v>
          </cell>
          <cell r="F806" t="str">
            <v>de l'</v>
          </cell>
          <cell r="G806" t="str">
            <v>Avenant du contrat</v>
          </cell>
          <cell r="H806"/>
          <cell r="I806"/>
        </row>
        <row r="807">
          <cell r="C807" t="str">
            <v>dernière image</v>
          </cell>
          <cell r="D807" t="str">
            <v>de la</v>
          </cell>
          <cell r="E807" t="str">
            <v>garantie souscrite</v>
          </cell>
          <cell r="F807"/>
          <cell r="G807"/>
          <cell r="H807"/>
          <cell r="I807"/>
        </row>
        <row r="808">
          <cell r="C808"/>
          <cell r="D808" t="str">
            <v>du</v>
          </cell>
          <cell r="E808" t="str">
            <v>site de gestion</v>
          </cell>
          <cell r="F808" t="str">
            <v>de l'</v>
          </cell>
          <cell r="G808" t="str">
            <v>Avenant du contrat</v>
          </cell>
          <cell r="H808"/>
          <cell r="I808"/>
        </row>
        <row r="809">
          <cell r="C809"/>
          <cell r="D809" t="str">
            <v>de la</v>
          </cell>
          <cell r="E809" t="str">
            <v>mise à jour</v>
          </cell>
          <cell r="F809" t="str">
            <v>de l'</v>
          </cell>
          <cell r="G809" t="str">
            <v>avenant du contrat</v>
          </cell>
          <cell r="H809"/>
          <cell r="I809"/>
        </row>
        <row r="810">
          <cell r="C810"/>
          <cell r="D810" t="str">
            <v>du</v>
          </cell>
          <cell r="E810" t="str">
            <v>mode de connexion</v>
          </cell>
          <cell r="F810"/>
          <cell r="G810" t="str">
            <v>ayant saisi</v>
          </cell>
          <cell r="H810"/>
          <cell r="I810"/>
        </row>
        <row r="811">
          <cell r="C811"/>
          <cell r="D811" t="str">
            <v>du</v>
          </cell>
          <cell r="E811" t="str">
            <v>Rédacteur</v>
          </cell>
          <cell r="F811"/>
          <cell r="G811" t="str">
            <v>ayant saisi</v>
          </cell>
          <cell r="H811" t="str">
            <v>de l'</v>
          </cell>
          <cell r="I811" t="str">
            <v>Avenant du contrat</v>
          </cell>
        </row>
        <row r="812">
          <cell r="C812"/>
          <cell r="D812" t="str">
            <v>du</v>
          </cell>
          <cell r="E812" t="str">
            <v>Type d'identifiant</v>
          </cell>
          <cell r="F812"/>
          <cell r="G812" t="str">
            <v>ayant saisi</v>
          </cell>
          <cell r="H812" t="str">
            <v>l'</v>
          </cell>
          <cell r="I812" t="str">
            <v>Avenant du contrat</v>
          </cell>
        </row>
        <row r="813">
          <cell r="C813"/>
          <cell r="D813" t="str">
            <v>du</v>
          </cell>
          <cell r="E813" t="str">
            <v>Type d'identifiant</v>
          </cell>
          <cell r="F813"/>
          <cell r="G813" t="str">
            <v>ayant saisi</v>
          </cell>
          <cell r="H813" t="str">
            <v>l'</v>
          </cell>
          <cell r="I813" t="str">
            <v>Avenant du contrat</v>
          </cell>
        </row>
        <row r="814">
          <cell r="C814"/>
          <cell r="D814" t="str">
            <v>du</v>
          </cell>
          <cell r="E814" t="str">
            <v>crédit d'impot</v>
          </cell>
          <cell r="F814" t="str">
            <v>pour le</v>
          </cell>
          <cell r="G814" t="str">
            <v>bénéficiaire en assurance santé</v>
          </cell>
          <cell r="H814"/>
          <cell r="I814"/>
        </row>
        <row r="815">
          <cell r="C815"/>
          <cell r="D815" t="str">
            <v>de l'</v>
          </cell>
          <cell r="E815" t="str">
            <v>adhésion</v>
          </cell>
          <cell r="F815" t="str">
            <v>du</v>
          </cell>
          <cell r="G815" t="str">
            <v>bénéficiaire en assurance santé</v>
          </cell>
          <cell r="H815"/>
          <cell r="I815"/>
        </row>
        <row r="816">
          <cell r="C816"/>
          <cell r="D816" t="str">
            <v>de l'</v>
          </cell>
          <cell r="E816" t="str">
            <v>adhésion</v>
          </cell>
          <cell r="F816" t="str">
            <v>du</v>
          </cell>
          <cell r="G816" t="str">
            <v>bénéficiaire en assurance santé</v>
          </cell>
          <cell r="H816"/>
          <cell r="I816"/>
        </row>
        <row r="817">
          <cell r="C817"/>
          <cell r="D817" t="str">
            <v>de la</v>
          </cell>
          <cell r="E817" t="str">
            <v>typologie</v>
          </cell>
          <cell r="F817" t="str">
            <v>du</v>
          </cell>
          <cell r="G817" t="str">
            <v>bénéficiaire en assurance santé</v>
          </cell>
          <cell r="H817" t="str">
            <v>de l'</v>
          </cell>
          <cell r="I817" t="str">
            <v>objet assuré</v>
          </cell>
        </row>
        <row r="818">
          <cell r="C818"/>
          <cell r="D818" t="str">
            <v>du</v>
          </cell>
          <cell r="E818" t="str">
            <v>motif de sortie</v>
          </cell>
          <cell r="F818" t="str">
            <v>du</v>
          </cell>
          <cell r="G818" t="str">
            <v>bénéficiaire en assurance santé</v>
          </cell>
          <cell r="H818"/>
          <cell r="I818"/>
        </row>
        <row r="819">
          <cell r="C819" t="str">
            <v>réel</v>
          </cell>
          <cell r="D819" t="str">
            <v>du</v>
          </cell>
          <cell r="E819" t="str">
            <v>contrat groupe</v>
          </cell>
          <cell r="F819"/>
          <cell r="G819"/>
          <cell r="H819"/>
          <cell r="I819"/>
        </row>
        <row r="820">
          <cell r="C820"/>
          <cell r="D820" t="str">
            <v>du</v>
          </cell>
          <cell r="E820" t="str">
            <v>mode de calcul</v>
          </cell>
          <cell r="F820" t="str">
            <v>de la</v>
          </cell>
          <cell r="G820" t="str">
            <v>commission à échéance</v>
          </cell>
          <cell r="H820"/>
          <cell r="I820"/>
        </row>
        <row r="821">
          <cell r="C821"/>
          <cell r="D821" t="str">
            <v>du</v>
          </cell>
          <cell r="E821" t="str">
            <v>mode de calcul</v>
          </cell>
          <cell r="F821" t="str">
            <v>de la</v>
          </cell>
          <cell r="G821" t="str">
            <v>commission initiale</v>
          </cell>
          <cell r="H821"/>
          <cell r="I821"/>
        </row>
        <row r="822">
          <cell r="C822"/>
          <cell r="D822" t="str">
            <v>de l'</v>
          </cell>
          <cell r="E822" t="str">
            <v>Entité gestionnaire</v>
          </cell>
          <cell r="F822" t="str">
            <v>du</v>
          </cell>
          <cell r="G822" t="str">
            <v>commissionnement</v>
          </cell>
          <cell r="H822"/>
          <cell r="I822"/>
        </row>
        <row r="823">
          <cell r="C823" t="str">
            <v>ancien</v>
          </cell>
          <cell r="D823" t="str">
            <v>du</v>
          </cell>
          <cell r="E823" t="str">
            <v>contrat PCM</v>
          </cell>
          <cell r="F823"/>
          <cell r="G823"/>
          <cell r="H823"/>
          <cell r="I823"/>
        </row>
        <row r="824">
          <cell r="C824" t="str">
            <v>ancien</v>
          </cell>
          <cell r="D824" t="str">
            <v>d'</v>
          </cell>
          <cell r="E824" t="str">
            <v>adhésion PCM</v>
          </cell>
          <cell r="F824"/>
          <cell r="G824"/>
          <cell r="H824"/>
          <cell r="I824"/>
        </row>
        <row r="825">
          <cell r="C825"/>
          <cell r="D825" t="str">
            <v>de l'</v>
          </cell>
          <cell r="E825" t="str">
            <v>objet assuré</v>
          </cell>
          <cell r="F825" t="str">
            <v>du</v>
          </cell>
          <cell r="G825" t="str">
            <v>contrat</v>
          </cell>
          <cell r="H825"/>
          <cell r="I825"/>
        </row>
        <row r="826">
          <cell r="C826"/>
          <cell r="D826" t="str">
            <v>de</v>
          </cell>
          <cell r="E826" t="str">
            <v>mise à jour</v>
          </cell>
          <cell r="F826" t="str">
            <v>du</v>
          </cell>
          <cell r="G826" t="str">
            <v>contrat</v>
          </cell>
          <cell r="H826"/>
          <cell r="I826"/>
        </row>
        <row r="827">
          <cell r="C827" t="str">
            <v>FINESS</v>
          </cell>
          <cell r="D827" t="str">
            <v>du</v>
          </cell>
          <cell r="E827" t="str">
            <v>médecin référent</v>
          </cell>
          <cell r="F827"/>
          <cell r="G827"/>
          <cell r="H827"/>
          <cell r="I827"/>
        </row>
        <row r="828">
          <cell r="C828"/>
          <cell r="D828" t="str">
            <v>de la</v>
          </cell>
          <cell r="E828" t="str">
            <v>Devise</v>
          </cell>
          <cell r="F828" t="str">
            <v>du</v>
          </cell>
          <cell r="G828" t="str">
            <v>Contrat</v>
          </cell>
          <cell r="H828"/>
          <cell r="I828"/>
        </row>
        <row r="829">
          <cell r="C829" t="str">
            <v>forcé</v>
          </cell>
          <cell r="D829" t="str">
            <v>à la</v>
          </cell>
          <cell r="E829" t="str">
            <v>souscription</v>
          </cell>
          <cell r="F829"/>
          <cell r="G829"/>
          <cell r="H829"/>
          <cell r="I829"/>
        </row>
        <row r="830">
          <cell r="C830"/>
          <cell r="D830" t="str">
            <v>de l'</v>
          </cell>
          <cell r="E830" t="str">
            <v>objet assuré</v>
          </cell>
          <cell r="F830" t="str">
            <v>du</v>
          </cell>
          <cell r="G830" t="str">
            <v>contrat</v>
          </cell>
          <cell r="H830"/>
          <cell r="I830"/>
        </row>
        <row r="831">
          <cell r="C831"/>
          <cell r="D831" t="str">
            <v>du</v>
          </cell>
          <cell r="E831" t="str">
            <v>Mode de gestion</v>
          </cell>
          <cell r="F831" t="str">
            <v>du</v>
          </cell>
          <cell r="G831" t="str">
            <v>Contrat</v>
          </cell>
          <cell r="H831"/>
          <cell r="I831"/>
        </row>
        <row r="832">
          <cell r="C832"/>
          <cell r="D832" t="str">
            <v>du</v>
          </cell>
          <cell r="E832" t="str">
            <v>type d'opération</v>
          </cell>
          <cell r="F832" t="str">
            <v>de</v>
          </cell>
          <cell r="G832" t="str">
            <v>Contrat</v>
          </cell>
          <cell r="H832"/>
          <cell r="I832"/>
        </row>
        <row r="833">
          <cell r="C833"/>
          <cell r="D833" t="str">
            <v>de la</v>
          </cell>
          <cell r="E833" t="str">
            <v>Situation</v>
          </cell>
          <cell r="F833" t="str">
            <v>du</v>
          </cell>
          <cell r="G833" t="str">
            <v>Contrat</v>
          </cell>
          <cell r="H833"/>
          <cell r="I833"/>
        </row>
        <row r="834">
          <cell r="C834"/>
          <cell r="D834" t="str">
            <v>de la</v>
          </cell>
          <cell r="E834" t="str">
            <v>période de couverture</v>
          </cell>
          <cell r="F834" t="str">
            <v>du</v>
          </cell>
          <cell r="G834" t="str">
            <v>contrat</v>
          </cell>
          <cell r="H834"/>
          <cell r="I834"/>
        </row>
        <row r="835">
          <cell r="C835"/>
          <cell r="D835" t="str">
            <v>de la</v>
          </cell>
          <cell r="E835" t="str">
            <v>période de couverture</v>
          </cell>
          <cell r="F835" t="str">
            <v>du</v>
          </cell>
          <cell r="G835" t="str">
            <v>contrat</v>
          </cell>
          <cell r="H835"/>
          <cell r="I835"/>
        </row>
        <row r="836">
          <cell r="C836"/>
          <cell r="D836" t="str">
            <v>d'</v>
          </cell>
          <cell r="E836" t="str">
            <v>échéance différée</v>
          </cell>
          <cell r="F836" t="str">
            <v>du</v>
          </cell>
          <cell r="G836" t="str">
            <v>Contrat</v>
          </cell>
          <cell r="H836"/>
          <cell r="I836"/>
        </row>
        <row r="837">
          <cell r="C837"/>
          <cell r="D837" t="str">
            <v>de l'</v>
          </cell>
          <cell r="E837" t="str">
            <v>objet assuré</v>
          </cell>
          <cell r="F837" t="str">
            <v>du</v>
          </cell>
          <cell r="G837" t="str">
            <v>contrat</v>
          </cell>
          <cell r="H837"/>
          <cell r="I837"/>
        </row>
        <row r="838">
          <cell r="C838"/>
          <cell r="D838" t="str">
            <v>de l'</v>
          </cell>
          <cell r="E838" t="str">
            <v>objet assuré</v>
          </cell>
          <cell r="F838" t="str">
            <v>du</v>
          </cell>
          <cell r="G838" t="str">
            <v>contrat</v>
          </cell>
          <cell r="H838"/>
          <cell r="I838"/>
        </row>
        <row r="839">
          <cell r="C839"/>
          <cell r="D839" t="str">
            <v>de l'</v>
          </cell>
          <cell r="E839" t="str">
            <v>objet assuré</v>
          </cell>
          <cell r="F839" t="str">
            <v>du</v>
          </cell>
          <cell r="G839" t="str">
            <v>contrat</v>
          </cell>
          <cell r="H839"/>
          <cell r="I839"/>
        </row>
        <row r="840">
          <cell r="C840"/>
          <cell r="D840" t="str">
            <v>de l'</v>
          </cell>
          <cell r="E840" t="str">
            <v>objet assuré</v>
          </cell>
          <cell r="F840" t="str">
            <v>du</v>
          </cell>
          <cell r="G840" t="str">
            <v>contrat</v>
          </cell>
          <cell r="H840"/>
          <cell r="I840"/>
        </row>
        <row r="841">
          <cell r="C841"/>
          <cell r="D841" t="str">
            <v>d'</v>
          </cell>
          <cell r="E841" t="str">
            <v>échéance principale</v>
          </cell>
          <cell r="F841" t="str">
            <v>du</v>
          </cell>
          <cell r="G841" t="str">
            <v>Contrat</v>
          </cell>
          <cell r="H841"/>
          <cell r="I841"/>
        </row>
        <row r="842">
          <cell r="C842"/>
          <cell r="D842" t="str">
            <v>d'</v>
          </cell>
          <cell r="E842" t="str">
            <v>échéance principale</v>
          </cell>
          <cell r="F842" t="str">
            <v>du</v>
          </cell>
          <cell r="G842" t="str">
            <v>Contrat</v>
          </cell>
          <cell r="H842"/>
          <cell r="I842"/>
        </row>
        <row r="843">
          <cell r="C843"/>
          <cell r="D843" t="str">
            <v>de l'</v>
          </cell>
          <cell r="E843" t="str">
            <v>opération</v>
          </cell>
          <cell r="F843" t="str">
            <v>sur le</v>
          </cell>
          <cell r="G843" t="str">
            <v>contrat</v>
          </cell>
          <cell r="H843"/>
          <cell r="I843"/>
        </row>
        <row r="844">
          <cell r="C844"/>
          <cell r="D844" t="str">
            <v>de la</v>
          </cell>
          <cell r="E844" t="str">
            <v>Situation</v>
          </cell>
          <cell r="F844" t="str">
            <v>du</v>
          </cell>
          <cell r="G844" t="str">
            <v>Contrat</v>
          </cell>
          <cell r="H844"/>
          <cell r="I844"/>
        </row>
        <row r="845">
          <cell r="C845"/>
          <cell r="D845" t="str">
            <v>de la</v>
          </cell>
          <cell r="E845" t="str">
            <v>résiliation</v>
          </cell>
          <cell r="F845" t="str">
            <v>du</v>
          </cell>
          <cell r="G845" t="str">
            <v>Contrat</v>
          </cell>
          <cell r="H845"/>
          <cell r="I845"/>
        </row>
        <row r="846">
          <cell r="C846"/>
          <cell r="D846" t="str">
            <v>de l'</v>
          </cell>
          <cell r="E846" t="str">
            <v>Identifiant unique</v>
          </cell>
          <cell r="F846" t="str">
            <v>du</v>
          </cell>
          <cell r="G846" t="str">
            <v>Contrat</v>
          </cell>
          <cell r="H846"/>
          <cell r="I846"/>
        </row>
        <row r="847">
          <cell r="C847"/>
          <cell r="D847" t="str">
            <v>de l'</v>
          </cell>
          <cell r="E847" t="str">
            <v>Identifiant unique</v>
          </cell>
          <cell r="F847" t="str">
            <v>du</v>
          </cell>
          <cell r="G847" t="str">
            <v>Contrat</v>
          </cell>
          <cell r="H847"/>
          <cell r="I847"/>
        </row>
        <row r="848">
          <cell r="C848"/>
          <cell r="D848" t="str">
            <v>de la</v>
          </cell>
          <cell r="E848" t="str">
            <v>devise</v>
          </cell>
          <cell r="F848" t="str">
            <v>du</v>
          </cell>
          <cell r="G848" t="str">
            <v>Contrat</v>
          </cell>
          <cell r="H848"/>
          <cell r="I848"/>
        </row>
        <row r="849">
          <cell r="C849"/>
          <cell r="D849" t="str">
            <v>du</v>
          </cell>
          <cell r="E849" t="str">
            <v>Mode de gestion</v>
          </cell>
          <cell r="F849" t="str">
            <v>de</v>
          </cell>
          <cell r="G849" t="str">
            <v>Contrat</v>
          </cell>
          <cell r="H849"/>
          <cell r="I849"/>
        </row>
        <row r="850">
          <cell r="C850"/>
          <cell r="D850" t="str">
            <v>du</v>
          </cell>
          <cell r="E850" t="str">
            <v>Mode de gestion</v>
          </cell>
          <cell r="F850" t="str">
            <v>du</v>
          </cell>
          <cell r="G850" t="str">
            <v>Contrat</v>
          </cell>
          <cell r="H850"/>
          <cell r="I850"/>
        </row>
        <row r="851">
          <cell r="C851"/>
          <cell r="D851" t="str">
            <v>de l'</v>
          </cell>
          <cell r="E851" t="str">
            <v>Opération</v>
          </cell>
          <cell r="F851" t="str">
            <v>de</v>
          </cell>
          <cell r="G851" t="str">
            <v>Contrat</v>
          </cell>
          <cell r="H851"/>
          <cell r="I851"/>
        </row>
        <row r="852">
          <cell r="C852"/>
          <cell r="D852" t="str">
            <v>de l'</v>
          </cell>
          <cell r="E852" t="str">
            <v>Opération</v>
          </cell>
          <cell r="F852" t="str">
            <v>de</v>
          </cell>
          <cell r="G852" t="str">
            <v>Contrat</v>
          </cell>
          <cell r="H852"/>
          <cell r="I852"/>
        </row>
        <row r="853">
          <cell r="C853"/>
          <cell r="D853" t="str">
            <v>du</v>
          </cell>
          <cell r="E853" t="str">
            <v>site de gestion</v>
          </cell>
          <cell r="F853" t="str">
            <v>du</v>
          </cell>
          <cell r="G853" t="str">
            <v>contrat</v>
          </cell>
          <cell r="H853"/>
          <cell r="I853"/>
        </row>
        <row r="854">
          <cell r="C854"/>
          <cell r="D854" t="str">
            <v>de l'</v>
          </cell>
          <cell r="E854" t="str">
            <v>Application source</v>
          </cell>
          <cell r="F854" t="str">
            <v>du</v>
          </cell>
          <cell r="G854" t="str">
            <v>Contrat</v>
          </cell>
          <cell r="H854"/>
          <cell r="I854"/>
        </row>
        <row r="855">
          <cell r="C855"/>
          <cell r="D855" t="str">
            <v>de la</v>
          </cell>
          <cell r="E855" t="str">
            <v>Situation</v>
          </cell>
          <cell r="F855" t="str">
            <v>du</v>
          </cell>
          <cell r="G855" t="str">
            <v>Contrat</v>
          </cell>
          <cell r="H855"/>
          <cell r="I855"/>
        </row>
        <row r="856">
          <cell r="C856"/>
          <cell r="D856" t="str">
            <v>de la</v>
          </cell>
          <cell r="E856" t="str">
            <v>Situation</v>
          </cell>
          <cell r="F856" t="str">
            <v>du</v>
          </cell>
          <cell r="G856" t="str">
            <v>Contrat</v>
          </cell>
          <cell r="H856"/>
          <cell r="I856"/>
        </row>
        <row r="857">
          <cell r="C857"/>
          <cell r="D857" t="str">
            <v>du</v>
          </cell>
          <cell r="E857" t="str">
            <v>tiers</v>
          </cell>
          <cell r="F857" t="str">
            <v>du</v>
          </cell>
          <cell r="G857" t="str">
            <v>contrat</v>
          </cell>
          <cell r="H857"/>
          <cell r="I857"/>
        </row>
        <row r="858">
          <cell r="C858"/>
          <cell r="D858" t="str">
            <v>de</v>
          </cell>
          <cell r="E858" t="str">
            <v>renumérotation massive</v>
          </cell>
          <cell r="F858" t="str">
            <v>du</v>
          </cell>
          <cell r="G858" t="str">
            <v>contrat groupe</v>
          </cell>
          <cell r="H858"/>
          <cell r="I858"/>
        </row>
        <row r="859">
          <cell r="C859"/>
          <cell r="D859" t="str">
            <v>de l'</v>
          </cell>
          <cell r="E859" t="str">
            <v>objet assuré</v>
          </cell>
          <cell r="F859" t="str">
            <v>du</v>
          </cell>
          <cell r="G859" t="str">
            <v>contrat prévoyance santé</v>
          </cell>
          <cell r="H859"/>
          <cell r="I859"/>
        </row>
        <row r="860">
          <cell r="C860"/>
          <cell r="D860" t="str">
            <v>d'</v>
          </cell>
          <cell r="E860" t="str">
            <v>Adhérent</v>
          </cell>
          <cell r="F860" t="str">
            <v>du</v>
          </cell>
          <cell r="G860" t="str">
            <v>contrat prévoyance santé</v>
          </cell>
          <cell r="H860"/>
          <cell r="I860"/>
        </row>
        <row r="861">
          <cell r="C861"/>
          <cell r="D861" t="str">
            <v>d'</v>
          </cell>
          <cell r="E861" t="str">
            <v>Ordre</v>
          </cell>
          <cell r="F861" t="str">
            <v>du</v>
          </cell>
          <cell r="G861" t="str">
            <v>contrat prévoyance santé</v>
          </cell>
          <cell r="H861"/>
          <cell r="I861"/>
        </row>
        <row r="862">
          <cell r="C862"/>
          <cell r="D862" t="str">
            <v>de l'</v>
          </cell>
          <cell r="E862" t="str">
            <v>objet assuré</v>
          </cell>
          <cell r="F862" t="str">
            <v>du</v>
          </cell>
          <cell r="G862" t="str">
            <v>contrat prévoyance santé</v>
          </cell>
          <cell r="H862"/>
          <cell r="I862"/>
        </row>
        <row r="863">
          <cell r="C863"/>
          <cell r="D863" t="str">
            <v>de l'</v>
          </cell>
          <cell r="E863" t="str">
            <v>Application source</v>
          </cell>
          <cell r="F863" t="str">
            <v>du</v>
          </cell>
          <cell r="G863" t="str">
            <v>contrat prévoyance santé</v>
          </cell>
          <cell r="H863"/>
          <cell r="I863"/>
        </row>
        <row r="864">
          <cell r="C864"/>
          <cell r="D864" t="str">
            <v>de</v>
          </cell>
          <cell r="E864" t="str">
            <v>prestation santé</v>
          </cell>
          <cell r="F864" t="str">
            <v>du</v>
          </cell>
          <cell r="G864" t="str">
            <v>contrat prévoyance santé</v>
          </cell>
          <cell r="H864"/>
          <cell r="I864"/>
        </row>
        <row r="865">
          <cell r="C865"/>
          <cell r="D865" t="str">
            <v>de l'</v>
          </cell>
          <cell r="E865" t="str">
            <v>objet assuré</v>
          </cell>
          <cell r="F865" t="str">
            <v>du</v>
          </cell>
          <cell r="G865" t="str">
            <v>contrat prévoyance santé</v>
          </cell>
          <cell r="H865"/>
          <cell r="I865"/>
        </row>
        <row r="866">
          <cell r="C866"/>
          <cell r="D866" t="str">
            <v>de l'</v>
          </cell>
          <cell r="E866" t="str">
            <v>objet assuré</v>
          </cell>
          <cell r="F866" t="str">
            <v>du</v>
          </cell>
          <cell r="G866" t="str">
            <v>contrat prévoyance santé</v>
          </cell>
          <cell r="H866"/>
          <cell r="I866"/>
        </row>
        <row r="867">
          <cell r="C867"/>
          <cell r="D867" t="str">
            <v>de l'</v>
          </cell>
          <cell r="E867" t="str">
            <v>objet assuré</v>
          </cell>
          <cell r="F867" t="str">
            <v>du</v>
          </cell>
          <cell r="G867" t="str">
            <v>contrat prévoyance santé</v>
          </cell>
          <cell r="H867"/>
          <cell r="I867"/>
        </row>
        <row r="868">
          <cell r="C868"/>
          <cell r="D868" t="str">
            <v>de l'</v>
          </cell>
          <cell r="E868" t="str">
            <v>objet assuré</v>
          </cell>
          <cell r="F868" t="str">
            <v>du</v>
          </cell>
          <cell r="G868" t="str">
            <v>contrat prévoyance santé</v>
          </cell>
          <cell r="H868"/>
          <cell r="I868"/>
        </row>
        <row r="869">
          <cell r="C869"/>
          <cell r="D869" t="str">
            <v>de l'</v>
          </cell>
          <cell r="E869" t="str">
            <v>Application source</v>
          </cell>
          <cell r="F869" t="str">
            <v>du</v>
          </cell>
          <cell r="G869" t="str">
            <v>contrat prévoyance santé</v>
          </cell>
          <cell r="H869"/>
          <cell r="I869"/>
        </row>
        <row r="870">
          <cell r="C870" t="str">
            <v>dernière image</v>
          </cell>
          <cell r="D870" t="str">
            <v>de l'</v>
          </cell>
          <cell r="E870" t="str">
            <v>Avenant du contrat</v>
          </cell>
          <cell r="F870"/>
          <cell r="G870"/>
          <cell r="H870"/>
          <cell r="I870"/>
        </row>
        <row r="871">
          <cell r="C871"/>
          <cell r="D871" t="str">
            <v>de</v>
          </cell>
          <cell r="E871" t="str">
            <v>Avenant du contrat</v>
          </cell>
          <cell r="F871" t="str">
            <v>par</v>
          </cell>
          <cell r="G871" t="str">
            <v>Date de saisie</v>
          </cell>
          <cell r="H871"/>
          <cell r="I871"/>
        </row>
        <row r="872">
          <cell r="C872"/>
          <cell r="D872" t="str">
            <v>du</v>
          </cell>
          <cell r="E872" t="str">
            <v>Contrat</v>
          </cell>
          <cell r="F872" t="str">
            <v>par</v>
          </cell>
          <cell r="G872" t="str">
            <v>Date de saisie</v>
          </cell>
          <cell r="H872"/>
          <cell r="I872"/>
        </row>
        <row r="873">
          <cell r="C873"/>
          <cell r="D873" t="str">
            <v>du</v>
          </cell>
          <cell r="E873" t="str">
            <v>Contrat</v>
          </cell>
          <cell r="F873" t="str">
            <v>par</v>
          </cell>
          <cell r="G873" t="str">
            <v>Date de saisie</v>
          </cell>
          <cell r="H873"/>
          <cell r="I873"/>
        </row>
        <row r="874">
          <cell r="C874"/>
          <cell r="D874" t="str">
            <v>du</v>
          </cell>
          <cell r="E874" t="str">
            <v>Contrat</v>
          </cell>
          <cell r="F874" t="str">
            <v>par</v>
          </cell>
          <cell r="G874" t="str">
            <v>Date de souscription</v>
          </cell>
          <cell r="H874"/>
          <cell r="I874"/>
        </row>
        <row r="875">
          <cell r="C875"/>
          <cell r="D875" t="str">
            <v>du</v>
          </cell>
          <cell r="E875" t="str">
            <v>Contrat</v>
          </cell>
          <cell r="F875" t="str">
            <v>par</v>
          </cell>
          <cell r="G875" t="str">
            <v>Date d'effet</v>
          </cell>
          <cell r="H875"/>
          <cell r="I875"/>
        </row>
        <row r="876">
          <cell r="C876"/>
          <cell r="D876" t="str">
            <v>du</v>
          </cell>
          <cell r="E876" t="str">
            <v>Type</v>
          </cell>
          <cell r="F876" t="str">
            <v>de la</v>
          </cell>
          <cell r="G876" t="str">
            <v>Garantie souscrite</v>
          </cell>
          <cell r="H876"/>
          <cell r="I876"/>
        </row>
        <row r="877">
          <cell r="C877"/>
          <cell r="D877" t="str">
            <v>de</v>
          </cell>
          <cell r="E877" t="str">
            <v>contrat</v>
          </cell>
          <cell r="F877"/>
          <cell r="G877" t="str">
            <v>loi madelin</v>
          </cell>
          <cell r="H877"/>
          <cell r="I877"/>
        </row>
        <row r="878">
          <cell r="C878" t="str">
            <v>dernier</v>
          </cell>
          <cell r="D878" t="str">
            <v>du</v>
          </cell>
          <cell r="E878" t="str">
            <v>contrat</v>
          </cell>
          <cell r="F878"/>
          <cell r="G878"/>
          <cell r="H878"/>
          <cell r="I878"/>
        </row>
        <row r="879">
          <cell r="C879" t="str">
            <v>dernier</v>
          </cell>
          <cell r="D879" t="str">
            <v>du</v>
          </cell>
          <cell r="E879" t="str">
            <v>contrat</v>
          </cell>
          <cell r="F879"/>
          <cell r="G879"/>
          <cell r="H879"/>
          <cell r="I879"/>
        </row>
        <row r="880">
          <cell r="C880" t="str">
            <v>limite</v>
          </cell>
          <cell r="D880" t="str">
            <v>de</v>
          </cell>
          <cell r="E880" t="str">
            <v>calcul de la résiliation</v>
          </cell>
          <cell r="F880" t="str">
            <v>du</v>
          </cell>
          <cell r="G880" t="str">
            <v>Contrat</v>
          </cell>
          <cell r="H880"/>
          <cell r="I880"/>
        </row>
        <row r="881">
          <cell r="C881"/>
          <cell r="D881" t="str">
            <v>des</v>
          </cell>
          <cell r="E881" t="str">
            <v>Garantie</v>
          </cell>
          <cell r="F881" t="str">
            <v>des</v>
          </cell>
          <cell r="G881" t="str">
            <v>objet assuré</v>
          </cell>
          <cell r="H881" t="str">
            <v>du</v>
          </cell>
          <cell r="I881" t="str">
            <v>Contrat</v>
          </cell>
        </row>
        <row r="882">
          <cell r="C882"/>
          <cell r="D882" t="str">
            <v>de</v>
          </cell>
          <cell r="E882" t="str">
            <v>Acteur</v>
          </cell>
          <cell r="F882" t="str">
            <v>de</v>
          </cell>
          <cell r="G882" t="str">
            <v>objet assuré</v>
          </cell>
          <cell r="H882" t="str">
            <v>du</v>
          </cell>
          <cell r="I882" t="str">
            <v>Contrat</v>
          </cell>
        </row>
        <row r="883">
          <cell r="C883"/>
          <cell r="D883" t="str">
            <v>du</v>
          </cell>
          <cell r="E883" t="str">
            <v>Type</v>
          </cell>
          <cell r="F883" t="str">
            <v>d'</v>
          </cell>
          <cell r="G883" t="str">
            <v>objet assuré</v>
          </cell>
          <cell r="H883" t="str">
            <v>du</v>
          </cell>
          <cell r="I883" t="str">
            <v>Contrat</v>
          </cell>
        </row>
        <row r="884">
          <cell r="C884"/>
          <cell r="D884" t="str">
            <v>du</v>
          </cell>
          <cell r="E884" t="str">
            <v>Régime tarifaire</v>
          </cell>
          <cell r="F884" t="str">
            <v>de l'</v>
          </cell>
          <cell r="G884" t="str">
            <v>objet assuré</v>
          </cell>
          <cell r="H884" t="str">
            <v>du</v>
          </cell>
          <cell r="I884" t="str">
            <v>contrat prévoyance santé</v>
          </cell>
        </row>
        <row r="885">
          <cell r="C885"/>
          <cell r="D885" t="str">
            <v>du</v>
          </cell>
          <cell r="E885" t="str">
            <v>Contrat</v>
          </cell>
          <cell r="F885" t="str">
            <v>par</v>
          </cell>
          <cell r="G885" t="str">
            <v>Opération</v>
          </cell>
          <cell r="H885" t="str">
            <v>en</v>
          </cell>
          <cell r="I885" t="str">
            <v>Date d'effet</v>
          </cell>
        </row>
        <row r="886">
          <cell r="C886"/>
          <cell r="D886" t="str">
            <v>du</v>
          </cell>
          <cell r="E886" t="str">
            <v>Contrat</v>
          </cell>
          <cell r="F886" t="str">
            <v>par</v>
          </cell>
          <cell r="G886" t="str">
            <v>Opération</v>
          </cell>
          <cell r="H886" t="str">
            <v>en</v>
          </cell>
          <cell r="I886" t="str">
            <v>Date de souscription</v>
          </cell>
        </row>
        <row r="887">
          <cell r="C887"/>
          <cell r="D887" t="str">
            <v>du</v>
          </cell>
          <cell r="E887" t="str">
            <v>Contrat</v>
          </cell>
          <cell r="F887" t="str">
            <v>par</v>
          </cell>
          <cell r="G887" t="str">
            <v>Opération</v>
          </cell>
          <cell r="H887" t="str">
            <v>en</v>
          </cell>
          <cell r="I887" t="str">
            <v>Date d'effet</v>
          </cell>
        </row>
        <row r="888">
          <cell r="C888"/>
          <cell r="D888" t="str">
            <v>du</v>
          </cell>
          <cell r="E888" t="str">
            <v>Contrat</v>
          </cell>
          <cell r="F888" t="str">
            <v>par</v>
          </cell>
          <cell r="G888" t="str">
            <v>Opération</v>
          </cell>
          <cell r="H888" t="str">
            <v>en</v>
          </cell>
          <cell r="I888" t="str">
            <v>Date d'effet</v>
          </cell>
        </row>
        <row r="889">
          <cell r="C889"/>
          <cell r="D889" t="str">
            <v>du</v>
          </cell>
          <cell r="E889" t="str">
            <v>Contrat</v>
          </cell>
          <cell r="F889" t="str">
            <v>par</v>
          </cell>
          <cell r="G889" t="str">
            <v>Opération</v>
          </cell>
          <cell r="H889" t="str">
            <v>en</v>
          </cell>
          <cell r="I889" t="str">
            <v>Date de souscription</v>
          </cell>
        </row>
        <row r="890">
          <cell r="C890"/>
          <cell r="D890" t="str">
            <v>du</v>
          </cell>
          <cell r="E890" t="str">
            <v>Contrat</v>
          </cell>
          <cell r="F890" t="str">
            <v>par</v>
          </cell>
          <cell r="G890" t="str">
            <v>Opération</v>
          </cell>
          <cell r="H890" t="str">
            <v>en</v>
          </cell>
          <cell r="I890" t="str">
            <v>Date de souscription</v>
          </cell>
        </row>
        <row r="891">
          <cell r="C891"/>
          <cell r="D891" t="str">
            <v>du</v>
          </cell>
          <cell r="E891" t="str">
            <v>Contrat</v>
          </cell>
          <cell r="F891" t="str">
            <v>par</v>
          </cell>
          <cell r="G891" t="str">
            <v>Opération</v>
          </cell>
          <cell r="H891" t="str">
            <v>en</v>
          </cell>
          <cell r="I891" t="str">
            <v>Date de souscription</v>
          </cell>
        </row>
        <row r="892">
          <cell r="C892"/>
          <cell r="D892" t="str">
            <v>du</v>
          </cell>
          <cell r="E892" t="str">
            <v>Contrat</v>
          </cell>
          <cell r="F892" t="str">
            <v>par</v>
          </cell>
          <cell r="G892" t="str">
            <v>Opération</v>
          </cell>
          <cell r="H892" t="str">
            <v>en</v>
          </cell>
          <cell r="I892" t="str">
            <v>Date de souscription</v>
          </cell>
        </row>
        <row r="893">
          <cell r="C893"/>
          <cell r="D893" t="str">
            <v>de la</v>
          </cell>
          <cell r="E893" t="str">
            <v>Société apéritrice</v>
          </cell>
          <cell r="F893" t="str">
            <v>du</v>
          </cell>
          <cell r="G893" t="str">
            <v>Produit d'Assurance</v>
          </cell>
          <cell r="H893" t="str">
            <v>de l'</v>
          </cell>
          <cell r="I893" t="str">
            <v>Avenant du contrat</v>
          </cell>
        </row>
        <row r="894">
          <cell r="C894"/>
          <cell r="D894" t="str">
            <v>de la</v>
          </cell>
          <cell r="E894" t="str">
            <v>Formule</v>
          </cell>
          <cell r="F894" t="str">
            <v>de</v>
          </cell>
          <cell r="G894" t="str">
            <v>REGASA</v>
          </cell>
          <cell r="H894" t="str">
            <v>de l'</v>
          </cell>
          <cell r="I894" t="str">
            <v>objet assuré</v>
          </cell>
        </row>
        <row r="895">
          <cell r="C895"/>
          <cell r="D895" t="str">
            <v>du</v>
          </cell>
          <cell r="E895" t="str">
            <v>contrat groupe</v>
          </cell>
          <cell r="F895" t="str">
            <v>du</v>
          </cell>
          <cell r="G895" t="str">
            <v>remboursement</v>
          </cell>
          <cell r="H895"/>
          <cell r="I895"/>
        </row>
        <row r="896">
          <cell r="C896"/>
          <cell r="D896" t="str">
            <v>du</v>
          </cell>
          <cell r="E896" t="str">
            <v>Type d'identifiant</v>
          </cell>
          <cell r="F896" t="str">
            <v>du</v>
          </cell>
          <cell r="G896" t="str">
            <v>responsable</v>
          </cell>
          <cell r="H896" t="str">
            <v>de l'</v>
          </cell>
          <cell r="I896" t="str">
            <v>Avenant du contrat</v>
          </cell>
        </row>
        <row r="897">
          <cell r="C897"/>
          <cell r="D897" t="str">
            <v>du</v>
          </cell>
          <cell r="E897" t="str">
            <v>Type d'identifiant</v>
          </cell>
          <cell r="F897" t="str">
            <v>du</v>
          </cell>
          <cell r="G897" t="str">
            <v>responsable</v>
          </cell>
          <cell r="H897" t="str">
            <v>de l'</v>
          </cell>
          <cell r="I897" t="str">
            <v>Avenant du contrat</v>
          </cell>
        </row>
        <row r="898">
          <cell r="C898"/>
          <cell r="D898" t="str">
            <v>du</v>
          </cell>
          <cell r="E898" t="str">
            <v>mode de connexion</v>
          </cell>
          <cell r="F898" t="str">
            <v>du</v>
          </cell>
          <cell r="G898" t="str">
            <v>responsable de l'avenant</v>
          </cell>
          <cell r="H898"/>
          <cell r="I898"/>
        </row>
        <row r="899">
          <cell r="C899"/>
          <cell r="D899" t="str">
            <v>du</v>
          </cell>
          <cell r="E899" t="str">
            <v>motif</v>
          </cell>
          <cell r="F899" t="str">
            <v>de</v>
          </cell>
          <cell r="G899" t="str">
            <v>risque aggravé</v>
          </cell>
          <cell r="H899"/>
          <cell r="I899"/>
        </row>
        <row r="900">
          <cell r="C900"/>
          <cell r="D900" t="str">
            <v>du</v>
          </cell>
          <cell r="E900" t="str">
            <v>Motif</v>
          </cell>
          <cell r="F900" t="str">
            <v>de la</v>
          </cell>
          <cell r="G900" t="str">
            <v>Situation</v>
          </cell>
          <cell r="H900" t="str">
            <v>du</v>
          </cell>
          <cell r="I900" t="str">
            <v>Contrat</v>
          </cell>
        </row>
        <row r="901">
          <cell r="C901"/>
          <cell r="D901" t="str">
            <v>des</v>
          </cell>
          <cell r="E901" t="str">
            <v>Date de saisie</v>
          </cell>
          <cell r="F901" t="str">
            <v>de la</v>
          </cell>
          <cell r="G901" t="str">
            <v>Situation</v>
          </cell>
          <cell r="H901" t="str">
            <v>du</v>
          </cell>
          <cell r="I901" t="str">
            <v>Contrat</v>
          </cell>
        </row>
        <row r="902">
          <cell r="C902"/>
          <cell r="D902" t="str">
            <v>du</v>
          </cell>
          <cell r="E902" t="str">
            <v>Motif</v>
          </cell>
          <cell r="F902" t="str">
            <v>de la</v>
          </cell>
          <cell r="G902" t="str">
            <v>Situation</v>
          </cell>
          <cell r="H902" t="str">
            <v>du</v>
          </cell>
          <cell r="I902" t="str">
            <v>Contrat</v>
          </cell>
        </row>
        <row r="903">
          <cell r="C903"/>
          <cell r="D903" t="str">
            <v>du</v>
          </cell>
          <cell r="E903" t="str">
            <v>Motif</v>
          </cell>
          <cell r="F903" t="str">
            <v>de la</v>
          </cell>
          <cell r="G903" t="str">
            <v>Situation</v>
          </cell>
          <cell r="H903" t="str">
            <v>du</v>
          </cell>
          <cell r="I903" t="str">
            <v>Contrat</v>
          </cell>
        </row>
        <row r="904">
          <cell r="C904"/>
          <cell r="D904" t="str">
            <v>du</v>
          </cell>
          <cell r="E904" t="str">
            <v>motif</v>
          </cell>
          <cell r="F904" t="str">
            <v>de la</v>
          </cell>
          <cell r="G904" t="str">
            <v>situation précédente</v>
          </cell>
          <cell r="H904"/>
          <cell r="I904"/>
        </row>
        <row r="905">
          <cell r="C905"/>
          <cell r="D905" t="str">
            <v>du</v>
          </cell>
          <cell r="E905" t="str">
            <v>statut</v>
          </cell>
          <cell r="F905" t="str">
            <v>du</v>
          </cell>
          <cell r="G905" t="str">
            <v>souscripteur</v>
          </cell>
          <cell r="H905" t="str">
            <v>de l'</v>
          </cell>
          <cell r="I905" t="str">
            <v>avenant du contrat prévoyance santé</v>
          </cell>
        </row>
        <row r="906">
          <cell r="C906"/>
          <cell r="D906" t="str">
            <v>de la</v>
          </cell>
          <cell r="E906" t="str">
            <v>devise</v>
          </cell>
          <cell r="F906" t="str">
            <v>à la</v>
          </cell>
          <cell r="G906" t="str">
            <v>souscription</v>
          </cell>
          <cell r="H906"/>
          <cell r="I906"/>
        </row>
        <row r="907">
          <cell r="C907"/>
          <cell r="D907" t="str">
            <v>du</v>
          </cell>
          <cell r="E907" t="str">
            <v>mode de calcul</v>
          </cell>
          <cell r="F907" t="str">
            <v>de la</v>
          </cell>
          <cell r="G907" t="str">
            <v>surprime temporaire</v>
          </cell>
          <cell r="H907"/>
          <cell r="I907"/>
        </row>
        <row r="908">
          <cell r="C908"/>
          <cell r="D908" t="str">
            <v>du</v>
          </cell>
          <cell r="E908" t="str">
            <v>motif</v>
          </cell>
          <cell r="F908" t="str">
            <v>de la</v>
          </cell>
          <cell r="G908" t="str">
            <v>suspension du contrat</v>
          </cell>
          <cell r="H908"/>
          <cell r="I908"/>
        </row>
        <row r="909">
          <cell r="C909"/>
          <cell r="D909" t="str">
            <v>du</v>
          </cell>
          <cell r="E909" t="str">
            <v>souscripteur</v>
          </cell>
          <cell r="F909"/>
          <cell r="G909" t="str">
            <v>Tiers</v>
          </cell>
          <cell r="H909" t="str">
            <v>du</v>
          </cell>
          <cell r="I909" t="str">
            <v>Contrat</v>
          </cell>
        </row>
        <row r="910">
          <cell r="C910"/>
          <cell r="D910" t="str">
            <v>de</v>
          </cell>
          <cell r="E910" t="str">
            <v>forçage</v>
          </cell>
          <cell r="F910" t="str">
            <v>de la</v>
          </cell>
          <cell r="G910" t="str">
            <v>zone de tarification</v>
          </cell>
          <cell r="H910"/>
          <cell r="I910"/>
        </row>
        <row r="911">
          <cell r="C911"/>
          <cell r="D911" t="str">
            <v>de l'</v>
          </cell>
          <cell r="E911" t="str">
            <v>Avenant du contrat</v>
          </cell>
          <cell r="F911"/>
          <cell r="G911"/>
          <cell r="H911"/>
          <cell r="I911"/>
        </row>
        <row r="912">
          <cell r="C912"/>
          <cell r="D912" t="str">
            <v>du</v>
          </cell>
          <cell r="E912" t="str">
            <v>Lien contrat</v>
          </cell>
          <cell r="F912"/>
          <cell r="G912"/>
          <cell r="H912"/>
          <cell r="I912"/>
        </row>
        <row r="913">
          <cell r="C913"/>
          <cell r="D913" t="str">
            <v>de l'</v>
          </cell>
          <cell r="E913" t="str">
            <v>avenant du contrat prévoyance santé</v>
          </cell>
          <cell r="F913"/>
          <cell r="G913"/>
          <cell r="H913"/>
          <cell r="I913"/>
        </row>
        <row r="914">
          <cell r="C914"/>
          <cell r="D914" t="str">
            <v>de l'</v>
          </cell>
          <cell r="E914" t="str">
            <v>échéance du contrat</v>
          </cell>
          <cell r="F914"/>
          <cell r="G914"/>
          <cell r="H914"/>
          <cell r="I914"/>
        </row>
        <row r="915">
          <cell r="C915"/>
          <cell r="D915" t="str">
            <v>de</v>
          </cell>
          <cell r="E915" t="str">
            <v>réduction familiale</v>
          </cell>
          <cell r="F915"/>
          <cell r="G915"/>
          <cell r="H915"/>
          <cell r="I915"/>
        </row>
        <row r="916">
          <cell r="C916"/>
          <cell r="D916" t="str">
            <v>d'</v>
          </cell>
          <cell r="E916" t="str">
            <v>autre commission</v>
          </cell>
          <cell r="F916"/>
          <cell r="G916"/>
          <cell r="H916"/>
          <cell r="I916"/>
        </row>
        <row r="917">
          <cell r="C917"/>
          <cell r="D917" t="str">
            <v>de</v>
          </cell>
          <cell r="E917" t="str">
            <v>règlement</v>
          </cell>
          <cell r="F917"/>
          <cell r="G917"/>
          <cell r="H917"/>
          <cell r="I917"/>
        </row>
        <row r="918">
          <cell r="C918"/>
          <cell r="D918" t="str">
            <v>de</v>
          </cell>
          <cell r="E918" t="str">
            <v>contrat payant</v>
          </cell>
          <cell r="F918"/>
          <cell r="G918"/>
          <cell r="H918"/>
          <cell r="I918"/>
        </row>
        <row r="919">
          <cell r="C919"/>
          <cell r="D919" t="str">
            <v>de</v>
          </cell>
          <cell r="E919" t="str">
            <v>frais de souscription</v>
          </cell>
          <cell r="F919"/>
          <cell r="G919"/>
          <cell r="H919"/>
          <cell r="I919"/>
        </row>
        <row r="920">
          <cell r="C920"/>
          <cell r="D920" t="str">
            <v>de</v>
          </cell>
          <cell r="E920" t="str">
            <v>sp santé</v>
          </cell>
          <cell r="F920"/>
          <cell r="G920"/>
          <cell r="H920"/>
          <cell r="I920"/>
        </row>
        <row r="921">
          <cell r="C921"/>
          <cell r="D921" t="str">
            <v>de la</v>
          </cell>
          <cell r="E921" t="str">
            <v>garantie souscrite</v>
          </cell>
          <cell r="F921"/>
          <cell r="G921"/>
          <cell r="H921"/>
          <cell r="I921"/>
        </row>
        <row r="922">
          <cell r="C922"/>
          <cell r="D922" t="str">
            <v>d'</v>
          </cell>
          <cell r="E922" t="str">
            <v>ACORES</v>
          </cell>
          <cell r="F922"/>
          <cell r="G922"/>
          <cell r="H922"/>
          <cell r="I922"/>
        </row>
        <row r="923">
          <cell r="C923"/>
          <cell r="D923" t="str">
            <v>de l'</v>
          </cell>
          <cell r="E923" t="str">
            <v>avantage sans campagne commerciale</v>
          </cell>
          <cell r="F923"/>
          <cell r="G923"/>
          <cell r="H923"/>
          <cell r="I923"/>
        </row>
        <row r="924">
          <cell r="C924"/>
          <cell r="D924" t="str">
            <v>de</v>
          </cell>
          <cell r="E924" t="str">
            <v>réduction familiale</v>
          </cell>
          <cell r="F924"/>
          <cell r="G924"/>
          <cell r="H924"/>
          <cell r="I924"/>
        </row>
        <row r="925">
          <cell r="C925"/>
          <cell r="D925" t="str">
            <v>du</v>
          </cell>
          <cell r="E925" t="str">
            <v>FONDO</v>
          </cell>
          <cell r="F925"/>
          <cell r="G925"/>
          <cell r="H925"/>
          <cell r="I925"/>
        </row>
        <row r="926">
          <cell r="C926"/>
          <cell r="D926" t="str">
            <v>de la</v>
          </cell>
          <cell r="E926" t="str">
            <v>surprime temporaire</v>
          </cell>
          <cell r="F926"/>
          <cell r="G926"/>
          <cell r="H926"/>
          <cell r="I926"/>
        </row>
        <row r="927">
          <cell r="C927"/>
          <cell r="D927" t="str">
            <v>de</v>
          </cell>
          <cell r="E927" t="str">
            <v>fractionnement</v>
          </cell>
          <cell r="F927"/>
          <cell r="G927"/>
          <cell r="H927"/>
          <cell r="I927"/>
        </row>
        <row r="928">
          <cell r="C928"/>
          <cell r="D928" t="str">
            <v>de l'</v>
          </cell>
          <cell r="E928" t="str">
            <v>avantage sans campagne commerciale</v>
          </cell>
          <cell r="F928"/>
          <cell r="G928"/>
          <cell r="H928"/>
          <cell r="I928"/>
        </row>
        <row r="929">
          <cell r="C929"/>
          <cell r="D929" t="str">
            <v>de l'</v>
          </cell>
          <cell r="E929" t="str">
            <v>Avenant du contrat</v>
          </cell>
          <cell r="F929"/>
          <cell r="G929"/>
          <cell r="H929"/>
          <cell r="I929"/>
        </row>
        <row r="930">
          <cell r="C930"/>
          <cell r="D930" t="str">
            <v>de</v>
          </cell>
          <cell r="E930" t="str">
            <v>FINESS</v>
          </cell>
          <cell r="F930"/>
          <cell r="G930"/>
          <cell r="H930"/>
          <cell r="I930"/>
        </row>
        <row r="931">
          <cell r="C931"/>
          <cell r="D931" t="str">
            <v>du</v>
          </cell>
          <cell r="E931" t="str">
            <v>contrat groupe</v>
          </cell>
          <cell r="F931"/>
          <cell r="G931"/>
          <cell r="H931"/>
          <cell r="I931"/>
        </row>
        <row r="932">
          <cell r="C932"/>
          <cell r="D932" t="str">
            <v>du</v>
          </cell>
          <cell r="E932" t="str">
            <v>bénéficiaire en assurance santé</v>
          </cell>
          <cell r="F932"/>
          <cell r="G932"/>
          <cell r="H932"/>
          <cell r="I932"/>
        </row>
        <row r="933">
          <cell r="C933"/>
          <cell r="D933" t="str">
            <v>du</v>
          </cell>
          <cell r="E933" t="str">
            <v>bénéficiaire en assurance santé</v>
          </cell>
          <cell r="F933"/>
          <cell r="G933"/>
          <cell r="H933"/>
          <cell r="I933"/>
        </row>
        <row r="934">
          <cell r="C934"/>
          <cell r="D934" t="str">
            <v>d'</v>
          </cell>
          <cell r="E934" t="str">
            <v>adhérent</v>
          </cell>
          <cell r="F934"/>
          <cell r="G934"/>
          <cell r="H934"/>
          <cell r="I934"/>
        </row>
        <row r="935">
          <cell r="C935"/>
          <cell r="D935" t="str">
            <v>de la</v>
          </cell>
          <cell r="E935" t="str">
            <v>carte étudiante</v>
          </cell>
          <cell r="F935"/>
          <cell r="G935"/>
          <cell r="H935"/>
          <cell r="I935"/>
        </row>
        <row r="936">
          <cell r="C936" t="str">
            <v>origine</v>
          </cell>
          <cell r="D936" t="str">
            <v>de la</v>
          </cell>
          <cell r="E936" t="str">
            <v>CPAM</v>
          </cell>
          <cell r="F936"/>
          <cell r="G936"/>
          <cell r="H936"/>
          <cell r="I936"/>
        </row>
        <row r="937">
          <cell r="C937" t="str">
            <v>refus</v>
          </cell>
          <cell r="D937" t="str">
            <v>d'</v>
          </cell>
          <cell r="E937" t="str">
            <v>échange CPAM</v>
          </cell>
          <cell r="F937"/>
          <cell r="G937"/>
          <cell r="H937"/>
          <cell r="I937"/>
        </row>
        <row r="938">
          <cell r="C938"/>
          <cell r="D938" t="str">
            <v>du</v>
          </cell>
          <cell r="E938" t="str">
            <v>Contrat</v>
          </cell>
          <cell r="F938"/>
          <cell r="G938"/>
          <cell r="H938"/>
          <cell r="I938"/>
        </row>
        <row r="939">
          <cell r="C939"/>
          <cell r="D939" t="str">
            <v>de l'</v>
          </cell>
          <cell r="E939" t="str">
            <v>Avenant du contrat</v>
          </cell>
          <cell r="F939"/>
          <cell r="G939"/>
          <cell r="H939"/>
          <cell r="I939"/>
        </row>
        <row r="940">
          <cell r="C940"/>
          <cell r="D940" t="str">
            <v>du</v>
          </cell>
          <cell r="E940" t="str">
            <v>Lien contrat</v>
          </cell>
          <cell r="F940"/>
          <cell r="G940"/>
          <cell r="H940"/>
          <cell r="I940"/>
        </row>
        <row r="941">
          <cell r="C941"/>
          <cell r="D941" t="str">
            <v>de l'</v>
          </cell>
          <cell r="E941" t="str">
            <v>avenant du contrat prévoyance santé</v>
          </cell>
          <cell r="F941"/>
          <cell r="G941"/>
          <cell r="H941"/>
          <cell r="I941"/>
        </row>
        <row r="942">
          <cell r="C942"/>
          <cell r="D942" t="str">
            <v>de l'</v>
          </cell>
          <cell r="E942" t="str">
            <v>échéance du contrat</v>
          </cell>
          <cell r="F942"/>
          <cell r="G942"/>
          <cell r="H942"/>
          <cell r="I942"/>
        </row>
        <row r="943">
          <cell r="C943" t="str">
            <v>rédacteur</v>
          </cell>
          <cell r="D943" t="str">
            <v>du</v>
          </cell>
          <cell r="E943" t="str">
            <v>contrat</v>
          </cell>
          <cell r="F943"/>
          <cell r="G943"/>
          <cell r="H943"/>
          <cell r="I943"/>
        </row>
        <row r="944">
          <cell r="C944" t="str">
            <v>interne</v>
          </cell>
          <cell r="D944" t="str">
            <v>du</v>
          </cell>
          <cell r="E944" t="str">
            <v>contrat</v>
          </cell>
          <cell r="F944"/>
          <cell r="G944"/>
          <cell r="H944"/>
          <cell r="I944"/>
        </row>
        <row r="945">
          <cell r="C945" t="str">
            <v>SID</v>
          </cell>
          <cell r="D945" t="str">
            <v>de l'</v>
          </cell>
          <cell r="E945" t="str">
            <v>objet assuré</v>
          </cell>
          <cell r="F945" t="str">
            <v>du</v>
          </cell>
          <cell r="G945" t="str">
            <v>contrat</v>
          </cell>
          <cell r="H945"/>
          <cell r="I945"/>
        </row>
        <row r="946">
          <cell r="C946" t="str">
            <v>générique</v>
          </cell>
          <cell r="D946" t="str">
            <v>de</v>
          </cell>
          <cell r="E946" t="str">
            <v>objet assuré</v>
          </cell>
          <cell r="F946" t="str">
            <v>du</v>
          </cell>
          <cell r="G946" t="str">
            <v>Contrat</v>
          </cell>
          <cell r="H946"/>
          <cell r="I946"/>
        </row>
        <row r="947">
          <cell r="C947" t="str">
            <v>SIO</v>
          </cell>
          <cell r="D947" t="str">
            <v>de l'</v>
          </cell>
          <cell r="E947" t="str">
            <v>objet assuré</v>
          </cell>
          <cell r="F947" t="str">
            <v>du</v>
          </cell>
          <cell r="G947" t="str">
            <v>contrat</v>
          </cell>
          <cell r="H947"/>
          <cell r="I947"/>
        </row>
        <row r="948">
          <cell r="C948" t="str">
            <v>ancienneté</v>
          </cell>
          <cell r="D948" t="str">
            <v>du</v>
          </cell>
          <cell r="E948" t="str">
            <v>contrat</v>
          </cell>
          <cell r="F948"/>
          <cell r="G948"/>
          <cell r="H948"/>
          <cell r="I948"/>
        </row>
        <row r="949">
          <cell r="C949" t="str">
            <v>ancienneté</v>
          </cell>
          <cell r="D949" t="str">
            <v>du</v>
          </cell>
          <cell r="E949" t="str">
            <v>contrat</v>
          </cell>
          <cell r="F949"/>
          <cell r="G949"/>
          <cell r="H949"/>
          <cell r="I949"/>
        </row>
        <row r="950">
          <cell r="C950" t="str">
            <v>externe</v>
          </cell>
          <cell r="D950" t="str">
            <v>du</v>
          </cell>
          <cell r="E950" t="str">
            <v>contrat</v>
          </cell>
          <cell r="F950"/>
          <cell r="G950"/>
          <cell r="H950"/>
          <cell r="I950"/>
        </row>
        <row r="951">
          <cell r="C951" t="str">
            <v>générique</v>
          </cell>
          <cell r="D951"/>
          <cell r="E951" t="str">
            <v>ayant saisi</v>
          </cell>
          <cell r="F951" t="str">
            <v>l'</v>
          </cell>
          <cell r="G951" t="str">
            <v>Avenant du contrat</v>
          </cell>
          <cell r="H951"/>
          <cell r="I951"/>
        </row>
        <row r="952">
          <cell r="C952" t="str">
            <v>générique</v>
          </cell>
          <cell r="D952" t="str">
            <v>du</v>
          </cell>
          <cell r="E952" t="str">
            <v>responsable</v>
          </cell>
          <cell r="F952" t="str">
            <v>l'</v>
          </cell>
          <cell r="G952" t="str">
            <v>Avenant du contrat</v>
          </cell>
          <cell r="H952"/>
          <cell r="I952"/>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cell r="F954"/>
          <cell r="G954"/>
          <cell r="H954"/>
          <cell r="I954"/>
        </row>
        <row r="955">
          <cell r="C955"/>
          <cell r="D955" t="str">
            <v>de la</v>
          </cell>
          <cell r="E955" t="str">
            <v>garantie souscrite</v>
          </cell>
          <cell r="F955"/>
          <cell r="G955"/>
          <cell r="H955"/>
          <cell r="I955"/>
        </row>
        <row r="956">
          <cell r="C956"/>
          <cell r="D956" t="str">
            <v>d'</v>
          </cell>
          <cell r="E956" t="str">
            <v>ACORES</v>
          </cell>
          <cell r="F956"/>
          <cell r="G956"/>
          <cell r="H956"/>
          <cell r="I956"/>
        </row>
        <row r="957">
          <cell r="C957"/>
          <cell r="D957" t="str">
            <v>de l'</v>
          </cell>
          <cell r="E957" t="str">
            <v>avantage sans campagne commerciale</v>
          </cell>
          <cell r="F957"/>
          <cell r="G957"/>
          <cell r="H957"/>
          <cell r="I957"/>
        </row>
        <row r="958">
          <cell r="C958"/>
          <cell r="D958" t="str">
            <v>du</v>
          </cell>
          <cell r="E958" t="str">
            <v>FONDO</v>
          </cell>
          <cell r="F958"/>
          <cell r="G958"/>
          <cell r="H958"/>
          <cell r="I958"/>
        </row>
        <row r="959">
          <cell r="C959"/>
          <cell r="D959" t="str">
            <v>de l'</v>
          </cell>
          <cell r="E959" t="str">
            <v>avantage sans campagne commerciale</v>
          </cell>
          <cell r="F959"/>
          <cell r="G959"/>
          <cell r="H959"/>
          <cell r="I959"/>
        </row>
        <row r="960">
          <cell r="C960"/>
          <cell r="D960" t="str">
            <v>du</v>
          </cell>
          <cell r="E960" t="str">
            <v>Contrat</v>
          </cell>
          <cell r="F960"/>
          <cell r="G960"/>
          <cell r="H960"/>
          <cell r="I960"/>
        </row>
        <row r="961">
          <cell r="C961"/>
          <cell r="D961" t="str">
            <v>du</v>
          </cell>
          <cell r="E961" t="str">
            <v>contrat</v>
          </cell>
          <cell r="F961"/>
          <cell r="G961"/>
          <cell r="H961"/>
          <cell r="I961"/>
        </row>
        <row r="962">
          <cell r="C962"/>
          <cell r="D962" t="str">
            <v>du</v>
          </cell>
          <cell r="E962" t="str">
            <v>contrat</v>
          </cell>
          <cell r="F962"/>
          <cell r="G962"/>
          <cell r="H962"/>
          <cell r="I962"/>
        </row>
        <row r="963">
          <cell r="C963"/>
          <cell r="D963" t="str">
            <v>du</v>
          </cell>
          <cell r="E963" t="str">
            <v>contrat</v>
          </cell>
          <cell r="F963"/>
          <cell r="G963"/>
          <cell r="H963"/>
          <cell r="I963"/>
        </row>
        <row r="964">
          <cell r="C964"/>
          <cell r="D964" t="str">
            <v>du</v>
          </cell>
          <cell r="E964" t="str">
            <v>Contrat</v>
          </cell>
          <cell r="F964"/>
          <cell r="G964"/>
          <cell r="H964"/>
          <cell r="I964"/>
        </row>
        <row r="965">
          <cell r="C965"/>
          <cell r="D965" t="str">
            <v>du</v>
          </cell>
          <cell r="E965" t="str">
            <v>contrat</v>
          </cell>
          <cell r="F965"/>
          <cell r="G965"/>
          <cell r="H965"/>
          <cell r="I965"/>
        </row>
        <row r="966">
          <cell r="C966"/>
          <cell r="D966" t="str">
            <v>du</v>
          </cell>
          <cell r="E966" t="str">
            <v>Contrat</v>
          </cell>
          <cell r="F966"/>
          <cell r="G966"/>
          <cell r="H966"/>
          <cell r="I966"/>
        </row>
        <row r="967">
          <cell r="C967"/>
          <cell r="D967" t="str">
            <v>du</v>
          </cell>
          <cell r="E967" t="str">
            <v>Contrat</v>
          </cell>
          <cell r="F967"/>
          <cell r="G967"/>
          <cell r="H967"/>
          <cell r="I967"/>
        </row>
        <row r="968">
          <cell r="C968"/>
          <cell r="D968" t="str">
            <v>du</v>
          </cell>
          <cell r="E968" t="str">
            <v>contrat</v>
          </cell>
          <cell r="F968"/>
          <cell r="G968"/>
          <cell r="H968"/>
          <cell r="I968"/>
        </row>
        <row r="969">
          <cell r="C969"/>
          <cell r="D969" t="str">
            <v>du</v>
          </cell>
          <cell r="E969" t="str">
            <v>Contrat</v>
          </cell>
          <cell r="F969"/>
          <cell r="G969"/>
          <cell r="H969"/>
          <cell r="I969"/>
        </row>
        <row r="970">
          <cell r="C970"/>
          <cell r="D970" t="str">
            <v>du</v>
          </cell>
          <cell r="E970" t="str">
            <v>Contrat</v>
          </cell>
          <cell r="F970"/>
          <cell r="G970"/>
          <cell r="H970"/>
          <cell r="I970"/>
        </row>
        <row r="971">
          <cell r="C971"/>
          <cell r="D971" t="str">
            <v>du</v>
          </cell>
          <cell r="E971" t="str">
            <v>Contrat</v>
          </cell>
          <cell r="F971"/>
          <cell r="G971"/>
          <cell r="H971"/>
          <cell r="I971"/>
        </row>
        <row r="972">
          <cell r="C972"/>
          <cell r="D972" t="str">
            <v>du</v>
          </cell>
          <cell r="E972" t="str">
            <v>Contrat</v>
          </cell>
          <cell r="F972"/>
          <cell r="G972"/>
          <cell r="H972"/>
          <cell r="I972"/>
        </row>
        <row r="973">
          <cell r="C973"/>
          <cell r="D973" t="str">
            <v>du</v>
          </cell>
          <cell r="E973" t="str">
            <v>Contrat</v>
          </cell>
          <cell r="F973"/>
          <cell r="G973"/>
          <cell r="H973"/>
          <cell r="I973"/>
        </row>
        <row r="974">
          <cell r="C974"/>
          <cell r="D974" t="str">
            <v>du</v>
          </cell>
          <cell r="E974" t="str">
            <v>Contrat</v>
          </cell>
          <cell r="F974"/>
          <cell r="G974"/>
          <cell r="H974"/>
          <cell r="I974"/>
        </row>
        <row r="975">
          <cell r="C975"/>
          <cell r="D975" t="str">
            <v>du</v>
          </cell>
          <cell r="E975" t="str">
            <v>contrat</v>
          </cell>
          <cell r="F975"/>
          <cell r="G975"/>
          <cell r="H975"/>
          <cell r="I975"/>
        </row>
        <row r="976">
          <cell r="C976"/>
          <cell r="D976" t="str">
            <v>de l'</v>
          </cell>
          <cell r="E976" t="str">
            <v>Avenant du contrat</v>
          </cell>
          <cell r="F976"/>
          <cell r="G976"/>
          <cell r="H976"/>
          <cell r="I976"/>
        </row>
        <row r="977">
          <cell r="C977"/>
          <cell r="D977" t="str">
            <v>de l'</v>
          </cell>
          <cell r="E977" t="str">
            <v>Avenant du contrat</v>
          </cell>
          <cell r="F977"/>
          <cell r="G977"/>
          <cell r="H977"/>
          <cell r="I977"/>
        </row>
        <row r="978">
          <cell r="C978"/>
          <cell r="D978" t="str">
            <v>de l'</v>
          </cell>
          <cell r="E978" t="str">
            <v>Avenant du contrat</v>
          </cell>
          <cell r="F978"/>
          <cell r="G978"/>
          <cell r="H978"/>
          <cell r="I978"/>
        </row>
        <row r="979">
          <cell r="C979"/>
          <cell r="D979" t="str">
            <v>de l'</v>
          </cell>
          <cell r="E979" t="str">
            <v>Avenant du contrat</v>
          </cell>
          <cell r="F979"/>
          <cell r="G979"/>
          <cell r="H979"/>
          <cell r="I979"/>
        </row>
        <row r="980">
          <cell r="C980"/>
          <cell r="D980" t="str">
            <v>de l'</v>
          </cell>
          <cell r="E980" t="str">
            <v>Avenant du contrat</v>
          </cell>
          <cell r="F980"/>
          <cell r="G980"/>
          <cell r="H980"/>
          <cell r="I980"/>
        </row>
        <row r="981">
          <cell r="C981"/>
          <cell r="D981" t="str">
            <v>de l'</v>
          </cell>
          <cell r="E981" t="str">
            <v>Avenant du contrat</v>
          </cell>
          <cell r="F981"/>
          <cell r="G981"/>
          <cell r="H981"/>
          <cell r="I981"/>
        </row>
        <row r="982">
          <cell r="C982"/>
          <cell r="D982" t="str">
            <v>de</v>
          </cell>
          <cell r="E982" t="str">
            <v>Avenant du contrat</v>
          </cell>
          <cell r="F982"/>
          <cell r="G982"/>
          <cell r="H982"/>
          <cell r="I982"/>
        </row>
        <row r="983">
          <cell r="C983"/>
          <cell r="D983" t="str">
            <v>de l'</v>
          </cell>
          <cell r="E983" t="str">
            <v>Avenant du contrat</v>
          </cell>
          <cell r="F983"/>
          <cell r="G983"/>
          <cell r="H983"/>
          <cell r="I983"/>
        </row>
        <row r="984">
          <cell r="C984"/>
          <cell r="D984" t="str">
            <v>de l'</v>
          </cell>
          <cell r="E984" t="str">
            <v>avenant du contrat</v>
          </cell>
          <cell r="F984"/>
          <cell r="G984"/>
          <cell r="H984"/>
          <cell r="I984"/>
        </row>
        <row r="985">
          <cell r="C985"/>
          <cell r="D985" t="str">
            <v>de l'</v>
          </cell>
          <cell r="E985" t="str">
            <v>Avenant du contrat</v>
          </cell>
          <cell r="F985"/>
          <cell r="G985"/>
          <cell r="H985"/>
          <cell r="I985"/>
        </row>
        <row r="986">
          <cell r="C986"/>
          <cell r="D986" t="str">
            <v>de l'</v>
          </cell>
          <cell r="E986" t="str">
            <v>Avenant du contrat</v>
          </cell>
          <cell r="F986"/>
          <cell r="G986"/>
          <cell r="H986"/>
          <cell r="I986"/>
        </row>
        <row r="987">
          <cell r="C987"/>
          <cell r="D987" t="str">
            <v>de l'</v>
          </cell>
          <cell r="E987" t="str">
            <v>Avenant du contrat</v>
          </cell>
          <cell r="F987"/>
          <cell r="G987"/>
          <cell r="H987"/>
          <cell r="I987"/>
        </row>
        <row r="988">
          <cell r="C988"/>
          <cell r="D988" t="str">
            <v>du</v>
          </cell>
          <cell r="E988" t="str">
            <v>Lien contrat</v>
          </cell>
          <cell r="F988"/>
          <cell r="G988"/>
          <cell r="H988"/>
          <cell r="I988"/>
        </row>
        <row r="989">
          <cell r="C989"/>
          <cell r="D989" t="str">
            <v>du</v>
          </cell>
          <cell r="E989" t="str">
            <v>Lien contrat</v>
          </cell>
          <cell r="F989"/>
          <cell r="G989"/>
          <cell r="H989"/>
          <cell r="I989"/>
        </row>
        <row r="990">
          <cell r="C990"/>
          <cell r="D990" t="str">
            <v>du</v>
          </cell>
          <cell r="E990" t="str">
            <v>Lien contrat</v>
          </cell>
          <cell r="F990"/>
          <cell r="G990"/>
          <cell r="H990"/>
          <cell r="I990"/>
        </row>
        <row r="991">
          <cell r="C991"/>
          <cell r="D991" t="str">
            <v>du</v>
          </cell>
          <cell r="E991" t="str">
            <v>Lien contrat</v>
          </cell>
          <cell r="F991"/>
          <cell r="G991"/>
          <cell r="H991"/>
          <cell r="I991"/>
        </row>
        <row r="992">
          <cell r="C992"/>
          <cell r="D992" t="str">
            <v>du</v>
          </cell>
          <cell r="E992" t="str">
            <v>Lien contrat</v>
          </cell>
          <cell r="F992"/>
          <cell r="G992"/>
          <cell r="H992"/>
          <cell r="I992"/>
        </row>
        <row r="993">
          <cell r="C993"/>
          <cell r="D993" t="str">
            <v>du</v>
          </cell>
          <cell r="E993" t="str">
            <v>Lien contrat</v>
          </cell>
          <cell r="F993"/>
          <cell r="G993"/>
          <cell r="H993"/>
          <cell r="I993"/>
        </row>
        <row r="994">
          <cell r="C994"/>
          <cell r="D994" t="str">
            <v>du</v>
          </cell>
          <cell r="E994" t="str">
            <v>Lien contrat</v>
          </cell>
          <cell r="F994"/>
          <cell r="G994"/>
          <cell r="H994"/>
          <cell r="I994"/>
        </row>
        <row r="995">
          <cell r="C995"/>
          <cell r="D995" t="str">
            <v>de l'</v>
          </cell>
          <cell r="E995" t="str">
            <v>avenant du contrat prévoyance santé</v>
          </cell>
          <cell r="F995"/>
          <cell r="G995"/>
          <cell r="H995"/>
          <cell r="I995"/>
        </row>
        <row r="996">
          <cell r="C996"/>
          <cell r="D996" t="str">
            <v>de l'</v>
          </cell>
          <cell r="E996" t="str">
            <v>avenant du contrat prévoyance santé</v>
          </cell>
          <cell r="F996"/>
          <cell r="G996"/>
          <cell r="H996"/>
          <cell r="I996"/>
        </row>
        <row r="997">
          <cell r="C997"/>
          <cell r="D997" t="str">
            <v>de l'</v>
          </cell>
          <cell r="E997" t="str">
            <v>avenant du contrat prévoyance santé</v>
          </cell>
          <cell r="F997"/>
          <cell r="G997"/>
          <cell r="H997"/>
          <cell r="I997"/>
        </row>
        <row r="998">
          <cell r="C998"/>
          <cell r="D998" t="str">
            <v>de l'</v>
          </cell>
          <cell r="E998" t="str">
            <v>avenant du contrat prévoyance santé</v>
          </cell>
          <cell r="F998"/>
          <cell r="G998"/>
          <cell r="H998"/>
          <cell r="I998"/>
        </row>
        <row r="999">
          <cell r="C999"/>
          <cell r="D999" t="str">
            <v>de la</v>
          </cell>
          <cell r="E999" t="str">
            <v>suspension du contrat</v>
          </cell>
          <cell r="F999"/>
          <cell r="G999"/>
          <cell r="H999"/>
          <cell r="I999"/>
        </row>
        <row r="1000">
          <cell r="C1000"/>
          <cell r="D1000" t="str">
            <v>de la</v>
          </cell>
          <cell r="E1000" t="str">
            <v>suspension du contrat</v>
          </cell>
          <cell r="F1000"/>
          <cell r="G1000"/>
          <cell r="H1000"/>
          <cell r="I1000"/>
        </row>
        <row r="1001">
          <cell r="C1001"/>
          <cell r="D1001" t="str">
            <v>de l'</v>
          </cell>
          <cell r="E1001" t="str">
            <v>échéance du contrat</v>
          </cell>
          <cell r="F1001"/>
          <cell r="G1001"/>
          <cell r="H1001"/>
          <cell r="I1001"/>
        </row>
        <row r="1002">
          <cell r="C1002"/>
          <cell r="D1002" t="str">
            <v>de l'</v>
          </cell>
          <cell r="E1002" t="str">
            <v>échéance du contrat</v>
          </cell>
          <cell r="F1002"/>
          <cell r="G1002"/>
          <cell r="H1002"/>
          <cell r="I1002"/>
        </row>
        <row r="1003">
          <cell r="C1003"/>
          <cell r="D1003" t="str">
            <v>de l'</v>
          </cell>
          <cell r="E1003" t="str">
            <v>échéance du contrat</v>
          </cell>
          <cell r="F1003"/>
          <cell r="G1003"/>
          <cell r="H1003"/>
          <cell r="I1003"/>
        </row>
        <row r="1004">
          <cell r="C1004"/>
          <cell r="D1004" t="str">
            <v>de l'</v>
          </cell>
          <cell r="E1004" t="str">
            <v>échéance du contrat</v>
          </cell>
          <cell r="F1004"/>
          <cell r="G1004"/>
          <cell r="H1004"/>
          <cell r="I1004"/>
        </row>
        <row r="1005">
          <cell r="C1005"/>
          <cell r="D1005" t="str">
            <v>du</v>
          </cell>
          <cell r="E1005" t="str">
            <v>bareme groupe</v>
          </cell>
          <cell r="F1005"/>
          <cell r="G1005"/>
          <cell r="H1005"/>
          <cell r="I1005"/>
        </row>
        <row r="1006">
          <cell r="C1006"/>
          <cell r="D1006" t="str">
            <v>du</v>
          </cell>
          <cell r="E1006" t="str">
            <v>bénéficiaire en assurance santé</v>
          </cell>
          <cell r="F1006"/>
          <cell r="G1006"/>
          <cell r="H1006"/>
          <cell r="I1006"/>
        </row>
        <row r="1007">
          <cell r="C1007"/>
          <cell r="D1007" t="str">
            <v>du</v>
          </cell>
          <cell r="E1007" t="str">
            <v>bénéficiaire en assurance santé</v>
          </cell>
          <cell r="F1007"/>
          <cell r="G1007"/>
          <cell r="H1007"/>
          <cell r="I1007"/>
        </row>
        <row r="1008">
          <cell r="C1008"/>
          <cell r="D1008" t="str">
            <v>de l'</v>
          </cell>
          <cell r="E1008" t="str">
            <v>attestation de santé</v>
          </cell>
          <cell r="F1008"/>
          <cell r="G1008"/>
          <cell r="H1008"/>
          <cell r="I1008"/>
        </row>
        <row r="1009">
          <cell r="C1009"/>
          <cell r="D1009" t="str">
            <v>du</v>
          </cell>
          <cell r="E1009" t="str">
            <v>risque aggravé</v>
          </cell>
          <cell r="F1009"/>
          <cell r="G1009"/>
          <cell r="H1009"/>
          <cell r="I1009"/>
        </row>
        <row r="1010">
          <cell r="C1010"/>
          <cell r="D1010" t="str">
            <v>de la</v>
          </cell>
          <cell r="E1010" t="str">
            <v>Couverture assurance</v>
          </cell>
          <cell r="F1010"/>
          <cell r="G1010"/>
          <cell r="H1010"/>
          <cell r="I1010"/>
        </row>
        <row r="1011">
          <cell r="C1011"/>
          <cell r="D1011" t="str">
            <v>de la</v>
          </cell>
          <cell r="E1011" t="str">
            <v>Couverture assurance</v>
          </cell>
          <cell r="F1011"/>
          <cell r="G1011"/>
          <cell r="H1011"/>
          <cell r="I1011"/>
        </row>
        <row r="1012">
          <cell r="C1012"/>
          <cell r="D1012" t="str">
            <v>du</v>
          </cell>
          <cell r="E1012" t="str">
            <v>devis</v>
          </cell>
          <cell r="F1012"/>
          <cell r="G1012"/>
          <cell r="H1012"/>
          <cell r="I1012"/>
        </row>
        <row r="1013">
          <cell r="C1013" t="str">
            <v>edition</v>
          </cell>
          <cell r="D1013" t="str">
            <v>d'</v>
          </cell>
          <cell r="E1013" t="str">
            <v>attestation de santé</v>
          </cell>
          <cell r="F1013"/>
          <cell r="G1013"/>
          <cell r="H1013"/>
          <cell r="I1013"/>
        </row>
        <row r="1014">
          <cell r="C1014"/>
          <cell r="D1014" t="str">
            <v>de l'</v>
          </cell>
          <cell r="E1014" t="str">
            <v>indice à la souscription</v>
          </cell>
          <cell r="F1014"/>
          <cell r="G1014"/>
          <cell r="H1014"/>
          <cell r="I1014"/>
        </row>
        <row r="1015">
          <cell r="C1015"/>
          <cell r="D1015" t="str">
            <v>du</v>
          </cell>
          <cell r="E1015" t="str">
            <v>bareme</v>
          </cell>
          <cell r="F1015"/>
          <cell r="G1015"/>
          <cell r="H1015"/>
          <cell r="I1015"/>
        </row>
        <row r="1016">
          <cell r="C1016"/>
          <cell r="D1016" t="str">
            <v>dans le</v>
          </cell>
          <cell r="E1016" t="str">
            <v>canton suisse</v>
          </cell>
          <cell r="F1016"/>
          <cell r="G1016"/>
          <cell r="H1016"/>
          <cell r="I1016"/>
        </row>
        <row r="1017">
          <cell r="C1017"/>
          <cell r="D1017" t="str">
            <v>du</v>
          </cell>
          <cell r="E1017" t="str">
            <v>crédit d'impot</v>
          </cell>
          <cell r="F1017"/>
          <cell r="G1017"/>
          <cell r="H1017"/>
          <cell r="I1017"/>
        </row>
        <row r="1018">
          <cell r="C1018"/>
          <cell r="D1018" t="str">
            <v>du</v>
          </cell>
          <cell r="E1018" t="str">
            <v>crédit d'impot</v>
          </cell>
          <cell r="F1018"/>
          <cell r="G1018"/>
          <cell r="H1018"/>
          <cell r="I1018"/>
        </row>
        <row r="1019">
          <cell r="C1019"/>
          <cell r="D1019" t="str">
            <v>de</v>
          </cell>
          <cell r="E1019" t="str">
            <v>calcul de la résiliation</v>
          </cell>
          <cell r="F1019"/>
          <cell r="G1019"/>
          <cell r="H1019"/>
          <cell r="I1019"/>
        </row>
        <row r="1020">
          <cell r="C1020"/>
          <cell r="D1020" t="str">
            <v>de l'</v>
          </cell>
          <cell r="E1020" t="str">
            <v>événement en attente</v>
          </cell>
          <cell r="F1020"/>
          <cell r="G1020"/>
          <cell r="H1020"/>
          <cell r="I1020"/>
        </row>
        <row r="1021">
          <cell r="C1021"/>
          <cell r="D1021" t="str">
            <v>de la</v>
          </cell>
          <cell r="E1021" t="str">
            <v>garantie souscrite</v>
          </cell>
          <cell r="F1021"/>
          <cell r="G1021"/>
          <cell r="H1021"/>
          <cell r="I1021"/>
        </row>
        <row r="1022">
          <cell r="C1022"/>
          <cell r="D1022" t="str">
            <v>de la</v>
          </cell>
          <cell r="E1022" t="str">
            <v>garantie souscrite</v>
          </cell>
          <cell r="F1022"/>
          <cell r="G1022"/>
          <cell r="H1022"/>
          <cell r="I1022"/>
        </row>
        <row r="1023">
          <cell r="C1023"/>
          <cell r="D1023" t="str">
            <v>de la</v>
          </cell>
          <cell r="E1023" t="str">
            <v>garantie souscrite</v>
          </cell>
          <cell r="F1023"/>
          <cell r="G1023"/>
          <cell r="H1023"/>
          <cell r="I1023"/>
        </row>
        <row r="1024">
          <cell r="C1024"/>
          <cell r="D1024" t="str">
            <v>de la</v>
          </cell>
          <cell r="E1024" t="str">
            <v>garantie souscrite</v>
          </cell>
          <cell r="F1024"/>
          <cell r="G1024"/>
          <cell r="H1024"/>
          <cell r="I1024"/>
        </row>
        <row r="1025">
          <cell r="C1025"/>
          <cell r="D1025" t="str">
            <v>de l'</v>
          </cell>
          <cell r="E1025" t="str">
            <v>avantage sans campagne commerciale</v>
          </cell>
          <cell r="F1025"/>
          <cell r="G1025"/>
          <cell r="H1025"/>
          <cell r="I1025"/>
        </row>
        <row r="1026">
          <cell r="C1026"/>
          <cell r="D1026" t="str">
            <v>de la</v>
          </cell>
          <cell r="E1026" t="str">
            <v>relation bénéficiaire</v>
          </cell>
          <cell r="F1026"/>
          <cell r="G1026"/>
          <cell r="H1026"/>
          <cell r="I1026"/>
        </row>
        <row r="1027">
          <cell r="C1027" t="str">
            <v>langue</v>
          </cell>
          <cell r="D1027" t="str">
            <v>de l'</v>
          </cell>
          <cell r="E1027" t="str">
            <v>edition courrier</v>
          </cell>
          <cell r="F1027"/>
          <cell r="G1027"/>
          <cell r="H1027"/>
          <cell r="I1027"/>
        </row>
        <row r="1028">
          <cell r="C1028"/>
          <cell r="D1028" t="str">
            <v>de la</v>
          </cell>
          <cell r="E1028" t="str">
            <v>devise</v>
          </cell>
          <cell r="F1028"/>
          <cell r="G1028"/>
          <cell r="H1028"/>
          <cell r="I1028"/>
        </row>
        <row r="1029">
          <cell r="C1029"/>
          <cell r="D1029" t="str">
            <v>du</v>
          </cell>
          <cell r="E1029" t="str">
            <v>mode de connexion</v>
          </cell>
          <cell r="F1029"/>
          <cell r="G1029"/>
          <cell r="H1029"/>
          <cell r="I1029"/>
        </row>
        <row r="1030">
          <cell r="C1030"/>
          <cell r="D1030" t="str">
            <v>du</v>
          </cell>
          <cell r="E1030" t="str">
            <v>mode de connexion</v>
          </cell>
          <cell r="F1030"/>
          <cell r="G1030"/>
          <cell r="H1030"/>
          <cell r="I1030"/>
        </row>
        <row r="1031">
          <cell r="C1031"/>
          <cell r="D1031" t="str">
            <v>de la</v>
          </cell>
          <cell r="E1031" t="str">
            <v>société concurrente</v>
          </cell>
          <cell r="F1031"/>
          <cell r="G1031"/>
          <cell r="H1031"/>
          <cell r="I1031"/>
        </row>
        <row r="1032">
          <cell r="C1032"/>
          <cell r="D1032" t="str">
            <v>de la</v>
          </cell>
          <cell r="E1032" t="str">
            <v>CPAM</v>
          </cell>
          <cell r="F1032"/>
          <cell r="G1032"/>
          <cell r="H1032"/>
          <cell r="I1032"/>
        </row>
        <row r="1033">
          <cell r="C1033"/>
          <cell r="D1033" t="str">
            <v>du</v>
          </cell>
          <cell r="E1033" t="str">
            <v>Contrat</v>
          </cell>
          <cell r="F1033"/>
          <cell r="G1033"/>
          <cell r="H1033"/>
          <cell r="I1033"/>
        </row>
        <row r="1034">
          <cell r="C1034"/>
          <cell r="D1034" t="str">
            <v>d'</v>
          </cell>
          <cell r="E1034" t="str">
            <v>avenant du contrat</v>
          </cell>
          <cell r="F1034"/>
          <cell r="G1034"/>
          <cell r="H1034"/>
          <cell r="I1034"/>
        </row>
        <row r="1035">
          <cell r="C1035"/>
          <cell r="D1035" t="str">
            <v>de la</v>
          </cell>
          <cell r="E1035" t="str">
            <v>limite de calcul</v>
          </cell>
          <cell r="F1035"/>
          <cell r="G1035"/>
          <cell r="H1035"/>
          <cell r="I1035"/>
        </row>
        <row r="1036">
          <cell r="C1036"/>
          <cell r="D1036" t="str">
            <v>de la</v>
          </cell>
          <cell r="E1036" t="str">
            <v>situation précédente</v>
          </cell>
          <cell r="F1036"/>
          <cell r="G1036"/>
          <cell r="H1036"/>
          <cell r="I1036"/>
        </row>
        <row r="1037">
          <cell r="C1037" t="str">
            <v>état</v>
          </cell>
          <cell r="D1037" t="str">
            <v>du</v>
          </cell>
          <cell r="E1037" t="str">
            <v>bénéficiaire en assurance santé</v>
          </cell>
          <cell r="F1037"/>
          <cell r="G1037"/>
          <cell r="H1037"/>
          <cell r="I1037"/>
        </row>
        <row r="1038">
          <cell r="C1038"/>
          <cell r="D1038" t="str">
            <v>du</v>
          </cell>
          <cell r="E1038" t="str">
            <v>sous-produit d'assurance</v>
          </cell>
          <cell r="F1038"/>
          <cell r="G1038"/>
          <cell r="H1038"/>
          <cell r="I1038"/>
        </row>
        <row r="1039">
          <cell r="C1039"/>
          <cell r="D1039" t="str">
            <v>de</v>
          </cell>
          <cell r="E1039" t="str">
            <v>lien</v>
          </cell>
          <cell r="F1039"/>
          <cell r="G1039"/>
          <cell r="H1039"/>
          <cell r="I1039"/>
        </row>
        <row r="1040">
          <cell r="C1040"/>
          <cell r="D1040" t="str">
            <v>de la</v>
          </cell>
          <cell r="E1040" t="str">
            <v>dernière mise a jour</v>
          </cell>
          <cell r="F1040"/>
          <cell r="G1040"/>
          <cell r="H1040"/>
          <cell r="I1040"/>
        </row>
        <row r="1041">
          <cell r="C1041"/>
          <cell r="D1041" t="str">
            <v>d'</v>
          </cell>
          <cell r="E1041" t="str">
            <v>antécédants médicaux</v>
          </cell>
          <cell r="F1041"/>
          <cell r="G1041"/>
          <cell r="H1041"/>
          <cell r="I1041"/>
        </row>
        <row r="1042">
          <cell r="C1042"/>
          <cell r="D1042" t="str">
            <v>de l'</v>
          </cell>
          <cell r="E1042" t="str">
            <v>unité de gestion</v>
          </cell>
          <cell r="F1042"/>
          <cell r="G1042"/>
          <cell r="H1042"/>
          <cell r="I1042"/>
        </row>
        <row r="1043">
          <cell r="C1043"/>
          <cell r="D1043" t="str">
            <v>du</v>
          </cell>
          <cell r="E1043" t="str">
            <v>mode de gestion</v>
          </cell>
          <cell r="F1043"/>
          <cell r="G1043"/>
          <cell r="H1043"/>
          <cell r="I1043"/>
        </row>
        <row r="1044">
          <cell r="C1044"/>
          <cell r="D1044" t="str">
            <v>du</v>
          </cell>
          <cell r="E1044" t="str">
            <v>mode de règlement</v>
          </cell>
          <cell r="F1044"/>
          <cell r="G1044"/>
          <cell r="H1044"/>
          <cell r="I1044"/>
        </row>
        <row r="1045">
          <cell r="C1045"/>
          <cell r="D1045" t="str">
            <v>de</v>
          </cell>
          <cell r="E1045" t="str">
            <v>PROCOM</v>
          </cell>
          <cell r="F1045"/>
          <cell r="G1045"/>
          <cell r="H1045"/>
          <cell r="I1045"/>
        </row>
        <row r="1046">
          <cell r="C1046" t="str">
            <v>rattachement</v>
          </cell>
          <cell r="D1046" t="str">
            <v>au</v>
          </cell>
          <cell r="E1046" t="str">
            <v>régime sécurité sociale</v>
          </cell>
          <cell r="F1046"/>
          <cell r="G1046"/>
          <cell r="H1046"/>
          <cell r="I1046"/>
        </row>
        <row r="1047">
          <cell r="C1047"/>
          <cell r="D1047" t="str">
            <v>de l'</v>
          </cell>
          <cell r="E1047" t="str">
            <v>indice à la souscription</v>
          </cell>
          <cell r="F1047"/>
          <cell r="G1047"/>
          <cell r="H1047"/>
          <cell r="I1047"/>
        </row>
        <row r="1048">
          <cell r="C1048"/>
          <cell r="D1048" t="str">
            <v>de l'</v>
          </cell>
          <cell r="E1048" t="str">
            <v>indice à la souscription</v>
          </cell>
          <cell r="F1048"/>
          <cell r="G1048"/>
          <cell r="H1048"/>
          <cell r="I1048"/>
        </row>
        <row r="1049">
          <cell r="C1049"/>
          <cell r="D1049" t="str">
            <v>de</v>
          </cell>
          <cell r="E1049" t="str">
            <v>suffixe</v>
          </cell>
          <cell r="F1049"/>
          <cell r="G1049"/>
          <cell r="H1049"/>
          <cell r="I1049"/>
        </row>
        <row r="1050">
          <cell r="C1050"/>
          <cell r="D1050" t="str">
            <v>du</v>
          </cell>
          <cell r="E1050" t="str">
            <v>contrat complémentaire</v>
          </cell>
          <cell r="F1050"/>
          <cell r="G1050"/>
          <cell r="H1050"/>
          <cell r="I1050"/>
        </row>
        <row r="1051">
          <cell r="C1051"/>
          <cell r="D1051" t="str">
            <v>de</v>
          </cell>
          <cell r="E1051" t="str">
            <v>régime sécurité sociale</v>
          </cell>
          <cell r="F1051"/>
          <cell r="G1051"/>
          <cell r="H1051"/>
          <cell r="I1051"/>
        </row>
        <row r="1052">
          <cell r="C1052"/>
          <cell r="D1052" t="str">
            <v>de l'</v>
          </cell>
          <cell r="E1052" t="str">
            <v>etat</v>
          </cell>
          <cell r="F1052"/>
          <cell r="G1052"/>
          <cell r="H1052"/>
          <cell r="I1052"/>
        </row>
        <row r="1053">
          <cell r="C1053"/>
          <cell r="D1053" t="str">
            <v>du</v>
          </cell>
          <cell r="E1053" t="str">
            <v>statut</v>
          </cell>
          <cell r="F1053"/>
          <cell r="G1053"/>
          <cell r="H1053"/>
          <cell r="I1053"/>
        </row>
        <row r="1054">
          <cell r="C1054"/>
          <cell r="D1054" t="str">
            <v>du</v>
          </cell>
          <cell r="E1054" t="str">
            <v>canton suisse</v>
          </cell>
          <cell r="F1054"/>
          <cell r="G1054"/>
          <cell r="H1054"/>
          <cell r="I1054"/>
        </row>
        <row r="1055">
          <cell r="C1055"/>
          <cell r="D1055" t="str">
            <v>de l'</v>
          </cell>
          <cell r="E1055" t="str">
            <v>événement en attente</v>
          </cell>
          <cell r="F1055"/>
          <cell r="G1055"/>
          <cell r="H1055"/>
          <cell r="I1055"/>
        </row>
        <row r="1056">
          <cell r="C1056"/>
          <cell r="D1056" t="str">
            <v>de</v>
          </cell>
          <cell r="E1056" t="str">
            <v>délai de carence</v>
          </cell>
          <cell r="F1056"/>
          <cell r="G1056"/>
          <cell r="H1056"/>
          <cell r="I1056"/>
        </row>
        <row r="1057">
          <cell r="C1057" t="str">
            <v>archivage</v>
          </cell>
          <cell r="D1057" t="str">
            <v>du</v>
          </cell>
          <cell r="E1057" t="str">
            <v>contrat</v>
          </cell>
          <cell r="F1057"/>
          <cell r="G1057"/>
          <cell r="H1057"/>
          <cell r="I1057"/>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cell r="F1059"/>
          <cell r="G1059"/>
          <cell r="H1059"/>
          <cell r="I1059"/>
        </row>
        <row r="1060">
          <cell r="C1060" t="str">
            <v>gratuité</v>
          </cell>
          <cell r="D1060" t="str">
            <v>du</v>
          </cell>
          <cell r="E1060" t="str">
            <v>bénéficiaire en assurance santé</v>
          </cell>
          <cell r="F1060"/>
          <cell r="G1060"/>
          <cell r="H1060"/>
          <cell r="I1060"/>
        </row>
        <row r="1061">
          <cell r="C1061" t="str">
            <v>rattachement</v>
          </cell>
          <cell r="D1061" t="str">
            <v>au</v>
          </cell>
          <cell r="E1061" t="str">
            <v>Crédit Mutuel</v>
          </cell>
          <cell r="F1061"/>
          <cell r="G1061"/>
          <cell r="H1061"/>
          <cell r="I1061"/>
        </row>
        <row r="1062">
          <cell r="C1062" t="str">
            <v>création</v>
          </cell>
          <cell r="D1062" t="str">
            <v>du</v>
          </cell>
          <cell r="E1062" t="str">
            <v>contrat</v>
          </cell>
          <cell r="F1062"/>
          <cell r="G1062"/>
          <cell r="H1062"/>
          <cell r="I1062"/>
        </row>
        <row r="1063">
          <cell r="C1063" t="str">
            <v>création</v>
          </cell>
          <cell r="D1063" t="str">
            <v>de l'</v>
          </cell>
          <cell r="E1063" t="str">
            <v>adhésion</v>
          </cell>
          <cell r="F1063"/>
          <cell r="G1063"/>
          <cell r="H1063"/>
          <cell r="I1063"/>
        </row>
        <row r="1064">
          <cell r="C1064" t="str">
            <v>référence</v>
          </cell>
          <cell r="D1064" t="str">
            <v>du</v>
          </cell>
          <cell r="E1064" t="str">
            <v>bénéficiaire en assurance santé</v>
          </cell>
          <cell r="F1064"/>
          <cell r="G1064"/>
          <cell r="H1064"/>
          <cell r="I1064"/>
        </row>
        <row r="1065">
          <cell r="C1065" t="str">
            <v>SID</v>
          </cell>
          <cell r="D1065" t="str">
            <v>du</v>
          </cell>
          <cell r="E1065" t="str">
            <v>bénéficiaire en assurance santé</v>
          </cell>
          <cell r="F1065"/>
          <cell r="G1065"/>
          <cell r="H1065"/>
          <cell r="I1065"/>
        </row>
        <row r="1066">
          <cell r="C1066"/>
          <cell r="D1066" t="str">
            <v>de la</v>
          </cell>
          <cell r="E1066" t="str">
            <v>référence bancaire</v>
          </cell>
          <cell r="F1066"/>
          <cell r="G1066"/>
          <cell r="H1066"/>
          <cell r="I1066"/>
        </row>
        <row r="1067">
          <cell r="C1067" t="str">
            <v>clé</v>
          </cell>
          <cell r="D1067" t="str">
            <v>de l'</v>
          </cell>
          <cell r="E1067" t="str">
            <v>unité de gestion</v>
          </cell>
          <cell r="F1067"/>
          <cell r="G1067"/>
          <cell r="H1067"/>
          <cell r="I1067"/>
        </row>
        <row r="1068">
          <cell r="C1068" t="str">
            <v>différé</v>
          </cell>
          <cell r="D1068" t="str">
            <v>des</v>
          </cell>
          <cell r="E1068" t="str">
            <v>caractéristiques du correspondant</v>
          </cell>
          <cell r="F1068"/>
          <cell r="G1068"/>
          <cell r="H1068"/>
          <cell r="I1068"/>
        </row>
        <row r="1069">
          <cell r="C1069" t="str">
            <v>fraude</v>
          </cell>
          <cell r="D1069" t="str">
            <v>des</v>
          </cell>
          <cell r="E1069" t="str">
            <v>caractéristiques du correspondant</v>
          </cell>
          <cell r="F1069"/>
          <cell r="G1069"/>
          <cell r="H1069"/>
          <cell r="I1069"/>
        </row>
        <row r="1070">
          <cell r="C1070" t="str">
            <v>fortement utilisé</v>
          </cell>
          <cell r="D1070" t="str">
            <v>des</v>
          </cell>
          <cell r="E1070" t="str">
            <v>caractéristiques du correspondant</v>
          </cell>
          <cell r="F1070"/>
          <cell r="G1070"/>
          <cell r="H1070"/>
          <cell r="I1070"/>
        </row>
        <row r="1071">
          <cell r="C1071" t="str">
            <v>dernière image</v>
          </cell>
          <cell r="D1071" t="str">
            <v>de l'</v>
          </cell>
          <cell r="E1071" t="str">
            <v>Identifiant unique</v>
          </cell>
          <cell r="F1071" t="str">
            <v>du</v>
          </cell>
          <cell r="G1071" t="str">
            <v>correspondant</v>
          </cell>
          <cell r="H1071"/>
          <cell r="I1071"/>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cell r="H1075"/>
          <cell r="I1075"/>
        </row>
        <row r="1076">
          <cell r="C1076" t="str">
            <v>banesto</v>
          </cell>
          <cell r="D1076" t="str">
            <v>des</v>
          </cell>
          <cell r="E1076" t="str">
            <v>caractéristiques du correspondant</v>
          </cell>
          <cell r="F1076"/>
          <cell r="G1076"/>
          <cell r="H1076"/>
          <cell r="I1076"/>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cell r="F1079"/>
          <cell r="G1079"/>
          <cell r="H1079"/>
          <cell r="I1079"/>
        </row>
        <row r="1080">
          <cell r="C1080" t="str">
            <v>Dernière image</v>
          </cell>
          <cell r="D1080" t="str">
            <v>du</v>
          </cell>
          <cell r="E1080" t="str">
            <v>tarif correspondant</v>
          </cell>
          <cell r="F1080"/>
          <cell r="G1080"/>
          <cell r="H1080"/>
          <cell r="I1080"/>
        </row>
        <row r="1081">
          <cell r="C1081" t="str">
            <v>état</v>
          </cell>
          <cell r="D1081" t="str">
            <v>du</v>
          </cell>
          <cell r="E1081" t="str">
            <v>forfait VEI</v>
          </cell>
          <cell r="F1081" t="str">
            <v>et</v>
          </cell>
          <cell r="G1081" t="str">
            <v>RIV</v>
          </cell>
          <cell r="H1081"/>
          <cell r="I1081"/>
        </row>
        <row r="1082">
          <cell r="C1082"/>
          <cell r="D1082" t="str">
            <v>du</v>
          </cell>
          <cell r="E1082" t="str">
            <v>forfait VEI</v>
          </cell>
          <cell r="F1082" t="str">
            <v>et</v>
          </cell>
          <cell r="G1082" t="str">
            <v>RIV</v>
          </cell>
          <cell r="H1082" t="str">
            <v>du</v>
          </cell>
          <cell r="I1082" t="str">
            <v>tarif correspondant</v>
          </cell>
        </row>
        <row r="1083">
          <cell r="C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cell r="H1084"/>
          <cell r="I1084"/>
        </row>
        <row r="1085">
          <cell r="C1085" t="str">
            <v>état</v>
          </cell>
          <cell r="D1085" t="str">
            <v>du</v>
          </cell>
          <cell r="E1085" t="str">
            <v>booléen</v>
          </cell>
          <cell r="F1085" t="str">
            <v>de l'</v>
          </cell>
          <cell r="G1085" t="str">
            <v>agrément vitrage</v>
          </cell>
          <cell r="H1085"/>
          <cell r="I1085"/>
        </row>
        <row r="1086">
          <cell r="C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cell r="H1087"/>
          <cell r="I1087"/>
        </row>
        <row r="1088">
          <cell r="C1088"/>
          <cell r="D1088" t="str">
            <v xml:space="preserve"> </v>
          </cell>
          <cell r="E1088" t="str">
            <v>cybermut</v>
          </cell>
          <cell r="F1088" t="str">
            <v>des</v>
          </cell>
          <cell r="G1088" t="str">
            <v>caractéristiques du correspondant</v>
          </cell>
          <cell r="H1088"/>
          <cell r="I1088"/>
        </row>
        <row r="1089">
          <cell r="C1089"/>
          <cell r="D1089" t="str">
            <v xml:space="preserve"> </v>
          </cell>
          <cell r="E1089" t="str">
            <v>IRPF</v>
          </cell>
          <cell r="F1089" t="str">
            <v>des</v>
          </cell>
          <cell r="G1089" t="str">
            <v>caractéristiques du correspondant</v>
          </cell>
          <cell r="H1089"/>
          <cell r="I1089"/>
        </row>
        <row r="1090">
          <cell r="C1090"/>
          <cell r="D1090" t="str">
            <v xml:space="preserve"> </v>
          </cell>
          <cell r="E1090" t="str">
            <v>convention honoraire</v>
          </cell>
          <cell r="F1090" t="str">
            <v>des</v>
          </cell>
          <cell r="G1090" t="str">
            <v>caractéristiques du correspondant</v>
          </cell>
          <cell r="H1090"/>
          <cell r="I1090"/>
        </row>
        <row r="1091">
          <cell r="C1091"/>
          <cell r="D1091" t="str">
            <v xml:space="preserve"> </v>
          </cell>
          <cell r="E1091" t="str">
            <v>certificat fiscal</v>
          </cell>
          <cell r="F1091" t="str">
            <v>des</v>
          </cell>
          <cell r="G1091" t="str">
            <v>caractéristiques du correspondant</v>
          </cell>
          <cell r="H1091"/>
          <cell r="I1091"/>
        </row>
        <row r="1092">
          <cell r="C1092"/>
          <cell r="D1092" t="str">
            <v xml:space="preserve"> </v>
          </cell>
          <cell r="E1092" t="str">
            <v>VSL</v>
          </cell>
          <cell r="F1092" t="str">
            <v>des</v>
          </cell>
          <cell r="G1092" t="str">
            <v>caractéristiques du correspondant</v>
          </cell>
          <cell r="H1092"/>
          <cell r="I1092"/>
        </row>
        <row r="1093">
          <cell r="C1093"/>
          <cell r="D1093" t="str">
            <v xml:space="preserve"> </v>
          </cell>
          <cell r="E1093" t="str">
            <v>établissement public hospitalier</v>
          </cell>
          <cell r="F1093" t="str">
            <v>des</v>
          </cell>
          <cell r="G1093" t="str">
            <v>caractéristiques du correspondant</v>
          </cell>
          <cell r="H1093"/>
          <cell r="I1093"/>
        </row>
        <row r="1094">
          <cell r="C1094"/>
          <cell r="D1094" t="str">
            <v>de</v>
          </cell>
          <cell r="E1094" t="str">
            <v>tiers payant</v>
          </cell>
          <cell r="F1094" t="str">
            <v>de la</v>
          </cell>
          <cell r="G1094" t="str">
            <v>carte avance santé</v>
          </cell>
          <cell r="H1094" t="str">
            <v>des</v>
          </cell>
          <cell r="I1094" t="str">
            <v>caractéristiques du correspondant</v>
          </cell>
        </row>
        <row r="1095">
          <cell r="C1095"/>
          <cell r="D1095" t="str">
            <v>de</v>
          </cell>
          <cell r="E1095" t="str">
            <v>tiers payant</v>
          </cell>
          <cell r="F1095" t="str">
            <v>des</v>
          </cell>
          <cell r="G1095" t="str">
            <v>caractéristiques du correspondant</v>
          </cell>
          <cell r="H1095"/>
          <cell r="I1095"/>
        </row>
        <row r="1096">
          <cell r="C1096"/>
          <cell r="D1096" t="str">
            <v xml:space="preserve"> </v>
          </cell>
          <cell r="E1096" t="str">
            <v>centre d'expertise</v>
          </cell>
          <cell r="F1096" t="str">
            <v>des</v>
          </cell>
          <cell r="G1096" t="str">
            <v>caractéristiques du correspondant</v>
          </cell>
          <cell r="H1096"/>
          <cell r="I1096"/>
        </row>
        <row r="1097">
          <cell r="C1097"/>
          <cell r="D1097" t="str">
            <v>de la</v>
          </cell>
          <cell r="E1097" t="str">
            <v>remise pied de facture</v>
          </cell>
          <cell r="F1097" t="str">
            <v>des</v>
          </cell>
          <cell r="G1097" t="str">
            <v>caractéristiques du correspondant</v>
          </cell>
          <cell r="H1097"/>
          <cell r="I1097"/>
        </row>
        <row r="1098">
          <cell r="C1098"/>
          <cell r="D1098" t="str">
            <v>de</v>
          </cell>
          <cell r="E1098" t="str">
            <v>paiement</v>
          </cell>
          <cell r="F1098" t="str">
            <v>des</v>
          </cell>
          <cell r="G1098" t="str">
            <v>caractéristiques du correspondant</v>
          </cell>
          <cell r="H1098"/>
          <cell r="I1098"/>
        </row>
        <row r="1099">
          <cell r="C1099"/>
          <cell r="D1099" t="str">
            <v>d'</v>
          </cell>
          <cell r="E1099" t="str">
            <v>ordre de préférence</v>
          </cell>
          <cell r="F1099" t="str">
            <v>des</v>
          </cell>
          <cell r="G1099" t="str">
            <v>caractéristiques du correspondant</v>
          </cell>
          <cell r="H1099"/>
          <cell r="I1099"/>
        </row>
        <row r="1100">
          <cell r="C1100"/>
          <cell r="D1100" t="str">
            <v>de la</v>
          </cell>
          <cell r="E1100" t="str">
            <v>remise sur main d'œuvre</v>
          </cell>
          <cell r="F1100" t="str">
            <v>des</v>
          </cell>
          <cell r="G1100" t="str">
            <v>caractéristiques du correspondant</v>
          </cell>
          <cell r="H1100"/>
          <cell r="I1100"/>
        </row>
        <row r="1101">
          <cell r="C1101"/>
          <cell r="D1101" t="str">
            <v>des</v>
          </cell>
          <cell r="E1101" t="str">
            <v>frais de déplacement</v>
          </cell>
          <cell r="F1101" t="str">
            <v>des</v>
          </cell>
          <cell r="G1101" t="str">
            <v>caractéristiques du correspondant</v>
          </cell>
          <cell r="H1101"/>
          <cell r="I1101"/>
        </row>
        <row r="1102">
          <cell r="C1102"/>
          <cell r="D1102" t="str">
            <v>de la</v>
          </cell>
          <cell r="E1102" t="str">
            <v>remise sur pièces détachées</v>
          </cell>
          <cell r="F1102" t="str">
            <v>des</v>
          </cell>
          <cell r="G1102" t="str">
            <v>caractéristiques du correspondant</v>
          </cell>
          <cell r="H1102"/>
          <cell r="I1102"/>
        </row>
        <row r="1103">
          <cell r="C1103"/>
          <cell r="D1103" t="str">
            <v>de la</v>
          </cell>
          <cell r="E1103" t="str">
            <v>remise pare-brise</v>
          </cell>
          <cell r="F1103" t="str">
            <v>des</v>
          </cell>
          <cell r="G1103" t="str">
            <v>caractéristiques du correspondant</v>
          </cell>
          <cell r="H1103"/>
          <cell r="I1103"/>
        </row>
        <row r="1104">
          <cell r="C1104"/>
          <cell r="D1104" t="str">
            <v>d'</v>
          </cell>
          <cell r="E1104" t="str">
            <v>arrêté comptable</v>
          </cell>
          <cell r="F1104" t="str">
            <v>des</v>
          </cell>
          <cell r="G1104" t="str">
            <v>caractéristiques du correspondant</v>
          </cell>
          <cell r="H1104"/>
          <cell r="I1104"/>
        </row>
        <row r="1105">
          <cell r="C1105"/>
          <cell r="D1105" t="str">
            <v>de l'</v>
          </cell>
          <cell r="E1105" t="str">
            <v>entreprise</v>
          </cell>
          <cell r="F1105" t="str">
            <v>des</v>
          </cell>
          <cell r="G1105" t="str">
            <v>caractéristiques du correspondant</v>
          </cell>
          <cell r="H1105"/>
          <cell r="I1105"/>
        </row>
        <row r="1106">
          <cell r="C1106"/>
          <cell r="D1106" t="str">
            <v>de l'</v>
          </cell>
          <cell r="E1106" t="str">
            <v>entreprise</v>
          </cell>
          <cell r="F1106" t="str">
            <v>des</v>
          </cell>
          <cell r="G1106" t="str">
            <v>caractéristiques du correspondant</v>
          </cell>
          <cell r="H1106"/>
          <cell r="I1106"/>
        </row>
        <row r="1107">
          <cell r="C1107"/>
          <cell r="D1107" t="str">
            <v>du</v>
          </cell>
          <cell r="E1107" t="str">
            <v>réseau d'appartenance</v>
          </cell>
          <cell r="F1107" t="str">
            <v>des</v>
          </cell>
          <cell r="G1107" t="str">
            <v>caractéristiques du correspondant</v>
          </cell>
          <cell r="H1107"/>
          <cell r="I1107"/>
        </row>
        <row r="1108">
          <cell r="C1108"/>
          <cell r="D1108" t="str">
            <v>du</v>
          </cell>
          <cell r="E1108" t="str">
            <v>réseau d'appartenance</v>
          </cell>
          <cell r="F1108" t="str">
            <v>des</v>
          </cell>
          <cell r="G1108" t="str">
            <v>caractéristiques du correspondant</v>
          </cell>
          <cell r="H1108"/>
          <cell r="I1108"/>
        </row>
        <row r="1109">
          <cell r="C1109"/>
          <cell r="D1109" t="str">
            <v>de l'</v>
          </cell>
          <cell r="E1109" t="str">
            <v>habilitation</v>
          </cell>
          <cell r="F1109" t="str">
            <v>des</v>
          </cell>
          <cell r="G1109" t="str">
            <v>caractéristiques du correspondant</v>
          </cell>
          <cell r="H1109"/>
          <cell r="I1109"/>
        </row>
        <row r="1110">
          <cell r="C1110"/>
          <cell r="D1110" t="str">
            <v>de l'</v>
          </cell>
          <cell r="E1110" t="str">
            <v>habilitation</v>
          </cell>
          <cell r="F1110" t="str">
            <v>des</v>
          </cell>
          <cell r="G1110" t="str">
            <v>caractéristiques du correspondant</v>
          </cell>
          <cell r="H1110"/>
          <cell r="I1110"/>
        </row>
        <row r="1111">
          <cell r="C1111"/>
          <cell r="D1111" t="str">
            <v>de la</v>
          </cell>
          <cell r="E1111" t="str">
            <v>concession ou marque automobile</v>
          </cell>
          <cell r="F1111" t="str">
            <v>des</v>
          </cell>
          <cell r="G1111" t="str">
            <v>caractéristiques du correspondant</v>
          </cell>
          <cell r="H1111"/>
          <cell r="I1111"/>
        </row>
        <row r="1112">
          <cell r="C1112"/>
          <cell r="D1112" t="str">
            <v>du</v>
          </cell>
          <cell r="E1112" t="str">
            <v>mail</v>
          </cell>
          <cell r="F1112" t="str">
            <v>des</v>
          </cell>
          <cell r="G1112" t="str">
            <v>caractéristiques du correspondant</v>
          </cell>
          <cell r="H1112"/>
          <cell r="I1112"/>
        </row>
        <row r="1113">
          <cell r="C1113"/>
          <cell r="D1113" t="str">
            <v>du</v>
          </cell>
          <cell r="E1113" t="str">
            <v>FAX</v>
          </cell>
          <cell r="F1113" t="str">
            <v>des</v>
          </cell>
          <cell r="G1113" t="str">
            <v>caractéristiques du correspondant</v>
          </cell>
          <cell r="H1113"/>
          <cell r="I1113"/>
        </row>
        <row r="1114">
          <cell r="C1114"/>
          <cell r="D1114" t="str">
            <v>de la</v>
          </cell>
          <cell r="E1114" t="str">
            <v>répartition des dossiers</v>
          </cell>
          <cell r="F1114" t="str">
            <v>des</v>
          </cell>
          <cell r="G1114" t="str">
            <v>caractéristiques du correspondant</v>
          </cell>
          <cell r="H1114"/>
          <cell r="I1114"/>
        </row>
        <row r="1115">
          <cell r="C1115"/>
          <cell r="D1115" t="str">
            <v>du</v>
          </cell>
          <cell r="E1115" t="str">
            <v>lien site web</v>
          </cell>
          <cell r="F1115" t="str">
            <v>des</v>
          </cell>
          <cell r="G1115" t="str">
            <v>caractéristiques du correspondant</v>
          </cell>
          <cell r="H1115"/>
          <cell r="I1115"/>
        </row>
        <row r="1116">
          <cell r="C1116"/>
          <cell r="D1116" t="str">
            <v>du</v>
          </cell>
          <cell r="E1116" t="str">
            <v>barreau de compétence</v>
          </cell>
          <cell r="F1116" t="str">
            <v>des</v>
          </cell>
          <cell r="G1116" t="str">
            <v>caractéristiques du correspondant</v>
          </cell>
          <cell r="H1116"/>
          <cell r="I1116"/>
        </row>
        <row r="1117">
          <cell r="C1117"/>
          <cell r="D1117" t="str">
            <v>de la</v>
          </cell>
          <cell r="E1117" t="str">
            <v>compagnie de remplacement</v>
          </cell>
          <cell r="F1117" t="str">
            <v>des</v>
          </cell>
          <cell r="G1117" t="str">
            <v>caractéristiques du correspondant</v>
          </cell>
          <cell r="H1117"/>
          <cell r="I1117"/>
        </row>
        <row r="1118">
          <cell r="C1118"/>
          <cell r="D1118" t="str">
            <v>du</v>
          </cell>
          <cell r="E1118" t="str">
            <v>téléphone</v>
          </cell>
          <cell r="F1118" t="str">
            <v>des</v>
          </cell>
          <cell r="G1118" t="str">
            <v>caractéristiques du correspondant</v>
          </cell>
          <cell r="H1118"/>
          <cell r="I1118"/>
        </row>
        <row r="1119">
          <cell r="C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cell r="H1120"/>
          <cell r="I1120"/>
        </row>
        <row r="1121">
          <cell r="C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cell r="H1122"/>
          <cell r="I1122"/>
        </row>
        <row r="1123">
          <cell r="C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cell r="H1124"/>
          <cell r="I1124"/>
        </row>
        <row r="1125">
          <cell r="C1125"/>
          <cell r="D1125" t="str">
            <v>de</v>
          </cell>
          <cell r="E1125" t="str">
            <v>service BDG</v>
          </cell>
          <cell r="F1125" t="str">
            <v>des</v>
          </cell>
          <cell r="G1125" t="str">
            <v>caractéristiques du correspondant</v>
          </cell>
          <cell r="H1125"/>
          <cell r="I1125"/>
        </row>
        <row r="1126">
          <cell r="C1126"/>
          <cell r="D1126" t="str">
            <v>de</v>
          </cell>
          <cell r="E1126" t="str">
            <v xml:space="preserve">tête de pont </v>
          </cell>
          <cell r="F1126" t="str">
            <v>du</v>
          </cell>
          <cell r="G1126" t="str">
            <v>correspondant</v>
          </cell>
          <cell r="H1126"/>
          <cell r="I1126"/>
        </row>
        <row r="1127">
          <cell r="C1127"/>
          <cell r="D1127" t="str">
            <v>de</v>
          </cell>
          <cell r="E1127" t="str">
            <v>procédure SOS</v>
          </cell>
          <cell r="F1127" t="str">
            <v>des</v>
          </cell>
          <cell r="G1127" t="str">
            <v>caractéristiques du correspondant</v>
          </cell>
          <cell r="H1127" t="str">
            <v xml:space="preserve"> </v>
          </cell>
          <cell r="I1127"/>
        </row>
        <row r="1128">
          <cell r="C1128"/>
          <cell r="D1128" t="str">
            <v>de</v>
          </cell>
          <cell r="E1128" t="str">
            <v>véhicule électrique</v>
          </cell>
          <cell r="F1128" t="str">
            <v>des</v>
          </cell>
          <cell r="G1128" t="str">
            <v>caractéristiques du correspondant</v>
          </cell>
          <cell r="H1128"/>
          <cell r="I1128"/>
        </row>
        <row r="1129">
          <cell r="C1129"/>
          <cell r="D1129" t="str">
            <v>d'</v>
          </cell>
          <cell r="E1129" t="str">
            <v>honoraire conventionné</v>
          </cell>
          <cell r="F1129" t="str">
            <v>des</v>
          </cell>
          <cell r="G1129" t="str">
            <v>caractéristiques du correspondant</v>
          </cell>
          <cell r="H1129"/>
          <cell r="I1129"/>
        </row>
        <row r="1130">
          <cell r="C1130"/>
          <cell r="D1130" t="str">
            <v>de</v>
          </cell>
          <cell r="E1130" t="str">
            <v>kilomètre gratuit</v>
          </cell>
          <cell r="F1130" t="str">
            <v>du</v>
          </cell>
          <cell r="G1130" t="str">
            <v>Correspondant</v>
          </cell>
          <cell r="H1130"/>
          <cell r="I1130"/>
        </row>
        <row r="1131">
          <cell r="C1131"/>
          <cell r="D1131" t="str">
            <v>de</v>
          </cell>
          <cell r="E1131" t="str">
            <v>dépannage gratuit</v>
          </cell>
          <cell r="F1131" t="str">
            <v>des</v>
          </cell>
          <cell r="G1131" t="str">
            <v>caractéristiques du correspondant</v>
          </cell>
          <cell r="H1131"/>
          <cell r="I1131"/>
        </row>
        <row r="1132">
          <cell r="C1132"/>
          <cell r="D1132" t="str">
            <v>de</v>
          </cell>
          <cell r="E1132" t="str">
            <v>salarié du groupe</v>
          </cell>
          <cell r="F1132" t="str">
            <v>du</v>
          </cell>
          <cell r="G1132" t="str">
            <v>correspondant</v>
          </cell>
          <cell r="H1132"/>
          <cell r="I1132"/>
        </row>
        <row r="1133">
          <cell r="C1133"/>
          <cell r="D1133" t="str">
            <v>de</v>
          </cell>
          <cell r="E1133" t="str">
            <v>service à domicile</v>
          </cell>
          <cell r="F1133" t="str">
            <v>des</v>
          </cell>
          <cell r="G1133" t="str">
            <v>caractéristiques du correspondant</v>
          </cell>
          <cell r="H1133"/>
          <cell r="I1133"/>
        </row>
        <row r="1134">
          <cell r="C1134"/>
          <cell r="D1134" t="str">
            <v>de</v>
          </cell>
          <cell r="E1134" t="str">
            <v>prêt immédiat</v>
          </cell>
          <cell r="F1134" t="str">
            <v>des</v>
          </cell>
          <cell r="G1134" t="str">
            <v>caractéristiques du correspondant</v>
          </cell>
          <cell r="H1134"/>
          <cell r="I1134"/>
        </row>
        <row r="1135">
          <cell r="C1135"/>
          <cell r="D1135" t="str">
            <v>de</v>
          </cell>
          <cell r="E1135" t="str">
            <v>mécanique toute marque</v>
          </cell>
          <cell r="F1135" t="str">
            <v>des</v>
          </cell>
          <cell r="G1135" t="str">
            <v>caractéristiques du correspondant</v>
          </cell>
          <cell r="H1135"/>
          <cell r="I1135"/>
        </row>
        <row r="1136">
          <cell r="C1136"/>
          <cell r="D1136" t="str">
            <v>de</v>
          </cell>
          <cell r="E1136" t="str">
            <v>présence chauffeur</v>
          </cell>
          <cell r="F1136" t="str">
            <v>des</v>
          </cell>
          <cell r="G1136" t="str">
            <v>caractéristiques du correspondant</v>
          </cell>
          <cell r="H1136"/>
          <cell r="I1136"/>
        </row>
        <row r="1137">
          <cell r="C1137"/>
          <cell r="D1137" t="str">
            <v>de</v>
          </cell>
          <cell r="E1137" t="str">
            <v>débosselage sans peinture</v>
          </cell>
          <cell r="F1137" t="str">
            <v>des</v>
          </cell>
          <cell r="G1137" t="str">
            <v>caractéristiques du correspondant</v>
          </cell>
          <cell r="H1137"/>
          <cell r="I1137"/>
        </row>
        <row r="1138">
          <cell r="C1138"/>
          <cell r="D1138" t="str">
            <v>de</v>
          </cell>
          <cell r="E1138" t="str">
            <v>partenaire</v>
          </cell>
          <cell r="F1138" t="str">
            <v>des</v>
          </cell>
          <cell r="G1138" t="str">
            <v>caractéristiques du correspondant</v>
          </cell>
          <cell r="H1138"/>
          <cell r="I1138"/>
        </row>
        <row r="1139">
          <cell r="C1139"/>
          <cell r="D1139" t="str">
            <v>d'</v>
          </cell>
          <cell r="E1139" t="str">
            <v>expertise à distance</v>
          </cell>
          <cell r="F1139" t="str">
            <v>des</v>
          </cell>
          <cell r="G1139" t="str">
            <v>caractéristiques du correspondant</v>
          </cell>
          <cell r="H1139"/>
          <cell r="I1139"/>
        </row>
        <row r="1140">
          <cell r="C1140"/>
          <cell r="D1140" t="str">
            <v>de</v>
          </cell>
          <cell r="E1140" t="str">
            <v>véhicule de remplacement</v>
          </cell>
          <cell r="F1140" t="str">
            <v>des</v>
          </cell>
          <cell r="G1140" t="str">
            <v>caractéristiques du correspondant</v>
          </cell>
          <cell r="H1140"/>
          <cell r="I1140"/>
        </row>
        <row r="1141">
          <cell r="C1141"/>
          <cell r="D1141" t="str">
            <v>de</v>
          </cell>
          <cell r="E1141" t="str">
            <v>sous-traitant 100%</v>
          </cell>
          <cell r="F1141" t="str">
            <v>des</v>
          </cell>
          <cell r="G1141" t="str">
            <v>caractéristiques du correspondant</v>
          </cell>
          <cell r="H1141"/>
          <cell r="I1141"/>
        </row>
        <row r="1142">
          <cell r="C1142"/>
          <cell r="D1142" t="str">
            <v>de</v>
          </cell>
          <cell r="E1142" t="str">
            <v>dossiers graves</v>
          </cell>
          <cell r="F1142" t="str">
            <v>des</v>
          </cell>
          <cell r="G1142" t="str">
            <v>caractéristiques du correspondant</v>
          </cell>
          <cell r="H1142"/>
          <cell r="I1142"/>
        </row>
        <row r="1143">
          <cell r="C1143"/>
          <cell r="D1143" t="str">
            <v>de</v>
          </cell>
          <cell r="E1143" t="str">
            <v>véhicule d'occasion</v>
          </cell>
          <cell r="F1143" t="str">
            <v>des</v>
          </cell>
          <cell r="G1143" t="str">
            <v>caractéristiques du correspondant</v>
          </cell>
          <cell r="H1143"/>
          <cell r="I1143"/>
        </row>
        <row r="1144">
          <cell r="C1144"/>
          <cell r="D1144" t="str">
            <v>de</v>
          </cell>
          <cell r="E1144" t="str">
            <v>carte verte</v>
          </cell>
          <cell r="F1144" t="str">
            <v>du</v>
          </cell>
          <cell r="G1144" t="str">
            <v>correspondant</v>
          </cell>
          <cell r="H1144"/>
          <cell r="I1144"/>
        </row>
        <row r="1145">
          <cell r="C1145"/>
          <cell r="D1145" t="str">
            <v>de</v>
          </cell>
          <cell r="E1145" t="str">
            <v>score</v>
          </cell>
          <cell r="F1145" t="str">
            <v>des</v>
          </cell>
          <cell r="G1145" t="str">
            <v>caractéristiques du correspondant</v>
          </cell>
          <cell r="H1145"/>
          <cell r="I1145"/>
        </row>
        <row r="1146">
          <cell r="C1146"/>
          <cell r="D1146" t="str">
            <v>du</v>
          </cell>
          <cell r="E1146" t="str">
            <v>RPPS</v>
          </cell>
          <cell r="F1146" t="str">
            <v>du</v>
          </cell>
          <cell r="G1146" t="str">
            <v>Correspondant</v>
          </cell>
          <cell r="H1146"/>
          <cell r="I1146"/>
        </row>
        <row r="1147">
          <cell r="C1147"/>
          <cell r="D1147" t="str">
            <v>de</v>
          </cell>
          <cell r="E1147" t="str">
            <v>SIRET</v>
          </cell>
          <cell r="F1147" t="str">
            <v>du</v>
          </cell>
          <cell r="G1147" t="str">
            <v>correspondant</v>
          </cell>
          <cell r="H1147"/>
          <cell r="I1147"/>
        </row>
        <row r="1148">
          <cell r="C1148"/>
          <cell r="D1148" t="str">
            <v>de l'</v>
          </cell>
          <cell r="E1148" t="str">
            <v>état</v>
          </cell>
          <cell r="F1148" t="str">
            <v>du</v>
          </cell>
          <cell r="G1148" t="str">
            <v>SIRET</v>
          </cell>
          <cell r="H1148" t="str">
            <v>du</v>
          </cell>
          <cell r="I1148" t="str">
            <v>correspondant</v>
          </cell>
        </row>
        <row r="1149">
          <cell r="C1149"/>
          <cell r="D1149" t="str">
            <v>du</v>
          </cell>
          <cell r="E1149" t="str">
            <v>tarif correspondant</v>
          </cell>
          <cell r="F1149"/>
          <cell r="G1149"/>
          <cell r="H1149"/>
          <cell r="I1149"/>
        </row>
        <row r="1150">
          <cell r="C1150"/>
          <cell r="D1150" t="str">
            <v>de l'</v>
          </cell>
          <cell r="E1150" t="str">
            <v>état</v>
          </cell>
          <cell r="F1150" t="str">
            <v>du</v>
          </cell>
          <cell r="G1150" t="str">
            <v>tarif correspondant</v>
          </cell>
          <cell r="H1150"/>
          <cell r="I1150"/>
        </row>
        <row r="1151">
          <cell r="C1151"/>
          <cell r="D1151" t="str">
            <v>de l'</v>
          </cell>
          <cell r="E1151" t="str">
            <v>état</v>
          </cell>
          <cell r="F1151" t="str">
            <v>du</v>
          </cell>
          <cell r="G1151" t="str">
            <v>tarif correspondant</v>
          </cell>
          <cell r="H1151"/>
          <cell r="I1151"/>
        </row>
        <row r="1152">
          <cell r="C1152"/>
          <cell r="D1152" t="str">
            <v>du</v>
          </cell>
          <cell r="E1152" t="str">
            <v>réseau d'appartenance</v>
          </cell>
          <cell r="F1152" t="str">
            <v>du</v>
          </cell>
          <cell r="G1152" t="str">
            <v>correspondant</v>
          </cell>
          <cell r="H1152"/>
          <cell r="I1152"/>
        </row>
        <row r="1153">
          <cell r="C1153"/>
          <cell r="D1153" t="str">
            <v>du</v>
          </cell>
          <cell r="E1153" t="str">
            <v>secteur d'activité</v>
          </cell>
          <cell r="F1153" t="str">
            <v>du</v>
          </cell>
          <cell r="G1153" t="str">
            <v>correspondant</v>
          </cell>
          <cell r="H1153"/>
          <cell r="I1153"/>
        </row>
        <row r="1154">
          <cell r="C1154"/>
          <cell r="D1154" t="str">
            <v>de la</v>
          </cell>
          <cell r="E1154" t="str">
            <v>nature légale</v>
          </cell>
          <cell r="F1154" t="str">
            <v>du</v>
          </cell>
          <cell r="G1154" t="str">
            <v>correspondant</v>
          </cell>
          <cell r="H1154"/>
          <cell r="I1154"/>
        </row>
        <row r="1155">
          <cell r="C1155"/>
          <cell r="D1155" t="str">
            <v>de la</v>
          </cell>
          <cell r="E1155" t="str">
            <v>Spécialité professionnelle</v>
          </cell>
          <cell r="F1155" t="str">
            <v>du</v>
          </cell>
          <cell r="G1155" t="str">
            <v>correspondant</v>
          </cell>
          <cell r="H1155"/>
          <cell r="I1155"/>
        </row>
        <row r="1156">
          <cell r="C1156"/>
          <cell r="D1156" t="str">
            <v>du</v>
          </cell>
          <cell r="E1156" t="str">
            <v>type de relation</v>
          </cell>
          <cell r="F1156" t="str">
            <v>du</v>
          </cell>
          <cell r="G1156" t="str">
            <v>correspondant</v>
          </cell>
          <cell r="H1156"/>
          <cell r="I1156"/>
        </row>
        <row r="1157">
          <cell r="C1157"/>
          <cell r="D1157" t="str">
            <v>de la</v>
          </cell>
          <cell r="E1157" t="str">
            <v>situation</v>
          </cell>
          <cell r="F1157" t="str">
            <v>du</v>
          </cell>
          <cell r="G1157" t="str">
            <v>Correspondant</v>
          </cell>
          <cell r="H1157"/>
          <cell r="I1157"/>
        </row>
        <row r="1158">
          <cell r="C1158"/>
          <cell r="D1158" t="str">
            <v>de la</v>
          </cell>
          <cell r="E1158" t="str">
            <v>structure</v>
          </cell>
          <cell r="F1158" t="str">
            <v>du</v>
          </cell>
          <cell r="G1158" t="str">
            <v>correspondant</v>
          </cell>
          <cell r="H1158"/>
          <cell r="I1158"/>
        </row>
        <row r="1159">
          <cell r="C1159"/>
          <cell r="D1159" t="str">
            <v>du</v>
          </cell>
          <cell r="E1159" t="str">
            <v>type de structure</v>
          </cell>
          <cell r="F1159" t="str">
            <v>du</v>
          </cell>
          <cell r="G1159" t="str">
            <v>correspondant</v>
          </cell>
          <cell r="H1159"/>
          <cell r="I1159"/>
        </row>
        <row r="1160">
          <cell r="C1160"/>
          <cell r="D1160" t="str">
            <v>du</v>
          </cell>
          <cell r="E1160" t="str">
            <v>statut</v>
          </cell>
          <cell r="F1160" t="str">
            <v>du</v>
          </cell>
          <cell r="G1160" t="str">
            <v>correspondant</v>
          </cell>
          <cell r="H1160"/>
          <cell r="I1160"/>
        </row>
        <row r="1161">
          <cell r="C1161"/>
          <cell r="D1161" t="str">
            <v>de l'</v>
          </cell>
          <cell r="E1161" t="str">
            <v>offre couronne dentaire</v>
          </cell>
          <cell r="F1161" t="str">
            <v>du</v>
          </cell>
          <cell r="G1161" t="str">
            <v>correspondant</v>
          </cell>
          <cell r="H1161"/>
          <cell r="I1161"/>
        </row>
        <row r="1162">
          <cell r="C1162"/>
          <cell r="D1162" t="str">
            <v>de l'</v>
          </cell>
          <cell r="E1162" t="str">
            <v>offre intégrale dentaire</v>
          </cell>
          <cell r="F1162" t="str">
            <v>du</v>
          </cell>
          <cell r="G1162" t="str">
            <v>correspondant</v>
          </cell>
          <cell r="H1162"/>
          <cell r="I1162"/>
        </row>
        <row r="1163">
          <cell r="C1163"/>
          <cell r="D1163" t="str">
            <v>du</v>
          </cell>
          <cell r="E1163" t="str">
            <v>secteur d'activité</v>
          </cell>
          <cell r="F1163" t="str">
            <v>du</v>
          </cell>
          <cell r="G1163" t="str">
            <v>correspondant</v>
          </cell>
          <cell r="H1163"/>
          <cell r="I1163"/>
        </row>
        <row r="1164">
          <cell r="C1164"/>
          <cell r="D1164" t="str">
            <v>du</v>
          </cell>
          <cell r="E1164" t="str">
            <v>secteur d'activité</v>
          </cell>
          <cell r="F1164" t="str">
            <v>du</v>
          </cell>
          <cell r="G1164" t="str">
            <v>correspondant</v>
          </cell>
          <cell r="H1164"/>
          <cell r="I1164"/>
        </row>
        <row r="1165">
          <cell r="C1165"/>
          <cell r="D1165" t="str">
            <v xml:space="preserve"> </v>
          </cell>
          <cell r="E1165" t="str">
            <v>ACAM</v>
          </cell>
          <cell r="F1165" t="str">
            <v>du</v>
          </cell>
          <cell r="G1165" t="str">
            <v>correspondant</v>
          </cell>
          <cell r="H1165"/>
          <cell r="I1165"/>
        </row>
        <row r="1166">
          <cell r="C1166"/>
          <cell r="D1166" t="str">
            <v>de la</v>
          </cell>
          <cell r="E1166" t="str">
            <v>Spécialité professionnelle complémentaire</v>
          </cell>
          <cell r="F1166" t="str">
            <v>du</v>
          </cell>
          <cell r="G1166" t="str">
            <v>correspondant</v>
          </cell>
          <cell r="H1166"/>
          <cell r="I1166"/>
        </row>
        <row r="1167">
          <cell r="C1167"/>
          <cell r="D1167" t="str">
            <v xml:space="preserve"> </v>
          </cell>
          <cell r="E1167" t="str">
            <v>ADELI</v>
          </cell>
          <cell r="F1167" t="str">
            <v>du</v>
          </cell>
          <cell r="G1167" t="str">
            <v>correspondant</v>
          </cell>
          <cell r="H1167"/>
          <cell r="I1167"/>
        </row>
        <row r="1168">
          <cell r="C1168"/>
          <cell r="D1168" t="str">
            <v>de l'</v>
          </cell>
          <cell r="E1168" t="str">
            <v>Enseigne commerciale audio</v>
          </cell>
          <cell r="F1168" t="str">
            <v>des</v>
          </cell>
          <cell r="G1168" t="str">
            <v>caractéristiques du correspondant</v>
          </cell>
          <cell r="H1168"/>
          <cell r="I1168"/>
        </row>
        <row r="1169">
          <cell r="C1169"/>
          <cell r="D1169" t="str">
            <v>du</v>
          </cell>
          <cell r="E1169" t="str">
            <v>réseau d'appartenance</v>
          </cell>
          <cell r="F1169" t="str">
            <v>du</v>
          </cell>
          <cell r="G1169" t="str">
            <v>correspondant</v>
          </cell>
          <cell r="H1169"/>
          <cell r="I1169"/>
        </row>
        <row r="1170">
          <cell r="C1170"/>
          <cell r="D1170" t="str">
            <v>du</v>
          </cell>
          <cell r="E1170" t="str">
            <v>réseau d'appartenance</v>
          </cell>
          <cell r="F1170" t="str">
            <v>du</v>
          </cell>
          <cell r="G1170" t="str">
            <v>correspondant</v>
          </cell>
          <cell r="H1170"/>
          <cell r="I1170"/>
        </row>
        <row r="1171">
          <cell r="C1171" t="str">
            <v>état</v>
          </cell>
          <cell r="D1171" t="str">
            <v>de l'</v>
          </cell>
          <cell r="E1171" t="str">
            <v>Activité</v>
          </cell>
          <cell r="F1171" t="str">
            <v>du</v>
          </cell>
          <cell r="G1171" t="str">
            <v>correspondant</v>
          </cell>
          <cell r="H1171"/>
          <cell r="I1171"/>
        </row>
        <row r="1172">
          <cell r="C1172"/>
          <cell r="D1172" t="str">
            <v>du</v>
          </cell>
          <cell r="E1172" t="str">
            <v>secteur d'activité</v>
          </cell>
          <cell r="F1172" t="str">
            <v>du</v>
          </cell>
          <cell r="G1172" t="str">
            <v>correspondant</v>
          </cell>
          <cell r="H1172"/>
          <cell r="I1172"/>
        </row>
        <row r="1173">
          <cell r="C1173"/>
          <cell r="D1173" t="str">
            <v>du</v>
          </cell>
          <cell r="E1173" t="str">
            <v>secteur d'activité</v>
          </cell>
          <cell r="F1173" t="str">
            <v>du</v>
          </cell>
          <cell r="G1173" t="str">
            <v>correspondant</v>
          </cell>
          <cell r="H1173"/>
          <cell r="I1173"/>
        </row>
        <row r="1174">
          <cell r="C1174"/>
          <cell r="D1174" t="str">
            <v xml:space="preserve"> </v>
          </cell>
          <cell r="E1174" t="str">
            <v>Banque de France</v>
          </cell>
          <cell r="F1174" t="str">
            <v>du</v>
          </cell>
          <cell r="G1174" t="str">
            <v>correspondant</v>
          </cell>
          <cell r="H1174"/>
          <cell r="I1174"/>
        </row>
        <row r="1175">
          <cell r="C1175"/>
          <cell r="D1175" t="str">
            <v xml:space="preserve"> </v>
          </cell>
          <cell r="E1175" t="str">
            <v>CBFA</v>
          </cell>
          <cell r="F1175" t="str">
            <v>du</v>
          </cell>
          <cell r="G1175" t="str">
            <v>correspondant</v>
          </cell>
          <cell r="H1175"/>
          <cell r="I1175"/>
        </row>
        <row r="1176">
          <cell r="C1176"/>
          <cell r="D1176" t="str">
            <v xml:space="preserve"> </v>
          </cell>
          <cell r="E1176" t="str">
            <v>CCA</v>
          </cell>
          <cell r="F1176" t="str">
            <v>du</v>
          </cell>
          <cell r="G1176" t="str">
            <v>correspondant</v>
          </cell>
          <cell r="H1176"/>
          <cell r="I1176"/>
        </row>
        <row r="1177">
          <cell r="C1177"/>
          <cell r="D1177" t="str">
            <v xml:space="preserve"> </v>
          </cell>
          <cell r="E1177" t="str">
            <v>CODIQUE</v>
          </cell>
          <cell r="F1177" t="str">
            <v>du</v>
          </cell>
          <cell r="G1177" t="str">
            <v>correspondant</v>
          </cell>
          <cell r="H1177"/>
          <cell r="I1177"/>
        </row>
        <row r="1178">
          <cell r="C1178"/>
          <cell r="D1178" t="str">
            <v>des</v>
          </cell>
          <cell r="E1178" t="str">
            <v>caractéristiques</v>
          </cell>
          <cell r="F1178" t="str">
            <v>du</v>
          </cell>
          <cell r="G1178" t="str">
            <v>correspondant</v>
          </cell>
          <cell r="H1178"/>
          <cell r="I1178"/>
        </row>
        <row r="1179">
          <cell r="C1179"/>
          <cell r="D1179" t="str">
            <v>de la</v>
          </cell>
          <cell r="E1179" t="str">
            <v>ville</v>
          </cell>
          <cell r="F1179" t="str">
            <v>du</v>
          </cell>
          <cell r="G1179" t="str">
            <v>correspondant</v>
          </cell>
          <cell r="H1179"/>
          <cell r="I1179"/>
        </row>
        <row r="1180">
          <cell r="C1180"/>
          <cell r="D1180" t="str">
            <v>de l'</v>
          </cell>
          <cell r="E1180" t="str">
            <v>offre classique</v>
          </cell>
          <cell r="F1180" t="str">
            <v>des</v>
          </cell>
          <cell r="G1180" t="str">
            <v>caractéristiques du correspondant</v>
          </cell>
          <cell r="H1180"/>
          <cell r="I1180"/>
        </row>
        <row r="1181">
          <cell r="C1181"/>
          <cell r="D1181" t="str">
            <v>du</v>
          </cell>
          <cell r="E1181" t="str">
            <v>pays</v>
          </cell>
          <cell r="F1181" t="str">
            <v>du</v>
          </cell>
          <cell r="G1181" t="str">
            <v>correspondant</v>
          </cell>
          <cell r="H1181"/>
          <cell r="I1181"/>
        </row>
        <row r="1182">
          <cell r="C1182"/>
          <cell r="D1182" t="str">
            <v>du</v>
          </cell>
          <cell r="E1182" t="str">
            <v>DGS</v>
          </cell>
          <cell r="F1182" t="str">
            <v>du</v>
          </cell>
          <cell r="G1182" t="str">
            <v>correspondant</v>
          </cell>
          <cell r="H1182"/>
          <cell r="I1182"/>
        </row>
        <row r="1183">
          <cell r="C1183"/>
          <cell r="D1183" t="str">
            <v xml:space="preserve"> </v>
          </cell>
          <cell r="E1183" t="str">
            <v>DARVA</v>
          </cell>
          <cell r="F1183" t="str">
            <v>du</v>
          </cell>
          <cell r="G1183" t="str">
            <v>correspondant</v>
          </cell>
          <cell r="H1183"/>
          <cell r="I1183"/>
        </row>
        <row r="1184">
          <cell r="C1184"/>
          <cell r="D1184" t="str">
            <v xml:space="preserve"> </v>
          </cell>
          <cell r="E1184" t="str">
            <v>BCE</v>
          </cell>
          <cell r="F1184" t="str">
            <v>du</v>
          </cell>
          <cell r="G1184" t="str">
            <v>correspondant</v>
          </cell>
          <cell r="H1184"/>
          <cell r="I1184"/>
        </row>
        <row r="1185">
          <cell r="C1185"/>
          <cell r="D1185" t="str">
            <v>du</v>
          </cell>
          <cell r="E1185" t="str">
            <v>téléchiffrage</v>
          </cell>
          <cell r="F1185" t="str">
            <v>des</v>
          </cell>
          <cell r="G1185" t="str">
            <v>caractéristiques du correspondant</v>
          </cell>
          <cell r="H1185"/>
          <cell r="I1185"/>
        </row>
        <row r="1186">
          <cell r="C1186"/>
          <cell r="D1186" t="str">
            <v xml:space="preserve"> </v>
          </cell>
          <cell r="E1186" t="str">
            <v>employé</v>
          </cell>
          <cell r="F1186" t="str">
            <v>du</v>
          </cell>
          <cell r="G1186" t="str">
            <v>correspondant</v>
          </cell>
          <cell r="H1186"/>
          <cell r="I1186"/>
        </row>
        <row r="1187">
          <cell r="C1187"/>
          <cell r="D1187" t="str">
            <v>de l'</v>
          </cell>
          <cell r="E1187" t="str">
            <v>offre salarié</v>
          </cell>
          <cell r="F1187" t="str">
            <v>des</v>
          </cell>
          <cell r="G1187" t="str">
            <v>caractéristiques du correspondant</v>
          </cell>
          <cell r="H1187"/>
          <cell r="I1187"/>
        </row>
        <row r="1188">
          <cell r="C1188"/>
          <cell r="D1188" t="str">
            <v>du</v>
          </cell>
          <cell r="E1188" t="str">
            <v>routage volet</v>
          </cell>
          <cell r="F1188" t="str">
            <v>des</v>
          </cell>
          <cell r="G1188" t="str">
            <v>caractéristiques du correspondant</v>
          </cell>
          <cell r="H1188"/>
          <cell r="I1188"/>
        </row>
        <row r="1189">
          <cell r="C1189"/>
          <cell r="D1189" t="str">
            <v xml:space="preserve"> </v>
          </cell>
          <cell r="E1189" t="str">
            <v>FINESS</v>
          </cell>
          <cell r="F1189" t="str">
            <v>du</v>
          </cell>
          <cell r="G1189" t="str">
            <v>correspondant</v>
          </cell>
          <cell r="H1189"/>
          <cell r="I1189"/>
        </row>
        <row r="1190">
          <cell r="C1190"/>
          <cell r="D1190" t="str">
            <v xml:space="preserve"> </v>
          </cell>
          <cell r="E1190" t="str">
            <v>GTA</v>
          </cell>
          <cell r="F1190" t="str">
            <v>du</v>
          </cell>
          <cell r="G1190" t="str">
            <v>correspondant</v>
          </cell>
          <cell r="H1190"/>
          <cell r="I1190"/>
        </row>
        <row r="1191">
          <cell r="C1191"/>
          <cell r="D1191" t="str">
            <v>de l'</v>
          </cell>
          <cell r="E1191" t="str">
            <v>enseigne entreprise individuelle</v>
          </cell>
          <cell r="F1191" t="str">
            <v>du</v>
          </cell>
          <cell r="G1191" t="str">
            <v>correspondant</v>
          </cell>
          <cell r="H1191"/>
          <cell r="I1191"/>
        </row>
        <row r="1192">
          <cell r="C1192"/>
          <cell r="D1192" t="str">
            <v>du</v>
          </cell>
          <cell r="E1192" t="str">
            <v>INFORMEX</v>
          </cell>
          <cell r="F1192" t="str">
            <v>du</v>
          </cell>
          <cell r="G1192" t="str">
            <v>Correspondant</v>
          </cell>
          <cell r="H1192"/>
          <cell r="I1192"/>
        </row>
        <row r="1193">
          <cell r="C1193"/>
          <cell r="D1193" t="str">
            <v xml:space="preserve"> </v>
          </cell>
          <cell r="E1193" t="str">
            <v>INSEE</v>
          </cell>
          <cell r="F1193" t="str">
            <v>du</v>
          </cell>
          <cell r="G1193" t="str">
            <v>correspondant</v>
          </cell>
          <cell r="H1193"/>
          <cell r="I1193"/>
        </row>
        <row r="1194">
          <cell r="C1194"/>
          <cell r="D1194" t="str">
            <v>de la</v>
          </cell>
          <cell r="E1194" t="str">
            <v>nature légale</v>
          </cell>
          <cell r="F1194" t="str">
            <v>du</v>
          </cell>
          <cell r="G1194" t="str">
            <v>correspondant</v>
          </cell>
          <cell r="H1194"/>
          <cell r="I1194"/>
        </row>
        <row r="1195">
          <cell r="C1195"/>
          <cell r="D1195" t="str">
            <v>de la</v>
          </cell>
          <cell r="E1195" t="str">
            <v>nature légale</v>
          </cell>
          <cell r="F1195" t="str">
            <v>du</v>
          </cell>
          <cell r="G1195" t="str">
            <v>correspondant</v>
          </cell>
          <cell r="H1195"/>
          <cell r="I1195"/>
        </row>
        <row r="1196">
          <cell r="C1196"/>
          <cell r="D1196" t="str">
            <v xml:space="preserve"> </v>
          </cell>
          <cell r="E1196" t="str">
            <v>mondial assistance</v>
          </cell>
          <cell r="F1196" t="str">
            <v>du</v>
          </cell>
          <cell r="G1196" t="str">
            <v>correspondant</v>
          </cell>
          <cell r="H1196"/>
          <cell r="I1196"/>
        </row>
        <row r="1197">
          <cell r="C1197"/>
          <cell r="D1197" t="str">
            <v xml:space="preserve"> </v>
          </cell>
          <cell r="E1197" t="str">
            <v>MULCOR</v>
          </cell>
          <cell r="F1197" t="str">
            <v>du</v>
          </cell>
          <cell r="G1197" t="str">
            <v>correspondant</v>
          </cell>
          <cell r="H1197"/>
          <cell r="I1197"/>
        </row>
        <row r="1198">
          <cell r="C1198"/>
          <cell r="D1198" t="str">
            <v xml:space="preserve"> </v>
          </cell>
          <cell r="E1198" t="str">
            <v>MULPHA</v>
          </cell>
          <cell r="F1198" t="str">
            <v>du</v>
          </cell>
          <cell r="G1198" t="str">
            <v>correspondant</v>
          </cell>
          <cell r="H1198"/>
          <cell r="I1198"/>
        </row>
        <row r="1199">
          <cell r="C1199"/>
          <cell r="D1199" t="str">
            <v xml:space="preserve"> </v>
          </cell>
          <cell r="E1199" t="str">
            <v>Numéro Identifiant National</v>
          </cell>
          <cell r="F1199" t="str">
            <v>du</v>
          </cell>
          <cell r="G1199" t="str">
            <v>correspondant</v>
          </cell>
          <cell r="H1199"/>
          <cell r="I1199"/>
        </row>
        <row r="1200">
          <cell r="C1200"/>
          <cell r="D1200" t="str">
            <v xml:space="preserve"> </v>
          </cell>
          <cell r="E1200" t="str">
            <v>NOEMIE</v>
          </cell>
          <cell r="F1200" t="str">
            <v>du</v>
          </cell>
          <cell r="G1200" t="str">
            <v>correspondant</v>
          </cell>
          <cell r="H1200"/>
          <cell r="I1200"/>
        </row>
        <row r="1201">
          <cell r="C1201"/>
          <cell r="D1201" t="str">
            <v>de l'</v>
          </cell>
          <cell r="E1201" t="str">
            <v>Enseigne commerciale optique</v>
          </cell>
          <cell r="F1201" t="str">
            <v>des</v>
          </cell>
          <cell r="G1201" t="str">
            <v>caractéristiques du correspondant</v>
          </cell>
          <cell r="H1201"/>
          <cell r="I1201"/>
        </row>
        <row r="1202">
          <cell r="C1202"/>
          <cell r="D1202" t="str">
            <v>de la</v>
          </cell>
          <cell r="E1202" t="str">
            <v>Spécialité professionnelle</v>
          </cell>
          <cell r="F1202" t="str">
            <v>du</v>
          </cell>
          <cell r="G1202" t="str">
            <v>correspondant</v>
          </cell>
          <cell r="H1202"/>
          <cell r="I1202"/>
        </row>
        <row r="1203">
          <cell r="C1203"/>
          <cell r="D1203" t="str">
            <v>de la</v>
          </cell>
          <cell r="E1203" t="str">
            <v>Spécialité professionnelle</v>
          </cell>
          <cell r="F1203" t="str">
            <v>du</v>
          </cell>
          <cell r="G1203" t="str">
            <v>correspondant</v>
          </cell>
          <cell r="H1203"/>
          <cell r="I1203"/>
        </row>
        <row r="1204">
          <cell r="C1204"/>
          <cell r="D1204" t="str">
            <v xml:space="preserve"> </v>
          </cell>
          <cell r="E1204" t="str">
            <v>QUI</v>
          </cell>
          <cell r="F1204" t="str">
            <v>du</v>
          </cell>
          <cell r="G1204" t="str">
            <v>correspondant</v>
          </cell>
          <cell r="H1204"/>
          <cell r="I1204"/>
        </row>
        <row r="1205">
          <cell r="C1205"/>
          <cell r="D1205" t="str">
            <v>du</v>
          </cell>
          <cell r="E1205" t="str">
            <v>rayon</v>
          </cell>
          <cell r="F1205" t="str">
            <v>du</v>
          </cell>
          <cell r="G1205" t="str">
            <v>correspondant</v>
          </cell>
          <cell r="H1205"/>
          <cell r="I1205"/>
        </row>
        <row r="1206">
          <cell r="C1206"/>
          <cell r="D1206" t="str">
            <v xml:space="preserve"> </v>
          </cell>
          <cell r="E1206" t="str">
            <v>Banque à distance</v>
          </cell>
          <cell r="F1206" t="str">
            <v>du</v>
          </cell>
          <cell r="G1206" t="str">
            <v>correspondant</v>
          </cell>
          <cell r="H1206"/>
          <cell r="I1206"/>
        </row>
        <row r="1207">
          <cell r="C1207"/>
          <cell r="D1207" t="str">
            <v>du</v>
          </cell>
          <cell r="E1207" t="str">
            <v>type de relation</v>
          </cell>
          <cell r="F1207" t="str">
            <v>du</v>
          </cell>
          <cell r="G1207" t="str">
            <v>correspondant</v>
          </cell>
          <cell r="H1207"/>
          <cell r="I1207"/>
        </row>
        <row r="1208">
          <cell r="C1208"/>
          <cell r="D1208" t="str">
            <v>du</v>
          </cell>
          <cell r="E1208" t="str">
            <v>type de relation</v>
          </cell>
          <cell r="F1208" t="str">
            <v>du</v>
          </cell>
          <cell r="G1208" t="str">
            <v>correspondant</v>
          </cell>
          <cell r="H1208"/>
          <cell r="I1208"/>
        </row>
        <row r="1209">
          <cell r="C1209"/>
          <cell r="D1209" t="str">
            <v xml:space="preserve"> </v>
          </cell>
          <cell r="E1209" t="str">
            <v>REPARMUT</v>
          </cell>
          <cell r="F1209" t="str">
            <v>du</v>
          </cell>
          <cell r="G1209" t="str">
            <v>correspondant</v>
          </cell>
          <cell r="H1209"/>
          <cell r="I1209"/>
        </row>
        <row r="1210">
          <cell r="C1210"/>
          <cell r="D1210" t="str">
            <v xml:space="preserve"> </v>
          </cell>
          <cell r="E1210" t="str">
            <v>CIF NIF</v>
          </cell>
          <cell r="F1210" t="str">
            <v>du</v>
          </cell>
          <cell r="G1210" t="str">
            <v>correspondant</v>
          </cell>
          <cell r="H1210"/>
          <cell r="I1210"/>
        </row>
        <row r="1211">
          <cell r="C1211"/>
          <cell r="D1211" t="str">
            <v>de la</v>
          </cell>
          <cell r="E1211" t="str">
            <v>situation</v>
          </cell>
          <cell r="F1211" t="str">
            <v>du</v>
          </cell>
          <cell r="G1211" t="str">
            <v>correspondant</v>
          </cell>
          <cell r="H1211"/>
          <cell r="I1211"/>
        </row>
        <row r="1212">
          <cell r="C1212"/>
          <cell r="D1212" t="str">
            <v>de la</v>
          </cell>
          <cell r="E1212" t="str">
            <v>situation</v>
          </cell>
          <cell r="F1212" t="str">
            <v>du</v>
          </cell>
          <cell r="G1212" t="str">
            <v>correspondant</v>
          </cell>
          <cell r="H1212"/>
          <cell r="I1212"/>
        </row>
        <row r="1213">
          <cell r="C1213"/>
          <cell r="D1213" t="str">
            <v>de la</v>
          </cell>
          <cell r="E1213" t="str">
            <v>structure</v>
          </cell>
          <cell r="F1213" t="str">
            <v>du</v>
          </cell>
          <cell r="G1213" t="str">
            <v>correspondant</v>
          </cell>
          <cell r="H1213"/>
          <cell r="I1213"/>
        </row>
        <row r="1214">
          <cell r="C1214"/>
          <cell r="D1214" t="str">
            <v>de la</v>
          </cell>
          <cell r="E1214" t="str">
            <v>structure</v>
          </cell>
          <cell r="F1214" t="str">
            <v>du</v>
          </cell>
          <cell r="G1214" t="str">
            <v>correspondant</v>
          </cell>
          <cell r="H1214"/>
          <cell r="I1214"/>
        </row>
        <row r="1215">
          <cell r="C1215"/>
          <cell r="D1215" t="str">
            <v>du</v>
          </cell>
          <cell r="E1215" t="str">
            <v>type de structure</v>
          </cell>
          <cell r="F1215" t="str">
            <v>du</v>
          </cell>
          <cell r="G1215" t="str">
            <v>correspondant</v>
          </cell>
          <cell r="H1215"/>
          <cell r="I1215"/>
        </row>
        <row r="1216">
          <cell r="C1216"/>
          <cell r="D1216" t="str">
            <v>du</v>
          </cell>
          <cell r="E1216" t="str">
            <v>type de structure</v>
          </cell>
          <cell r="F1216" t="str">
            <v>du</v>
          </cell>
          <cell r="G1216" t="str">
            <v>correspondant</v>
          </cell>
          <cell r="H1216"/>
          <cell r="I1216"/>
        </row>
        <row r="1217">
          <cell r="C1217"/>
          <cell r="D1217" t="str">
            <v>du</v>
          </cell>
          <cell r="E1217" t="str">
            <v>statut</v>
          </cell>
          <cell r="F1217" t="str">
            <v>du</v>
          </cell>
          <cell r="G1217" t="str">
            <v>correspondant</v>
          </cell>
          <cell r="H1217"/>
          <cell r="I1217"/>
        </row>
        <row r="1218">
          <cell r="C1218"/>
          <cell r="D1218" t="str">
            <v>du</v>
          </cell>
          <cell r="E1218" t="str">
            <v>statut</v>
          </cell>
          <cell r="F1218" t="str">
            <v>du</v>
          </cell>
          <cell r="G1218" t="str">
            <v>correspondant</v>
          </cell>
          <cell r="H1218"/>
          <cell r="I1218"/>
        </row>
        <row r="1219">
          <cell r="C1219"/>
          <cell r="D1219" t="str">
            <v>de</v>
          </cell>
          <cell r="E1219" t="str">
            <v>gardiennage véhicule</v>
          </cell>
          <cell r="F1219" t="str">
            <v>des</v>
          </cell>
          <cell r="G1219" t="str">
            <v>caractéristiques du correspondant</v>
          </cell>
          <cell r="H1219"/>
          <cell r="I1219"/>
        </row>
        <row r="1220">
          <cell r="C1220"/>
          <cell r="D1220" t="str">
            <v>du</v>
          </cell>
          <cell r="E1220" t="str">
            <v>forfait VEI</v>
          </cell>
          <cell r="F1220" t="str">
            <v>de</v>
          </cell>
          <cell r="G1220" t="str">
            <v>corse</v>
          </cell>
          <cell r="H1220" t="str">
            <v>du</v>
          </cell>
          <cell r="I1220" t="str">
            <v>tarif correspondant</v>
          </cell>
        </row>
        <row r="1221">
          <cell r="C1221"/>
          <cell r="D1221" t="str">
            <v>de la</v>
          </cell>
          <cell r="E1221" t="str">
            <v>voiturette</v>
          </cell>
          <cell r="F1221" t="str">
            <v>de</v>
          </cell>
          <cell r="G1221" t="str">
            <v>corse</v>
          </cell>
          <cell r="H1221" t="str">
            <v>du</v>
          </cell>
          <cell r="I1221" t="str">
            <v>tarif correspondant</v>
          </cell>
        </row>
        <row r="1222">
          <cell r="C1222"/>
          <cell r="D1222" t="str">
            <v>du</v>
          </cell>
          <cell r="E1222" t="str">
            <v>poids</v>
          </cell>
          <cell r="F1222" t="str">
            <v>de la</v>
          </cell>
          <cell r="G1222" t="str">
            <v>couverture</v>
          </cell>
          <cell r="H1222" t="str">
            <v>de type</v>
          </cell>
          <cell r="I1222" t="str">
            <v>adresse</v>
          </cell>
        </row>
        <row r="1223">
          <cell r="C1223"/>
          <cell r="D1223" t="str">
            <v>du</v>
          </cell>
          <cell r="E1223" t="str">
            <v>poids</v>
          </cell>
          <cell r="F1223" t="str">
            <v>de la</v>
          </cell>
          <cell r="G1223" t="str">
            <v>couverture</v>
          </cell>
          <cell r="H1223" t="str">
            <v>de type</v>
          </cell>
          <cell r="I1223" t="str">
            <v>couverture</v>
          </cell>
        </row>
        <row r="1224">
          <cell r="C1224"/>
          <cell r="D1224" t="str">
            <v>du</v>
          </cell>
          <cell r="E1224" t="str">
            <v>DGA</v>
          </cell>
          <cell r="F1224" t="str">
            <v>de la</v>
          </cell>
          <cell r="G1224" t="str">
            <v>couverture</v>
          </cell>
          <cell r="H1224" t="str">
            <v>de type</v>
          </cell>
          <cell r="I1224" t="str">
            <v>adresse</v>
          </cell>
        </row>
        <row r="1225">
          <cell r="C1225"/>
          <cell r="D1225" t="str">
            <v>du</v>
          </cell>
          <cell r="E1225" t="str">
            <v>DGA</v>
          </cell>
          <cell r="F1225" t="str">
            <v>de la</v>
          </cell>
          <cell r="G1225" t="str">
            <v>couverture</v>
          </cell>
          <cell r="H1225" t="str">
            <v>de type</v>
          </cell>
          <cell r="I1225" t="str">
            <v>regroupement secteur d'activité</v>
          </cell>
        </row>
        <row r="1226">
          <cell r="C1226"/>
          <cell r="D1226" t="str">
            <v>du</v>
          </cell>
          <cell r="E1226" t="str">
            <v>DGA</v>
          </cell>
          <cell r="F1226" t="str">
            <v>de la</v>
          </cell>
          <cell r="G1226" t="str">
            <v>couverture</v>
          </cell>
          <cell r="H1226" t="str">
            <v>de type</v>
          </cell>
          <cell r="I1226" t="str">
            <v>couverture</v>
          </cell>
        </row>
        <row r="1227">
          <cell r="C1227"/>
          <cell r="D1227" t="str">
            <v>du</v>
          </cell>
          <cell r="E1227" t="str">
            <v>DGA</v>
          </cell>
          <cell r="F1227" t="str">
            <v>de la</v>
          </cell>
          <cell r="G1227" t="str">
            <v>couverture</v>
          </cell>
          <cell r="H1227" t="str">
            <v>de type</v>
          </cell>
          <cell r="I1227" t="str">
            <v>rayon</v>
          </cell>
        </row>
        <row r="1228">
          <cell r="C1228"/>
          <cell r="D1228" t="str">
            <v>du</v>
          </cell>
          <cell r="E1228" t="str">
            <v>DGA</v>
          </cell>
          <cell r="F1228" t="str">
            <v>de la</v>
          </cell>
          <cell r="G1228" t="str">
            <v>couverture</v>
          </cell>
          <cell r="H1228" t="str">
            <v>de type</v>
          </cell>
          <cell r="I1228" t="str">
            <v>référence</v>
          </cell>
        </row>
        <row r="1229">
          <cell r="C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cell r="H1232"/>
          <cell r="I1232"/>
        </row>
        <row r="1233">
          <cell r="C1233" t="str">
            <v>état</v>
          </cell>
          <cell r="D1233" t="str">
            <v>du</v>
          </cell>
          <cell r="E1233" t="str">
            <v>montant</v>
          </cell>
          <cell r="F1233" t="str">
            <v>du</v>
          </cell>
          <cell r="G1233" t="str">
            <v>forfait VEI</v>
          </cell>
          <cell r="H1233" t="str">
            <v>de</v>
          </cell>
          <cell r="I1233" t="str">
            <v>Corse</v>
          </cell>
        </row>
        <row r="1234">
          <cell r="C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cell r="H1235"/>
          <cell r="I1235"/>
        </row>
        <row r="1236">
          <cell r="C1236" t="str">
            <v>état</v>
          </cell>
          <cell r="D1236" t="str">
            <v>du</v>
          </cell>
          <cell r="E1236" t="str">
            <v>montant</v>
          </cell>
          <cell r="F1236" t="str">
            <v>de la</v>
          </cell>
          <cell r="G1236" t="str">
            <v>franchise de frais</v>
          </cell>
          <cell r="H1236"/>
          <cell r="I1236"/>
        </row>
        <row r="1237">
          <cell r="C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cell r="H1238"/>
          <cell r="I1238"/>
        </row>
        <row r="1239">
          <cell r="C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cell r="H1240"/>
          <cell r="I1240"/>
        </row>
        <row r="1241">
          <cell r="C1241" t="str">
            <v>agrément</v>
          </cell>
          <cell r="D1241" t="str">
            <v>des</v>
          </cell>
          <cell r="E1241" t="str">
            <v>caractéristiques du correspondant</v>
          </cell>
          <cell r="F1241"/>
          <cell r="G1241"/>
          <cell r="H1241"/>
          <cell r="I1241"/>
        </row>
        <row r="1242">
          <cell r="C1242" t="str">
            <v>état</v>
          </cell>
          <cell r="D1242" t="str">
            <v>du</v>
          </cell>
          <cell r="E1242" t="str">
            <v>taux</v>
          </cell>
          <cell r="F1242" t="str">
            <v>de l'</v>
          </cell>
          <cell r="G1242" t="str">
            <v>IVA/IGIC</v>
          </cell>
          <cell r="H1242"/>
          <cell r="I1242"/>
        </row>
        <row r="1243">
          <cell r="C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cell r="H1244"/>
          <cell r="I1244"/>
        </row>
        <row r="1245">
          <cell r="C1245" t="str">
            <v>état</v>
          </cell>
          <cell r="D1245" t="str">
            <v>du</v>
          </cell>
          <cell r="E1245" t="str">
            <v>taux horaire fixe</v>
          </cell>
          <cell r="F1245" t="str">
            <v>de la</v>
          </cell>
          <cell r="G1245" t="str">
            <v>main d'œuvre hors taxe</v>
          </cell>
          <cell r="H1245"/>
          <cell r="I1245"/>
        </row>
        <row r="1246">
          <cell r="C1246" t="str">
            <v>état</v>
          </cell>
          <cell r="D1246" t="str">
            <v>du</v>
          </cell>
          <cell r="E1246" t="str">
            <v>montant</v>
          </cell>
          <cell r="F1246" t="str">
            <v>de la</v>
          </cell>
          <cell r="G1246" t="str">
            <v>peinture nacrée</v>
          </cell>
          <cell r="H1246"/>
          <cell r="I1246"/>
        </row>
        <row r="1247">
          <cell r="C1247" t="str">
            <v>état</v>
          </cell>
          <cell r="D1247" t="str">
            <v>du</v>
          </cell>
          <cell r="E1247" t="str">
            <v>montant</v>
          </cell>
          <cell r="F1247" t="str">
            <v>de la</v>
          </cell>
          <cell r="G1247" t="str">
            <v>peinture opaque</v>
          </cell>
          <cell r="H1247" t="str">
            <v xml:space="preserve"> </v>
          </cell>
          <cell r="I1247"/>
        </row>
        <row r="1248">
          <cell r="C1248" t="str">
            <v>état</v>
          </cell>
          <cell r="D1248" t="str">
            <v>du</v>
          </cell>
          <cell r="E1248" t="str">
            <v>montant</v>
          </cell>
          <cell r="F1248" t="str">
            <v>de la</v>
          </cell>
          <cell r="G1248" t="str">
            <v>peinture vernie</v>
          </cell>
          <cell r="H1248"/>
          <cell r="I1248"/>
        </row>
        <row r="1249">
          <cell r="C1249" t="str">
            <v>état</v>
          </cell>
          <cell r="D1249" t="str">
            <v>du</v>
          </cell>
          <cell r="E1249" t="str">
            <v>montant</v>
          </cell>
          <cell r="F1249" t="str">
            <v>du</v>
          </cell>
          <cell r="G1249" t="str">
            <v>prix au km avec chauffeur</v>
          </cell>
          <cell r="H1249"/>
          <cell r="I1249"/>
        </row>
        <row r="1250">
          <cell r="C1250" t="str">
            <v>état</v>
          </cell>
          <cell r="D1250" t="str">
            <v>du</v>
          </cell>
          <cell r="E1250" t="str">
            <v>montant</v>
          </cell>
          <cell r="F1250" t="str">
            <v>du</v>
          </cell>
          <cell r="G1250" t="str">
            <v>prix au km sans chauffeur</v>
          </cell>
          <cell r="H1250"/>
          <cell r="I1250"/>
        </row>
        <row r="1251">
          <cell r="C1251"/>
          <cell r="D1251" t="str">
            <v>du</v>
          </cell>
          <cell r="E1251" t="str">
            <v>forfait réparateur BDG</v>
          </cell>
          <cell r="F1251" t="str">
            <v>de</v>
          </cell>
          <cell r="G1251" t="str">
            <v>province</v>
          </cell>
          <cell r="H1251" t="str">
            <v>du</v>
          </cell>
          <cell r="I1251" t="str">
            <v>tarif correspondant</v>
          </cell>
        </row>
        <row r="1252">
          <cell r="C1252"/>
          <cell r="D1252" t="str">
            <v xml:space="preserve"> </v>
          </cell>
          <cell r="E1252" t="str">
            <v>RIV</v>
          </cell>
          <cell r="F1252" t="str">
            <v>et</v>
          </cell>
          <cell r="G1252" t="str">
            <v>quad</v>
          </cell>
          <cell r="H1252" t="str">
            <v>du</v>
          </cell>
          <cell r="I1252" t="str">
            <v>tarif correspondant</v>
          </cell>
        </row>
        <row r="1253">
          <cell r="C1253"/>
          <cell r="D1253" t="str">
            <v xml:space="preserve"> </v>
          </cell>
          <cell r="E1253" t="str">
            <v>VEI</v>
          </cell>
          <cell r="F1253" t="str">
            <v>et</v>
          </cell>
          <cell r="G1253" t="str">
            <v>quad</v>
          </cell>
          <cell r="H1253" t="str">
            <v>du</v>
          </cell>
          <cell r="I1253" t="str">
            <v>tarif correspondant</v>
          </cell>
        </row>
        <row r="1254">
          <cell r="C1254"/>
          <cell r="D1254" t="str">
            <v xml:space="preserve"> </v>
          </cell>
          <cell r="E1254" t="str">
            <v>TNR</v>
          </cell>
          <cell r="F1254" t="str">
            <v>et</v>
          </cell>
          <cell r="G1254" t="str">
            <v>quad</v>
          </cell>
          <cell r="H1254" t="str">
            <v>du</v>
          </cell>
          <cell r="I1254" t="str">
            <v>tarif correspondant</v>
          </cell>
        </row>
        <row r="1255">
          <cell r="C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cell r="H1256"/>
          <cell r="I1256"/>
        </row>
        <row r="1257">
          <cell r="C1257" t="str">
            <v>état</v>
          </cell>
          <cell r="D1257" t="str">
            <v>du</v>
          </cell>
          <cell r="E1257" t="str">
            <v>booléen</v>
          </cell>
          <cell r="F1257" t="str">
            <v>de</v>
          </cell>
          <cell r="G1257" t="str">
            <v>RECC</v>
          </cell>
          <cell r="H1257"/>
          <cell r="I1257"/>
        </row>
        <row r="1258">
          <cell r="C1258"/>
          <cell r="D1258" t="str">
            <v>du</v>
          </cell>
          <cell r="E1258" t="str">
            <v>poids</v>
          </cell>
          <cell r="F1258" t="str">
            <v>de la</v>
          </cell>
          <cell r="G1258" t="str">
            <v>couverture</v>
          </cell>
          <cell r="H1258" t="str">
            <v>de type</v>
          </cell>
          <cell r="I1258" t="str">
            <v>référence</v>
          </cell>
        </row>
        <row r="1259">
          <cell r="C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cell r="H1260"/>
          <cell r="I1260"/>
        </row>
        <row r="1261">
          <cell r="C1261" t="str">
            <v>état</v>
          </cell>
          <cell r="D1261" t="str">
            <v>du</v>
          </cell>
          <cell r="E1261" t="str">
            <v>montant</v>
          </cell>
          <cell r="F1261" t="str">
            <v>de la</v>
          </cell>
          <cell r="G1261" t="str">
            <v>remise pied de facture</v>
          </cell>
          <cell r="H1261"/>
          <cell r="I1261"/>
        </row>
        <row r="1262">
          <cell r="C1262" t="str">
            <v>état</v>
          </cell>
          <cell r="D1262" t="str">
            <v>du</v>
          </cell>
          <cell r="E1262" t="str">
            <v>taux</v>
          </cell>
          <cell r="F1262" t="str">
            <v>de</v>
          </cell>
          <cell r="G1262" t="str">
            <v>remise sur main d'œuvre</v>
          </cell>
          <cell r="H1262"/>
          <cell r="I1262"/>
        </row>
        <row r="1263">
          <cell r="C1263" t="str">
            <v>état</v>
          </cell>
          <cell r="D1263" t="str">
            <v>du</v>
          </cell>
          <cell r="E1263" t="str">
            <v>montant</v>
          </cell>
          <cell r="F1263" t="str">
            <v>de la</v>
          </cell>
          <cell r="G1263" t="str">
            <v>remise sur part-brise</v>
          </cell>
          <cell r="H1263"/>
          <cell r="I1263"/>
        </row>
        <row r="1264">
          <cell r="C1264" t="str">
            <v>état</v>
          </cell>
          <cell r="D1264" t="str">
            <v>du</v>
          </cell>
          <cell r="E1264" t="str">
            <v>taux</v>
          </cell>
          <cell r="F1264" t="str">
            <v>de</v>
          </cell>
          <cell r="G1264" t="str">
            <v>remise sur part-brise</v>
          </cell>
          <cell r="H1264"/>
          <cell r="I1264"/>
        </row>
        <row r="1265">
          <cell r="C1265" t="str">
            <v>état</v>
          </cell>
          <cell r="D1265" t="str">
            <v>du</v>
          </cell>
          <cell r="E1265" t="str">
            <v>montant</v>
          </cell>
          <cell r="F1265" t="str">
            <v>de la</v>
          </cell>
          <cell r="G1265" t="str">
            <v>réparation impact supplémentaire</v>
          </cell>
          <cell r="H1265"/>
          <cell r="I1265"/>
        </row>
        <row r="1266">
          <cell r="C1266" t="str">
            <v>état</v>
          </cell>
          <cell r="D1266" t="str">
            <v>du</v>
          </cell>
          <cell r="E1266" t="str">
            <v>montant</v>
          </cell>
          <cell r="F1266" t="str">
            <v>de la</v>
          </cell>
          <cell r="G1266" t="str">
            <v>réparation premier impact</v>
          </cell>
          <cell r="H1266"/>
          <cell r="I1266"/>
        </row>
        <row r="1267">
          <cell r="C1267" t="str">
            <v>état</v>
          </cell>
          <cell r="D1267" t="str">
            <v>du</v>
          </cell>
          <cell r="E1267" t="str">
            <v>taux</v>
          </cell>
          <cell r="F1267" t="str">
            <v>de</v>
          </cell>
          <cell r="G1267" t="str">
            <v>RIV</v>
          </cell>
          <cell r="H1267"/>
          <cell r="I1267"/>
        </row>
        <row r="1268">
          <cell r="C1268" t="str">
            <v>état</v>
          </cell>
          <cell r="D1268" t="str">
            <v>du</v>
          </cell>
          <cell r="E1268" t="str">
            <v>taux</v>
          </cell>
          <cell r="F1268" t="str">
            <v>de</v>
          </cell>
          <cell r="G1268" t="str">
            <v>RIV</v>
          </cell>
          <cell r="H1268" t="str">
            <v>et</v>
          </cell>
          <cell r="I1268" t="str">
            <v>quad</v>
          </cell>
        </row>
        <row r="1269">
          <cell r="C1269"/>
          <cell r="D1269" t="str">
            <v>de</v>
          </cell>
          <cell r="E1269" t="str">
            <v>suppression</v>
          </cell>
          <cell r="F1269" t="str">
            <v>dans le</v>
          </cell>
          <cell r="G1269" t="str">
            <v>SIO</v>
          </cell>
          <cell r="H1269"/>
          <cell r="I1269"/>
        </row>
        <row r="1270">
          <cell r="C1270"/>
          <cell r="D1270" t="str">
            <v>de</v>
          </cell>
          <cell r="E1270" t="str">
            <v>suppression</v>
          </cell>
          <cell r="F1270" t="str">
            <v>dans le</v>
          </cell>
          <cell r="G1270" t="str">
            <v>SIO</v>
          </cell>
          <cell r="H1270"/>
          <cell r="I1270"/>
        </row>
        <row r="1271">
          <cell r="C1271"/>
          <cell r="D1271" t="str">
            <v>de l'</v>
          </cell>
          <cell r="E1271" t="str">
            <v>Etat</v>
          </cell>
          <cell r="F1271" t="str">
            <v>du</v>
          </cell>
          <cell r="G1271" t="str">
            <v>SIRET</v>
          </cell>
          <cell r="H1271" t="str">
            <v>du</v>
          </cell>
          <cell r="I1271" t="str">
            <v>Correspondant</v>
          </cell>
        </row>
        <row r="1272">
          <cell r="C1272"/>
          <cell r="D1272" t="str">
            <v>de l'</v>
          </cell>
          <cell r="E1272" t="str">
            <v>Etat</v>
          </cell>
          <cell r="F1272" t="str">
            <v>du</v>
          </cell>
          <cell r="G1272" t="str">
            <v>SIRET</v>
          </cell>
          <cell r="H1272" t="str">
            <v>du</v>
          </cell>
          <cell r="I1272" t="str">
            <v>Correspondant</v>
          </cell>
        </row>
        <row r="1273">
          <cell r="C1273"/>
          <cell r="D1273" t="str">
            <v xml:space="preserve"> </v>
          </cell>
          <cell r="E1273" t="str">
            <v>agrément vitrage</v>
          </cell>
          <cell r="F1273" t="str">
            <v>du</v>
          </cell>
          <cell r="G1273" t="str">
            <v>tarif correspondant</v>
          </cell>
          <cell r="H1273"/>
          <cell r="I1273"/>
        </row>
        <row r="1274">
          <cell r="C1274"/>
          <cell r="D1274" t="str">
            <v xml:space="preserve"> </v>
          </cell>
          <cell r="E1274" t="str">
            <v>RECC</v>
          </cell>
          <cell r="F1274" t="str">
            <v>du</v>
          </cell>
          <cell r="G1274" t="str">
            <v>tarif correspondant</v>
          </cell>
          <cell r="H1274"/>
          <cell r="I1274"/>
        </row>
        <row r="1275">
          <cell r="C1275"/>
          <cell r="D1275" t="str">
            <v>du</v>
          </cell>
          <cell r="E1275" t="str">
            <v>REC</v>
          </cell>
          <cell r="F1275" t="str">
            <v>du</v>
          </cell>
          <cell r="G1275" t="str">
            <v>tarif correspondant</v>
          </cell>
          <cell r="H1275"/>
          <cell r="I1275"/>
        </row>
        <row r="1276">
          <cell r="C1276"/>
          <cell r="D1276" t="str">
            <v>de</v>
          </cell>
          <cell r="E1276" t="str">
            <v>remise différée</v>
          </cell>
          <cell r="F1276" t="str">
            <v>du</v>
          </cell>
          <cell r="G1276" t="str">
            <v>tarif correspondant</v>
          </cell>
          <cell r="H1276"/>
          <cell r="I1276"/>
        </row>
        <row r="1277">
          <cell r="C1277"/>
          <cell r="D1277" t="str">
            <v xml:space="preserve"> </v>
          </cell>
          <cell r="E1277" t="str">
            <v>IRPF</v>
          </cell>
          <cell r="F1277" t="str">
            <v>du</v>
          </cell>
          <cell r="G1277" t="str">
            <v>tarif correspondant</v>
          </cell>
          <cell r="H1277"/>
          <cell r="I1277"/>
        </row>
        <row r="1278">
          <cell r="C1278"/>
          <cell r="D1278" t="str">
            <v xml:space="preserve"> </v>
          </cell>
          <cell r="E1278" t="str">
            <v>IVA/IGIC</v>
          </cell>
          <cell r="F1278" t="str">
            <v>du</v>
          </cell>
          <cell r="G1278" t="str">
            <v>tarif correspondant</v>
          </cell>
          <cell r="H1278"/>
          <cell r="I1278"/>
        </row>
        <row r="1279">
          <cell r="C1279"/>
          <cell r="D1279" t="str">
            <v>de la</v>
          </cell>
          <cell r="E1279" t="str">
            <v>main d'œuvre hors taxe</v>
          </cell>
          <cell r="F1279" t="str">
            <v>du</v>
          </cell>
          <cell r="G1279" t="str">
            <v>tarif correspondant</v>
          </cell>
          <cell r="H1279"/>
          <cell r="I1279"/>
        </row>
        <row r="1280">
          <cell r="C1280"/>
          <cell r="D1280" t="str">
            <v>des</v>
          </cell>
          <cell r="E1280" t="str">
            <v>honoraire</v>
          </cell>
          <cell r="F1280" t="str">
            <v>du</v>
          </cell>
          <cell r="G1280" t="str">
            <v>tarif correspondant</v>
          </cell>
          <cell r="H1280"/>
          <cell r="I1280"/>
        </row>
        <row r="1281">
          <cell r="C1281"/>
          <cell r="D1281" t="str">
            <v xml:space="preserve"> </v>
          </cell>
          <cell r="E1281" t="str">
            <v>RIV</v>
          </cell>
          <cell r="F1281" t="str">
            <v>du</v>
          </cell>
          <cell r="G1281" t="str">
            <v>tarif correspondant</v>
          </cell>
          <cell r="H1281"/>
          <cell r="I1281"/>
        </row>
        <row r="1282">
          <cell r="C1282"/>
          <cell r="D1282" t="str">
            <v xml:space="preserve"> </v>
          </cell>
          <cell r="E1282" t="str">
            <v>RIV VE</v>
          </cell>
          <cell r="F1282" t="str">
            <v>du</v>
          </cell>
          <cell r="G1282" t="str">
            <v>tarif correspondant</v>
          </cell>
          <cell r="H1282"/>
          <cell r="I1282"/>
        </row>
        <row r="1283">
          <cell r="C1283"/>
          <cell r="D1283" t="str">
            <v>de la</v>
          </cell>
          <cell r="E1283" t="str">
            <v>main d'œuvre</v>
          </cell>
          <cell r="F1283" t="str">
            <v>du</v>
          </cell>
          <cell r="G1283" t="str">
            <v>tarif correspondant</v>
          </cell>
          <cell r="H1283"/>
          <cell r="I1283"/>
        </row>
        <row r="1284">
          <cell r="C1284"/>
          <cell r="D1284" t="str">
            <v>de</v>
          </cell>
          <cell r="E1284" t="str">
            <v>remise sur main d'œuvre</v>
          </cell>
          <cell r="F1284" t="str">
            <v>du</v>
          </cell>
          <cell r="G1284" t="str">
            <v>tarif correspondant</v>
          </cell>
          <cell r="H1284"/>
          <cell r="I1284"/>
        </row>
        <row r="1285">
          <cell r="C1285"/>
          <cell r="D1285" t="str">
            <v xml:space="preserve"> </v>
          </cell>
          <cell r="E1285" t="str">
            <v>VEI</v>
          </cell>
          <cell r="F1285" t="str">
            <v>du</v>
          </cell>
          <cell r="G1285" t="str">
            <v>tarif correspondant</v>
          </cell>
          <cell r="H1285"/>
          <cell r="I1285"/>
        </row>
        <row r="1286">
          <cell r="C1286"/>
          <cell r="D1286" t="str">
            <v xml:space="preserve"> </v>
          </cell>
          <cell r="E1286" t="str">
            <v>VHU</v>
          </cell>
          <cell r="F1286" t="str">
            <v>du</v>
          </cell>
          <cell r="G1286" t="str">
            <v>tarif correspondant</v>
          </cell>
          <cell r="H1286"/>
          <cell r="I1286"/>
        </row>
        <row r="1287">
          <cell r="C1287"/>
          <cell r="D1287" t="str">
            <v>de</v>
          </cell>
          <cell r="E1287" t="str">
            <v>remise sur pièces détachées</v>
          </cell>
          <cell r="F1287" t="str">
            <v>du</v>
          </cell>
          <cell r="G1287" t="str">
            <v>tarif correspondant</v>
          </cell>
          <cell r="H1287"/>
          <cell r="I1287"/>
        </row>
        <row r="1288">
          <cell r="C1288"/>
          <cell r="D1288" t="str">
            <v xml:space="preserve"> </v>
          </cell>
          <cell r="E1288" t="str">
            <v>immergé</v>
          </cell>
          <cell r="F1288" t="str">
            <v>du</v>
          </cell>
          <cell r="G1288" t="str">
            <v>tarif correspondant</v>
          </cell>
          <cell r="H1288"/>
          <cell r="I1288"/>
        </row>
        <row r="1289">
          <cell r="C1289"/>
          <cell r="D1289" t="str">
            <v xml:space="preserve"> </v>
          </cell>
          <cell r="E1289" t="str">
            <v>voiturette</v>
          </cell>
          <cell r="F1289" t="str">
            <v>du</v>
          </cell>
          <cell r="G1289" t="str">
            <v>tarif correspondant</v>
          </cell>
          <cell r="H1289"/>
          <cell r="I1289"/>
        </row>
        <row r="1290">
          <cell r="C1290"/>
          <cell r="D1290" t="str">
            <v>de</v>
          </cell>
          <cell r="E1290" t="str">
            <v>remise sur part-brise</v>
          </cell>
          <cell r="F1290" t="str">
            <v>du</v>
          </cell>
          <cell r="G1290" t="str">
            <v>tarif correspondant</v>
          </cell>
          <cell r="H1290"/>
          <cell r="I1290"/>
        </row>
        <row r="1291">
          <cell r="C1291"/>
          <cell r="D1291" t="str">
            <v>de</v>
          </cell>
          <cell r="E1291" t="str">
            <v>véhicule</v>
          </cell>
          <cell r="F1291" t="str">
            <v>du</v>
          </cell>
          <cell r="G1291" t="str">
            <v>tarif correspondant</v>
          </cell>
          <cell r="H1291"/>
          <cell r="I1291"/>
        </row>
        <row r="1292">
          <cell r="C1292"/>
          <cell r="D1292" t="str">
            <v>de l'</v>
          </cell>
          <cell r="E1292" t="str">
            <v>Etat</v>
          </cell>
          <cell r="F1292" t="str">
            <v>du</v>
          </cell>
          <cell r="G1292" t="str">
            <v>tarif correspondant</v>
          </cell>
          <cell r="H1292"/>
          <cell r="I1292"/>
        </row>
        <row r="1293">
          <cell r="C1293"/>
          <cell r="D1293" t="str">
            <v>des</v>
          </cell>
          <cell r="E1293" t="str">
            <v>réparation impact supplémentaire</v>
          </cell>
          <cell r="F1293" t="str">
            <v>du</v>
          </cell>
          <cell r="G1293" t="str">
            <v>tarif correspondant</v>
          </cell>
          <cell r="H1293"/>
          <cell r="I1293"/>
        </row>
        <row r="1294">
          <cell r="C1294"/>
          <cell r="D1294" t="str">
            <v xml:space="preserve"> </v>
          </cell>
          <cell r="E1294" t="str">
            <v>remise pied de facture</v>
          </cell>
          <cell r="F1294" t="str">
            <v>du</v>
          </cell>
          <cell r="G1294" t="str">
            <v>tarif correspondant</v>
          </cell>
          <cell r="H1294"/>
          <cell r="I1294"/>
        </row>
        <row r="1295">
          <cell r="C1295"/>
          <cell r="D1295" t="str">
            <v>de</v>
          </cell>
          <cell r="E1295" t="str">
            <v>casse lentilles</v>
          </cell>
          <cell r="F1295" t="str">
            <v>du</v>
          </cell>
          <cell r="G1295" t="str">
            <v>tarif correspondant</v>
          </cell>
          <cell r="H1295"/>
          <cell r="I1295"/>
        </row>
        <row r="1296">
          <cell r="C1296"/>
          <cell r="D1296" t="str">
            <v>du</v>
          </cell>
          <cell r="E1296" t="str">
            <v>prix au km avec chauffeur</v>
          </cell>
          <cell r="F1296" t="str">
            <v>du</v>
          </cell>
          <cell r="G1296" t="str">
            <v>tarif correspondant</v>
          </cell>
          <cell r="H1296"/>
          <cell r="I1296"/>
        </row>
        <row r="1297">
          <cell r="C1297"/>
          <cell r="D1297" t="str">
            <v>de la</v>
          </cell>
          <cell r="E1297" t="str">
            <v>franchise de frais</v>
          </cell>
          <cell r="F1297" t="str">
            <v>du</v>
          </cell>
          <cell r="G1297" t="str">
            <v>tarif correspondant</v>
          </cell>
          <cell r="H1297"/>
          <cell r="I1297"/>
        </row>
        <row r="1298">
          <cell r="C1298"/>
          <cell r="D1298" t="str">
            <v>des</v>
          </cell>
          <cell r="E1298" t="str">
            <v>réparation premier impact</v>
          </cell>
          <cell r="F1298" t="str">
            <v>du</v>
          </cell>
          <cell r="G1298" t="str">
            <v>tarif correspondant</v>
          </cell>
          <cell r="H1298"/>
          <cell r="I1298"/>
        </row>
        <row r="1299">
          <cell r="C1299"/>
          <cell r="D1299" t="str">
            <v>de</v>
          </cell>
          <cell r="E1299" t="str">
            <v>casse montures</v>
          </cell>
          <cell r="F1299" t="str">
            <v>du</v>
          </cell>
          <cell r="G1299" t="str">
            <v>tarif correspondant</v>
          </cell>
          <cell r="H1299"/>
          <cell r="I1299"/>
        </row>
        <row r="1300">
          <cell r="C1300"/>
          <cell r="D1300" t="str">
            <v>du</v>
          </cell>
          <cell r="E1300" t="str">
            <v>tarif horaire</v>
          </cell>
          <cell r="F1300" t="str">
            <v>du</v>
          </cell>
          <cell r="G1300" t="str">
            <v>tarif correspondant</v>
          </cell>
          <cell r="H1300"/>
          <cell r="I1300"/>
        </row>
        <row r="1301">
          <cell r="C1301"/>
          <cell r="D1301" t="str">
            <v>des</v>
          </cell>
          <cell r="E1301" t="str">
            <v>frais déplacement max</v>
          </cell>
          <cell r="F1301" t="str">
            <v>du</v>
          </cell>
          <cell r="G1301" t="str">
            <v>tarif correspondant</v>
          </cell>
          <cell r="H1301"/>
          <cell r="I1301"/>
        </row>
        <row r="1302">
          <cell r="C1302"/>
          <cell r="D1302" t="str">
            <v>du</v>
          </cell>
          <cell r="E1302" t="str">
            <v>forfait VEI</v>
          </cell>
          <cell r="F1302" t="str">
            <v>du</v>
          </cell>
          <cell r="G1302" t="str">
            <v>tarif correspondant</v>
          </cell>
          <cell r="H1302"/>
          <cell r="I1302"/>
        </row>
        <row r="1303">
          <cell r="C1303"/>
          <cell r="D1303" t="str">
            <v>de l'</v>
          </cell>
          <cell r="E1303" t="str">
            <v>adaptation verres</v>
          </cell>
          <cell r="F1303" t="str">
            <v>du</v>
          </cell>
          <cell r="G1303" t="str">
            <v>tarif correspondant</v>
          </cell>
          <cell r="H1303"/>
          <cell r="I1303"/>
        </row>
        <row r="1304">
          <cell r="C1304"/>
          <cell r="D1304" t="str">
            <v>de</v>
          </cell>
          <cell r="E1304" t="str">
            <v>casse verres</v>
          </cell>
          <cell r="F1304" t="str">
            <v>du</v>
          </cell>
          <cell r="G1304" t="str">
            <v>tarif correspondant</v>
          </cell>
          <cell r="H1304"/>
          <cell r="I1304"/>
        </row>
        <row r="1305">
          <cell r="C1305"/>
          <cell r="D1305" t="str">
            <v>de la</v>
          </cell>
          <cell r="E1305" t="str">
            <v>peinture opaque</v>
          </cell>
          <cell r="F1305" t="str">
            <v>du</v>
          </cell>
          <cell r="G1305" t="str">
            <v>tarif correspondant</v>
          </cell>
          <cell r="H1305"/>
          <cell r="I1305"/>
        </row>
        <row r="1306">
          <cell r="C1306"/>
          <cell r="D1306" t="str">
            <v xml:space="preserve"> </v>
          </cell>
          <cell r="E1306" t="str">
            <v>remise fournitures</v>
          </cell>
          <cell r="F1306" t="str">
            <v>du</v>
          </cell>
          <cell r="G1306" t="str">
            <v>tarif correspondant</v>
          </cell>
          <cell r="H1306"/>
          <cell r="I1306"/>
        </row>
        <row r="1307">
          <cell r="C1307"/>
          <cell r="D1307" t="str">
            <v>de l'</v>
          </cell>
          <cell r="E1307" t="str">
            <v>autre garantie tarifaire</v>
          </cell>
          <cell r="F1307" t="str">
            <v>du</v>
          </cell>
          <cell r="G1307" t="str">
            <v>tarif correspondant</v>
          </cell>
          <cell r="H1307"/>
          <cell r="I1307"/>
        </row>
        <row r="1308">
          <cell r="C1308"/>
          <cell r="D1308" t="str">
            <v>de la</v>
          </cell>
          <cell r="E1308" t="str">
            <v>peinture nacrée</v>
          </cell>
          <cell r="F1308" t="str">
            <v>du</v>
          </cell>
          <cell r="G1308" t="str">
            <v>tarif correspondant</v>
          </cell>
          <cell r="H1308"/>
          <cell r="I1308"/>
        </row>
        <row r="1309">
          <cell r="C1309"/>
          <cell r="D1309" t="str">
            <v>des</v>
          </cell>
          <cell r="E1309" t="str">
            <v>travaux peinture</v>
          </cell>
          <cell r="F1309" t="str">
            <v>du</v>
          </cell>
          <cell r="G1309" t="str">
            <v>tarif correspondant</v>
          </cell>
          <cell r="H1309"/>
          <cell r="I1309"/>
        </row>
        <row r="1310">
          <cell r="C1310"/>
          <cell r="D1310" t="str">
            <v>du</v>
          </cell>
          <cell r="E1310" t="str">
            <v>forfait véhicule de remplacement</v>
          </cell>
          <cell r="F1310" t="str">
            <v>du</v>
          </cell>
          <cell r="G1310" t="str">
            <v>tarif correspondant</v>
          </cell>
          <cell r="H1310"/>
          <cell r="I1310"/>
        </row>
        <row r="1311">
          <cell r="C1311"/>
          <cell r="D1311" t="str">
            <v>de la</v>
          </cell>
          <cell r="E1311" t="str">
            <v>peinture vernie</v>
          </cell>
          <cell r="F1311" t="str">
            <v>du</v>
          </cell>
          <cell r="G1311" t="str">
            <v>tarif correspondant</v>
          </cell>
          <cell r="H1311"/>
          <cell r="I1311"/>
        </row>
        <row r="1312">
          <cell r="C1312"/>
          <cell r="D1312" t="str">
            <v xml:space="preserve"> </v>
          </cell>
          <cell r="E1312" t="str">
            <v>remise pare-brise</v>
          </cell>
          <cell r="F1312" t="str">
            <v>du</v>
          </cell>
          <cell r="G1312" t="str">
            <v>tarif correspondant</v>
          </cell>
          <cell r="H1312"/>
          <cell r="I1312"/>
        </row>
        <row r="1313">
          <cell r="C1313"/>
          <cell r="D1313" t="str">
            <v>du</v>
          </cell>
          <cell r="E1313" t="str">
            <v>prix au km sans chauffeur</v>
          </cell>
          <cell r="F1313" t="str">
            <v>du</v>
          </cell>
          <cell r="G1313" t="str">
            <v>tarif correspondant</v>
          </cell>
          <cell r="H1313"/>
          <cell r="I1313"/>
        </row>
        <row r="1314">
          <cell r="C1314" t="str">
            <v>état</v>
          </cell>
          <cell r="D1314" t="str">
            <v>du</v>
          </cell>
          <cell r="E1314" t="str">
            <v>taux</v>
          </cell>
          <cell r="F1314" t="str">
            <v>du</v>
          </cell>
          <cell r="G1314" t="str">
            <v>tarif correspondant</v>
          </cell>
          <cell r="H1314"/>
          <cell r="I1314"/>
        </row>
        <row r="1315">
          <cell r="C1315"/>
          <cell r="D1315" t="str">
            <v>pour le</v>
          </cell>
          <cell r="E1315" t="str">
            <v>véhicule de remplacement</v>
          </cell>
          <cell r="F1315" t="str">
            <v>du</v>
          </cell>
          <cell r="G1315" t="str">
            <v>tarif correspondant</v>
          </cell>
          <cell r="H1315"/>
          <cell r="I1315"/>
        </row>
        <row r="1316">
          <cell r="C1316" t="str">
            <v>état</v>
          </cell>
          <cell r="D1316" t="str">
            <v>du</v>
          </cell>
          <cell r="E1316" t="str">
            <v>montant</v>
          </cell>
          <cell r="F1316" t="str">
            <v>du</v>
          </cell>
          <cell r="G1316" t="str">
            <v>tarif horaire</v>
          </cell>
          <cell r="H1316"/>
          <cell r="I1316"/>
        </row>
        <row r="1317">
          <cell r="C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cell r="H1318"/>
          <cell r="I1318"/>
        </row>
        <row r="1319">
          <cell r="C1319" t="str">
            <v>état</v>
          </cell>
          <cell r="D1319" t="str">
            <v>du</v>
          </cell>
          <cell r="E1319" t="str">
            <v>nombre</v>
          </cell>
          <cell r="F1319" t="str">
            <v>de</v>
          </cell>
          <cell r="G1319" t="str">
            <v>véhicule</v>
          </cell>
          <cell r="H1319"/>
          <cell r="I1319"/>
        </row>
        <row r="1320">
          <cell r="C1320" t="str">
            <v>état</v>
          </cell>
          <cell r="D1320" t="str">
            <v>du</v>
          </cell>
          <cell r="E1320" t="str">
            <v>code</v>
          </cell>
          <cell r="F1320" t="str">
            <v>pour le</v>
          </cell>
          <cell r="G1320" t="str">
            <v>véhicule de remplacement</v>
          </cell>
          <cell r="H1320"/>
          <cell r="I1320"/>
        </row>
        <row r="1321">
          <cell r="C1321" t="str">
            <v>état</v>
          </cell>
          <cell r="D1321" t="str">
            <v>du</v>
          </cell>
          <cell r="E1321" t="str">
            <v>taux</v>
          </cell>
          <cell r="F1321" t="str">
            <v>de</v>
          </cell>
          <cell r="G1321" t="str">
            <v>VEI</v>
          </cell>
          <cell r="H1321"/>
          <cell r="I1321"/>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cell r="H1323"/>
          <cell r="I1323"/>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cell r="H1325"/>
          <cell r="I1325"/>
        </row>
        <row r="1326">
          <cell r="C1326"/>
          <cell r="D1326" t="str">
            <v>du</v>
          </cell>
          <cell r="E1326" t="str">
            <v>Correspondant</v>
          </cell>
          <cell r="F1326"/>
          <cell r="G1326"/>
          <cell r="H1326"/>
          <cell r="I1326"/>
        </row>
        <row r="1327">
          <cell r="C1327"/>
          <cell r="D1327" t="str">
            <v>des</v>
          </cell>
          <cell r="E1327" t="str">
            <v>caractéristiques du correspondant</v>
          </cell>
          <cell r="F1327"/>
          <cell r="G1327"/>
          <cell r="H1327"/>
          <cell r="I1327"/>
        </row>
        <row r="1328">
          <cell r="C1328"/>
          <cell r="D1328" t="str">
            <v>du</v>
          </cell>
          <cell r="E1328" t="str">
            <v>tarif correspondant</v>
          </cell>
          <cell r="F1328"/>
          <cell r="G1328"/>
          <cell r="H1328"/>
          <cell r="I1328"/>
        </row>
        <row r="1329">
          <cell r="C1329"/>
          <cell r="D1329" t="str">
            <v>du</v>
          </cell>
          <cell r="E1329" t="str">
            <v>tarif correspondant</v>
          </cell>
          <cell r="F1329"/>
          <cell r="G1329"/>
          <cell r="H1329"/>
          <cell r="I1329"/>
        </row>
        <row r="1330">
          <cell r="C1330"/>
          <cell r="D1330" t="str">
            <v>du</v>
          </cell>
          <cell r="E1330" t="str">
            <v>mail</v>
          </cell>
          <cell r="F1330" t="str">
            <v>du</v>
          </cell>
          <cell r="G1330" t="str">
            <v>correspondant</v>
          </cell>
          <cell r="H1330"/>
          <cell r="I1330"/>
        </row>
        <row r="1331">
          <cell r="C1331"/>
          <cell r="D1331" t="str">
            <v>de</v>
          </cell>
          <cell r="E1331" t="str">
            <v>téléphone</v>
          </cell>
          <cell r="F1331" t="str">
            <v>du</v>
          </cell>
          <cell r="G1331" t="str">
            <v>correspondant</v>
          </cell>
          <cell r="H1331"/>
          <cell r="I1331"/>
        </row>
        <row r="1332">
          <cell r="C1332"/>
          <cell r="D1332" t="str">
            <v>de</v>
          </cell>
          <cell r="E1332" t="str">
            <v>confidentialité</v>
          </cell>
          <cell r="F1332" t="str">
            <v>du</v>
          </cell>
          <cell r="G1332" t="str">
            <v>téléphone</v>
          </cell>
          <cell r="H1332" t="str">
            <v>du</v>
          </cell>
          <cell r="I1332" t="str">
            <v>Correspondant</v>
          </cell>
        </row>
        <row r="1333">
          <cell r="C1333"/>
          <cell r="D1333" t="str">
            <v>de</v>
          </cell>
          <cell r="E1333" t="str">
            <v>téléphone portable</v>
          </cell>
          <cell r="F1333" t="str">
            <v>du</v>
          </cell>
          <cell r="G1333" t="str">
            <v>correspondant</v>
          </cell>
          <cell r="H1333"/>
          <cell r="I1333"/>
        </row>
        <row r="1334">
          <cell r="C1334"/>
          <cell r="D1334" t="str">
            <v>de</v>
          </cell>
          <cell r="E1334" t="str">
            <v>confidentialité</v>
          </cell>
          <cell r="F1334" t="str">
            <v>du</v>
          </cell>
          <cell r="G1334" t="str">
            <v>téléphone mobile</v>
          </cell>
          <cell r="H1334" t="str">
            <v>du</v>
          </cell>
          <cell r="I1334" t="str">
            <v>Correspondant</v>
          </cell>
        </row>
        <row r="1335">
          <cell r="C1335"/>
          <cell r="D1335" t="str">
            <v>de</v>
          </cell>
          <cell r="E1335" t="str">
            <v>fax</v>
          </cell>
          <cell r="F1335" t="str">
            <v>du</v>
          </cell>
          <cell r="G1335" t="str">
            <v>correspondant</v>
          </cell>
          <cell r="H1335"/>
          <cell r="I1335"/>
        </row>
        <row r="1336">
          <cell r="C1336" t="str">
            <v>légal</v>
          </cell>
          <cell r="D1336" t="str">
            <v>du</v>
          </cell>
          <cell r="E1336" t="str">
            <v>correspondant</v>
          </cell>
          <cell r="F1336"/>
          <cell r="G1336"/>
          <cell r="H1336"/>
          <cell r="I1336"/>
        </row>
        <row r="1337">
          <cell r="C1337" t="str">
            <v>légal</v>
          </cell>
          <cell r="D1337" t="str">
            <v>du</v>
          </cell>
          <cell r="E1337" t="str">
            <v>correspondant</v>
          </cell>
          <cell r="F1337"/>
          <cell r="G1337"/>
          <cell r="H1337"/>
          <cell r="I1337"/>
        </row>
        <row r="1338">
          <cell r="C1338" t="str">
            <v>légal</v>
          </cell>
          <cell r="D1338" t="str">
            <v>du</v>
          </cell>
          <cell r="E1338" t="str">
            <v>correspondant</v>
          </cell>
          <cell r="F1338"/>
          <cell r="G1338"/>
          <cell r="H1338"/>
          <cell r="I1338"/>
        </row>
        <row r="1339">
          <cell r="C1339" t="str">
            <v>légal</v>
          </cell>
          <cell r="D1339" t="str">
            <v>du</v>
          </cell>
          <cell r="E1339" t="str">
            <v>correspondant</v>
          </cell>
          <cell r="F1339"/>
          <cell r="G1339"/>
          <cell r="H1339"/>
          <cell r="I1339"/>
        </row>
        <row r="1340">
          <cell r="C1340" t="str">
            <v>légal</v>
          </cell>
          <cell r="D1340" t="str">
            <v>du</v>
          </cell>
          <cell r="E1340" t="str">
            <v>correspondant</v>
          </cell>
          <cell r="F1340"/>
          <cell r="G1340"/>
          <cell r="H1340"/>
          <cell r="I1340"/>
        </row>
        <row r="1341">
          <cell r="C1341" t="str">
            <v>légal</v>
          </cell>
          <cell r="D1341" t="str">
            <v>du</v>
          </cell>
          <cell r="E1341" t="str">
            <v>correspondant</v>
          </cell>
          <cell r="F1341"/>
          <cell r="G1341"/>
          <cell r="H1341"/>
          <cell r="I1341"/>
        </row>
        <row r="1342">
          <cell r="C1342" t="str">
            <v>courrier</v>
          </cell>
          <cell r="D1342" t="str">
            <v>du</v>
          </cell>
          <cell r="E1342" t="str">
            <v>correspondant</v>
          </cell>
          <cell r="F1342"/>
          <cell r="G1342"/>
          <cell r="H1342"/>
          <cell r="I1342"/>
        </row>
        <row r="1343">
          <cell r="C1343" t="str">
            <v>courrier</v>
          </cell>
          <cell r="D1343" t="str">
            <v>du</v>
          </cell>
          <cell r="E1343" t="str">
            <v>correspondant</v>
          </cell>
          <cell r="F1343"/>
          <cell r="G1343"/>
          <cell r="H1343"/>
          <cell r="I1343"/>
        </row>
        <row r="1344">
          <cell r="C1344" t="str">
            <v>courrier</v>
          </cell>
          <cell r="D1344" t="str">
            <v>du</v>
          </cell>
          <cell r="E1344" t="str">
            <v>correspondant</v>
          </cell>
          <cell r="F1344"/>
          <cell r="G1344"/>
          <cell r="H1344"/>
          <cell r="I1344"/>
        </row>
        <row r="1345">
          <cell r="C1345" t="str">
            <v>courrier</v>
          </cell>
          <cell r="D1345" t="str">
            <v>du</v>
          </cell>
          <cell r="E1345" t="str">
            <v>correspondant</v>
          </cell>
          <cell r="F1345"/>
          <cell r="G1345"/>
          <cell r="H1345"/>
          <cell r="I1345"/>
        </row>
        <row r="1346">
          <cell r="C1346" t="str">
            <v>courrier</v>
          </cell>
          <cell r="D1346" t="str">
            <v>du</v>
          </cell>
          <cell r="E1346" t="str">
            <v>correspondant</v>
          </cell>
          <cell r="F1346"/>
          <cell r="G1346"/>
          <cell r="H1346"/>
          <cell r="I1346"/>
        </row>
        <row r="1347">
          <cell r="C1347" t="str">
            <v>courrier</v>
          </cell>
          <cell r="D1347" t="str">
            <v>du</v>
          </cell>
          <cell r="E1347" t="str">
            <v>correspondant</v>
          </cell>
          <cell r="F1347"/>
          <cell r="G1347"/>
          <cell r="H1347"/>
          <cell r="I1347"/>
        </row>
        <row r="1348">
          <cell r="C1348" t="str">
            <v>postal</v>
          </cell>
          <cell r="D1348" t="str">
            <v>du</v>
          </cell>
          <cell r="E1348" t="str">
            <v>correspondant</v>
          </cell>
          <cell r="F1348"/>
          <cell r="G1348"/>
          <cell r="H1348"/>
          <cell r="I1348"/>
        </row>
        <row r="1349">
          <cell r="C1349"/>
          <cell r="D1349" t="str">
            <v>du</v>
          </cell>
          <cell r="E1349" t="str">
            <v>correspondant</v>
          </cell>
          <cell r="F1349"/>
          <cell r="G1349"/>
          <cell r="H1349"/>
          <cell r="I1349"/>
        </row>
        <row r="1350">
          <cell r="C1350"/>
          <cell r="D1350" t="str">
            <v>des</v>
          </cell>
          <cell r="E1350" t="str">
            <v>caractéristiques du correspondant</v>
          </cell>
          <cell r="F1350"/>
          <cell r="G1350"/>
          <cell r="H1350"/>
          <cell r="I1350"/>
        </row>
        <row r="1351">
          <cell r="C1351"/>
          <cell r="D1351" t="str">
            <v>du</v>
          </cell>
          <cell r="E1351" t="str">
            <v>tarif correspondant</v>
          </cell>
          <cell r="F1351"/>
          <cell r="G1351"/>
          <cell r="H1351"/>
          <cell r="I1351"/>
        </row>
        <row r="1352">
          <cell r="C1352"/>
          <cell r="D1352" t="str">
            <v>du</v>
          </cell>
          <cell r="E1352" t="str">
            <v>correspondant en relation</v>
          </cell>
          <cell r="F1352"/>
          <cell r="G1352"/>
          <cell r="H1352"/>
          <cell r="I1352"/>
        </row>
        <row r="1353">
          <cell r="C1353"/>
          <cell r="D1353" t="str">
            <v>du</v>
          </cell>
          <cell r="E1353" t="str">
            <v>correspondant</v>
          </cell>
          <cell r="F1353"/>
          <cell r="G1353"/>
          <cell r="H1353"/>
          <cell r="I1353"/>
        </row>
        <row r="1354">
          <cell r="C1354"/>
          <cell r="D1354" t="str">
            <v>du</v>
          </cell>
          <cell r="E1354" t="str">
            <v>correspondant</v>
          </cell>
          <cell r="F1354"/>
          <cell r="G1354"/>
          <cell r="H1354"/>
          <cell r="I1354"/>
        </row>
        <row r="1355">
          <cell r="C1355"/>
          <cell r="D1355" t="str">
            <v>des</v>
          </cell>
          <cell r="E1355" t="str">
            <v>caractéristiques du correspondant</v>
          </cell>
          <cell r="F1355"/>
          <cell r="G1355"/>
          <cell r="H1355"/>
          <cell r="I1355"/>
        </row>
        <row r="1356">
          <cell r="C1356"/>
          <cell r="D1356" t="str">
            <v>des</v>
          </cell>
          <cell r="E1356" t="str">
            <v>caractéristiques du correspondant</v>
          </cell>
          <cell r="F1356"/>
          <cell r="G1356"/>
          <cell r="H1356"/>
          <cell r="I1356"/>
        </row>
        <row r="1357">
          <cell r="C1357"/>
          <cell r="D1357" t="str">
            <v>du</v>
          </cell>
          <cell r="E1357" t="str">
            <v>tarif correspondant</v>
          </cell>
          <cell r="F1357"/>
          <cell r="G1357"/>
          <cell r="H1357"/>
          <cell r="I1357"/>
        </row>
        <row r="1358">
          <cell r="C1358"/>
          <cell r="D1358" t="str">
            <v>de la</v>
          </cell>
          <cell r="E1358" t="str">
            <v>structure</v>
          </cell>
          <cell r="F1358" t="str">
            <v>du</v>
          </cell>
          <cell r="G1358" t="str">
            <v>secteur d'activité</v>
          </cell>
          <cell r="H1358" t="str">
            <v>de la</v>
          </cell>
          <cell r="I1358" t="str">
            <v>spécialité professionnelle</v>
          </cell>
        </row>
        <row r="1359">
          <cell r="C1359"/>
          <cell r="D1359" t="str">
            <v>de la</v>
          </cell>
          <cell r="E1359" t="str">
            <v>structure</v>
          </cell>
          <cell r="F1359" t="str">
            <v>du</v>
          </cell>
          <cell r="G1359" t="str">
            <v>secteur d'activité</v>
          </cell>
          <cell r="H1359" t="str">
            <v>de la</v>
          </cell>
          <cell r="I1359" t="str">
            <v>spécialité professionnelle</v>
          </cell>
        </row>
        <row r="1360">
          <cell r="C1360"/>
          <cell r="D1360" t="str">
            <v>de la</v>
          </cell>
          <cell r="E1360" t="str">
            <v>structure</v>
          </cell>
          <cell r="F1360" t="str">
            <v>du</v>
          </cell>
          <cell r="G1360" t="str">
            <v>secteur d'activité</v>
          </cell>
          <cell r="H1360" t="str">
            <v>de la</v>
          </cell>
          <cell r="I1360" t="str">
            <v>spécialité professionnelle</v>
          </cell>
        </row>
        <row r="1361">
          <cell r="C1361"/>
          <cell r="D1361" t="str">
            <v>du</v>
          </cell>
          <cell r="E1361" t="str">
            <v>tarif correspondant</v>
          </cell>
          <cell r="F1361"/>
          <cell r="G1361"/>
          <cell r="H1361"/>
          <cell r="I1361"/>
        </row>
        <row r="1362">
          <cell r="C1362"/>
          <cell r="D1362" t="str">
            <v>de l'</v>
          </cell>
          <cell r="E1362" t="str">
            <v>entreprise</v>
          </cell>
          <cell r="F1362"/>
          <cell r="G1362"/>
          <cell r="H1362"/>
          <cell r="I1362"/>
        </row>
        <row r="1363">
          <cell r="C1363"/>
          <cell r="D1363" t="str">
            <v>du</v>
          </cell>
          <cell r="E1363" t="str">
            <v>correspondant</v>
          </cell>
          <cell r="F1363"/>
          <cell r="G1363"/>
          <cell r="H1363"/>
          <cell r="I1363"/>
        </row>
        <row r="1364">
          <cell r="C1364"/>
          <cell r="D1364" t="str">
            <v>du</v>
          </cell>
          <cell r="E1364" t="str">
            <v>correspondant</v>
          </cell>
          <cell r="F1364"/>
          <cell r="G1364"/>
          <cell r="H1364"/>
          <cell r="I1364"/>
        </row>
        <row r="1365">
          <cell r="C1365"/>
          <cell r="D1365" t="str">
            <v>du</v>
          </cell>
          <cell r="E1365" t="str">
            <v>correspondant</v>
          </cell>
          <cell r="F1365"/>
          <cell r="G1365"/>
          <cell r="H1365"/>
          <cell r="I1365"/>
        </row>
        <row r="1366">
          <cell r="C1366"/>
          <cell r="D1366" t="str">
            <v>du</v>
          </cell>
          <cell r="E1366" t="str">
            <v>correspondant</v>
          </cell>
          <cell r="F1366"/>
          <cell r="G1366"/>
          <cell r="H1366"/>
          <cell r="I1366"/>
        </row>
        <row r="1367">
          <cell r="C1367"/>
          <cell r="D1367" t="str">
            <v>du</v>
          </cell>
          <cell r="E1367" t="str">
            <v>correspondant</v>
          </cell>
          <cell r="F1367"/>
          <cell r="G1367"/>
          <cell r="H1367"/>
          <cell r="I1367"/>
        </row>
        <row r="1368">
          <cell r="C1368"/>
          <cell r="D1368" t="str">
            <v>du</v>
          </cell>
          <cell r="E1368" t="str">
            <v>correspondant</v>
          </cell>
          <cell r="F1368"/>
          <cell r="G1368"/>
          <cell r="H1368"/>
          <cell r="I1368"/>
        </row>
        <row r="1369">
          <cell r="C1369"/>
          <cell r="D1369" t="str">
            <v>du</v>
          </cell>
          <cell r="E1369" t="str">
            <v>correspondant</v>
          </cell>
          <cell r="F1369"/>
          <cell r="G1369"/>
          <cell r="H1369"/>
          <cell r="I1369"/>
        </row>
        <row r="1370">
          <cell r="C1370"/>
          <cell r="D1370" t="str">
            <v>du</v>
          </cell>
          <cell r="E1370" t="str">
            <v>correspondant</v>
          </cell>
          <cell r="F1370"/>
          <cell r="G1370"/>
          <cell r="H1370"/>
          <cell r="I1370"/>
        </row>
        <row r="1371">
          <cell r="C1371"/>
          <cell r="D1371" t="str">
            <v>du</v>
          </cell>
          <cell r="E1371" t="str">
            <v>correspondant</v>
          </cell>
          <cell r="F1371"/>
          <cell r="G1371"/>
          <cell r="H1371"/>
          <cell r="I1371"/>
        </row>
        <row r="1372">
          <cell r="C1372"/>
          <cell r="D1372" t="str">
            <v>du</v>
          </cell>
          <cell r="E1372" t="str">
            <v>correspondant</v>
          </cell>
          <cell r="F1372"/>
          <cell r="G1372"/>
          <cell r="H1372"/>
          <cell r="I1372"/>
        </row>
        <row r="1373">
          <cell r="C1373"/>
          <cell r="D1373" t="str">
            <v>du</v>
          </cell>
          <cell r="E1373" t="str">
            <v>correspondant en relation</v>
          </cell>
          <cell r="F1373"/>
          <cell r="G1373"/>
          <cell r="H1373"/>
          <cell r="I1373"/>
        </row>
        <row r="1374">
          <cell r="C1374"/>
          <cell r="D1374" t="str">
            <v>de</v>
          </cell>
          <cell r="E1374" t="str">
            <v>kilomètre illimité</v>
          </cell>
          <cell r="F1374"/>
          <cell r="G1374"/>
          <cell r="H1374"/>
          <cell r="I1374"/>
        </row>
        <row r="1375">
          <cell r="C1375" t="str">
            <v>durée</v>
          </cell>
          <cell r="D1375" t="str">
            <v>de la</v>
          </cell>
          <cell r="E1375" t="str">
            <v>casse lentilles</v>
          </cell>
          <cell r="F1375" t="str">
            <v>des</v>
          </cell>
          <cell r="G1375" t="str">
            <v>caractéristiques du correspondant</v>
          </cell>
          <cell r="H1375"/>
          <cell r="I1375"/>
        </row>
        <row r="1376">
          <cell r="C1376" t="str">
            <v>durée</v>
          </cell>
          <cell r="D1376" t="str">
            <v>de la</v>
          </cell>
          <cell r="E1376" t="str">
            <v>casse montures</v>
          </cell>
          <cell r="F1376" t="str">
            <v>des</v>
          </cell>
          <cell r="G1376" t="str">
            <v>caractéristiques du correspondant</v>
          </cell>
          <cell r="H1376"/>
          <cell r="I1376"/>
        </row>
        <row r="1377">
          <cell r="C1377" t="str">
            <v>durée</v>
          </cell>
          <cell r="D1377" t="str">
            <v>de l'</v>
          </cell>
          <cell r="E1377" t="str">
            <v>adaptation verres</v>
          </cell>
          <cell r="F1377" t="str">
            <v>des</v>
          </cell>
          <cell r="G1377" t="str">
            <v>caractéristiques du correspondant</v>
          </cell>
          <cell r="H1377"/>
          <cell r="I1377"/>
        </row>
        <row r="1378">
          <cell r="C1378" t="str">
            <v>durée</v>
          </cell>
          <cell r="D1378" t="str">
            <v>de la</v>
          </cell>
          <cell r="E1378" t="str">
            <v>casse verres</v>
          </cell>
          <cell r="F1378" t="str">
            <v>des</v>
          </cell>
          <cell r="G1378" t="str">
            <v>caractéristiques du correspondant</v>
          </cell>
          <cell r="H1378"/>
          <cell r="I1378"/>
        </row>
        <row r="1379">
          <cell r="C1379" t="str">
            <v>durée</v>
          </cell>
          <cell r="D1379" t="str">
            <v>de l'</v>
          </cell>
          <cell r="E1379" t="str">
            <v>autre garantie tarifaire</v>
          </cell>
          <cell r="F1379" t="str">
            <v>des</v>
          </cell>
          <cell r="G1379" t="str">
            <v>caractéristiques du correspondant</v>
          </cell>
          <cell r="H1379"/>
          <cell r="I1379"/>
        </row>
        <row r="1380">
          <cell r="C1380" t="str">
            <v>prise en charge</v>
          </cell>
          <cell r="D1380" t="str">
            <v>de l'</v>
          </cell>
          <cell r="E1380" t="str">
            <v>établissement public hospitalier</v>
          </cell>
          <cell r="F1380" t="str">
            <v>des</v>
          </cell>
          <cell r="G1380" t="str">
            <v>caractéristiques du correspondant</v>
          </cell>
          <cell r="H1380"/>
          <cell r="I1380"/>
        </row>
        <row r="1381">
          <cell r="C1381" t="str">
            <v>qualité</v>
          </cell>
          <cell r="D1381" t="str">
            <v>du</v>
          </cell>
          <cell r="E1381" t="str">
            <v>correspondant</v>
          </cell>
          <cell r="F1381"/>
          <cell r="G1381"/>
          <cell r="H1381"/>
          <cell r="I1381"/>
        </row>
        <row r="1382">
          <cell r="C1382" t="str">
            <v>quota hebdo</v>
          </cell>
          <cell r="D1382" t="str">
            <v>des</v>
          </cell>
          <cell r="E1382" t="str">
            <v>caractéristiques du correspondant</v>
          </cell>
          <cell r="F1382" t="str">
            <v xml:space="preserve"> </v>
          </cell>
          <cell r="G1382"/>
          <cell r="H1382"/>
          <cell r="I1382"/>
        </row>
        <row r="1383">
          <cell r="C1383" t="str">
            <v>certification</v>
          </cell>
          <cell r="D1383" t="str">
            <v>du</v>
          </cell>
          <cell r="E1383" t="str">
            <v>service technique automobile</v>
          </cell>
          <cell r="F1383" t="str">
            <v>des</v>
          </cell>
          <cell r="G1383" t="str">
            <v>caractéristiques du correspondant</v>
          </cell>
          <cell r="H1383"/>
          <cell r="I1383"/>
        </row>
        <row r="1384">
          <cell r="C1384"/>
          <cell r="D1384" t="str">
            <v>du</v>
          </cell>
          <cell r="E1384" t="str">
            <v>délai de paiement</v>
          </cell>
          <cell r="F1384" t="str">
            <v>des</v>
          </cell>
          <cell r="G1384" t="str">
            <v>caractéristiques du correspondant</v>
          </cell>
          <cell r="H1384"/>
          <cell r="I1384"/>
        </row>
        <row r="1385">
          <cell r="C1385"/>
          <cell r="D1385" t="str">
            <v>de l'</v>
          </cell>
          <cell r="E1385" t="str">
            <v>adresse courrier</v>
          </cell>
          <cell r="F1385" t="str">
            <v>du</v>
          </cell>
          <cell r="G1385" t="str">
            <v>correspondant</v>
          </cell>
          <cell r="H1385"/>
          <cell r="I1385"/>
        </row>
        <row r="1386">
          <cell r="C1386"/>
          <cell r="D1386" t="str">
            <v>de l'</v>
          </cell>
          <cell r="E1386" t="str">
            <v>adresse courrier</v>
          </cell>
          <cell r="F1386" t="str">
            <v>du</v>
          </cell>
          <cell r="G1386" t="str">
            <v>correspondant</v>
          </cell>
          <cell r="H1386"/>
          <cell r="I1386"/>
        </row>
        <row r="1387">
          <cell r="C1387"/>
          <cell r="D1387" t="str">
            <v>d'</v>
          </cell>
          <cell r="E1387" t="str">
            <v>indisponibilité</v>
          </cell>
          <cell r="F1387"/>
          <cell r="G1387"/>
          <cell r="H1387"/>
          <cell r="I1387"/>
        </row>
        <row r="1388">
          <cell r="C1388"/>
          <cell r="D1388" t="str">
            <v>d'</v>
          </cell>
          <cell r="E1388" t="str">
            <v>indisponibilité</v>
          </cell>
          <cell r="F1388"/>
          <cell r="G1388"/>
          <cell r="H1388"/>
          <cell r="I1388"/>
        </row>
        <row r="1389">
          <cell r="C1389" t="str">
            <v>ligne 1</v>
          </cell>
          <cell r="D1389" t="str">
            <v>du</v>
          </cell>
          <cell r="E1389" t="str">
            <v>bloc note</v>
          </cell>
          <cell r="F1389"/>
          <cell r="G1389"/>
          <cell r="H1389"/>
          <cell r="I1389"/>
        </row>
        <row r="1390">
          <cell r="C1390" t="str">
            <v>ligne 2</v>
          </cell>
          <cell r="D1390" t="str">
            <v>du</v>
          </cell>
          <cell r="E1390" t="str">
            <v>bloc note</v>
          </cell>
          <cell r="F1390"/>
          <cell r="G1390"/>
          <cell r="H1390"/>
          <cell r="I1390"/>
        </row>
        <row r="1391">
          <cell r="C1391" t="str">
            <v>ligne 3</v>
          </cell>
          <cell r="D1391" t="str">
            <v>du</v>
          </cell>
          <cell r="E1391" t="str">
            <v>bloc note</v>
          </cell>
          <cell r="F1391"/>
          <cell r="G1391"/>
          <cell r="H1391"/>
          <cell r="I1391"/>
        </row>
        <row r="1392">
          <cell r="C1392"/>
          <cell r="D1392" t="str">
            <v>du</v>
          </cell>
          <cell r="E1392" t="str">
            <v>contact</v>
          </cell>
          <cell r="F1392" t="str">
            <v>du</v>
          </cell>
          <cell r="G1392" t="str">
            <v>correspondant</v>
          </cell>
          <cell r="H1392"/>
          <cell r="I1392"/>
        </row>
        <row r="1393">
          <cell r="C1393"/>
          <cell r="D1393" t="str">
            <v>du</v>
          </cell>
          <cell r="E1393" t="str">
            <v>correspondant</v>
          </cell>
          <cell r="F1393"/>
          <cell r="G1393"/>
          <cell r="H1393"/>
          <cell r="I1393"/>
        </row>
        <row r="1394">
          <cell r="C1394"/>
          <cell r="D1394" t="str">
            <v>du</v>
          </cell>
          <cell r="E1394" t="str">
            <v>contact</v>
          </cell>
          <cell r="F1394"/>
          <cell r="G1394"/>
          <cell r="H1394"/>
          <cell r="I1394"/>
        </row>
        <row r="1395">
          <cell r="C1395"/>
          <cell r="D1395" t="str">
            <v>du</v>
          </cell>
          <cell r="E1395" t="str">
            <v>contact</v>
          </cell>
          <cell r="F1395" t="str">
            <v>du</v>
          </cell>
          <cell r="G1395" t="str">
            <v>correspondant</v>
          </cell>
          <cell r="H1395"/>
          <cell r="I1395"/>
        </row>
        <row r="1396">
          <cell r="C1396"/>
          <cell r="D1396" t="str">
            <v>du</v>
          </cell>
          <cell r="E1396" t="str">
            <v>contact</v>
          </cell>
          <cell r="F1396" t="str">
            <v>du</v>
          </cell>
          <cell r="G1396" t="str">
            <v>correspondant</v>
          </cell>
          <cell r="H1396"/>
          <cell r="I1396"/>
        </row>
        <row r="1397">
          <cell r="C1397" t="str">
            <v>dernière image</v>
          </cell>
          <cell r="D1397" t="str">
            <v>du</v>
          </cell>
          <cell r="E1397" t="str">
            <v>contact</v>
          </cell>
          <cell r="F1397" t="str">
            <v>du</v>
          </cell>
          <cell r="G1397" t="str">
            <v>correspondant</v>
          </cell>
          <cell r="H1397"/>
          <cell r="I1397"/>
        </row>
        <row r="1398">
          <cell r="C1398"/>
          <cell r="D1398" t="str">
            <v>du</v>
          </cell>
          <cell r="E1398" t="str">
            <v>contact</v>
          </cell>
          <cell r="F1398"/>
          <cell r="G1398"/>
          <cell r="H1398"/>
          <cell r="I1398"/>
        </row>
        <row r="1399">
          <cell r="C1399"/>
          <cell r="D1399" t="str">
            <v>du</v>
          </cell>
          <cell r="E1399" t="str">
            <v>rôle</v>
          </cell>
          <cell r="F1399" t="str">
            <v>du</v>
          </cell>
          <cell r="G1399" t="str">
            <v>contact</v>
          </cell>
          <cell r="H1399"/>
          <cell r="I1399"/>
        </row>
        <row r="1400">
          <cell r="C1400" t="str">
            <v>téléphone fixe</v>
          </cell>
          <cell r="D1400" t="str">
            <v>du</v>
          </cell>
          <cell r="E1400" t="str">
            <v>contact</v>
          </cell>
          <cell r="F1400"/>
          <cell r="G1400"/>
          <cell r="H1400"/>
          <cell r="I1400"/>
        </row>
        <row r="1401">
          <cell r="C1401"/>
          <cell r="D1401" t="str">
            <v>de</v>
          </cell>
          <cell r="E1401" t="str">
            <v>confidentialité</v>
          </cell>
          <cell r="F1401" t="str">
            <v>du</v>
          </cell>
          <cell r="G1401" t="str">
            <v>téléphone fixe</v>
          </cell>
          <cell r="H1401"/>
          <cell r="I1401"/>
        </row>
        <row r="1402">
          <cell r="C1402" t="str">
            <v>téléphone portable</v>
          </cell>
          <cell r="D1402" t="str">
            <v>du</v>
          </cell>
          <cell r="E1402" t="str">
            <v>contact</v>
          </cell>
          <cell r="F1402"/>
          <cell r="G1402"/>
          <cell r="H1402"/>
          <cell r="I1402"/>
        </row>
        <row r="1403">
          <cell r="C1403"/>
          <cell r="D1403" t="str">
            <v>de</v>
          </cell>
          <cell r="E1403" t="str">
            <v>confidentialité</v>
          </cell>
          <cell r="F1403" t="str">
            <v>du</v>
          </cell>
          <cell r="G1403" t="str">
            <v>téléphone portable</v>
          </cell>
          <cell r="H1403"/>
          <cell r="I1403"/>
        </row>
        <row r="1404">
          <cell r="C1404" t="str">
            <v>fax</v>
          </cell>
          <cell r="D1404" t="str">
            <v>du</v>
          </cell>
          <cell r="E1404" t="str">
            <v>contact</v>
          </cell>
          <cell r="F1404"/>
          <cell r="G1404"/>
          <cell r="H1404"/>
          <cell r="I1404"/>
        </row>
        <row r="1405">
          <cell r="C1405"/>
          <cell r="D1405" t="str">
            <v>du</v>
          </cell>
          <cell r="E1405" t="str">
            <v>contact</v>
          </cell>
          <cell r="F1405"/>
          <cell r="G1405"/>
          <cell r="H1405"/>
          <cell r="I1405"/>
        </row>
        <row r="1406">
          <cell r="C1406"/>
          <cell r="D1406" t="str">
            <v>de la</v>
          </cell>
          <cell r="E1406" t="str">
            <v>permanence</v>
          </cell>
          <cell r="F1406" t="str">
            <v>du</v>
          </cell>
          <cell r="G1406" t="str">
            <v>correspondant</v>
          </cell>
          <cell r="H1406"/>
          <cell r="I1406"/>
        </row>
        <row r="1407">
          <cell r="C1407"/>
          <cell r="D1407" t="str">
            <v>du</v>
          </cell>
          <cell r="E1407" t="str">
            <v>correspondant</v>
          </cell>
          <cell r="F1407"/>
          <cell r="G1407"/>
          <cell r="H1407"/>
          <cell r="I1407"/>
        </row>
        <row r="1408">
          <cell r="C1408"/>
          <cell r="D1408" t="str">
            <v>du</v>
          </cell>
          <cell r="E1408" t="str">
            <v>type de structure</v>
          </cell>
          <cell r="F1408" t="str">
            <v>du</v>
          </cell>
          <cell r="G1408" t="str">
            <v>correspondant</v>
          </cell>
          <cell r="H1408"/>
          <cell r="I1408"/>
        </row>
        <row r="1409">
          <cell r="C1409"/>
          <cell r="D1409" t="str">
            <v>du</v>
          </cell>
          <cell r="E1409" t="str">
            <v>type de structure</v>
          </cell>
          <cell r="F1409" t="str">
            <v>du</v>
          </cell>
          <cell r="G1409" t="str">
            <v>correspondant</v>
          </cell>
          <cell r="H1409"/>
          <cell r="I1409"/>
        </row>
        <row r="1410">
          <cell r="C1410"/>
          <cell r="D1410" t="str">
            <v>de la</v>
          </cell>
          <cell r="E1410" t="str">
            <v>structure</v>
          </cell>
          <cell r="F1410" t="str">
            <v>du</v>
          </cell>
          <cell r="G1410" t="str">
            <v>correspondant</v>
          </cell>
          <cell r="H1410"/>
          <cell r="I1410"/>
        </row>
        <row r="1411">
          <cell r="C1411"/>
          <cell r="D1411" t="str">
            <v>de la</v>
          </cell>
          <cell r="E1411" t="str">
            <v>structure</v>
          </cell>
          <cell r="F1411" t="str">
            <v>du</v>
          </cell>
          <cell r="G1411" t="str">
            <v>correspondant</v>
          </cell>
          <cell r="H1411"/>
          <cell r="I1411"/>
        </row>
        <row r="1412">
          <cell r="C1412"/>
          <cell r="D1412" t="str">
            <v>du</v>
          </cell>
          <cell r="E1412" t="str">
            <v>secteur d'activité</v>
          </cell>
          <cell r="F1412" t="str">
            <v>du</v>
          </cell>
          <cell r="G1412" t="str">
            <v>correspondant</v>
          </cell>
          <cell r="H1412"/>
          <cell r="I1412"/>
        </row>
        <row r="1413">
          <cell r="C1413"/>
          <cell r="D1413" t="str">
            <v>du</v>
          </cell>
          <cell r="E1413" t="str">
            <v>secteur d'activité</v>
          </cell>
          <cell r="F1413" t="str">
            <v>du</v>
          </cell>
          <cell r="G1413" t="str">
            <v>correspondant</v>
          </cell>
          <cell r="H1413"/>
          <cell r="I1413"/>
        </row>
        <row r="1414">
          <cell r="C1414"/>
          <cell r="D1414" t="str">
            <v>de la</v>
          </cell>
          <cell r="E1414" t="str">
            <v>spécialité professionnelle</v>
          </cell>
          <cell r="F1414" t="str">
            <v>du</v>
          </cell>
          <cell r="G1414" t="str">
            <v>correspondant</v>
          </cell>
          <cell r="H1414"/>
          <cell r="I1414"/>
        </row>
        <row r="1415">
          <cell r="C1415"/>
          <cell r="D1415" t="str">
            <v>de la</v>
          </cell>
          <cell r="E1415" t="str">
            <v>spécialité professionnelle</v>
          </cell>
          <cell r="F1415" t="str">
            <v>du</v>
          </cell>
          <cell r="G1415" t="str">
            <v>correspondant</v>
          </cell>
          <cell r="H1415"/>
          <cell r="I1415"/>
        </row>
        <row r="1416">
          <cell r="C1416"/>
          <cell r="D1416" t="str">
            <v>du</v>
          </cell>
          <cell r="E1416" t="str">
            <v>type de permanence</v>
          </cell>
          <cell r="F1416"/>
          <cell r="G1416"/>
          <cell r="H1416"/>
          <cell r="I1416"/>
        </row>
        <row r="1417">
          <cell r="C1417"/>
          <cell r="D1417" t="str">
            <v>du</v>
          </cell>
          <cell r="E1417" t="str">
            <v>type de permanence</v>
          </cell>
          <cell r="F1417"/>
          <cell r="G1417"/>
          <cell r="H1417"/>
          <cell r="I1417"/>
        </row>
        <row r="1418">
          <cell r="C1418"/>
          <cell r="D1418" t="str">
            <v>de la</v>
          </cell>
          <cell r="E1418" t="str">
            <v>permanence</v>
          </cell>
          <cell r="F1418" t="str">
            <v>du</v>
          </cell>
          <cell r="G1418" t="str">
            <v>correspondant</v>
          </cell>
          <cell r="H1418"/>
          <cell r="I1418"/>
        </row>
        <row r="1419">
          <cell r="C1419"/>
          <cell r="D1419" t="str">
            <v>de la</v>
          </cell>
          <cell r="E1419" t="str">
            <v>permanence</v>
          </cell>
          <cell r="F1419" t="str">
            <v>du</v>
          </cell>
          <cell r="G1419" t="str">
            <v>correspondant</v>
          </cell>
          <cell r="H1419"/>
          <cell r="I1419"/>
        </row>
        <row r="1420">
          <cell r="C1420" t="str">
            <v>dernière image</v>
          </cell>
          <cell r="D1420" t="str">
            <v>de la</v>
          </cell>
          <cell r="E1420" t="str">
            <v>permanence</v>
          </cell>
          <cell r="F1420" t="str">
            <v>du</v>
          </cell>
          <cell r="G1420" t="str">
            <v>correspondant</v>
          </cell>
          <cell r="H1420"/>
          <cell r="I1420"/>
        </row>
        <row r="1421">
          <cell r="C1421"/>
          <cell r="D1421" t="str">
            <v>du</v>
          </cell>
          <cell r="E1421" t="str">
            <v>lundi matin</v>
          </cell>
          <cell r="F1421"/>
          <cell r="G1421"/>
          <cell r="H1421"/>
          <cell r="I1421"/>
        </row>
        <row r="1422">
          <cell r="C1422"/>
          <cell r="D1422" t="str">
            <v>du</v>
          </cell>
          <cell r="E1422" t="str">
            <v>lundi matin</v>
          </cell>
          <cell r="F1422"/>
          <cell r="G1422"/>
          <cell r="H1422"/>
          <cell r="I1422"/>
        </row>
        <row r="1423">
          <cell r="C1423"/>
          <cell r="D1423" t="str">
            <v>du</v>
          </cell>
          <cell r="E1423" t="str">
            <v>lundi après-midi</v>
          </cell>
          <cell r="F1423"/>
          <cell r="G1423"/>
          <cell r="H1423"/>
          <cell r="I1423"/>
        </row>
        <row r="1424">
          <cell r="C1424"/>
          <cell r="D1424" t="str">
            <v>du</v>
          </cell>
          <cell r="E1424" t="str">
            <v>lundi après-midi</v>
          </cell>
          <cell r="F1424"/>
          <cell r="G1424"/>
          <cell r="H1424"/>
          <cell r="I1424"/>
        </row>
        <row r="1425">
          <cell r="C1425"/>
          <cell r="D1425" t="str">
            <v>de la</v>
          </cell>
          <cell r="E1425" t="str">
            <v>modalité de la permanence</v>
          </cell>
          <cell r="F1425" t="str">
            <v>du</v>
          </cell>
          <cell r="G1425" t="str">
            <v>lundi</v>
          </cell>
          <cell r="H1425"/>
          <cell r="I1425"/>
        </row>
        <row r="1426">
          <cell r="C1426"/>
          <cell r="D1426" t="str">
            <v>du</v>
          </cell>
          <cell r="E1426" t="str">
            <v>mardi matin</v>
          </cell>
          <cell r="F1426"/>
          <cell r="G1426"/>
          <cell r="H1426"/>
          <cell r="I1426"/>
        </row>
        <row r="1427">
          <cell r="C1427"/>
          <cell r="D1427" t="str">
            <v>du</v>
          </cell>
          <cell r="E1427" t="str">
            <v>mardi matin</v>
          </cell>
          <cell r="F1427"/>
          <cell r="G1427"/>
          <cell r="H1427"/>
          <cell r="I1427"/>
        </row>
        <row r="1428">
          <cell r="C1428"/>
          <cell r="D1428" t="str">
            <v>du</v>
          </cell>
          <cell r="E1428" t="str">
            <v>mardi après-midi</v>
          </cell>
          <cell r="F1428"/>
          <cell r="G1428"/>
          <cell r="H1428"/>
          <cell r="I1428"/>
        </row>
        <row r="1429">
          <cell r="C1429"/>
          <cell r="D1429" t="str">
            <v>du</v>
          </cell>
          <cell r="E1429" t="str">
            <v>mardi après-midi</v>
          </cell>
          <cell r="F1429"/>
          <cell r="G1429"/>
          <cell r="H1429"/>
          <cell r="I1429"/>
        </row>
        <row r="1430">
          <cell r="C1430"/>
          <cell r="D1430" t="str">
            <v>de la</v>
          </cell>
          <cell r="E1430" t="str">
            <v>modalité de la permanence</v>
          </cell>
          <cell r="F1430" t="str">
            <v>du</v>
          </cell>
          <cell r="G1430" t="str">
            <v>mardi</v>
          </cell>
          <cell r="H1430"/>
          <cell r="I1430"/>
        </row>
        <row r="1431">
          <cell r="C1431"/>
          <cell r="D1431" t="str">
            <v>du</v>
          </cell>
          <cell r="E1431" t="str">
            <v>mercredi matin</v>
          </cell>
          <cell r="F1431"/>
          <cell r="G1431"/>
          <cell r="H1431"/>
          <cell r="I1431"/>
        </row>
        <row r="1432">
          <cell r="C1432"/>
          <cell r="D1432" t="str">
            <v>du</v>
          </cell>
          <cell r="E1432" t="str">
            <v>mercredi matin</v>
          </cell>
          <cell r="F1432"/>
          <cell r="G1432"/>
          <cell r="H1432"/>
          <cell r="I1432"/>
        </row>
        <row r="1433">
          <cell r="C1433"/>
          <cell r="D1433" t="str">
            <v>du</v>
          </cell>
          <cell r="E1433" t="str">
            <v>mercredi après-midi</v>
          </cell>
          <cell r="F1433"/>
          <cell r="G1433"/>
          <cell r="H1433"/>
          <cell r="I1433"/>
        </row>
        <row r="1434">
          <cell r="C1434"/>
          <cell r="D1434" t="str">
            <v>du</v>
          </cell>
          <cell r="E1434" t="str">
            <v>mercredi après-midi</v>
          </cell>
          <cell r="F1434"/>
          <cell r="G1434"/>
          <cell r="H1434"/>
          <cell r="I1434"/>
        </row>
        <row r="1435">
          <cell r="C1435"/>
          <cell r="D1435" t="str">
            <v>de la</v>
          </cell>
          <cell r="E1435" t="str">
            <v>modalité de la permanence</v>
          </cell>
          <cell r="F1435" t="str">
            <v>du</v>
          </cell>
          <cell r="G1435" t="str">
            <v>mercredi</v>
          </cell>
          <cell r="H1435"/>
          <cell r="I1435"/>
        </row>
        <row r="1436">
          <cell r="C1436"/>
          <cell r="D1436" t="str">
            <v>du</v>
          </cell>
          <cell r="E1436" t="str">
            <v>jeudi matin</v>
          </cell>
          <cell r="F1436"/>
          <cell r="G1436"/>
          <cell r="H1436"/>
          <cell r="I1436"/>
        </row>
        <row r="1437">
          <cell r="C1437"/>
          <cell r="D1437" t="str">
            <v>du</v>
          </cell>
          <cell r="E1437" t="str">
            <v>jeudi matin</v>
          </cell>
          <cell r="F1437"/>
          <cell r="G1437"/>
          <cell r="H1437"/>
          <cell r="I1437"/>
        </row>
        <row r="1438">
          <cell r="C1438"/>
          <cell r="D1438" t="str">
            <v>du</v>
          </cell>
          <cell r="E1438" t="str">
            <v>jeudi après-midi</v>
          </cell>
          <cell r="F1438"/>
          <cell r="G1438"/>
          <cell r="H1438"/>
          <cell r="I1438"/>
        </row>
        <row r="1439">
          <cell r="C1439"/>
          <cell r="D1439" t="str">
            <v>du</v>
          </cell>
          <cell r="E1439" t="str">
            <v>jeudi après-midi</v>
          </cell>
          <cell r="F1439"/>
          <cell r="G1439"/>
          <cell r="H1439"/>
          <cell r="I1439"/>
        </row>
        <row r="1440">
          <cell r="C1440"/>
          <cell r="D1440" t="str">
            <v>de la</v>
          </cell>
          <cell r="E1440" t="str">
            <v>modalité de la permanence</v>
          </cell>
          <cell r="F1440" t="str">
            <v>du</v>
          </cell>
          <cell r="G1440" t="str">
            <v>jeudi</v>
          </cell>
          <cell r="H1440"/>
          <cell r="I1440"/>
        </row>
        <row r="1441">
          <cell r="C1441"/>
          <cell r="D1441" t="str">
            <v>du</v>
          </cell>
          <cell r="E1441" t="str">
            <v>vendredi matin</v>
          </cell>
          <cell r="F1441"/>
          <cell r="G1441"/>
          <cell r="H1441"/>
          <cell r="I1441"/>
        </row>
        <row r="1442">
          <cell r="C1442"/>
          <cell r="D1442" t="str">
            <v>du</v>
          </cell>
          <cell r="E1442" t="str">
            <v>vendredi matin</v>
          </cell>
          <cell r="F1442"/>
          <cell r="G1442"/>
          <cell r="H1442"/>
          <cell r="I1442"/>
        </row>
        <row r="1443">
          <cell r="C1443"/>
          <cell r="D1443" t="str">
            <v>du</v>
          </cell>
          <cell r="E1443" t="str">
            <v>vendredi après-midi</v>
          </cell>
          <cell r="F1443"/>
          <cell r="G1443"/>
          <cell r="H1443"/>
          <cell r="I1443"/>
        </row>
        <row r="1444">
          <cell r="C1444"/>
          <cell r="D1444" t="str">
            <v>du</v>
          </cell>
          <cell r="E1444" t="str">
            <v>vendredi après-midi</v>
          </cell>
          <cell r="F1444"/>
          <cell r="G1444"/>
          <cell r="H1444"/>
          <cell r="I1444"/>
        </row>
        <row r="1445">
          <cell r="C1445"/>
          <cell r="D1445" t="str">
            <v>de la</v>
          </cell>
          <cell r="E1445" t="str">
            <v>modalité de la permanence</v>
          </cell>
          <cell r="F1445" t="str">
            <v>du</v>
          </cell>
          <cell r="G1445" t="str">
            <v>vendredi</v>
          </cell>
          <cell r="H1445"/>
          <cell r="I1445"/>
        </row>
        <row r="1446">
          <cell r="C1446"/>
          <cell r="D1446" t="str">
            <v>de la</v>
          </cell>
          <cell r="E1446" t="str">
            <v>tournée</v>
          </cell>
          <cell r="F1446" t="str">
            <v>du</v>
          </cell>
          <cell r="G1446" t="str">
            <v>correspondant</v>
          </cell>
          <cell r="H1446"/>
          <cell r="I1446"/>
        </row>
        <row r="1447">
          <cell r="C1447"/>
          <cell r="D1447" t="str">
            <v xml:space="preserve"> </v>
          </cell>
          <cell r="E1447" t="str">
            <v>DGA</v>
          </cell>
          <cell r="F1447" t="str">
            <v>de la</v>
          </cell>
          <cell r="G1447" t="str">
            <v>tournée</v>
          </cell>
          <cell r="H1447"/>
          <cell r="I1447"/>
        </row>
        <row r="1448">
          <cell r="C1448"/>
          <cell r="D1448" t="str">
            <v>de la</v>
          </cell>
          <cell r="E1448" t="str">
            <v>tournée</v>
          </cell>
          <cell r="F1448" t="str">
            <v>du</v>
          </cell>
          <cell r="G1448" t="str">
            <v>correspondant</v>
          </cell>
          <cell r="H1448"/>
          <cell r="I1448"/>
        </row>
        <row r="1449">
          <cell r="C1449"/>
          <cell r="D1449" t="str">
            <v>de la</v>
          </cell>
          <cell r="E1449" t="str">
            <v>tournée</v>
          </cell>
          <cell r="F1449" t="str">
            <v>du</v>
          </cell>
          <cell r="G1449" t="str">
            <v>correspondant</v>
          </cell>
          <cell r="H1449"/>
          <cell r="I1449"/>
        </row>
        <row r="1450">
          <cell r="C1450" t="str">
            <v>dernière image</v>
          </cell>
          <cell r="D1450" t="str">
            <v>de la</v>
          </cell>
          <cell r="E1450" t="str">
            <v>tournée</v>
          </cell>
          <cell r="F1450" t="str">
            <v>du</v>
          </cell>
          <cell r="G1450" t="str">
            <v>correspondant</v>
          </cell>
          <cell r="H1450"/>
          <cell r="I1450"/>
        </row>
        <row r="1451">
          <cell r="C1451"/>
          <cell r="D1451" t="str">
            <v>de la</v>
          </cell>
          <cell r="E1451" t="str">
            <v>commune</v>
          </cell>
          <cell r="F1451"/>
          <cell r="G1451"/>
          <cell r="H1451"/>
          <cell r="I1451"/>
        </row>
        <row r="1452">
          <cell r="C1452"/>
          <cell r="D1452" t="str">
            <v>de l'</v>
          </cell>
          <cell r="E1452" t="str">
            <v>état de la tournée</v>
          </cell>
          <cell r="F1452"/>
          <cell r="G1452"/>
          <cell r="H1452"/>
          <cell r="I1452"/>
        </row>
        <row r="1453">
          <cell r="C1453"/>
          <cell r="D1453" t="str">
            <v>de l'</v>
          </cell>
          <cell r="E1453" t="str">
            <v>état de la tournée</v>
          </cell>
          <cell r="F1453"/>
          <cell r="G1453"/>
          <cell r="H1453"/>
          <cell r="I1453"/>
        </row>
        <row r="1454">
          <cell r="C1454"/>
          <cell r="D1454" t="str">
            <v>de la</v>
          </cell>
          <cell r="E1454" t="str">
            <v>tournée</v>
          </cell>
          <cell r="F1454"/>
          <cell r="G1454"/>
          <cell r="H1454"/>
          <cell r="I1454"/>
        </row>
        <row r="1455">
          <cell r="C1455" t="str">
            <v>présence</v>
          </cell>
          <cell r="D1455" t="str">
            <v xml:space="preserve"> </v>
          </cell>
          <cell r="E1455" t="str">
            <v>lundi</v>
          </cell>
          <cell r="F1455"/>
          <cell r="G1455"/>
          <cell r="H1455"/>
          <cell r="I1455"/>
        </row>
        <row r="1456">
          <cell r="C1456" t="str">
            <v>présence</v>
          </cell>
          <cell r="D1456" t="str">
            <v xml:space="preserve"> </v>
          </cell>
          <cell r="E1456" t="str">
            <v>lundi</v>
          </cell>
          <cell r="F1456"/>
          <cell r="G1456"/>
          <cell r="H1456"/>
          <cell r="I1456"/>
        </row>
        <row r="1457">
          <cell r="C1457" t="str">
            <v>présence</v>
          </cell>
          <cell r="D1457" t="str">
            <v xml:space="preserve"> </v>
          </cell>
          <cell r="E1457" t="str">
            <v>mardi</v>
          </cell>
          <cell r="F1457"/>
          <cell r="G1457"/>
          <cell r="H1457"/>
          <cell r="I1457"/>
        </row>
        <row r="1458">
          <cell r="C1458" t="str">
            <v>présence</v>
          </cell>
          <cell r="D1458" t="str">
            <v xml:space="preserve"> </v>
          </cell>
          <cell r="E1458" t="str">
            <v>mardi</v>
          </cell>
          <cell r="F1458"/>
          <cell r="G1458"/>
          <cell r="H1458"/>
          <cell r="I1458"/>
        </row>
        <row r="1459">
          <cell r="C1459" t="str">
            <v>présence</v>
          </cell>
          <cell r="D1459" t="str">
            <v xml:space="preserve"> </v>
          </cell>
          <cell r="E1459" t="str">
            <v>mercredi</v>
          </cell>
          <cell r="F1459"/>
          <cell r="G1459"/>
          <cell r="H1459"/>
          <cell r="I1459"/>
        </row>
        <row r="1460">
          <cell r="C1460" t="str">
            <v>présence</v>
          </cell>
          <cell r="D1460" t="str">
            <v xml:space="preserve"> </v>
          </cell>
          <cell r="E1460" t="str">
            <v>mercredi</v>
          </cell>
          <cell r="F1460"/>
          <cell r="G1460"/>
          <cell r="H1460"/>
          <cell r="I1460"/>
        </row>
        <row r="1461">
          <cell r="C1461" t="str">
            <v>présence</v>
          </cell>
          <cell r="D1461" t="str">
            <v xml:space="preserve"> </v>
          </cell>
          <cell r="E1461" t="str">
            <v>jeudi</v>
          </cell>
          <cell r="F1461"/>
          <cell r="G1461"/>
          <cell r="H1461"/>
          <cell r="I1461"/>
        </row>
        <row r="1462">
          <cell r="C1462" t="str">
            <v>présence</v>
          </cell>
          <cell r="D1462" t="str">
            <v xml:space="preserve"> </v>
          </cell>
          <cell r="E1462" t="str">
            <v>jeudi</v>
          </cell>
          <cell r="F1462"/>
          <cell r="G1462"/>
          <cell r="H1462"/>
          <cell r="I1462"/>
        </row>
        <row r="1463">
          <cell r="C1463" t="str">
            <v>présence</v>
          </cell>
          <cell r="D1463" t="str">
            <v xml:space="preserve"> </v>
          </cell>
          <cell r="E1463" t="str">
            <v>vendredi</v>
          </cell>
          <cell r="F1463"/>
          <cell r="G1463"/>
          <cell r="H1463"/>
          <cell r="I1463"/>
        </row>
        <row r="1464">
          <cell r="C1464" t="str">
            <v>présence</v>
          </cell>
          <cell r="D1464" t="str">
            <v xml:space="preserve"> </v>
          </cell>
          <cell r="E1464" t="str">
            <v>vendredi</v>
          </cell>
          <cell r="F1464"/>
          <cell r="G1464"/>
          <cell r="H1464"/>
          <cell r="I1464"/>
        </row>
        <row r="1465">
          <cell r="C1465" t="str">
            <v>présence</v>
          </cell>
          <cell r="D1465" t="str">
            <v xml:space="preserve"> </v>
          </cell>
          <cell r="E1465" t="str">
            <v>samedi</v>
          </cell>
          <cell r="F1465"/>
          <cell r="G1465"/>
          <cell r="H1465"/>
          <cell r="I1465"/>
        </row>
        <row r="1466">
          <cell r="C1466" t="str">
            <v>présence</v>
          </cell>
          <cell r="D1466" t="str">
            <v xml:space="preserve"> </v>
          </cell>
          <cell r="E1466" t="str">
            <v>samedi</v>
          </cell>
          <cell r="F1466"/>
          <cell r="G1466"/>
          <cell r="H1466"/>
          <cell r="I1466"/>
        </row>
        <row r="1467">
          <cell r="C1467" t="str">
            <v>présence</v>
          </cell>
          <cell r="D1467" t="str">
            <v xml:space="preserve"> </v>
          </cell>
          <cell r="E1467" t="str">
            <v>dimanche</v>
          </cell>
          <cell r="F1467"/>
          <cell r="G1467"/>
          <cell r="H1467"/>
          <cell r="I1467"/>
        </row>
        <row r="1468">
          <cell r="C1468" t="str">
            <v>présence</v>
          </cell>
          <cell r="D1468" t="str">
            <v xml:space="preserve"> </v>
          </cell>
          <cell r="E1468" t="str">
            <v>dimanche</v>
          </cell>
          <cell r="F1468"/>
          <cell r="G1468"/>
          <cell r="H1468"/>
          <cell r="I1468"/>
        </row>
        <row r="1469">
          <cell r="C1469"/>
          <cell r="D1469" t="str">
            <v>de la</v>
          </cell>
          <cell r="E1469" t="str">
            <v>condition de règlement</v>
          </cell>
          <cell r="F1469" t="str">
            <v>du</v>
          </cell>
          <cell r="G1469" t="str">
            <v>correspondant</v>
          </cell>
          <cell r="H1469"/>
          <cell r="I1469"/>
        </row>
        <row r="1470">
          <cell r="C1470"/>
          <cell r="D1470" t="str">
            <v>de la</v>
          </cell>
          <cell r="E1470" t="str">
            <v>condition de règlement</v>
          </cell>
          <cell r="F1470" t="str">
            <v>du</v>
          </cell>
          <cell r="G1470" t="str">
            <v>correspondant</v>
          </cell>
          <cell r="H1470"/>
          <cell r="I1470"/>
        </row>
        <row r="1471">
          <cell r="C1471"/>
          <cell r="D1471" t="str">
            <v>de la</v>
          </cell>
          <cell r="E1471" t="str">
            <v>condition de règlement</v>
          </cell>
          <cell r="F1471" t="str">
            <v>du</v>
          </cell>
          <cell r="G1471" t="str">
            <v>correspondant</v>
          </cell>
          <cell r="H1471"/>
          <cell r="I1471"/>
        </row>
        <row r="1472">
          <cell r="C1472" t="str">
            <v>dernière image</v>
          </cell>
          <cell r="D1472" t="str">
            <v>de la</v>
          </cell>
          <cell r="E1472" t="str">
            <v>condition de règlement</v>
          </cell>
          <cell r="F1472" t="str">
            <v>du</v>
          </cell>
          <cell r="G1472" t="str">
            <v>correspondant</v>
          </cell>
          <cell r="H1472"/>
          <cell r="I1472"/>
        </row>
        <row r="1473">
          <cell r="C1473"/>
          <cell r="D1473" t="str">
            <v>de la</v>
          </cell>
          <cell r="E1473" t="str">
            <v>condition de règlement</v>
          </cell>
          <cell r="F1473"/>
          <cell r="G1473"/>
          <cell r="H1473"/>
          <cell r="I1473"/>
        </row>
        <row r="1474">
          <cell r="C1474" t="str">
            <v>état</v>
          </cell>
          <cell r="D1474" t="str">
            <v>de la</v>
          </cell>
          <cell r="E1474" t="str">
            <v>condition de règlement</v>
          </cell>
          <cell r="F1474"/>
          <cell r="G1474"/>
          <cell r="H1474"/>
          <cell r="I1474"/>
        </row>
        <row r="1475">
          <cell r="C1475" t="str">
            <v>état</v>
          </cell>
          <cell r="D1475" t="str">
            <v>de la</v>
          </cell>
          <cell r="E1475" t="str">
            <v>condition de règlement</v>
          </cell>
          <cell r="F1475"/>
          <cell r="G1475"/>
          <cell r="H1475"/>
          <cell r="I1475"/>
        </row>
        <row r="1476">
          <cell r="C1476" t="str">
            <v>défaut</v>
          </cell>
          <cell r="D1476" t="str">
            <v>de la</v>
          </cell>
          <cell r="E1476" t="str">
            <v>condition de règlement</v>
          </cell>
          <cell r="F1476"/>
          <cell r="G1476"/>
          <cell r="H1476"/>
          <cell r="I1476"/>
        </row>
        <row r="1477">
          <cell r="C1477"/>
          <cell r="D1477" t="str">
            <v>de l'</v>
          </cell>
          <cell r="E1477" t="str">
            <v>objet</v>
          </cell>
          <cell r="F1477" t="str">
            <v>de la</v>
          </cell>
          <cell r="G1477" t="str">
            <v>condition de règlement</v>
          </cell>
          <cell r="H1477"/>
          <cell r="I1477"/>
        </row>
        <row r="1478">
          <cell r="C1478"/>
          <cell r="D1478" t="str">
            <v>du</v>
          </cell>
          <cell r="E1478" t="str">
            <v>mode de règlement</v>
          </cell>
          <cell r="F1478"/>
          <cell r="G1478"/>
          <cell r="H1478"/>
          <cell r="I1478"/>
        </row>
        <row r="1479">
          <cell r="C1479"/>
          <cell r="D1479" t="str">
            <v>du</v>
          </cell>
          <cell r="E1479" t="str">
            <v>mode de règlement</v>
          </cell>
          <cell r="F1479"/>
          <cell r="G1479"/>
          <cell r="H1479"/>
          <cell r="I1479"/>
        </row>
        <row r="1480">
          <cell r="C1480"/>
          <cell r="D1480" t="str">
            <v>de la</v>
          </cell>
          <cell r="E1480" t="str">
            <v>destination du règlement</v>
          </cell>
          <cell r="F1480"/>
          <cell r="G1480"/>
          <cell r="H1480"/>
          <cell r="I1480"/>
        </row>
        <row r="1481">
          <cell r="C1481"/>
          <cell r="D1481" t="str">
            <v>de la</v>
          </cell>
          <cell r="E1481" t="str">
            <v>destination du règlement</v>
          </cell>
          <cell r="F1481"/>
          <cell r="G1481"/>
          <cell r="H1481"/>
          <cell r="I1481"/>
        </row>
        <row r="1482">
          <cell r="C1482" t="str">
            <v>regroupement</v>
          </cell>
          <cell r="D1482" t="str">
            <v>du</v>
          </cell>
          <cell r="E1482" t="str">
            <v>règlement</v>
          </cell>
          <cell r="F1482"/>
          <cell r="G1482"/>
          <cell r="H1482"/>
          <cell r="I1482"/>
        </row>
        <row r="1483">
          <cell r="C1483"/>
          <cell r="D1483" t="str">
            <v>du</v>
          </cell>
          <cell r="E1483" t="str">
            <v>type</v>
          </cell>
          <cell r="F1483" t="str">
            <v>de</v>
          </cell>
          <cell r="G1483" t="str">
            <v>règlement</v>
          </cell>
          <cell r="H1483"/>
          <cell r="I1483"/>
        </row>
        <row r="1484">
          <cell r="C1484"/>
          <cell r="D1484" t="str">
            <v>du</v>
          </cell>
          <cell r="E1484" t="str">
            <v>type</v>
          </cell>
          <cell r="F1484" t="str">
            <v>de</v>
          </cell>
          <cell r="G1484" t="str">
            <v>règlement</v>
          </cell>
          <cell r="H1484"/>
          <cell r="I1484"/>
        </row>
        <row r="1485">
          <cell r="C1485"/>
          <cell r="D1485" t="str">
            <v>de la</v>
          </cell>
          <cell r="E1485" t="str">
            <v>périodicité</v>
          </cell>
          <cell r="F1485" t="str">
            <v>de</v>
          </cell>
          <cell r="G1485" t="str">
            <v>règlement</v>
          </cell>
          <cell r="H1485"/>
          <cell r="I1485"/>
        </row>
        <row r="1486">
          <cell r="C1486"/>
          <cell r="D1486" t="str">
            <v>de la</v>
          </cell>
          <cell r="E1486" t="str">
            <v>périodicité</v>
          </cell>
          <cell r="F1486" t="str">
            <v>de</v>
          </cell>
          <cell r="G1486" t="str">
            <v>règlement</v>
          </cell>
          <cell r="H1486"/>
          <cell r="I1486"/>
        </row>
        <row r="1487">
          <cell r="C1487" t="str">
            <v>jour</v>
          </cell>
          <cell r="D1487" t="str">
            <v>de la</v>
          </cell>
          <cell r="E1487" t="str">
            <v>périodicité</v>
          </cell>
          <cell r="F1487" t="str">
            <v>de</v>
          </cell>
          <cell r="G1487" t="str">
            <v>règlement</v>
          </cell>
          <cell r="H1487"/>
          <cell r="I1487"/>
        </row>
        <row r="1488">
          <cell r="C1488" t="str">
            <v>jour</v>
          </cell>
          <cell r="D1488" t="str">
            <v>de la</v>
          </cell>
          <cell r="E1488" t="str">
            <v>périodicité</v>
          </cell>
          <cell r="F1488" t="str">
            <v>de</v>
          </cell>
          <cell r="G1488" t="str">
            <v>règlement</v>
          </cell>
          <cell r="H1488"/>
          <cell r="I1488"/>
        </row>
        <row r="1489">
          <cell r="C1489"/>
          <cell r="D1489" t="str">
            <v>de la</v>
          </cell>
          <cell r="E1489" t="str">
            <v>nature</v>
          </cell>
          <cell r="F1489" t="str">
            <v>du</v>
          </cell>
          <cell r="G1489" t="str">
            <v>bénéficiaire</v>
          </cell>
          <cell r="H1489"/>
          <cell r="I1489"/>
        </row>
        <row r="1490">
          <cell r="C1490"/>
          <cell r="D1490" t="str">
            <v>de la</v>
          </cell>
          <cell r="E1490" t="str">
            <v>nature</v>
          </cell>
          <cell r="F1490" t="str">
            <v>du</v>
          </cell>
          <cell r="G1490" t="str">
            <v>bénéficiaire</v>
          </cell>
          <cell r="H1490"/>
          <cell r="I1490"/>
        </row>
        <row r="1491">
          <cell r="C1491"/>
          <cell r="D1491" t="str">
            <v>du</v>
          </cell>
          <cell r="E1491" t="str">
            <v>bénéficiaire</v>
          </cell>
          <cell r="F1491" t="str">
            <v>du</v>
          </cell>
          <cell r="G1491" t="str">
            <v>règlement</v>
          </cell>
          <cell r="H1491"/>
          <cell r="I1491"/>
        </row>
        <row r="1492">
          <cell r="C1492"/>
          <cell r="D1492" t="str">
            <v>de l'</v>
          </cell>
          <cell r="E1492" t="str">
            <v>établissement</v>
          </cell>
          <cell r="F1492" t="str">
            <v>de la</v>
          </cell>
          <cell r="G1492" t="str">
            <v>référence bancaire</v>
          </cell>
          <cell r="H1492"/>
          <cell r="I1492"/>
        </row>
        <row r="1493">
          <cell r="C1493"/>
          <cell r="D1493" t="str">
            <v>du</v>
          </cell>
          <cell r="E1493" t="str">
            <v>guichet de l'établissement</v>
          </cell>
          <cell r="F1493" t="str">
            <v>de la</v>
          </cell>
          <cell r="G1493" t="str">
            <v>référence bancaire</v>
          </cell>
          <cell r="H1493"/>
          <cell r="I1493"/>
        </row>
        <row r="1494">
          <cell r="C1494"/>
          <cell r="D1494" t="str">
            <v>de</v>
          </cell>
          <cell r="E1494" t="str">
            <v>compte</v>
          </cell>
          <cell r="F1494" t="str">
            <v>de la</v>
          </cell>
          <cell r="G1494" t="str">
            <v>référence bancaire</v>
          </cell>
          <cell r="H1494"/>
          <cell r="I1494"/>
        </row>
        <row r="1495">
          <cell r="C1495"/>
          <cell r="D1495" t="str">
            <v>du</v>
          </cell>
          <cell r="E1495" t="str">
            <v>titulaire du compte bancaire</v>
          </cell>
          <cell r="F1495"/>
          <cell r="G1495"/>
          <cell r="H1495"/>
          <cell r="I1495"/>
        </row>
        <row r="1496">
          <cell r="C1496"/>
          <cell r="D1496" t="str">
            <v>du</v>
          </cell>
          <cell r="E1496" t="str">
            <v>format</v>
          </cell>
          <cell r="F1496" t="str">
            <v>de la</v>
          </cell>
          <cell r="G1496" t="str">
            <v>référence bancaire</v>
          </cell>
          <cell r="H1496"/>
          <cell r="I1496"/>
        </row>
        <row r="1497">
          <cell r="C1497"/>
          <cell r="D1497" t="str">
            <v>du</v>
          </cell>
          <cell r="E1497" t="str">
            <v>format</v>
          </cell>
          <cell r="F1497" t="str">
            <v>de la</v>
          </cell>
          <cell r="G1497" t="str">
            <v>référence bancaire</v>
          </cell>
          <cell r="H1497"/>
          <cell r="I1497"/>
        </row>
        <row r="1498">
          <cell r="C1498"/>
          <cell r="D1498" t="str">
            <v>du</v>
          </cell>
          <cell r="E1498" t="str">
            <v>pays</v>
          </cell>
          <cell r="F1498" t="str">
            <v>de la</v>
          </cell>
          <cell r="G1498" t="str">
            <v>référence bancaire</v>
          </cell>
          <cell r="H1498"/>
          <cell r="I1498"/>
        </row>
        <row r="1499">
          <cell r="C1499"/>
          <cell r="D1499" t="str">
            <v>de la</v>
          </cell>
          <cell r="E1499" t="str">
            <v>référence bancaire</v>
          </cell>
          <cell r="F1499"/>
          <cell r="G1499"/>
          <cell r="H1499"/>
          <cell r="I1499"/>
        </row>
        <row r="1500">
          <cell r="C1500"/>
          <cell r="D1500" t="str">
            <v>de la</v>
          </cell>
          <cell r="E1500" t="str">
            <v>domiciliation bancaire</v>
          </cell>
          <cell r="F1500"/>
          <cell r="G1500"/>
          <cell r="H1500"/>
          <cell r="I1500"/>
        </row>
        <row r="1501">
          <cell r="C1501"/>
          <cell r="D1501" t="str">
            <v>de la</v>
          </cell>
          <cell r="E1501" t="str">
            <v>devise</v>
          </cell>
          <cell r="F1501" t="str">
            <v>de la</v>
          </cell>
          <cell r="G1501" t="str">
            <v>domiciliation bancaire</v>
          </cell>
          <cell r="H1501"/>
          <cell r="I1501"/>
        </row>
        <row r="1502">
          <cell r="C1502"/>
          <cell r="D1502" t="str">
            <v>de</v>
          </cell>
          <cell r="E1502" t="str">
            <v>compte</v>
          </cell>
          <cell r="F1502" t="str">
            <v>de la</v>
          </cell>
          <cell r="G1502" t="str">
            <v>domiciliation bancaire</v>
          </cell>
          <cell r="H1502"/>
          <cell r="I1502"/>
        </row>
        <row r="1503">
          <cell r="C1503"/>
          <cell r="D1503" t="str">
            <v>du</v>
          </cell>
          <cell r="E1503" t="str">
            <v>type</v>
          </cell>
          <cell r="F1503" t="str">
            <v>de</v>
          </cell>
          <cell r="G1503" t="str">
            <v>frais OTE</v>
          </cell>
          <cell r="H1503"/>
          <cell r="I1503"/>
        </row>
        <row r="1504">
          <cell r="C1504"/>
          <cell r="D1504" t="str">
            <v>du</v>
          </cell>
          <cell r="E1504" t="str">
            <v>type</v>
          </cell>
          <cell r="F1504" t="str">
            <v>de</v>
          </cell>
          <cell r="G1504" t="str">
            <v>frais OTE</v>
          </cell>
          <cell r="H1504"/>
          <cell r="I1504"/>
        </row>
        <row r="1505">
          <cell r="C1505"/>
          <cell r="D1505" t="str">
            <v>du</v>
          </cell>
          <cell r="E1505" t="str">
            <v>type</v>
          </cell>
          <cell r="F1505" t="str">
            <v>de la</v>
          </cell>
          <cell r="G1505" t="str">
            <v>nature économique</v>
          </cell>
          <cell r="H1505"/>
          <cell r="I1505"/>
        </row>
        <row r="1506">
          <cell r="C1506"/>
          <cell r="D1506" t="str">
            <v>du</v>
          </cell>
          <cell r="E1506" t="str">
            <v>type</v>
          </cell>
          <cell r="F1506" t="str">
            <v>de la</v>
          </cell>
          <cell r="G1506" t="str">
            <v>nature économique</v>
          </cell>
          <cell r="H1506"/>
          <cell r="I1506"/>
        </row>
        <row r="1507">
          <cell r="C1507"/>
          <cell r="D1507" t="str">
            <v>de la</v>
          </cell>
          <cell r="E1507" t="str">
            <v>nature économique</v>
          </cell>
          <cell r="F1507"/>
          <cell r="G1507"/>
          <cell r="H1507"/>
          <cell r="I1507"/>
        </row>
        <row r="1508">
          <cell r="C1508"/>
          <cell r="D1508" t="str">
            <v>de l'</v>
          </cell>
          <cell r="E1508" t="str">
            <v>adresse</v>
          </cell>
          <cell r="F1508"/>
          <cell r="G1508"/>
          <cell r="H1508"/>
          <cell r="I1508"/>
        </row>
        <row r="1509">
          <cell r="C1509" t="str">
            <v>pays</v>
          </cell>
          <cell r="D1509" t="str">
            <v>du</v>
          </cell>
          <cell r="E1509" t="str">
            <v>destinataire du règlement</v>
          </cell>
          <cell r="F1509"/>
          <cell r="G1509"/>
          <cell r="H1509"/>
          <cell r="I1509"/>
        </row>
        <row r="1510">
          <cell r="C1510" t="str">
            <v>postal</v>
          </cell>
          <cell r="D1510" t="str">
            <v>du</v>
          </cell>
          <cell r="E1510" t="str">
            <v>destinataire du règlement</v>
          </cell>
          <cell r="F1510"/>
          <cell r="G1510"/>
          <cell r="H1510"/>
          <cell r="I1510"/>
        </row>
        <row r="1511">
          <cell r="C1511"/>
          <cell r="D1511" t="str">
            <v>de la</v>
          </cell>
          <cell r="E1511" t="str">
            <v>ville</v>
          </cell>
          <cell r="F1511" t="str">
            <v>du</v>
          </cell>
          <cell r="G1511" t="str">
            <v>destinataire du règlement</v>
          </cell>
          <cell r="H1511"/>
          <cell r="I1511"/>
        </row>
        <row r="1512">
          <cell r="C1512" t="str">
            <v>courrier</v>
          </cell>
          <cell r="D1512" t="str">
            <v>du</v>
          </cell>
          <cell r="E1512" t="str">
            <v>destinataire du règlement</v>
          </cell>
          <cell r="F1512"/>
          <cell r="G1512"/>
          <cell r="H1512"/>
          <cell r="I1512"/>
        </row>
        <row r="1513">
          <cell r="C1513" t="str">
            <v>courrier</v>
          </cell>
          <cell r="D1513" t="str">
            <v>du</v>
          </cell>
          <cell r="E1513" t="str">
            <v>destinataire du règlement</v>
          </cell>
          <cell r="F1513"/>
          <cell r="G1513"/>
          <cell r="H1513"/>
          <cell r="I1513"/>
        </row>
        <row r="1514">
          <cell r="C1514" t="str">
            <v>courrier</v>
          </cell>
          <cell r="D1514" t="str">
            <v>du</v>
          </cell>
          <cell r="E1514" t="str">
            <v>destinataire du règlement</v>
          </cell>
          <cell r="F1514"/>
          <cell r="G1514"/>
          <cell r="H1514"/>
          <cell r="I1514"/>
        </row>
        <row r="1515">
          <cell r="C1515" t="str">
            <v>courrier</v>
          </cell>
          <cell r="D1515" t="str">
            <v>du</v>
          </cell>
          <cell r="E1515" t="str">
            <v>destinataire du règlement</v>
          </cell>
          <cell r="F1515"/>
          <cell r="G1515"/>
          <cell r="H1515"/>
          <cell r="I1515"/>
        </row>
        <row r="1516">
          <cell r="C1516" t="str">
            <v>courrier</v>
          </cell>
          <cell r="D1516" t="str">
            <v>du</v>
          </cell>
          <cell r="E1516" t="str">
            <v>destinataire du règlement</v>
          </cell>
          <cell r="F1516"/>
          <cell r="G1516"/>
          <cell r="H1516"/>
          <cell r="I1516"/>
        </row>
        <row r="1517">
          <cell r="C1517" t="str">
            <v>courrier</v>
          </cell>
          <cell r="D1517" t="str">
            <v>du</v>
          </cell>
          <cell r="E1517" t="str">
            <v>destinataire du règlement</v>
          </cell>
          <cell r="F1517"/>
          <cell r="G1517"/>
          <cell r="H1517"/>
          <cell r="I1517"/>
        </row>
        <row r="1518">
          <cell r="C1518"/>
          <cell r="D1518" t="str">
            <v>du</v>
          </cell>
          <cell r="E1518" t="str">
            <v>destinataire du règlement</v>
          </cell>
          <cell r="F1518"/>
          <cell r="G1518"/>
          <cell r="H1518"/>
          <cell r="I1518"/>
        </row>
        <row r="1519">
          <cell r="C1519" t="str">
            <v>indice</v>
          </cell>
          <cell r="D1519" t="str">
            <v>du</v>
          </cell>
          <cell r="E1519" t="str">
            <v>fax</v>
          </cell>
          <cell r="F1519" t="str">
            <v>du</v>
          </cell>
          <cell r="G1519" t="str">
            <v>destinataire du règlement</v>
          </cell>
          <cell r="H1519"/>
          <cell r="I1519"/>
        </row>
        <row r="1520">
          <cell r="C1520"/>
          <cell r="D1520" t="str">
            <v>du</v>
          </cell>
          <cell r="E1520" t="str">
            <v>fax</v>
          </cell>
          <cell r="F1520" t="str">
            <v>du</v>
          </cell>
          <cell r="G1520" t="str">
            <v>destinataire du règlement</v>
          </cell>
          <cell r="H1520"/>
          <cell r="I1520"/>
        </row>
        <row r="1521">
          <cell r="C1521" t="str">
            <v>indice</v>
          </cell>
          <cell r="D1521" t="str">
            <v>de</v>
          </cell>
          <cell r="E1521" t="str">
            <v>Télex</v>
          </cell>
          <cell r="F1521" t="str">
            <v>du</v>
          </cell>
          <cell r="G1521" t="str">
            <v>destinataire du règlement</v>
          </cell>
          <cell r="H1521"/>
          <cell r="I1521"/>
        </row>
        <row r="1522">
          <cell r="C1522"/>
          <cell r="D1522" t="str">
            <v>de</v>
          </cell>
          <cell r="E1522" t="str">
            <v>Télex</v>
          </cell>
          <cell r="F1522" t="str">
            <v>du</v>
          </cell>
          <cell r="G1522" t="str">
            <v>destinataire du règlement</v>
          </cell>
          <cell r="H1522"/>
          <cell r="I1522"/>
        </row>
        <row r="1523">
          <cell r="C1523"/>
          <cell r="D1523" t="str">
            <v>du</v>
          </cell>
          <cell r="E1523" t="str">
            <v>routage justificatif</v>
          </cell>
          <cell r="F1523"/>
          <cell r="G1523"/>
          <cell r="H1523"/>
          <cell r="I1523"/>
        </row>
        <row r="1524">
          <cell r="C1524"/>
          <cell r="D1524" t="str">
            <v>du</v>
          </cell>
          <cell r="E1524" t="str">
            <v>routage justificatif</v>
          </cell>
          <cell r="F1524"/>
          <cell r="G1524"/>
          <cell r="H1524"/>
          <cell r="I1524"/>
        </row>
        <row r="1525">
          <cell r="C1525"/>
          <cell r="D1525" t="str">
            <v>du</v>
          </cell>
          <cell r="E1525" t="str">
            <v>type de message</v>
          </cell>
          <cell r="F1525" t="str">
            <v>du</v>
          </cell>
          <cell r="G1525" t="str">
            <v>justificatif</v>
          </cell>
          <cell r="H1525"/>
          <cell r="I1525"/>
        </row>
        <row r="1526">
          <cell r="C1526"/>
          <cell r="D1526" t="str">
            <v>du</v>
          </cell>
          <cell r="E1526" t="str">
            <v>type de message</v>
          </cell>
          <cell r="F1526" t="str">
            <v>du</v>
          </cell>
          <cell r="G1526" t="str">
            <v>justificatif</v>
          </cell>
          <cell r="H1526"/>
          <cell r="I1526"/>
        </row>
        <row r="1527">
          <cell r="C1527"/>
          <cell r="D1527" t="str">
            <v>du</v>
          </cell>
          <cell r="E1527" t="str">
            <v>titre courrier</v>
          </cell>
          <cell r="F1527"/>
          <cell r="G1527"/>
          <cell r="H1527"/>
          <cell r="I1527"/>
        </row>
        <row r="1528">
          <cell r="C1528"/>
          <cell r="D1528" t="str">
            <v>de</v>
          </cell>
          <cell r="E1528" t="str">
            <v>distribution</v>
          </cell>
          <cell r="F1528" t="str">
            <v>du</v>
          </cell>
          <cell r="G1528" t="str">
            <v>justificatif</v>
          </cell>
          <cell r="H1528"/>
          <cell r="I1528"/>
        </row>
        <row r="1529">
          <cell r="C1529"/>
          <cell r="D1529" t="str">
            <v>de</v>
          </cell>
          <cell r="E1529" t="str">
            <v>distribution</v>
          </cell>
          <cell r="F1529" t="str">
            <v>du</v>
          </cell>
          <cell r="G1529" t="str">
            <v>justificatif</v>
          </cell>
          <cell r="H1529"/>
          <cell r="I1529"/>
        </row>
        <row r="1530">
          <cell r="C1530"/>
          <cell r="D1530" t="str">
            <v>de la</v>
          </cell>
          <cell r="E1530" t="str">
            <v>signature</v>
          </cell>
          <cell r="F1530" t="str">
            <v>à la</v>
          </cell>
          <cell r="G1530" t="str">
            <v>création</v>
          </cell>
          <cell r="H1530"/>
          <cell r="I1530"/>
        </row>
        <row r="1531">
          <cell r="C1531"/>
          <cell r="D1531" t="str">
            <v>de la</v>
          </cell>
          <cell r="E1531" t="str">
            <v>signature</v>
          </cell>
          <cell r="F1531" t="str">
            <v>à la</v>
          </cell>
          <cell r="G1531" t="str">
            <v>modification</v>
          </cell>
          <cell r="H1531"/>
          <cell r="I1531"/>
        </row>
        <row r="1532">
          <cell r="C1532"/>
          <cell r="D1532" t="str">
            <v>du</v>
          </cell>
          <cell r="E1532" t="str">
            <v>justificatif</v>
          </cell>
          <cell r="F1532"/>
          <cell r="G1532"/>
          <cell r="H1532"/>
          <cell r="I1532"/>
        </row>
        <row r="1533">
          <cell r="C1533"/>
          <cell r="D1533" t="str">
            <v>de la</v>
          </cell>
          <cell r="E1533" t="str">
            <v>qualité</v>
          </cell>
          <cell r="F1533" t="str">
            <v>du</v>
          </cell>
          <cell r="G1533" t="str">
            <v>géocodage</v>
          </cell>
          <cell r="H1533"/>
          <cell r="I1533"/>
        </row>
        <row r="1534">
          <cell r="C1534"/>
          <cell r="D1534" t="str">
            <v>de la</v>
          </cell>
          <cell r="E1534" t="str">
            <v>qualité</v>
          </cell>
          <cell r="F1534" t="str">
            <v>du</v>
          </cell>
          <cell r="G1534" t="str">
            <v>géocodage</v>
          </cell>
          <cell r="H1534"/>
          <cell r="I1534"/>
        </row>
        <row r="1535">
          <cell r="C1535"/>
          <cell r="D1535" t="str">
            <v>du</v>
          </cell>
          <cell r="E1535" t="str">
            <v>pays</v>
          </cell>
          <cell r="F1535" t="str">
            <v>de l'</v>
          </cell>
          <cell r="G1535" t="str">
            <v>adresse courrier</v>
          </cell>
          <cell r="H1535"/>
          <cell r="I1535"/>
        </row>
        <row r="1536">
          <cell r="C1536"/>
          <cell r="D1536" t="str">
            <v>du</v>
          </cell>
          <cell r="E1536" t="str">
            <v>pays favori</v>
          </cell>
          <cell r="F1536"/>
          <cell r="G1536"/>
          <cell r="H1536"/>
          <cell r="I1536"/>
        </row>
        <row r="1537">
          <cell r="C1537"/>
          <cell r="D1537" t="str">
            <v>de la</v>
          </cell>
          <cell r="E1537" t="str">
            <v>langue favorite</v>
          </cell>
          <cell r="F1537"/>
          <cell r="G1537"/>
          <cell r="H1537"/>
          <cell r="I1537"/>
        </row>
        <row r="1538">
          <cell r="C1538"/>
          <cell r="D1538" t="str">
            <v>de la</v>
          </cell>
          <cell r="E1538" t="str">
            <v>langue favorite</v>
          </cell>
          <cell r="F1538"/>
          <cell r="G1538"/>
          <cell r="H1538"/>
          <cell r="I1538"/>
        </row>
        <row r="1539">
          <cell r="C1539"/>
          <cell r="D1539" t="str">
            <v>de</v>
          </cell>
          <cell r="E1539" t="str">
            <v>modalité de règlement</v>
          </cell>
          <cell r="F1539"/>
          <cell r="G1539"/>
          <cell r="H1539"/>
          <cell r="I1539"/>
        </row>
        <row r="1540">
          <cell r="C1540"/>
          <cell r="D1540" t="str">
            <v>de</v>
          </cell>
          <cell r="E1540" t="str">
            <v>modalité de règlement</v>
          </cell>
          <cell r="F1540"/>
          <cell r="G1540"/>
          <cell r="H1540"/>
          <cell r="I1540"/>
        </row>
        <row r="1541">
          <cell r="C1541"/>
          <cell r="D1541" t="str">
            <v>de</v>
          </cell>
          <cell r="E1541" t="str">
            <v>mode de règlement</v>
          </cell>
          <cell r="F1541"/>
          <cell r="G1541"/>
          <cell r="H1541"/>
          <cell r="I1541"/>
        </row>
        <row r="1542">
          <cell r="C1542"/>
          <cell r="D1542" t="str">
            <v>de</v>
          </cell>
          <cell r="E1542" t="str">
            <v>mode de règlement</v>
          </cell>
          <cell r="F1542"/>
          <cell r="G1542"/>
          <cell r="H1542"/>
          <cell r="I1542"/>
        </row>
        <row r="1543">
          <cell r="C1543"/>
          <cell r="D1543" t="str">
            <v>de la</v>
          </cell>
          <cell r="E1543" t="str">
            <v>devise</v>
          </cell>
          <cell r="F1543"/>
          <cell r="G1543"/>
          <cell r="H1543"/>
          <cell r="I1543"/>
        </row>
        <row r="1544">
          <cell r="C1544"/>
          <cell r="D1544" t="str">
            <v>de la</v>
          </cell>
          <cell r="E1544" t="str">
            <v>devise</v>
          </cell>
          <cell r="F1544"/>
          <cell r="G1544"/>
          <cell r="H1544"/>
          <cell r="I1544"/>
        </row>
        <row r="1545">
          <cell r="C1545"/>
          <cell r="D1545" t="str">
            <v>de</v>
          </cell>
          <cell r="E1545" t="str">
            <v>périodicité</v>
          </cell>
          <cell r="F1545" t="str">
            <v>de</v>
          </cell>
          <cell r="G1545" t="str">
            <v>règlement</v>
          </cell>
          <cell r="H1545"/>
          <cell r="I1545"/>
        </row>
        <row r="1546">
          <cell r="C1546"/>
          <cell r="D1546" t="str">
            <v>de</v>
          </cell>
          <cell r="E1546" t="str">
            <v>périodicité</v>
          </cell>
          <cell r="F1546" t="str">
            <v>de</v>
          </cell>
          <cell r="G1546" t="str">
            <v>règlement</v>
          </cell>
          <cell r="H1546"/>
          <cell r="I1546"/>
        </row>
        <row r="1547">
          <cell r="C1547"/>
          <cell r="D1547" t="str">
            <v>du</v>
          </cell>
          <cell r="E1547" t="str">
            <v>regroupement</v>
          </cell>
          <cell r="F1547" t="str">
            <v>par</v>
          </cell>
          <cell r="G1547" t="str">
            <v>périodicité</v>
          </cell>
          <cell r="H1547"/>
          <cell r="I1547"/>
        </row>
        <row r="1548">
          <cell r="C1548"/>
          <cell r="D1548" t="str">
            <v>de</v>
          </cell>
          <cell r="E1548" t="str">
            <v>regroupement</v>
          </cell>
          <cell r="F1548" t="str">
            <v>par</v>
          </cell>
          <cell r="G1548" t="str">
            <v>périodicité</v>
          </cell>
          <cell r="H1548"/>
          <cell r="I1548"/>
        </row>
        <row r="1549">
          <cell r="C1549"/>
          <cell r="D1549" t="str">
            <v>de</v>
          </cell>
          <cell r="E1549" t="str">
            <v>création</v>
          </cell>
          <cell r="F1549"/>
          <cell r="G1549"/>
          <cell r="H1549"/>
          <cell r="I1549"/>
        </row>
        <row r="1550">
          <cell r="C1550"/>
          <cell r="D1550" t="str">
            <v>de</v>
          </cell>
          <cell r="E1550" t="str">
            <v>création</v>
          </cell>
          <cell r="F1550"/>
          <cell r="G1550"/>
          <cell r="H1550"/>
          <cell r="I1550"/>
        </row>
        <row r="1551">
          <cell r="C1551"/>
          <cell r="D1551" t="str">
            <v>de</v>
          </cell>
          <cell r="E1551" t="str">
            <v>modification</v>
          </cell>
          <cell r="F1551"/>
          <cell r="G1551"/>
          <cell r="H1551"/>
          <cell r="I1551"/>
        </row>
        <row r="1552">
          <cell r="C1552"/>
          <cell r="D1552" t="str">
            <v>de</v>
          </cell>
          <cell r="E1552" t="str">
            <v>modification</v>
          </cell>
          <cell r="F1552"/>
          <cell r="G1552"/>
          <cell r="H1552"/>
          <cell r="I1552"/>
        </row>
        <row r="1553">
          <cell r="C1553"/>
          <cell r="D1553" t="str">
            <v>du</v>
          </cell>
          <cell r="E1553" t="str">
            <v>code postal</v>
          </cell>
          <cell r="F1553"/>
          <cell r="G1553"/>
          <cell r="H1553"/>
          <cell r="I1553"/>
        </row>
        <row r="1554">
          <cell r="C1554"/>
          <cell r="D1554" t="str">
            <v>du</v>
          </cell>
          <cell r="E1554" t="str">
            <v>code postal</v>
          </cell>
          <cell r="F1554"/>
          <cell r="G1554"/>
          <cell r="H1554"/>
          <cell r="I1554"/>
        </row>
        <row r="1555">
          <cell r="C1555"/>
          <cell r="D1555" t="str">
            <v>de la</v>
          </cell>
          <cell r="E1555" t="str">
            <v>commune</v>
          </cell>
          <cell r="F1555"/>
          <cell r="G1555"/>
          <cell r="H1555"/>
          <cell r="I1555"/>
        </row>
        <row r="1556">
          <cell r="C1556"/>
          <cell r="D1556" t="str">
            <v>de la</v>
          </cell>
          <cell r="E1556" t="str">
            <v>commune</v>
          </cell>
          <cell r="F1556"/>
          <cell r="G1556"/>
          <cell r="H1556"/>
          <cell r="I1556"/>
        </row>
        <row r="1557">
          <cell r="C1557"/>
          <cell r="D1557" t="str">
            <v>de</v>
          </cell>
          <cell r="E1557" t="str">
            <v>couverture</v>
          </cell>
          <cell r="F1557" t="str">
            <v>du</v>
          </cell>
          <cell r="G1557" t="str">
            <v>correspondant</v>
          </cell>
          <cell r="H1557"/>
          <cell r="I1557"/>
        </row>
        <row r="1558">
          <cell r="C1558"/>
          <cell r="D1558" t="str">
            <v>du</v>
          </cell>
          <cell r="E1558" t="str">
            <v>correspondant</v>
          </cell>
          <cell r="F1558"/>
          <cell r="G1558"/>
          <cell r="H1558"/>
          <cell r="I1558"/>
        </row>
        <row r="1559">
          <cell r="C1559"/>
          <cell r="D1559" t="str">
            <v>de la</v>
          </cell>
          <cell r="E1559" t="str">
            <v>type de structure</v>
          </cell>
          <cell r="F1559" t="str">
            <v>du</v>
          </cell>
          <cell r="G1559" t="str">
            <v>correspondant</v>
          </cell>
          <cell r="H1559"/>
          <cell r="I1559"/>
        </row>
        <row r="1560">
          <cell r="C1560"/>
          <cell r="D1560" t="str">
            <v>de la</v>
          </cell>
          <cell r="E1560" t="str">
            <v>type de structure</v>
          </cell>
          <cell r="F1560" t="str">
            <v>du</v>
          </cell>
          <cell r="G1560" t="str">
            <v>correspondant</v>
          </cell>
          <cell r="H1560"/>
          <cell r="I1560"/>
        </row>
        <row r="1561">
          <cell r="C1561"/>
          <cell r="D1561" t="str">
            <v>de la</v>
          </cell>
          <cell r="E1561" t="str">
            <v>structure</v>
          </cell>
          <cell r="F1561" t="str">
            <v>du</v>
          </cell>
          <cell r="G1561" t="str">
            <v>correspondant</v>
          </cell>
          <cell r="H1561"/>
          <cell r="I1561"/>
        </row>
        <row r="1562">
          <cell r="C1562"/>
          <cell r="D1562" t="str">
            <v>de la</v>
          </cell>
          <cell r="E1562" t="str">
            <v>structure</v>
          </cell>
          <cell r="F1562" t="str">
            <v>du</v>
          </cell>
          <cell r="G1562" t="str">
            <v>correspondant</v>
          </cell>
          <cell r="H1562"/>
          <cell r="I1562"/>
        </row>
        <row r="1563">
          <cell r="C1563"/>
          <cell r="D1563" t="str">
            <v>de</v>
          </cell>
          <cell r="E1563" t="str">
            <v>secteur d'activité</v>
          </cell>
          <cell r="F1563" t="str">
            <v>du</v>
          </cell>
          <cell r="G1563" t="str">
            <v>correspondant</v>
          </cell>
          <cell r="H1563"/>
          <cell r="I1563"/>
        </row>
        <row r="1564">
          <cell r="C1564"/>
          <cell r="D1564" t="str">
            <v>de</v>
          </cell>
          <cell r="E1564" t="str">
            <v>secteur d'activité</v>
          </cell>
          <cell r="F1564" t="str">
            <v>du</v>
          </cell>
          <cell r="G1564" t="str">
            <v>correspondant</v>
          </cell>
          <cell r="H1564"/>
          <cell r="I1564"/>
        </row>
        <row r="1565">
          <cell r="C1565"/>
          <cell r="D1565" t="str">
            <v>de la</v>
          </cell>
          <cell r="E1565" t="str">
            <v>Spécialité professionnelle</v>
          </cell>
          <cell r="F1565" t="str">
            <v>du</v>
          </cell>
          <cell r="G1565" t="str">
            <v>correspondant</v>
          </cell>
          <cell r="H1565"/>
          <cell r="I1565"/>
        </row>
        <row r="1566">
          <cell r="C1566"/>
          <cell r="D1566" t="str">
            <v>de la</v>
          </cell>
          <cell r="E1566" t="str">
            <v>Spécialité professionnelle</v>
          </cell>
          <cell r="F1566" t="str">
            <v>du</v>
          </cell>
          <cell r="G1566" t="str">
            <v>correspondant</v>
          </cell>
          <cell r="H1566"/>
          <cell r="I1566"/>
        </row>
        <row r="1567">
          <cell r="C1567"/>
          <cell r="D1567" t="str">
            <v>de</v>
          </cell>
          <cell r="E1567" t="str">
            <v>couverture</v>
          </cell>
          <cell r="F1567" t="str">
            <v>du</v>
          </cell>
          <cell r="G1567" t="str">
            <v>correspondant</v>
          </cell>
          <cell r="H1567"/>
          <cell r="I1567"/>
        </row>
        <row r="1568">
          <cell r="C1568"/>
          <cell r="D1568" t="str">
            <v>de</v>
          </cell>
          <cell r="E1568" t="str">
            <v>couverture</v>
          </cell>
          <cell r="F1568" t="str">
            <v>du</v>
          </cell>
          <cell r="G1568" t="str">
            <v>correspondant</v>
          </cell>
          <cell r="H1568"/>
          <cell r="I1568"/>
        </row>
        <row r="1569">
          <cell r="C1569"/>
          <cell r="D1569" t="str">
            <v>de</v>
          </cell>
          <cell r="E1569" t="str">
            <v>couverture</v>
          </cell>
          <cell r="F1569" t="str">
            <v>du</v>
          </cell>
          <cell r="G1569" t="str">
            <v>correspondant</v>
          </cell>
          <cell r="H1569"/>
          <cell r="I1569"/>
        </row>
        <row r="1570">
          <cell r="C1570"/>
          <cell r="D1570" t="str">
            <v>du</v>
          </cell>
          <cell r="E1570" t="str">
            <v>type</v>
          </cell>
          <cell r="F1570"/>
          <cell r="G1570"/>
          <cell r="H1570" t="str">
            <v>de</v>
          </cell>
          <cell r="I1570" t="str">
            <v>couverture</v>
          </cell>
        </row>
        <row r="1571">
          <cell r="C1571"/>
          <cell r="D1571" t="str">
            <v>du</v>
          </cell>
          <cell r="E1571" t="str">
            <v>type</v>
          </cell>
          <cell r="F1571" t="str">
            <v>de</v>
          </cell>
          <cell r="G1571" t="str">
            <v>couverture</v>
          </cell>
          <cell r="H1571" t="str">
            <v>du</v>
          </cell>
          <cell r="I1571" t="str">
            <v>correspondant</v>
          </cell>
        </row>
        <row r="1572">
          <cell r="C1572"/>
          <cell r="D1572" t="str">
            <v>du</v>
          </cell>
          <cell r="E1572" t="str">
            <v>DGA</v>
          </cell>
          <cell r="F1572" t="str">
            <v>du</v>
          </cell>
          <cell r="G1572" t="str">
            <v>correspondant</v>
          </cell>
          <cell r="H1572"/>
          <cell r="I1572"/>
        </row>
        <row r="1573">
          <cell r="C1573"/>
          <cell r="D1573" t="str">
            <v>du</v>
          </cell>
          <cell r="E1573" t="str">
            <v>type</v>
          </cell>
          <cell r="F1573" t="str">
            <v xml:space="preserve"> </v>
          </cell>
          <cell r="G1573" t="str">
            <v>découpage géographique</v>
          </cell>
          <cell r="H1573"/>
          <cell r="I1573"/>
        </row>
        <row r="1574">
          <cell r="C1574"/>
          <cell r="D1574" t="str">
            <v>du</v>
          </cell>
          <cell r="E1574" t="str">
            <v>type</v>
          </cell>
          <cell r="F1574"/>
          <cell r="G1574" t="str">
            <v>découpage géographique</v>
          </cell>
          <cell r="H1574"/>
          <cell r="I1574"/>
        </row>
        <row r="1575">
          <cell r="C1575"/>
          <cell r="D1575" t="str">
            <v>du</v>
          </cell>
          <cell r="E1575" t="str">
            <v>découpage géographique</v>
          </cell>
          <cell r="F1575"/>
          <cell r="G1575"/>
          <cell r="H1575"/>
          <cell r="I1575"/>
        </row>
        <row r="1576">
          <cell r="C1576"/>
          <cell r="D1576" t="str">
            <v>du</v>
          </cell>
          <cell r="E1576" t="str">
            <v>découpage géographique</v>
          </cell>
          <cell r="F1576"/>
          <cell r="G1576"/>
          <cell r="H1576"/>
          <cell r="I1576"/>
        </row>
        <row r="1577">
          <cell r="C1577"/>
          <cell r="D1577" t="str">
            <v>de</v>
          </cell>
          <cell r="E1577" t="str">
            <v>rayon</v>
          </cell>
          <cell r="F1577" t="str">
            <v>du</v>
          </cell>
          <cell r="G1577" t="str">
            <v>correspondant</v>
          </cell>
          <cell r="H1577"/>
          <cell r="I1577"/>
        </row>
        <row r="1578">
          <cell r="C1578"/>
          <cell r="D1578" t="str">
            <v>de la</v>
          </cell>
          <cell r="E1578" t="str">
            <v>couverture</v>
          </cell>
          <cell r="F1578"/>
          <cell r="G1578"/>
          <cell r="H1578"/>
          <cell r="I1578"/>
        </row>
        <row r="1579">
          <cell r="C1579"/>
          <cell r="D1579" t="str">
            <v>de</v>
          </cell>
          <cell r="E1579" t="str">
            <v>création</v>
          </cell>
          <cell r="F1579"/>
          <cell r="G1579"/>
          <cell r="H1579"/>
          <cell r="I1579"/>
        </row>
        <row r="1580">
          <cell r="C1580"/>
          <cell r="D1580" t="str">
            <v>de</v>
          </cell>
          <cell r="E1580" t="str">
            <v>modification</v>
          </cell>
          <cell r="F1580"/>
          <cell r="G1580"/>
          <cell r="H1580"/>
          <cell r="I1580"/>
        </row>
        <row r="1581">
          <cell r="C1581"/>
          <cell r="D1581"/>
          <cell r="E1581"/>
          <cell r="F1581"/>
          <cell r="G1581"/>
          <cell r="H1581"/>
          <cell r="I1581"/>
        </row>
        <row r="1582">
          <cell r="C1582"/>
          <cell r="D1582"/>
          <cell r="E1582"/>
          <cell r="F1582"/>
          <cell r="G1582"/>
          <cell r="H1582"/>
          <cell r="I1582"/>
        </row>
        <row r="1583">
          <cell r="C1583"/>
          <cell r="D1583"/>
          <cell r="E1583"/>
          <cell r="F1583"/>
          <cell r="G1583"/>
          <cell r="H1583"/>
          <cell r="I1583"/>
        </row>
        <row r="1584">
          <cell r="C1584"/>
          <cell r="D1584"/>
          <cell r="E1584"/>
          <cell r="F1584"/>
          <cell r="G1584"/>
          <cell r="H1584"/>
          <cell r="I1584"/>
        </row>
        <row r="1585">
          <cell r="C1585"/>
          <cell r="D1585"/>
          <cell r="E1585"/>
          <cell r="F1585"/>
          <cell r="G1585"/>
          <cell r="H1585"/>
          <cell r="I1585"/>
        </row>
        <row r="1586">
          <cell r="C1586"/>
          <cell r="D1586"/>
          <cell r="E1586"/>
          <cell r="F1586"/>
          <cell r="G1586"/>
          <cell r="H1586"/>
          <cell r="I1586"/>
        </row>
        <row r="1587">
          <cell r="C1587"/>
          <cell r="D1587" t="str">
            <v>de la</v>
          </cell>
          <cell r="E1587" t="str">
            <v>Colonne</v>
          </cell>
          <cell r="F1587" t="str">
            <v>en</v>
          </cell>
          <cell r="G1587" t="str">
            <v>anomalie</v>
          </cell>
          <cell r="H1587"/>
          <cell r="I1587"/>
        </row>
        <row r="1588">
          <cell r="C1588" t="str">
            <v>actif</v>
          </cell>
          <cell r="D1588" t="str">
            <v>du</v>
          </cell>
          <cell r="E1588" t="str">
            <v>Contrôle</v>
          </cell>
          <cell r="F1588" t="str">
            <v>à</v>
          </cell>
          <cell r="G1588" t="str">
            <v>Effectuer</v>
          </cell>
          <cell r="H1588"/>
          <cell r="I1588"/>
        </row>
        <row r="1589">
          <cell r="C1589"/>
          <cell r="D1589" t="str">
            <v>de la</v>
          </cell>
          <cell r="E1589" t="str">
            <v>Colonne</v>
          </cell>
          <cell r="F1589" t="str">
            <v>à</v>
          </cell>
          <cell r="G1589" t="str">
            <v>Contrôler</v>
          </cell>
          <cell r="H1589"/>
          <cell r="I1589"/>
        </row>
        <row r="1590">
          <cell r="C1590"/>
          <cell r="D1590" t="str">
            <v>de la</v>
          </cell>
          <cell r="E1590" t="str">
            <v>Table</v>
          </cell>
          <cell r="F1590" t="str">
            <v>à</v>
          </cell>
          <cell r="G1590" t="str">
            <v>Contrôler</v>
          </cell>
          <cell r="H1590"/>
          <cell r="I1590"/>
        </row>
        <row r="1591">
          <cell r="C1591"/>
          <cell r="D1591" t="str">
            <v>du</v>
          </cell>
          <cell r="E1591" t="str">
            <v>Contrôle</v>
          </cell>
          <cell r="F1591" t="str">
            <v>des</v>
          </cell>
          <cell r="G1591" t="str">
            <v>courtier</v>
          </cell>
          <cell r="H1591"/>
          <cell r="I1591"/>
        </row>
        <row r="1592">
          <cell r="C1592"/>
          <cell r="D1592" t="str">
            <v>de</v>
          </cell>
          <cell r="E1592" t="str">
            <v>Contrôle</v>
          </cell>
          <cell r="F1592" t="str">
            <v>à</v>
          </cell>
          <cell r="G1592" t="str">
            <v>Effectuer</v>
          </cell>
          <cell r="H1592"/>
          <cell r="I1592"/>
        </row>
        <row r="1593">
          <cell r="C1593"/>
          <cell r="D1593" t="str">
            <v>de la</v>
          </cell>
          <cell r="E1593" t="str">
            <v>Période calendaire</v>
          </cell>
          <cell r="F1593" t="str">
            <v>du</v>
          </cell>
          <cell r="G1593" t="str">
            <v>fichier</v>
          </cell>
          <cell r="H1593"/>
          <cell r="I1593"/>
        </row>
        <row r="1594">
          <cell r="C1594"/>
          <cell r="D1594" t="str">
            <v>de la</v>
          </cell>
          <cell r="E1594" t="str">
            <v>Période calendaire</v>
          </cell>
          <cell r="F1594" t="str">
            <v>du</v>
          </cell>
          <cell r="G1594" t="str">
            <v>fichier</v>
          </cell>
          <cell r="H1594"/>
          <cell r="I1594"/>
        </row>
        <row r="1595">
          <cell r="C1595" t="str">
            <v>externe</v>
          </cell>
          <cell r="D1595" t="str">
            <v>du</v>
          </cell>
          <cell r="E1595" t="str">
            <v>Contrat</v>
          </cell>
          <cell r="F1595"/>
          <cell r="G1595"/>
          <cell r="H1595"/>
          <cell r="I1595"/>
        </row>
        <row r="1596">
          <cell r="C1596"/>
          <cell r="D1596" t="str">
            <v>du</v>
          </cell>
          <cell r="E1596" t="str">
            <v>fichier</v>
          </cell>
          <cell r="F1596"/>
          <cell r="G1596"/>
          <cell r="H1596"/>
          <cell r="I1596"/>
        </row>
        <row r="1597">
          <cell r="C1597"/>
          <cell r="D1597" t="str">
            <v>du</v>
          </cell>
          <cell r="E1597" t="str">
            <v>fichier</v>
          </cell>
          <cell r="F1597"/>
          <cell r="G1597"/>
          <cell r="H1597"/>
          <cell r="I1597"/>
        </row>
        <row r="1598">
          <cell r="C1598"/>
          <cell r="D1598" t="str">
            <v>de l'</v>
          </cell>
          <cell r="E1598" t="str">
            <v>anomalie</v>
          </cell>
          <cell r="F1598"/>
          <cell r="G1598"/>
          <cell r="H1598"/>
          <cell r="I1598"/>
        </row>
        <row r="1599">
          <cell r="C1599"/>
          <cell r="D1599" t="str">
            <v>de l'</v>
          </cell>
          <cell r="E1599" t="str">
            <v>anomalie</v>
          </cell>
          <cell r="F1599"/>
          <cell r="G1599"/>
          <cell r="H1599"/>
          <cell r="I1599"/>
        </row>
        <row r="1600">
          <cell r="C1600"/>
          <cell r="D1600" t="str">
            <v>de l'</v>
          </cell>
          <cell r="E1600" t="str">
            <v>anomalie</v>
          </cell>
          <cell r="F1600"/>
          <cell r="G1600"/>
          <cell r="H1600"/>
          <cell r="I1600"/>
        </row>
        <row r="1601">
          <cell r="C1601"/>
          <cell r="D1601" t="str">
            <v>du</v>
          </cell>
          <cell r="E1601" t="str">
            <v>courtier</v>
          </cell>
          <cell r="F1601"/>
          <cell r="G1601"/>
          <cell r="H1601"/>
          <cell r="I1601"/>
        </row>
        <row r="1602">
          <cell r="C1602"/>
          <cell r="D1602" t="str">
            <v>du</v>
          </cell>
          <cell r="E1602" t="str">
            <v>courtier</v>
          </cell>
          <cell r="F1602"/>
          <cell r="G1602"/>
          <cell r="H1602"/>
          <cell r="I1602"/>
        </row>
        <row r="1603">
          <cell r="C1603"/>
          <cell r="D1603" t="str">
            <v>du</v>
          </cell>
          <cell r="E1603" t="str">
            <v>fichier</v>
          </cell>
          <cell r="F1603"/>
          <cell r="G1603"/>
          <cell r="H1603"/>
          <cell r="I1603"/>
        </row>
        <row r="1604">
          <cell r="C1604"/>
          <cell r="D1604" t="str">
            <v>de la</v>
          </cell>
          <cell r="E1604" t="str">
            <v>Référence Objet</v>
          </cell>
          <cell r="F1604"/>
          <cell r="G1604"/>
          <cell r="H1604"/>
          <cell r="I1604"/>
        </row>
        <row r="1605">
          <cell r="C1605" t="str">
            <v>colonne source</v>
          </cell>
          <cell r="D1605" t="str">
            <v>de l'</v>
          </cell>
          <cell r="E1605" t="str">
            <v>Identifiant fonctionnel</v>
          </cell>
          <cell r="F1605" t="str">
            <v>du</v>
          </cell>
          <cell r="G1605" t="str">
            <v>courtier</v>
          </cell>
          <cell r="H1605"/>
          <cell r="I1605"/>
        </row>
        <row r="1606">
          <cell r="C1606" t="str">
            <v>colonne source</v>
          </cell>
          <cell r="D1606" t="str">
            <v>de la</v>
          </cell>
          <cell r="E1606" t="str">
            <v>Date de création</v>
          </cell>
          <cell r="F1606" t="str">
            <v>du</v>
          </cell>
          <cell r="G1606" t="str">
            <v>fichier</v>
          </cell>
          <cell r="H1606"/>
          <cell r="I1606"/>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cell r="F1609"/>
          <cell r="G1609"/>
          <cell r="H1609"/>
          <cell r="I1609"/>
        </row>
        <row r="1610">
          <cell r="C1610" t="str">
            <v>colonne source</v>
          </cell>
          <cell r="D1610" t="str">
            <v>de l'</v>
          </cell>
          <cell r="E1610" t="str">
            <v>Identifiant fonctionnel</v>
          </cell>
          <cell r="F1610" t="str">
            <v>de la</v>
          </cell>
          <cell r="G1610" t="str">
            <v>Référence Objet</v>
          </cell>
          <cell r="H1610"/>
          <cell r="I1610"/>
        </row>
        <row r="1611">
          <cell r="C1611"/>
          <cell r="D1611" t="str">
            <v>du</v>
          </cell>
          <cell r="E1611" t="str">
            <v>courtier</v>
          </cell>
          <cell r="F1611"/>
          <cell r="G1611"/>
          <cell r="H1611"/>
          <cell r="I1611"/>
        </row>
        <row r="1612">
          <cell r="C1612"/>
          <cell r="D1612" t="str">
            <v>du</v>
          </cell>
          <cell r="E1612" t="str">
            <v>lien commercial</v>
          </cell>
          <cell r="F1612" t="str">
            <v>avec</v>
          </cell>
          <cell r="G1612" t="str">
            <v>courtier</v>
          </cell>
          <cell r="H1612"/>
          <cell r="I1612"/>
        </row>
        <row r="1613">
          <cell r="C1613"/>
          <cell r="D1613" t="str">
            <v>du</v>
          </cell>
          <cell r="E1613" t="str">
            <v>lien commercial</v>
          </cell>
          <cell r="F1613" t="str">
            <v>avec</v>
          </cell>
          <cell r="G1613" t="str">
            <v>courtier</v>
          </cell>
          <cell r="H1613"/>
          <cell r="I1613"/>
        </row>
        <row r="1614">
          <cell r="C1614"/>
          <cell r="D1614" t="str">
            <v>du</v>
          </cell>
          <cell r="E1614" t="str">
            <v>contrat</v>
          </cell>
          <cell r="F1614" t="str">
            <v>de</v>
          </cell>
          <cell r="G1614" t="str">
            <v>courtier</v>
          </cell>
          <cell r="H1614"/>
          <cell r="I1614"/>
        </row>
        <row r="1615">
          <cell r="C1615"/>
          <cell r="D1615" t="str">
            <v>du</v>
          </cell>
          <cell r="E1615" t="str">
            <v>contrat</v>
          </cell>
          <cell r="F1615"/>
          <cell r="G1615"/>
          <cell r="H1615"/>
          <cell r="I1615"/>
        </row>
        <row r="1616">
          <cell r="C1616" t="str">
            <v>référence</v>
          </cell>
          <cell r="D1616" t="str">
            <v>du</v>
          </cell>
          <cell r="E1616" t="str">
            <v>contrat</v>
          </cell>
          <cell r="F1616"/>
          <cell r="G1616"/>
          <cell r="H1616"/>
          <cell r="I1616"/>
        </row>
        <row r="1617">
          <cell r="C1617" t="str">
            <v>référence</v>
          </cell>
          <cell r="D1617" t="str">
            <v>du</v>
          </cell>
          <cell r="E1617" t="str">
            <v>contrat</v>
          </cell>
          <cell r="F1617" t="str">
            <v>du</v>
          </cell>
          <cell r="G1617" t="str">
            <v>courtier</v>
          </cell>
          <cell r="H1617"/>
          <cell r="I1617"/>
        </row>
        <row r="1618">
          <cell r="C1618"/>
          <cell r="D1618" t="str">
            <v>du</v>
          </cell>
          <cell r="E1618" t="str">
            <v>contrat</v>
          </cell>
          <cell r="F1618" t="str">
            <v>du</v>
          </cell>
          <cell r="G1618" t="str">
            <v>courtier</v>
          </cell>
          <cell r="H1618"/>
          <cell r="I1618"/>
        </row>
        <row r="1619">
          <cell r="C1619"/>
          <cell r="D1619" t="str">
            <v>de la</v>
          </cell>
          <cell r="E1619" t="str">
            <v>commission d'apport</v>
          </cell>
          <cell r="F1619"/>
          <cell r="G1619"/>
          <cell r="H1619"/>
          <cell r="I1619"/>
        </row>
        <row r="1620">
          <cell r="C1620"/>
          <cell r="D1620" t="str">
            <v>de la</v>
          </cell>
          <cell r="E1620" t="str">
            <v>commission de gestion</v>
          </cell>
          <cell r="F1620"/>
          <cell r="G1620"/>
          <cell r="H1620"/>
          <cell r="I1620"/>
        </row>
        <row r="1621">
          <cell r="C1621"/>
          <cell r="D1621" t="str">
            <v xml:space="preserve"> </v>
          </cell>
          <cell r="E1621" t="str">
            <v>affaire</v>
          </cell>
          <cell r="F1621"/>
          <cell r="G1621"/>
          <cell r="H1621"/>
          <cell r="I1621"/>
        </row>
        <row r="1622">
          <cell r="C1622"/>
          <cell r="D1622" t="str">
            <v>du</v>
          </cell>
          <cell r="E1622" t="str">
            <v>secteur d'activité</v>
          </cell>
          <cell r="F1622"/>
          <cell r="G1622"/>
          <cell r="H1622"/>
          <cell r="I1622"/>
        </row>
        <row r="1623">
          <cell r="C1623"/>
          <cell r="D1623" t="str">
            <v>de la</v>
          </cell>
          <cell r="E1623" t="str">
            <v>norme</v>
          </cell>
          <cell r="F1623"/>
          <cell r="G1623"/>
          <cell r="H1623"/>
          <cell r="I1623"/>
        </row>
        <row r="1624">
          <cell r="C1624"/>
          <cell r="D1624" t="str">
            <v xml:space="preserve"> </v>
          </cell>
          <cell r="E1624" t="str">
            <v>websin</v>
          </cell>
          <cell r="F1624"/>
          <cell r="G1624"/>
          <cell r="H1624"/>
          <cell r="I1624"/>
        </row>
        <row r="1625">
          <cell r="C1625"/>
          <cell r="D1625" t="str">
            <v>de la</v>
          </cell>
          <cell r="E1625" t="str">
            <v>classification</v>
          </cell>
          <cell r="F1625" t="str">
            <v>du</v>
          </cell>
          <cell r="G1625" t="str">
            <v>contrat</v>
          </cell>
          <cell r="H1625" t="str">
            <v>du</v>
          </cell>
          <cell r="I1625" t="str">
            <v>courtier</v>
          </cell>
        </row>
        <row r="1626">
          <cell r="C1626"/>
          <cell r="D1626" t="str">
            <v>d'</v>
          </cell>
          <cell r="E1626" t="str">
            <v>offre</v>
          </cell>
          <cell r="F1626"/>
          <cell r="G1626"/>
          <cell r="H1626"/>
          <cell r="I1626"/>
        </row>
        <row r="1627">
          <cell r="C1627"/>
          <cell r="D1627" t="str">
            <v>du</v>
          </cell>
          <cell r="E1627" t="str">
            <v>contrat</v>
          </cell>
          <cell r="F1627"/>
          <cell r="G1627"/>
          <cell r="H1627"/>
          <cell r="I1627"/>
        </row>
        <row r="1628">
          <cell r="C1628" t="str">
            <v>principal</v>
          </cell>
          <cell r="D1628" t="str">
            <v>du</v>
          </cell>
          <cell r="E1628" t="str">
            <v>contrat</v>
          </cell>
          <cell r="F1628"/>
          <cell r="G1628"/>
          <cell r="H1628"/>
          <cell r="I1628"/>
        </row>
        <row r="1629">
          <cell r="C1629"/>
          <cell r="D1629" t="str">
            <v>du</v>
          </cell>
          <cell r="E1629" t="str">
            <v>mode de fractionnement</v>
          </cell>
          <cell r="F1629"/>
          <cell r="G1629"/>
          <cell r="H1629"/>
          <cell r="I1629"/>
        </row>
        <row r="1630">
          <cell r="C1630"/>
          <cell r="D1630" t="str">
            <v>de la</v>
          </cell>
          <cell r="E1630" t="str">
            <v>période liée</v>
          </cell>
          <cell r="F1630" t="str">
            <v>à la</v>
          </cell>
          <cell r="G1630" t="str">
            <v>prime</v>
          </cell>
          <cell r="H1630"/>
          <cell r="I1630"/>
        </row>
        <row r="1631">
          <cell r="C1631"/>
          <cell r="D1631" t="str">
            <v>de la</v>
          </cell>
          <cell r="E1631" t="str">
            <v>période liée</v>
          </cell>
          <cell r="F1631" t="str">
            <v>à la</v>
          </cell>
          <cell r="G1631" t="str">
            <v>prime</v>
          </cell>
          <cell r="H1631"/>
          <cell r="I1631"/>
        </row>
        <row r="1632">
          <cell r="C1632"/>
          <cell r="D1632" t="str">
            <v>de la</v>
          </cell>
          <cell r="E1632" t="str">
            <v>situation</v>
          </cell>
          <cell r="F1632" t="str">
            <v>du</v>
          </cell>
          <cell r="G1632" t="str">
            <v>contrat</v>
          </cell>
          <cell r="H1632"/>
          <cell r="I1632"/>
        </row>
        <row r="1633">
          <cell r="C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cell r="F1634"/>
          <cell r="G1634"/>
          <cell r="H1634"/>
          <cell r="I1634"/>
        </row>
        <row r="1635">
          <cell r="C1635"/>
          <cell r="D1635" t="str">
            <v>de la</v>
          </cell>
          <cell r="E1635" t="str">
            <v>police mère</v>
          </cell>
          <cell r="F1635"/>
          <cell r="G1635"/>
          <cell r="H1635"/>
          <cell r="I1635"/>
        </row>
        <row r="1636">
          <cell r="C1636"/>
          <cell r="D1636" t="str">
            <v>du</v>
          </cell>
          <cell r="E1636" t="str">
            <v>produit associé</v>
          </cell>
          <cell r="F1636" t="str">
            <v>de la</v>
          </cell>
          <cell r="G1636" t="str">
            <v>police mère</v>
          </cell>
          <cell r="H1636"/>
          <cell r="I1636"/>
        </row>
        <row r="1637">
          <cell r="C1637"/>
          <cell r="D1637" t="str">
            <v>du</v>
          </cell>
          <cell r="E1637" t="str">
            <v>type</v>
          </cell>
          <cell r="F1637" t="str">
            <v>d'</v>
          </cell>
          <cell r="G1637" t="str">
            <v>opération</v>
          </cell>
          <cell r="H1637" t="str">
            <v>sur le</v>
          </cell>
          <cell r="I1637" t="str">
            <v>contrat</v>
          </cell>
        </row>
        <row r="1638">
          <cell r="C1638"/>
          <cell r="D1638" t="str">
            <v>du</v>
          </cell>
          <cell r="E1638" t="str">
            <v>contrat</v>
          </cell>
          <cell r="F1638"/>
          <cell r="G1638"/>
          <cell r="H1638"/>
          <cell r="I1638"/>
        </row>
        <row r="1639">
          <cell r="C1639"/>
          <cell r="D1639" t="str">
            <v>du</v>
          </cell>
          <cell r="E1639" t="str">
            <v>contrat</v>
          </cell>
          <cell r="F1639"/>
          <cell r="G1639"/>
          <cell r="H1639"/>
          <cell r="I1639"/>
        </row>
        <row r="1640">
          <cell r="C1640"/>
          <cell r="D1640" t="str">
            <v>de</v>
          </cell>
          <cell r="E1640" t="str">
            <v>renseignement complémentaire</v>
          </cell>
          <cell r="F1640" t="str">
            <v>sur l'</v>
          </cell>
          <cell r="G1640" t="str">
            <v>opération saisie</v>
          </cell>
          <cell r="H1640"/>
          <cell r="I1640"/>
        </row>
        <row r="1641">
          <cell r="C1641"/>
          <cell r="D1641" t="str">
            <v>du</v>
          </cell>
          <cell r="E1641" t="str">
            <v>contrat</v>
          </cell>
          <cell r="F1641"/>
          <cell r="G1641"/>
          <cell r="H1641"/>
          <cell r="I1641"/>
        </row>
        <row r="1642">
          <cell r="C1642"/>
          <cell r="D1642" t="str">
            <v>du</v>
          </cell>
          <cell r="E1642" t="str">
            <v>contrat</v>
          </cell>
          <cell r="F1642"/>
          <cell r="G1642"/>
          <cell r="H1642"/>
          <cell r="I1642"/>
        </row>
        <row r="1643">
          <cell r="C1643"/>
          <cell r="D1643" t="str">
            <v>de</v>
          </cell>
          <cell r="E1643" t="str">
            <v>mise en demeure</v>
          </cell>
          <cell r="F1643"/>
          <cell r="G1643"/>
          <cell r="H1643"/>
          <cell r="I1643"/>
        </row>
        <row r="1644">
          <cell r="C1644"/>
          <cell r="D1644" t="str">
            <v>de la</v>
          </cell>
          <cell r="E1644" t="str">
            <v>réduction commerciale</v>
          </cell>
          <cell r="F1644"/>
          <cell r="G1644"/>
          <cell r="H1644"/>
          <cell r="I1644"/>
        </row>
        <row r="1645">
          <cell r="C1645"/>
          <cell r="D1645" t="str">
            <v>de la</v>
          </cell>
          <cell r="E1645" t="str">
            <v>réduction commerciale</v>
          </cell>
          <cell r="F1645"/>
          <cell r="G1645"/>
          <cell r="H1645"/>
          <cell r="I1645"/>
        </row>
        <row r="1646">
          <cell r="C1646"/>
          <cell r="D1646" t="str">
            <v>de la</v>
          </cell>
          <cell r="E1646" t="str">
            <v>réduction commerciale</v>
          </cell>
          <cell r="F1646"/>
          <cell r="G1646"/>
          <cell r="H1646"/>
          <cell r="I1646"/>
        </row>
        <row r="1647">
          <cell r="C1647"/>
          <cell r="D1647" t="str">
            <v>du</v>
          </cell>
          <cell r="E1647" t="str">
            <v>mode de règlement</v>
          </cell>
          <cell r="F1647"/>
          <cell r="G1647"/>
          <cell r="H1647"/>
          <cell r="I1647"/>
        </row>
        <row r="1648">
          <cell r="C1648"/>
          <cell r="D1648" t="str">
            <v>du</v>
          </cell>
          <cell r="E1648" t="str">
            <v>CRM</v>
          </cell>
          <cell r="F1648" t="str">
            <v>de</v>
          </cell>
          <cell r="G1648" t="str">
            <v>tarification</v>
          </cell>
          <cell r="H1648"/>
          <cell r="I1648"/>
        </row>
        <row r="1649">
          <cell r="C1649"/>
          <cell r="D1649" t="str">
            <v>de la</v>
          </cell>
          <cell r="E1649" t="str">
            <v>franchise de malus</v>
          </cell>
          <cell r="F1649"/>
          <cell r="G1649"/>
          <cell r="H1649"/>
          <cell r="I1649"/>
        </row>
        <row r="1650">
          <cell r="C1650"/>
          <cell r="D1650" t="str">
            <v>de</v>
          </cell>
          <cell r="E1650" t="str">
            <v>majoration</v>
          </cell>
          <cell r="F1650" t="str">
            <v>en</v>
          </cell>
          <cell r="G1650" t="str">
            <v>risque aggravé</v>
          </cell>
          <cell r="H1650"/>
          <cell r="I1650"/>
        </row>
        <row r="1651">
          <cell r="C1651"/>
          <cell r="D1651" t="str">
            <v>de</v>
          </cell>
          <cell r="E1651" t="str">
            <v>contrat</v>
          </cell>
          <cell r="F1651" t="str">
            <v xml:space="preserve"> </v>
          </cell>
          <cell r="G1651" t="str">
            <v>carence locative</v>
          </cell>
          <cell r="H1651"/>
          <cell r="I1651"/>
        </row>
        <row r="1652">
          <cell r="C1652"/>
          <cell r="D1652" t="str">
            <v xml:space="preserve"> </v>
          </cell>
          <cell r="E1652" t="str">
            <v>pack insécable</v>
          </cell>
          <cell r="F1652"/>
          <cell r="G1652"/>
          <cell r="H1652"/>
          <cell r="I1652"/>
        </row>
        <row r="1653">
          <cell r="C1653"/>
          <cell r="D1653" t="str">
            <v>de la</v>
          </cell>
          <cell r="E1653" t="str">
            <v>garantie</v>
          </cell>
          <cell r="F1653" t="str">
            <v>de</v>
          </cell>
          <cell r="G1653" t="str">
            <v>courtier</v>
          </cell>
          <cell r="H1653"/>
          <cell r="I1653"/>
        </row>
        <row r="1654">
          <cell r="C1654"/>
          <cell r="D1654" t="str">
            <v>de la</v>
          </cell>
          <cell r="E1654" t="str">
            <v>garantie</v>
          </cell>
          <cell r="F1654"/>
          <cell r="G1654"/>
          <cell r="H1654"/>
          <cell r="I1654"/>
        </row>
        <row r="1655">
          <cell r="C1655"/>
          <cell r="D1655" t="str">
            <v>de la</v>
          </cell>
          <cell r="E1655" t="str">
            <v>garantie</v>
          </cell>
          <cell r="F1655"/>
          <cell r="G1655"/>
          <cell r="H1655"/>
          <cell r="I1655"/>
        </row>
        <row r="1656">
          <cell r="C1656"/>
          <cell r="D1656" t="str">
            <v>de la</v>
          </cell>
          <cell r="E1656" t="str">
            <v>garantie</v>
          </cell>
          <cell r="F1656"/>
          <cell r="G1656"/>
          <cell r="H1656"/>
          <cell r="I1656"/>
        </row>
        <row r="1657">
          <cell r="C1657"/>
          <cell r="D1657" t="str">
            <v>de la</v>
          </cell>
          <cell r="E1657" t="str">
            <v>garantie</v>
          </cell>
          <cell r="F1657"/>
          <cell r="G1657"/>
          <cell r="H1657"/>
          <cell r="I1657"/>
        </row>
        <row r="1658">
          <cell r="C1658"/>
          <cell r="D1658" t="str">
            <v>de la</v>
          </cell>
          <cell r="E1658" t="str">
            <v>prime</v>
          </cell>
          <cell r="F1658" t="str">
            <v>de</v>
          </cell>
          <cell r="G1658" t="str">
            <v>courtier</v>
          </cell>
          <cell r="H1658"/>
          <cell r="I1658"/>
        </row>
        <row r="1659">
          <cell r="C1659"/>
          <cell r="D1659" t="str">
            <v>de la</v>
          </cell>
          <cell r="E1659" t="str">
            <v>prime</v>
          </cell>
          <cell r="F1659"/>
          <cell r="G1659"/>
          <cell r="H1659"/>
          <cell r="I1659"/>
        </row>
        <row r="1660">
          <cell r="C1660" t="str">
            <v>relation</v>
          </cell>
          <cell r="D1660" t="str">
            <v>entre</v>
          </cell>
          <cell r="E1660" t="str">
            <v>garantie</v>
          </cell>
          <cell r="F1660" t="str">
            <v>et</v>
          </cell>
          <cell r="G1660" t="str">
            <v>prime</v>
          </cell>
          <cell r="H1660"/>
          <cell r="I1660"/>
        </row>
        <row r="1661">
          <cell r="C1661" t="str">
            <v>relation</v>
          </cell>
          <cell r="D1661" t="str">
            <v>entre</v>
          </cell>
          <cell r="E1661" t="str">
            <v>garantie</v>
          </cell>
          <cell r="F1661" t="str">
            <v>et</v>
          </cell>
          <cell r="G1661" t="str">
            <v>prime</v>
          </cell>
          <cell r="H1661"/>
          <cell r="I1661"/>
        </row>
        <row r="1662">
          <cell r="C1662"/>
          <cell r="D1662" t="str">
            <v>de la</v>
          </cell>
          <cell r="E1662" t="str">
            <v>couverture</v>
          </cell>
          <cell r="F1662" t="str">
            <v>de la</v>
          </cell>
          <cell r="G1662" t="str">
            <v>garantie</v>
          </cell>
          <cell r="H1662"/>
          <cell r="I1662"/>
        </row>
        <row r="1663">
          <cell r="C1663"/>
          <cell r="D1663" t="str">
            <v>de la</v>
          </cell>
          <cell r="E1663" t="str">
            <v>couverture</v>
          </cell>
          <cell r="F1663" t="str">
            <v>de la</v>
          </cell>
          <cell r="G1663" t="str">
            <v>garantie</v>
          </cell>
          <cell r="H1663"/>
          <cell r="I1663"/>
        </row>
        <row r="1664">
          <cell r="C1664" t="str">
            <v>émission</v>
          </cell>
          <cell r="D1664" t="str">
            <v>de la</v>
          </cell>
          <cell r="E1664" t="str">
            <v>prime</v>
          </cell>
          <cell r="F1664"/>
          <cell r="G1664"/>
          <cell r="H1664"/>
          <cell r="I1664"/>
        </row>
        <row r="1665">
          <cell r="C1665"/>
          <cell r="D1665" t="str">
            <v>de la</v>
          </cell>
          <cell r="E1665" t="str">
            <v>prime émise</v>
          </cell>
          <cell r="F1665"/>
          <cell r="G1665"/>
          <cell r="H1665"/>
          <cell r="I1665"/>
        </row>
        <row r="1666">
          <cell r="C1666"/>
          <cell r="D1666" t="str">
            <v>de la</v>
          </cell>
          <cell r="E1666" t="str">
            <v>prime émise</v>
          </cell>
          <cell r="F1666"/>
          <cell r="G1666"/>
          <cell r="H1666"/>
          <cell r="I1666"/>
        </row>
        <row r="1667">
          <cell r="C1667"/>
          <cell r="D1667" t="str">
            <v>du</v>
          </cell>
          <cell r="E1667" t="str">
            <v>coût de police</v>
          </cell>
          <cell r="F1667" t="str">
            <v>de la</v>
          </cell>
          <cell r="G1667" t="str">
            <v>prime émise</v>
          </cell>
          <cell r="H1667"/>
          <cell r="I1667"/>
        </row>
        <row r="1668">
          <cell r="C1668"/>
          <cell r="D1668" t="str">
            <v>du</v>
          </cell>
          <cell r="E1668" t="str">
            <v>coût de police</v>
          </cell>
          <cell r="F1668" t="str">
            <v>de la</v>
          </cell>
          <cell r="G1668" t="str">
            <v>prime émise</v>
          </cell>
          <cell r="H1668"/>
          <cell r="I1668"/>
        </row>
        <row r="1669">
          <cell r="C1669"/>
          <cell r="D1669" t="str">
            <v>de la</v>
          </cell>
          <cell r="E1669" t="str">
            <v>commission d'apport</v>
          </cell>
          <cell r="F1669" t="str">
            <v>de la</v>
          </cell>
          <cell r="G1669" t="str">
            <v>prime émise</v>
          </cell>
          <cell r="H1669"/>
          <cell r="I1669"/>
        </row>
        <row r="1670">
          <cell r="C1670"/>
          <cell r="D1670" t="str">
            <v>de la</v>
          </cell>
          <cell r="E1670" t="str">
            <v>commission d'apport</v>
          </cell>
          <cell r="F1670" t="str">
            <v>de la</v>
          </cell>
          <cell r="G1670" t="str">
            <v>prime émise</v>
          </cell>
          <cell r="H1670"/>
          <cell r="I1670"/>
        </row>
        <row r="1671">
          <cell r="C1671"/>
          <cell r="D1671" t="str">
            <v>de la</v>
          </cell>
          <cell r="E1671" t="str">
            <v>commission de gestion</v>
          </cell>
          <cell r="F1671" t="str">
            <v>de la</v>
          </cell>
          <cell r="G1671" t="str">
            <v>prime émise</v>
          </cell>
          <cell r="H1671"/>
          <cell r="I1671"/>
        </row>
        <row r="1672">
          <cell r="C1672"/>
          <cell r="D1672" t="str">
            <v>de la</v>
          </cell>
          <cell r="E1672" t="str">
            <v>commission de gestion</v>
          </cell>
          <cell r="F1672" t="str">
            <v>de la</v>
          </cell>
          <cell r="G1672" t="str">
            <v>prime émise</v>
          </cell>
          <cell r="H1672"/>
          <cell r="I1672"/>
        </row>
        <row r="1673">
          <cell r="C1673"/>
          <cell r="D1673" t="str">
            <v>de la</v>
          </cell>
          <cell r="E1673" t="str">
            <v>taxe</v>
          </cell>
          <cell r="F1673" t="str">
            <v>de la</v>
          </cell>
          <cell r="G1673" t="str">
            <v>prime émise</v>
          </cell>
          <cell r="H1673"/>
          <cell r="I1673"/>
        </row>
        <row r="1674">
          <cell r="C1674"/>
          <cell r="D1674" t="str">
            <v>de la</v>
          </cell>
          <cell r="E1674" t="str">
            <v>taxe</v>
          </cell>
          <cell r="F1674" t="str">
            <v>de la</v>
          </cell>
          <cell r="G1674" t="str">
            <v>prime émise</v>
          </cell>
          <cell r="H1674"/>
          <cell r="I1674"/>
        </row>
        <row r="1675">
          <cell r="C1675"/>
          <cell r="D1675" t="str">
            <v>de la</v>
          </cell>
          <cell r="E1675" t="str">
            <v>taxe</v>
          </cell>
          <cell r="F1675" t="str">
            <v>de la</v>
          </cell>
          <cell r="G1675" t="str">
            <v>prime émise</v>
          </cell>
          <cell r="H1675"/>
          <cell r="I1675"/>
        </row>
        <row r="1676">
          <cell r="C1676"/>
          <cell r="D1676" t="str">
            <v>de</v>
          </cell>
          <cell r="E1676" t="str">
            <v>quittance</v>
          </cell>
          <cell r="F1676"/>
          <cell r="G1676"/>
          <cell r="H1676"/>
          <cell r="I1676"/>
        </row>
        <row r="1677">
          <cell r="C1677" t="str">
            <v>encaissement</v>
          </cell>
          <cell r="D1677" t="str">
            <v>de la</v>
          </cell>
          <cell r="E1677" t="str">
            <v>prime</v>
          </cell>
          <cell r="F1677"/>
          <cell r="G1677"/>
          <cell r="H1677"/>
          <cell r="I1677"/>
        </row>
        <row r="1678">
          <cell r="C1678" t="str">
            <v>encaissement</v>
          </cell>
          <cell r="D1678" t="str">
            <v>chez</v>
          </cell>
          <cell r="E1678" t="str">
            <v>Sérénis</v>
          </cell>
          <cell r="F1678" t="str">
            <v>de la</v>
          </cell>
          <cell r="G1678" t="str">
            <v>prime</v>
          </cell>
          <cell r="H1678"/>
          <cell r="I1678"/>
        </row>
        <row r="1679">
          <cell r="C1679" t="str">
            <v>TTC</v>
          </cell>
          <cell r="D1679" t="str">
            <v>de la</v>
          </cell>
          <cell r="E1679" t="str">
            <v>prime encaissée</v>
          </cell>
          <cell r="F1679"/>
          <cell r="G1679"/>
          <cell r="H1679"/>
          <cell r="I1679"/>
        </row>
        <row r="1680">
          <cell r="C1680"/>
          <cell r="D1680" t="str">
            <v>de la</v>
          </cell>
          <cell r="E1680" t="str">
            <v>prime encaissée</v>
          </cell>
          <cell r="F1680"/>
          <cell r="G1680"/>
          <cell r="H1680"/>
          <cell r="I1680"/>
        </row>
        <row r="1681">
          <cell r="C1681"/>
          <cell r="D1681" t="str">
            <v>du</v>
          </cell>
          <cell r="E1681" t="str">
            <v>coût de police</v>
          </cell>
          <cell r="F1681" t="str">
            <v>de la</v>
          </cell>
          <cell r="G1681" t="str">
            <v>prime encaissée</v>
          </cell>
          <cell r="H1681"/>
          <cell r="I1681"/>
        </row>
        <row r="1682">
          <cell r="C1682"/>
          <cell r="D1682" t="str">
            <v>du</v>
          </cell>
          <cell r="E1682" t="str">
            <v>coût de police</v>
          </cell>
          <cell r="F1682" t="str">
            <v>de la</v>
          </cell>
          <cell r="G1682" t="str">
            <v>prime encaissée</v>
          </cell>
          <cell r="H1682"/>
          <cell r="I1682"/>
        </row>
        <row r="1683">
          <cell r="C1683"/>
          <cell r="D1683" t="str">
            <v>de la</v>
          </cell>
          <cell r="E1683" t="str">
            <v>commission d'apport</v>
          </cell>
          <cell r="F1683" t="str">
            <v>de la</v>
          </cell>
          <cell r="G1683" t="str">
            <v>prime encaissée</v>
          </cell>
          <cell r="H1683"/>
          <cell r="I1683"/>
        </row>
        <row r="1684">
          <cell r="C1684"/>
          <cell r="D1684" t="str">
            <v>de la</v>
          </cell>
          <cell r="E1684" t="str">
            <v>commission d'apport</v>
          </cell>
          <cell r="F1684" t="str">
            <v>de la</v>
          </cell>
          <cell r="G1684" t="str">
            <v>prime encaissée</v>
          </cell>
          <cell r="H1684"/>
          <cell r="I1684"/>
        </row>
        <row r="1685">
          <cell r="C1685"/>
          <cell r="D1685" t="str">
            <v>de la</v>
          </cell>
          <cell r="E1685" t="str">
            <v>commission de gestion</v>
          </cell>
          <cell r="F1685" t="str">
            <v>de la</v>
          </cell>
          <cell r="G1685" t="str">
            <v>prime encaissée</v>
          </cell>
          <cell r="H1685"/>
          <cell r="I1685"/>
        </row>
        <row r="1686">
          <cell r="C1686"/>
          <cell r="D1686" t="str">
            <v>de la</v>
          </cell>
          <cell r="E1686" t="str">
            <v>commission de gestion</v>
          </cell>
          <cell r="F1686" t="str">
            <v>de la</v>
          </cell>
          <cell r="G1686" t="str">
            <v>prime encaissée</v>
          </cell>
          <cell r="H1686"/>
          <cell r="I1686"/>
        </row>
        <row r="1687">
          <cell r="C1687"/>
          <cell r="D1687" t="str">
            <v>de la</v>
          </cell>
          <cell r="E1687" t="str">
            <v>taxe</v>
          </cell>
          <cell r="F1687" t="str">
            <v>de la</v>
          </cell>
          <cell r="G1687" t="str">
            <v>prime encaissée</v>
          </cell>
          <cell r="H1687"/>
          <cell r="I1687"/>
        </row>
        <row r="1688">
          <cell r="C1688"/>
          <cell r="D1688" t="str">
            <v>de la</v>
          </cell>
          <cell r="E1688" t="str">
            <v>taxe</v>
          </cell>
          <cell r="F1688" t="str">
            <v>de la</v>
          </cell>
          <cell r="G1688" t="str">
            <v>prime encaissée</v>
          </cell>
          <cell r="H1688"/>
          <cell r="I1688"/>
        </row>
        <row r="1689">
          <cell r="C1689"/>
          <cell r="D1689" t="str">
            <v>de la</v>
          </cell>
          <cell r="E1689" t="str">
            <v>taxe</v>
          </cell>
          <cell r="F1689" t="str">
            <v>de la</v>
          </cell>
          <cell r="G1689" t="str">
            <v>prime encaissée</v>
          </cell>
          <cell r="H1689"/>
          <cell r="I1689"/>
        </row>
        <row r="1690">
          <cell r="C1690"/>
          <cell r="D1690" t="str">
            <v>de</v>
          </cell>
          <cell r="E1690" t="str">
            <v>bordereau comptable</v>
          </cell>
          <cell r="F1690"/>
          <cell r="G1690"/>
          <cell r="H1690"/>
          <cell r="I1690"/>
        </row>
        <row r="1691">
          <cell r="C1691"/>
          <cell r="D1691" t="str">
            <v>du</v>
          </cell>
          <cell r="E1691" t="str">
            <v>sinistre</v>
          </cell>
          <cell r="F1691" t="str">
            <v>de</v>
          </cell>
          <cell r="G1691" t="str">
            <v>courtier</v>
          </cell>
          <cell r="H1691"/>
          <cell r="I1691"/>
        </row>
        <row r="1692">
          <cell r="C1692"/>
          <cell r="D1692" t="str">
            <v>du</v>
          </cell>
          <cell r="E1692" t="str">
            <v>sinistre</v>
          </cell>
          <cell r="F1692" t="str">
            <v>du</v>
          </cell>
          <cell r="G1692" t="str">
            <v>courtier</v>
          </cell>
          <cell r="H1692"/>
          <cell r="I1692"/>
        </row>
        <row r="1693">
          <cell r="C1693"/>
          <cell r="D1693" t="str">
            <v>du</v>
          </cell>
          <cell r="E1693" t="str">
            <v>sinistre</v>
          </cell>
          <cell r="F1693" t="str">
            <v>de</v>
          </cell>
          <cell r="G1693" t="str">
            <v>Sérénis</v>
          </cell>
          <cell r="H1693"/>
          <cell r="I1693"/>
        </row>
        <row r="1694">
          <cell r="C1694"/>
          <cell r="D1694" t="str">
            <v>du</v>
          </cell>
          <cell r="E1694" t="str">
            <v>gestionnaire</v>
          </cell>
          <cell r="F1694" t="str">
            <v>du</v>
          </cell>
          <cell r="G1694" t="str">
            <v>sinistre</v>
          </cell>
          <cell r="H1694"/>
          <cell r="I1694"/>
        </row>
        <row r="1695">
          <cell r="C1695"/>
          <cell r="D1695" t="str">
            <v>de la</v>
          </cell>
          <cell r="E1695" t="str">
            <v>situation</v>
          </cell>
          <cell r="F1695" t="str">
            <v>du</v>
          </cell>
          <cell r="G1695" t="str">
            <v>sinistre</v>
          </cell>
          <cell r="H1695"/>
          <cell r="I1695"/>
        </row>
        <row r="1696">
          <cell r="C1696"/>
          <cell r="D1696" t="str">
            <v>de la</v>
          </cell>
          <cell r="E1696" t="str">
            <v>nature</v>
          </cell>
          <cell r="F1696" t="str">
            <v>du</v>
          </cell>
          <cell r="G1696" t="str">
            <v>sinistre</v>
          </cell>
          <cell r="H1696"/>
          <cell r="I1696"/>
        </row>
        <row r="1697">
          <cell r="C1697"/>
          <cell r="D1697" t="str">
            <v>de la</v>
          </cell>
          <cell r="E1697" t="str">
            <v>sous-nature</v>
          </cell>
          <cell r="F1697" t="str">
            <v>du</v>
          </cell>
          <cell r="G1697" t="str">
            <v>sinistre</v>
          </cell>
          <cell r="H1697"/>
          <cell r="I1697"/>
        </row>
        <row r="1698">
          <cell r="C1698"/>
          <cell r="D1698" t="str">
            <v>du</v>
          </cell>
          <cell r="E1698" t="str">
            <v>sinistre</v>
          </cell>
          <cell r="F1698"/>
          <cell r="G1698"/>
          <cell r="H1698"/>
          <cell r="I1698"/>
        </row>
        <row r="1699">
          <cell r="C1699"/>
          <cell r="D1699" t="str">
            <v>de l'</v>
          </cell>
          <cell r="E1699" t="str">
            <v>accord de gestion</v>
          </cell>
          <cell r="F1699"/>
          <cell r="G1699"/>
          <cell r="H1699"/>
          <cell r="I1699"/>
        </row>
        <row r="1700">
          <cell r="C1700"/>
          <cell r="D1700" t="str">
            <v>du</v>
          </cell>
          <cell r="E1700" t="str">
            <v>type</v>
          </cell>
          <cell r="F1700" t="str">
            <v>d'</v>
          </cell>
          <cell r="G1700" t="str">
            <v>opération</v>
          </cell>
          <cell r="H1700" t="str">
            <v>sur le</v>
          </cell>
          <cell r="I1700" t="str">
            <v>sinistre</v>
          </cell>
        </row>
        <row r="1701">
          <cell r="C1701"/>
          <cell r="D1701" t="str">
            <v>du</v>
          </cell>
          <cell r="E1701" t="str">
            <v>règlement</v>
          </cell>
          <cell r="F1701" t="str">
            <v>de</v>
          </cell>
          <cell r="G1701" t="str">
            <v>courtier</v>
          </cell>
          <cell r="H1701"/>
          <cell r="I1701"/>
        </row>
        <row r="1702">
          <cell r="C1702"/>
          <cell r="D1702" t="str">
            <v>du</v>
          </cell>
          <cell r="E1702" t="str">
            <v>règlement</v>
          </cell>
          <cell r="F1702"/>
          <cell r="G1702"/>
          <cell r="H1702"/>
          <cell r="I1702"/>
        </row>
        <row r="1703">
          <cell r="C1703"/>
          <cell r="D1703" t="str">
            <v>de</v>
          </cell>
          <cell r="E1703" t="str">
            <v>règlement</v>
          </cell>
          <cell r="F1703"/>
          <cell r="G1703"/>
          <cell r="H1703"/>
          <cell r="I1703"/>
        </row>
        <row r="1704">
          <cell r="C1704"/>
          <cell r="D1704" t="str">
            <v>de la</v>
          </cell>
          <cell r="E1704" t="str">
            <v>catégorie</v>
          </cell>
          <cell r="F1704" t="str">
            <v>d'</v>
          </cell>
          <cell r="G1704" t="str">
            <v>expert concerné</v>
          </cell>
          <cell r="H1704"/>
          <cell r="I1704"/>
        </row>
        <row r="1705">
          <cell r="C1705" t="str">
            <v>ordre</v>
          </cell>
          <cell r="D1705" t="str">
            <v>de l'</v>
          </cell>
          <cell r="E1705" t="str">
            <v>opération saisie</v>
          </cell>
          <cell r="F1705" t="str">
            <v>par le</v>
          </cell>
          <cell r="G1705" t="str">
            <v>courtier</v>
          </cell>
          <cell r="H1705"/>
          <cell r="I1705"/>
        </row>
        <row r="1706">
          <cell r="C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cell r="F1707"/>
          <cell r="G1707"/>
          <cell r="H1707"/>
          <cell r="I1707"/>
        </row>
        <row r="1708">
          <cell r="C1708"/>
          <cell r="D1708" t="str">
            <v>du</v>
          </cell>
          <cell r="E1708" t="str">
            <v>règlement</v>
          </cell>
          <cell r="F1708"/>
          <cell r="G1708"/>
          <cell r="H1708"/>
          <cell r="I1708"/>
        </row>
        <row r="1709">
          <cell r="C1709"/>
          <cell r="D1709" t="str">
            <v>du</v>
          </cell>
          <cell r="E1709" t="str">
            <v>règlement</v>
          </cell>
          <cell r="F1709"/>
          <cell r="G1709"/>
          <cell r="H1709"/>
          <cell r="I1709"/>
        </row>
        <row r="1710">
          <cell r="C1710"/>
          <cell r="D1710" t="str">
            <v>de</v>
          </cell>
          <cell r="E1710" t="str">
            <v>provisionnement</v>
          </cell>
          <cell r="F1710" t="str">
            <v>du</v>
          </cell>
          <cell r="G1710" t="str">
            <v>sinistre</v>
          </cell>
          <cell r="H1710"/>
          <cell r="I1710"/>
        </row>
        <row r="1711">
          <cell r="C1711"/>
          <cell r="D1711" t="str">
            <v>de</v>
          </cell>
          <cell r="E1711" t="str">
            <v>provisionnement</v>
          </cell>
          <cell r="F1711" t="str">
            <v>du</v>
          </cell>
          <cell r="G1711" t="str">
            <v>sinistre</v>
          </cell>
          <cell r="H1711"/>
          <cell r="I1711"/>
        </row>
        <row r="1712">
          <cell r="C1712"/>
          <cell r="D1712" t="str">
            <v>de</v>
          </cell>
          <cell r="E1712" t="str">
            <v>franchise</v>
          </cell>
          <cell r="F1712"/>
          <cell r="G1712"/>
          <cell r="H1712"/>
          <cell r="I1712"/>
        </row>
        <row r="1713">
          <cell r="C1713"/>
          <cell r="D1713" t="str">
            <v>de</v>
          </cell>
          <cell r="E1713" t="str">
            <v>franchise</v>
          </cell>
          <cell r="F1713"/>
          <cell r="G1713"/>
          <cell r="H1713"/>
          <cell r="I1713"/>
        </row>
        <row r="1714">
          <cell r="C1714"/>
          <cell r="D1714" t="str">
            <v>des</v>
          </cell>
          <cell r="E1714" t="str">
            <v>honoraires expert</v>
          </cell>
          <cell r="F1714"/>
          <cell r="G1714"/>
          <cell r="H1714"/>
          <cell r="I1714"/>
        </row>
        <row r="1715">
          <cell r="C1715"/>
          <cell r="D1715" t="str">
            <v>des</v>
          </cell>
          <cell r="E1715" t="str">
            <v>honoraires expert</v>
          </cell>
          <cell r="F1715"/>
          <cell r="G1715"/>
          <cell r="H1715"/>
          <cell r="I1715"/>
        </row>
        <row r="1716">
          <cell r="C1716"/>
          <cell r="D1716" t="str">
            <v>des</v>
          </cell>
          <cell r="E1716" t="str">
            <v>frais experts</v>
          </cell>
          <cell r="F1716"/>
          <cell r="G1716"/>
          <cell r="H1716"/>
          <cell r="I1716"/>
        </row>
        <row r="1717">
          <cell r="C1717"/>
          <cell r="D1717" t="str">
            <v>des</v>
          </cell>
          <cell r="E1717" t="str">
            <v>frais experts</v>
          </cell>
          <cell r="F1717"/>
          <cell r="G1717"/>
          <cell r="H1717"/>
          <cell r="I1717"/>
        </row>
        <row r="1718">
          <cell r="C1718"/>
          <cell r="D1718" t="str">
            <v>de l'</v>
          </cell>
          <cell r="E1718" t="str">
            <v>objet assuré</v>
          </cell>
          <cell r="F1718" t="str">
            <v>de</v>
          </cell>
          <cell r="G1718" t="str">
            <v>courtier</v>
          </cell>
          <cell r="H1718"/>
          <cell r="I1718"/>
        </row>
        <row r="1719">
          <cell r="C1719" t="str">
            <v>référence</v>
          </cell>
          <cell r="D1719" t="str">
            <v>de l'</v>
          </cell>
          <cell r="E1719" t="str">
            <v>objet assuré</v>
          </cell>
          <cell r="F1719"/>
          <cell r="G1719"/>
          <cell r="H1719"/>
          <cell r="I1719"/>
        </row>
        <row r="1720">
          <cell r="C1720"/>
          <cell r="D1720" t="str">
            <v>de l'</v>
          </cell>
          <cell r="E1720" t="str">
            <v>objet assuré</v>
          </cell>
          <cell r="F1720"/>
          <cell r="G1720"/>
          <cell r="H1720"/>
          <cell r="I1720"/>
        </row>
        <row r="1721">
          <cell r="C1721"/>
          <cell r="D1721" t="str">
            <v>d'</v>
          </cell>
          <cell r="E1721" t="str">
            <v>exonération taxe</v>
          </cell>
          <cell r="F1721" t="str">
            <v>en</v>
          </cell>
          <cell r="G1721" t="str">
            <v>France</v>
          </cell>
          <cell r="H1721"/>
          <cell r="I1721"/>
        </row>
        <row r="1722">
          <cell r="C1722"/>
          <cell r="D1722" t="str">
            <v>du</v>
          </cell>
          <cell r="E1722" t="str">
            <v>véhicule</v>
          </cell>
          <cell r="F1722" t="str">
            <v>de</v>
          </cell>
          <cell r="G1722" t="str">
            <v>courtier</v>
          </cell>
          <cell r="H1722"/>
          <cell r="I1722"/>
        </row>
        <row r="1723">
          <cell r="C1723"/>
          <cell r="D1723" t="str">
            <v>du</v>
          </cell>
          <cell r="E1723" t="str">
            <v>véhicule</v>
          </cell>
          <cell r="F1723"/>
          <cell r="G1723"/>
          <cell r="H1723"/>
          <cell r="I1723"/>
        </row>
        <row r="1724">
          <cell r="C1724"/>
          <cell r="D1724" t="str">
            <v>du</v>
          </cell>
          <cell r="E1724" t="str">
            <v>pays</v>
          </cell>
          <cell r="F1724" t="str">
            <v>d'</v>
          </cell>
          <cell r="G1724" t="str">
            <v>immatriculation</v>
          </cell>
          <cell r="H1724" t="str">
            <v>du</v>
          </cell>
          <cell r="I1724" t="str">
            <v>véhicule</v>
          </cell>
        </row>
        <row r="1725">
          <cell r="C1725"/>
          <cell r="D1725" t="str">
            <v>de l'</v>
          </cell>
          <cell r="E1725" t="str">
            <v>immatriculation</v>
          </cell>
          <cell r="F1725" t="str">
            <v>du</v>
          </cell>
          <cell r="G1725" t="str">
            <v>véhicule</v>
          </cell>
          <cell r="H1725"/>
          <cell r="I1725"/>
        </row>
        <row r="1726">
          <cell r="C1726" t="str">
            <v>série</v>
          </cell>
          <cell r="D1726" t="str">
            <v>du</v>
          </cell>
          <cell r="E1726" t="str">
            <v>véhicule</v>
          </cell>
          <cell r="F1726"/>
          <cell r="G1726"/>
          <cell r="H1726"/>
          <cell r="I1726"/>
        </row>
        <row r="1727">
          <cell r="C1727"/>
          <cell r="D1727" t="str">
            <v>de la</v>
          </cell>
          <cell r="E1727" t="str">
            <v>marque</v>
          </cell>
          <cell r="F1727" t="str">
            <v>du</v>
          </cell>
          <cell r="G1727" t="str">
            <v>véhicule</v>
          </cell>
          <cell r="H1727"/>
          <cell r="I1727"/>
        </row>
        <row r="1728">
          <cell r="C1728"/>
          <cell r="D1728" t="str">
            <v>du</v>
          </cell>
          <cell r="E1728" t="str">
            <v>modèle</v>
          </cell>
          <cell r="F1728" t="str">
            <v>du</v>
          </cell>
          <cell r="G1728" t="str">
            <v>véhicule</v>
          </cell>
          <cell r="H1728"/>
          <cell r="I1728"/>
        </row>
        <row r="1729">
          <cell r="C1729"/>
          <cell r="D1729" t="str">
            <v>de la</v>
          </cell>
          <cell r="E1729" t="str">
            <v>catégorie</v>
          </cell>
          <cell r="F1729" t="str">
            <v>du</v>
          </cell>
          <cell r="G1729" t="str">
            <v>véhicule</v>
          </cell>
          <cell r="H1729"/>
          <cell r="I1729"/>
        </row>
        <row r="1730">
          <cell r="C1730"/>
          <cell r="D1730" t="str">
            <v>d'</v>
          </cell>
          <cell r="E1730" t="str">
            <v>identification SRA</v>
          </cell>
          <cell r="F1730" t="str">
            <v>du</v>
          </cell>
          <cell r="G1730" t="str">
            <v>véhicule</v>
          </cell>
          <cell r="H1730"/>
          <cell r="I1730"/>
        </row>
        <row r="1731">
          <cell r="C1731"/>
          <cell r="D1731" t="str">
            <v>de la</v>
          </cell>
          <cell r="E1731" t="str">
            <v>classe</v>
          </cell>
          <cell r="F1731" t="str">
            <v>du</v>
          </cell>
          <cell r="G1731" t="str">
            <v>véhicule</v>
          </cell>
          <cell r="H1731"/>
          <cell r="I1731"/>
        </row>
        <row r="1732">
          <cell r="C1732"/>
          <cell r="D1732" t="str">
            <v>du</v>
          </cell>
          <cell r="E1732" t="str">
            <v>groupe</v>
          </cell>
          <cell r="F1732" t="str">
            <v>de</v>
          </cell>
          <cell r="G1732" t="str">
            <v>véhicule</v>
          </cell>
          <cell r="H1732"/>
          <cell r="I1732"/>
        </row>
        <row r="1733">
          <cell r="C1733"/>
          <cell r="D1733" t="str">
            <v>de la</v>
          </cell>
          <cell r="E1733" t="str">
            <v>CNIT</v>
          </cell>
          <cell r="F1733" t="str">
            <v>du</v>
          </cell>
          <cell r="G1733" t="str">
            <v>véhicule</v>
          </cell>
          <cell r="H1733"/>
          <cell r="I1733"/>
        </row>
        <row r="1734">
          <cell r="C1734"/>
          <cell r="D1734" t="str">
            <v>du</v>
          </cell>
          <cell r="E1734" t="str">
            <v>genre</v>
          </cell>
          <cell r="F1734" t="str">
            <v>de</v>
          </cell>
          <cell r="G1734" t="str">
            <v>véhicule</v>
          </cell>
          <cell r="H1734"/>
          <cell r="I1734"/>
        </row>
        <row r="1735">
          <cell r="C1735"/>
          <cell r="D1735" t="str">
            <v>de la</v>
          </cell>
          <cell r="E1735" t="str">
            <v>cylindrée</v>
          </cell>
          <cell r="F1735" t="str">
            <v>du</v>
          </cell>
          <cell r="G1735" t="str">
            <v>véhicule</v>
          </cell>
          <cell r="H1735"/>
          <cell r="I1735"/>
        </row>
        <row r="1736">
          <cell r="C1736"/>
          <cell r="D1736" t="str">
            <v>du</v>
          </cell>
          <cell r="E1736" t="str">
            <v>PTAC</v>
          </cell>
          <cell r="F1736" t="str">
            <v>du</v>
          </cell>
          <cell r="G1736" t="str">
            <v>véhicule</v>
          </cell>
          <cell r="H1736"/>
          <cell r="I1736"/>
        </row>
        <row r="1737">
          <cell r="C1737"/>
          <cell r="D1737" t="str">
            <v>de la</v>
          </cell>
          <cell r="E1737" t="str">
            <v>puissance fiscale</v>
          </cell>
          <cell r="F1737" t="str">
            <v>du</v>
          </cell>
          <cell r="G1737" t="str">
            <v>véhicule</v>
          </cell>
          <cell r="H1737"/>
          <cell r="I1737"/>
        </row>
        <row r="1738">
          <cell r="C1738"/>
          <cell r="D1738" t="str">
            <v>de la</v>
          </cell>
          <cell r="E1738" t="str">
            <v>première mise en circulation</v>
          </cell>
          <cell r="F1738" t="str">
            <v>du</v>
          </cell>
          <cell r="G1738" t="str">
            <v>véhicule</v>
          </cell>
          <cell r="H1738"/>
          <cell r="I1738"/>
        </row>
        <row r="1739">
          <cell r="C1739" t="str">
            <v>acquisition</v>
          </cell>
          <cell r="D1739" t="str">
            <v>du</v>
          </cell>
          <cell r="E1739" t="str">
            <v>véhicule</v>
          </cell>
          <cell r="F1739"/>
          <cell r="G1739"/>
          <cell r="H1739"/>
          <cell r="I1739"/>
        </row>
        <row r="1740">
          <cell r="C1740"/>
          <cell r="D1740" t="str">
            <v>de</v>
          </cell>
          <cell r="E1740" t="str">
            <v>valeur assurée</v>
          </cell>
          <cell r="F1740" t="str">
            <v>du</v>
          </cell>
          <cell r="G1740" t="str">
            <v>véhicule</v>
          </cell>
          <cell r="H1740"/>
          <cell r="I1740"/>
        </row>
        <row r="1741">
          <cell r="C1741" t="str">
            <v>assurée</v>
          </cell>
          <cell r="D1741" t="str">
            <v>du</v>
          </cell>
          <cell r="E1741" t="str">
            <v>véhicule</v>
          </cell>
          <cell r="F1741"/>
          <cell r="G1741"/>
          <cell r="H1741"/>
          <cell r="I1741"/>
        </row>
        <row r="1742">
          <cell r="C1742"/>
          <cell r="D1742" t="str">
            <v>de</v>
          </cell>
          <cell r="E1742" t="str">
            <v>valeur assurée</v>
          </cell>
          <cell r="F1742" t="str">
            <v>du</v>
          </cell>
          <cell r="G1742" t="str">
            <v>véhicule</v>
          </cell>
          <cell r="H1742"/>
          <cell r="I1742"/>
        </row>
        <row r="1743">
          <cell r="C1743"/>
          <cell r="D1743" t="str">
            <v>d'</v>
          </cell>
          <cell r="E1743" t="str">
            <v>usage</v>
          </cell>
          <cell r="F1743" t="str">
            <v>du</v>
          </cell>
          <cell r="G1743" t="str">
            <v>véhicule</v>
          </cell>
          <cell r="H1743"/>
          <cell r="I1743"/>
        </row>
        <row r="1744">
          <cell r="C1744"/>
          <cell r="D1744" t="str">
            <v>de la</v>
          </cell>
          <cell r="E1744" t="str">
            <v>franchise garantie dommage mini</v>
          </cell>
          <cell r="F1744" t="str">
            <v>du</v>
          </cell>
          <cell r="G1744" t="str">
            <v>véhicule</v>
          </cell>
          <cell r="H1744"/>
          <cell r="I1744"/>
        </row>
        <row r="1745">
          <cell r="C1745"/>
          <cell r="D1745" t="str">
            <v>de la</v>
          </cell>
          <cell r="E1745" t="str">
            <v>franchise garantie dommage mini</v>
          </cell>
          <cell r="F1745" t="str">
            <v>du</v>
          </cell>
          <cell r="G1745" t="str">
            <v>véhicule</v>
          </cell>
          <cell r="H1745"/>
          <cell r="I1745"/>
        </row>
        <row r="1746">
          <cell r="C1746"/>
          <cell r="D1746" t="str">
            <v>de la</v>
          </cell>
          <cell r="E1746" t="str">
            <v>franchise garantie dommage maxi</v>
          </cell>
          <cell r="F1746" t="str">
            <v>du</v>
          </cell>
          <cell r="G1746" t="str">
            <v>véhicule</v>
          </cell>
          <cell r="H1746"/>
          <cell r="I1746"/>
        </row>
        <row r="1747">
          <cell r="C1747"/>
          <cell r="D1747" t="str">
            <v>de la</v>
          </cell>
          <cell r="E1747" t="str">
            <v>franchise garantie dommage maxi</v>
          </cell>
          <cell r="F1747" t="str">
            <v>du</v>
          </cell>
          <cell r="G1747" t="str">
            <v>véhicule</v>
          </cell>
          <cell r="H1747"/>
          <cell r="I1747"/>
        </row>
        <row r="1748">
          <cell r="C1748"/>
          <cell r="D1748" t="str">
            <v>de la</v>
          </cell>
          <cell r="E1748" t="str">
            <v>franchise</v>
          </cell>
          <cell r="F1748" t="str">
            <v>du</v>
          </cell>
          <cell r="G1748" t="str">
            <v>véhicule</v>
          </cell>
          <cell r="H1748"/>
          <cell r="I1748"/>
        </row>
        <row r="1749">
          <cell r="C1749"/>
          <cell r="D1749" t="str">
            <v>de l'</v>
          </cell>
          <cell r="E1749" t="str">
            <v>kilomètre</v>
          </cell>
          <cell r="F1749" t="str">
            <v>du</v>
          </cell>
          <cell r="G1749" t="str">
            <v>véhicule</v>
          </cell>
          <cell r="H1749"/>
          <cell r="I1749"/>
        </row>
        <row r="1750">
          <cell r="C1750"/>
          <cell r="D1750" t="str">
            <v>du</v>
          </cell>
          <cell r="E1750" t="str">
            <v>kilométrage au compteur</v>
          </cell>
          <cell r="F1750" t="str">
            <v>du</v>
          </cell>
          <cell r="G1750" t="str">
            <v>véhicule</v>
          </cell>
          <cell r="H1750"/>
          <cell r="I1750"/>
        </row>
        <row r="1751">
          <cell r="C1751"/>
          <cell r="D1751" t="str">
            <v xml:space="preserve"> </v>
          </cell>
          <cell r="E1751" t="str">
            <v>protection vol</v>
          </cell>
          <cell r="F1751" t="str">
            <v>du</v>
          </cell>
          <cell r="G1751" t="str">
            <v>véhicule</v>
          </cell>
          <cell r="H1751"/>
          <cell r="I1751"/>
        </row>
        <row r="1752">
          <cell r="C1752"/>
          <cell r="D1752" t="str">
            <v xml:space="preserve"> </v>
          </cell>
          <cell r="E1752" t="str">
            <v>véhicule ou embarcation connecté</v>
          </cell>
          <cell r="F1752"/>
          <cell r="G1752"/>
          <cell r="H1752"/>
          <cell r="I1752"/>
        </row>
        <row r="1753">
          <cell r="C1753"/>
          <cell r="D1753" t="str">
            <v xml:space="preserve"> </v>
          </cell>
          <cell r="E1753" t="str">
            <v>véhicule en leasing</v>
          </cell>
          <cell r="F1753"/>
          <cell r="G1753"/>
          <cell r="H1753"/>
          <cell r="I1753"/>
        </row>
        <row r="1754">
          <cell r="C1754"/>
          <cell r="D1754" t="str">
            <v>de</v>
          </cell>
          <cell r="E1754" t="str">
            <v>lieu de stockage</v>
          </cell>
          <cell r="F1754" t="str">
            <v>ou</v>
          </cell>
          <cell r="G1754" t="str">
            <v>port d'attache</v>
          </cell>
          <cell r="H1754"/>
          <cell r="I1754"/>
        </row>
        <row r="1755">
          <cell r="C1755" t="str">
            <v>postal</v>
          </cell>
          <cell r="D1755" t="str">
            <v>du</v>
          </cell>
          <cell r="E1755" t="str">
            <v>lieu de stockage</v>
          </cell>
          <cell r="F1755" t="str">
            <v>ou</v>
          </cell>
          <cell r="G1755" t="str">
            <v>port d'attache</v>
          </cell>
          <cell r="H1755"/>
          <cell r="I1755"/>
        </row>
        <row r="1756">
          <cell r="C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cell r="H1757"/>
          <cell r="I1757"/>
        </row>
        <row r="1758">
          <cell r="C1758"/>
          <cell r="D1758" t="str">
            <v xml:space="preserve"> </v>
          </cell>
          <cell r="E1758" t="str">
            <v>pays</v>
          </cell>
          <cell r="F1758" t="str">
            <v>du</v>
          </cell>
          <cell r="G1758" t="str">
            <v>lieu de stockage</v>
          </cell>
          <cell r="H1758" t="str">
            <v>ou</v>
          </cell>
          <cell r="I1758" t="str">
            <v>port d'attache</v>
          </cell>
        </row>
        <row r="1759">
          <cell r="C1759"/>
          <cell r="D1759" t="str">
            <v>de</v>
          </cell>
          <cell r="E1759" t="str">
            <v>stockage</v>
          </cell>
          <cell r="F1759" t="str">
            <v>du</v>
          </cell>
          <cell r="G1759" t="str">
            <v>véhicule</v>
          </cell>
          <cell r="H1759"/>
          <cell r="I1759"/>
        </row>
        <row r="1760">
          <cell r="C1760"/>
          <cell r="D1760" t="str">
            <v>de</v>
          </cell>
          <cell r="E1760" t="str">
            <v>carburant</v>
          </cell>
          <cell r="F1760"/>
          <cell r="G1760"/>
          <cell r="H1760"/>
          <cell r="I1760"/>
        </row>
        <row r="1761">
          <cell r="C1761"/>
          <cell r="D1761" t="str">
            <v>de l'</v>
          </cell>
          <cell r="E1761" t="str">
            <v>embarcation</v>
          </cell>
          <cell r="F1761"/>
          <cell r="G1761"/>
          <cell r="H1761"/>
          <cell r="I1761"/>
        </row>
        <row r="1762">
          <cell r="C1762" t="str">
            <v>longueur</v>
          </cell>
          <cell r="D1762" t="str">
            <v>de la</v>
          </cell>
          <cell r="E1762" t="str">
            <v>coque</v>
          </cell>
          <cell r="F1762"/>
          <cell r="G1762"/>
          <cell r="H1762"/>
          <cell r="I1762"/>
        </row>
        <row r="1763">
          <cell r="C1763" t="str">
            <v>mesure</v>
          </cell>
          <cell r="D1763" t="str">
            <v>de la</v>
          </cell>
          <cell r="E1763" t="str">
            <v>longueur</v>
          </cell>
          <cell r="F1763"/>
          <cell r="G1763"/>
          <cell r="H1763"/>
          <cell r="I1763"/>
        </row>
        <row r="1764">
          <cell r="C1764" t="str">
            <v>largeur</v>
          </cell>
          <cell r="D1764" t="str">
            <v>de la</v>
          </cell>
          <cell r="E1764" t="str">
            <v>coque</v>
          </cell>
          <cell r="F1764"/>
          <cell r="G1764"/>
          <cell r="H1764"/>
          <cell r="I1764"/>
        </row>
        <row r="1765">
          <cell r="C1765" t="str">
            <v>mesure</v>
          </cell>
          <cell r="D1765" t="str">
            <v>de la</v>
          </cell>
          <cell r="E1765" t="str">
            <v>largeur</v>
          </cell>
          <cell r="F1765"/>
          <cell r="G1765"/>
          <cell r="H1765"/>
          <cell r="I1765"/>
        </row>
        <row r="1766">
          <cell r="C1766"/>
          <cell r="D1766" t="str">
            <v>du</v>
          </cell>
          <cell r="E1766" t="str">
            <v>pavillon</v>
          </cell>
          <cell r="F1766" t="str">
            <v>de l'</v>
          </cell>
          <cell r="G1766" t="str">
            <v>embarcation</v>
          </cell>
          <cell r="H1766"/>
          <cell r="I1766"/>
        </row>
        <row r="1767">
          <cell r="C1767"/>
          <cell r="D1767" t="str">
            <v>de l'</v>
          </cell>
          <cell r="E1767" t="str">
            <v>embarcation modifiée</v>
          </cell>
          <cell r="F1767"/>
          <cell r="G1767"/>
          <cell r="H1767"/>
          <cell r="I1767"/>
        </row>
        <row r="1768">
          <cell r="C1768"/>
          <cell r="D1768" t="str">
            <v>de la</v>
          </cell>
          <cell r="E1768" t="str">
            <v>modification faite par un particulier</v>
          </cell>
          <cell r="F1768"/>
          <cell r="G1768"/>
          <cell r="H1768"/>
          <cell r="I1768"/>
        </row>
        <row r="1769">
          <cell r="C1769"/>
          <cell r="D1769" t="str">
            <v>des</v>
          </cell>
          <cell r="E1769" t="str">
            <v>matériaux de construction</v>
          </cell>
          <cell r="F1769"/>
          <cell r="G1769"/>
          <cell r="H1769"/>
          <cell r="I1769"/>
        </row>
        <row r="1770">
          <cell r="C1770"/>
          <cell r="D1770" t="str">
            <v>de la</v>
          </cell>
          <cell r="E1770" t="str">
            <v>catégorie de conception</v>
          </cell>
          <cell r="F1770"/>
          <cell r="G1770"/>
          <cell r="H1770"/>
          <cell r="I1770"/>
        </row>
        <row r="1771">
          <cell r="C1771"/>
          <cell r="D1771" t="str">
            <v>de l'</v>
          </cell>
          <cell r="E1771" t="str">
            <v>année</v>
          </cell>
          <cell r="F1771" t="str">
            <v>de</v>
          </cell>
          <cell r="G1771" t="str">
            <v>construction</v>
          </cell>
          <cell r="H1771"/>
          <cell r="I1771"/>
        </row>
        <row r="1772">
          <cell r="C1772" t="str">
            <v>acquisition</v>
          </cell>
          <cell r="D1772" t="str">
            <v>de l'</v>
          </cell>
          <cell r="E1772" t="str">
            <v>embarcation</v>
          </cell>
          <cell r="F1772"/>
          <cell r="G1772"/>
          <cell r="H1772"/>
          <cell r="I1772"/>
        </row>
        <row r="1773">
          <cell r="C1773"/>
          <cell r="D1773" t="str">
            <v>de</v>
          </cell>
          <cell r="E1773" t="str">
            <v>moteur</v>
          </cell>
          <cell r="F1773" t="str">
            <v>de l'</v>
          </cell>
          <cell r="G1773" t="str">
            <v>embarcation</v>
          </cell>
          <cell r="H1773"/>
          <cell r="I1773"/>
        </row>
        <row r="1774">
          <cell r="C1774"/>
          <cell r="D1774" t="str">
            <v>de</v>
          </cell>
          <cell r="E1774" t="str">
            <v>moteur indoor</v>
          </cell>
          <cell r="F1774" t="str">
            <v>de l'</v>
          </cell>
          <cell r="G1774" t="str">
            <v>embarcation</v>
          </cell>
          <cell r="H1774"/>
          <cell r="I1774"/>
        </row>
        <row r="1775">
          <cell r="C1775"/>
          <cell r="D1775" t="str">
            <v>de la</v>
          </cell>
          <cell r="E1775" t="str">
            <v>puissance globale</v>
          </cell>
          <cell r="F1775" t="str">
            <v>de l'</v>
          </cell>
          <cell r="G1775" t="str">
            <v>embarcation</v>
          </cell>
          <cell r="H1775"/>
          <cell r="I1775"/>
        </row>
        <row r="1776">
          <cell r="C1776"/>
          <cell r="D1776" t="str">
            <v>de la</v>
          </cell>
          <cell r="E1776" t="str">
            <v>zone de navigation</v>
          </cell>
          <cell r="F1776" t="str">
            <v>de l'</v>
          </cell>
          <cell r="G1776" t="str">
            <v>embarcation</v>
          </cell>
          <cell r="H1776"/>
          <cell r="I1776"/>
        </row>
        <row r="1777">
          <cell r="C1777"/>
          <cell r="D1777" t="str">
            <v>de l'</v>
          </cell>
          <cell r="E1777" t="str">
            <v>option côtière</v>
          </cell>
          <cell r="F1777" t="str">
            <v>de l'</v>
          </cell>
          <cell r="G1777" t="str">
            <v>embarcation</v>
          </cell>
          <cell r="H1777"/>
          <cell r="I1777"/>
        </row>
        <row r="1778">
          <cell r="C1778"/>
          <cell r="D1778" t="str">
            <v>de l'</v>
          </cell>
          <cell r="E1778" t="str">
            <v>extension hauturière</v>
          </cell>
          <cell r="F1778" t="str">
            <v>de l'</v>
          </cell>
          <cell r="G1778" t="str">
            <v>embarcation</v>
          </cell>
          <cell r="H1778"/>
          <cell r="I1778"/>
        </row>
        <row r="1779">
          <cell r="C1779"/>
          <cell r="D1779" t="str">
            <v>de l'</v>
          </cell>
          <cell r="E1779" t="str">
            <v>option eaux intérieures</v>
          </cell>
          <cell r="F1779" t="str">
            <v>de l'</v>
          </cell>
          <cell r="G1779" t="str">
            <v>embarcation</v>
          </cell>
          <cell r="H1779"/>
          <cell r="I1779"/>
        </row>
        <row r="1780">
          <cell r="C1780"/>
          <cell r="D1780" t="str">
            <v>de l'</v>
          </cell>
          <cell r="E1780" t="str">
            <v>extension grande plaisance eaux intérieures</v>
          </cell>
          <cell r="F1780" t="str">
            <v>de l'</v>
          </cell>
          <cell r="G1780" t="str">
            <v>embarcation</v>
          </cell>
          <cell r="H1780"/>
          <cell r="I1780"/>
        </row>
        <row r="1781">
          <cell r="C1781"/>
          <cell r="D1781" t="str">
            <v>du</v>
          </cell>
          <cell r="E1781" t="str">
            <v>bien immobilier</v>
          </cell>
          <cell r="F1781"/>
          <cell r="G1781"/>
          <cell r="H1781"/>
          <cell r="I1781"/>
        </row>
        <row r="1782">
          <cell r="C1782"/>
          <cell r="D1782" t="str">
            <v>du</v>
          </cell>
          <cell r="E1782" t="str">
            <v>bien immobilier</v>
          </cell>
          <cell r="F1782"/>
          <cell r="G1782"/>
          <cell r="H1782"/>
          <cell r="I1782"/>
        </row>
        <row r="1783">
          <cell r="C1783"/>
          <cell r="D1783" t="str">
            <v>de</v>
          </cell>
          <cell r="E1783" t="str">
            <v>bien immobilier</v>
          </cell>
          <cell r="F1783"/>
          <cell r="G1783"/>
          <cell r="H1783"/>
          <cell r="I1783"/>
        </row>
        <row r="1784">
          <cell r="C1784"/>
          <cell r="D1784" t="str">
            <v>du</v>
          </cell>
          <cell r="E1784" t="str">
            <v>bien immobilier</v>
          </cell>
          <cell r="F1784"/>
          <cell r="G1784"/>
          <cell r="H1784"/>
          <cell r="I1784"/>
        </row>
        <row r="1785">
          <cell r="C1785" t="str">
            <v>postal</v>
          </cell>
          <cell r="D1785" t="str">
            <v>du</v>
          </cell>
          <cell r="E1785" t="str">
            <v>bien immobilier</v>
          </cell>
          <cell r="F1785"/>
          <cell r="G1785"/>
          <cell r="H1785"/>
          <cell r="I1785"/>
        </row>
        <row r="1786">
          <cell r="C1786"/>
          <cell r="D1786" t="str">
            <v>de la</v>
          </cell>
          <cell r="E1786" t="str">
            <v>ville</v>
          </cell>
          <cell r="F1786" t="str">
            <v>du</v>
          </cell>
          <cell r="G1786" t="str">
            <v>bien immobilier</v>
          </cell>
          <cell r="H1786"/>
          <cell r="I1786"/>
        </row>
        <row r="1787">
          <cell r="C1787" t="str">
            <v>INSEE</v>
          </cell>
          <cell r="D1787" t="str">
            <v>du</v>
          </cell>
          <cell r="E1787" t="str">
            <v>bien immobilier</v>
          </cell>
          <cell r="F1787"/>
          <cell r="G1787"/>
          <cell r="H1787"/>
          <cell r="I1787"/>
        </row>
        <row r="1788">
          <cell r="C1788"/>
          <cell r="D1788" t="str">
            <v>du</v>
          </cell>
          <cell r="E1788" t="str">
            <v>pays</v>
          </cell>
          <cell r="F1788" t="str">
            <v>du</v>
          </cell>
          <cell r="G1788" t="str">
            <v>bien immobilier</v>
          </cell>
          <cell r="H1788"/>
          <cell r="I1788"/>
        </row>
        <row r="1789">
          <cell r="C1789"/>
          <cell r="D1789" t="str">
            <v>de</v>
          </cell>
          <cell r="E1789" t="str">
            <v>quittance</v>
          </cell>
          <cell r="F1789" t="str">
            <v>du</v>
          </cell>
          <cell r="G1789" t="str">
            <v>bien immobilier</v>
          </cell>
          <cell r="H1789"/>
          <cell r="I1789"/>
        </row>
        <row r="1790">
          <cell r="C1790"/>
          <cell r="D1790" t="str">
            <v>de la</v>
          </cell>
          <cell r="E1790" t="str">
            <v>quittance</v>
          </cell>
          <cell r="F1790" t="str">
            <v>du</v>
          </cell>
          <cell r="G1790" t="str">
            <v>bien immobilier</v>
          </cell>
          <cell r="H1790"/>
          <cell r="I1790"/>
        </row>
        <row r="1791">
          <cell r="C1791"/>
          <cell r="D1791" t="str">
            <v>du</v>
          </cell>
          <cell r="E1791" t="str">
            <v>prix de vente</v>
          </cell>
          <cell r="F1791" t="str">
            <v>du</v>
          </cell>
          <cell r="G1791" t="str">
            <v>bien immobilier</v>
          </cell>
          <cell r="H1791"/>
          <cell r="I1791"/>
        </row>
        <row r="1792">
          <cell r="C1792"/>
          <cell r="D1792" t="str">
            <v>du</v>
          </cell>
          <cell r="E1792" t="str">
            <v>prix de vente</v>
          </cell>
          <cell r="F1792" t="str">
            <v>du</v>
          </cell>
          <cell r="G1792" t="str">
            <v>bien immobilier</v>
          </cell>
          <cell r="H1792"/>
          <cell r="I1792"/>
        </row>
        <row r="1793">
          <cell r="C1793"/>
          <cell r="D1793" t="str">
            <v>de</v>
          </cell>
          <cell r="E1793" t="str">
            <v>pièce</v>
          </cell>
          <cell r="F1793"/>
          <cell r="G1793"/>
          <cell r="H1793"/>
          <cell r="I1793"/>
        </row>
        <row r="1794">
          <cell r="C1794"/>
          <cell r="D1794" t="str">
            <v>du</v>
          </cell>
          <cell r="E1794" t="str">
            <v>bien immobilier</v>
          </cell>
          <cell r="F1794"/>
          <cell r="G1794"/>
          <cell r="H1794"/>
          <cell r="I1794"/>
        </row>
        <row r="1795">
          <cell r="C1795"/>
          <cell r="D1795" t="str">
            <v>du</v>
          </cell>
          <cell r="E1795" t="str">
            <v>bien immobilier</v>
          </cell>
          <cell r="F1795"/>
          <cell r="G1795"/>
          <cell r="H1795"/>
          <cell r="I1795"/>
        </row>
        <row r="1796">
          <cell r="C1796" t="str">
            <v>dernière image</v>
          </cell>
          <cell r="D1796" t="str">
            <v>du</v>
          </cell>
          <cell r="E1796" t="str">
            <v>bien immobilier</v>
          </cell>
          <cell r="F1796"/>
          <cell r="G1796"/>
          <cell r="H1796"/>
          <cell r="I1796"/>
        </row>
        <row r="1797">
          <cell r="C1797"/>
          <cell r="D1797" t="str">
            <v>du</v>
          </cell>
          <cell r="E1797" t="str">
            <v>bien immobilier</v>
          </cell>
          <cell r="F1797"/>
          <cell r="G1797"/>
          <cell r="H1797"/>
          <cell r="I1797"/>
        </row>
        <row r="1798">
          <cell r="C1798"/>
          <cell r="D1798" t="str">
            <v>du</v>
          </cell>
          <cell r="E1798" t="str">
            <v>bien immobilier</v>
          </cell>
          <cell r="F1798"/>
          <cell r="G1798"/>
          <cell r="H1798"/>
          <cell r="I1798"/>
        </row>
        <row r="1799">
          <cell r="C1799"/>
          <cell r="D1799" t="str">
            <v>de l'</v>
          </cell>
          <cell r="E1799" t="str">
            <v>acteur</v>
          </cell>
          <cell r="F1799"/>
          <cell r="G1799"/>
          <cell r="H1799"/>
          <cell r="I1799"/>
        </row>
        <row r="1800">
          <cell r="C1800"/>
          <cell r="D1800" t="str">
            <v>de l'</v>
          </cell>
          <cell r="E1800" t="str">
            <v>acteur</v>
          </cell>
          <cell r="F1800"/>
          <cell r="G1800"/>
          <cell r="H1800"/>
          <cell r="I1800"/>
        </row>
        <row r="1801">
          <cell r="C1801" t="str">
            <v>relation</v>
          </cell>
          <cell r="D1801" t="str">
            <v>entre</v>
          </cell>
          <cell r="E1801" t="str">
            <v>contrat</v>
          </cell>
          <cell r="F1801" t="str">
            <v>et</v>
          </cell>
          <cell r="G1801" t="str">
            <v>tiers</v>
          </cell>
          <cell r="H1801"/>
          <cell r="I1801"/>
        </row>
        <row r="1802">
          <cell r="C1802" t="str">
            <v>relation</v>
          </cell>
          <cell r="D1802" t="str">
            <v>entre</v>
          </cell>
          <cell r="E1802" t="str">
            <v>contrat</v>
          </cell>
          <cell r="F1802" t="str">
            <v>et</v>
          </cell>
          <cell r="G1802" t="str">
            <v>tiers</v>
          </cell>
          <cell r="H1802"/>
          <cell r="I1802"/>
        </row>
        <row r="1803">
          <cell r="C1803" t="str">
            <v>référence</v>
          </cell>
          <cell r="D1803" t="str">
            <v>du</v>
          </cell>
          <cell r="E1803" t="str">
            <v>tiers</v>
          </cell>
          <cell r="F1803"/>
          <cell r="G1803"/>
          <cell r="H1803"/>
          <cell r="I1803"/>
        </row>
        <row r="1804">
          <cell r="C1804"/>
          <cell r="D1804" t="str">
            <v>du</v>
          </cell>
          <cell r="E1804" t="str">
            <v>tiers</v>
          </cell>
          <cell r="F1804"/>
          <cell r="G1804"/>
          <cell r="H1804"/>
          <cell r="I1804"/>
        </row>
        <row r="1805">
          <cell r="C1805"/>
          <cell r="D1805" t="str">
            <v>du</v>
          </cell>
          <cell r="E1805" t="str">
            <v>tiers</v>
          </cell>
          <cell r="F1805"/>
          <cell r="G1805"/>
          <cell r="H1805"/>
          <cell r="I1805"/>
        </row>
        <row r="1806">
          <cell r="C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cell r="H1807"/>
          <cell r="I1807"/>
        </row>
        <row r="1808">
          <cell r="C1808" t="str">
            <v>relation</v>
          </cell>
          <cell r="D1808" t="str">
            <v>entre</v>
          </cell>
          <cell r="E1808" t="str">
            <v>objet assuré</v>
          </cell>
          <cell r="F1808" t="str">
            <v>et</v>
          </cell>
          <cell r="G1808" t="str">
            <v>tiers</v>
          </cell>
          <cell r="H1808"/>
          <cell r="I1808"/>
        </row>
        <row r="1809">
          <cell r="C1809"/>
          <cell r="D1809" t="str">
            <v>de la</v>
          </cell>
          <cell r="E1809" t="str">
            <v>qualité</v>
          </cell>
          <cell r="F1809" t="str">
            <v>du</v>
          </cell>
          <cell r="G1809" t="str">
            <v>tiers</v>
          </cell>
          <cell r="H1809"/>
          <cell r="I1809"/>
        </row>
        <row r="1810">
          <cell r="C1810"/>
          <cell r="D1810" t="str">
            <v>de la</v>
          </cell>
          <cell r="E1810" t="str">
            <v>nature</v>
          </cell>
          <cell r="F1810" t="str">
            <v>du</v>
          </cell>
          <cell r="G1810" t="str">
            <v>tiers</v>
          </cell>
          <cell r="H1810"/>
          <cell r="I1810"/>
        </row>
        <row r="1811">
          <cell r="C1811" t="str">
            <v>téléphone fixe</v>
          </cell>
          <cell r="D1811" t="str">
            <v>du</v>
          </cell>
          <cell r="E1811" t="str">
            <v>tiers</v>
          </cell>
          <cell r="F1811"/>
          <cell r="G1811"/>
          <cell r="H1811"/>
          <cell r="I1811"/>
        </row>
        <row r="1812">
          <cell r="C1812" t="str">
            <v>téléphone portable</v>
          </cell>
          <cell r="D1812" t="str">
            <v>du</v>
          </cell>
          <cell r="E1812" t="str">
            <v>tiers</v>
          </cell>
          <cell r="F1812"/>
          <cell r="G1812"/>
          <cell r="H1812"/>
          <cell r="I1812"/>
        </row>
        <row r="1813">
          <cell r="C1813"/>
          <cell r="D1813" t="str">
            <v>du</v>
          </cell>
          <cell r="E1813" t="str">
            <v>tiers</v>
          </cell>
          <cell r="F1813"/>
          <cell r="G1813"/>
          <cell r="H1813"/>
          <cell r="I1813"/>
        </row>
        <row r="1814">
          <cell r="C1814"/>
          <cell r="D1814" t="str">
            <v>du</v>
          </cell>
          <cell r="E1814" t="str">
            <v>tiers</v>
          </cell>
          <cell r="F1814"/>
          <cell r="G1814"/>
          <cell r="H1814"/>
          <cell r="I1814"/>
        </row>
        <row r="1815">
          <cell r="C1815" t="str">
            <v>postal</v>
          </cell>
          <cell r="D1815" t="str">
            <v>du</v>
          </cell>
          <cell r="E1815" t="str">
            <v>tiers</v>
          </cell>
          <cell r="F1815"/>
          <cell r="G1815"/>
          <cell r="H1815"/>
          <cell r="I1815"/>
        </row>
        <row r="1816">
          <cell r="C1816"/>
          <cell r="D1816" t="str">
            <v>de la</v>
          </cell>
          <cell r="E1816" t="str">
            <v>ville</v>
          </cell>
          <cell r="F1816" t="str">
            <v>du</v>
          </cell>
          <cell r="G1816" t="str">
            <v>tiers</v>
          </cell>
          <cell r="H1816"/>
          <cell r="I1816"/>
        </row>
        <row r="1817">
          <cell r="C1817" t="str">
            <v>INSEE</v>
          </cell>
          <cell r="D1817" t="str">
            <v>de la</v>
          </cell>
          <cell r="E1817" t="str">
            <v>ville</v>
          </cell>
          <cell r="F1817" t="str">
            <v>du</v>
          </cell>
          <cell r="G1817" t="str">
            <v>tiers</v>
          </cell>
          <cell r="H1817"/>
          <cell r="I1817"/>
        </row>
        <row r="1818">
          <cell r="C1818"/>
          <cell r="D1818" t="str">
            <v xml:space="preserve"> </v>
          </cell>
          <cell r="E1818" t="str">
            <v>pays</v>
          </cell>
          <cell r="F1818" t="str">
            <v>du</v>
          </cell>
          <cell r="G1818" t="str">
            <v>tiers</v>
          </cell>
          <cell r="H1818"/>
          <cell r="I1818"/>
        </row>
        <row r="1819">
          <cell r="C1819"/>
          <cell r="D1819" t="str">
            <v>du</v>
          </cell>
          <cell r="E1819" t="str">
            <v>conducteur</v>
          </cell>
          <cell r="F1819"/>
          <cell r="G1819"/>
          <cell r="H1819"/>
          <cell r="I1819"/>
        </row>
        <row r="1820">
          <cell r="C1820"/>
          <cell r="D1820" t="str">
            <v>du</v>
          </cell>
          <cell r="E1820" t="str">
            <v>permis de conduire</v>
          </cell>
          <cell r="F1820"/>
          <cell r="G1820"/>
          <cell r="H1820"/>
          <cell r="I1820"/>
        </row>
        <row r="1821">
          <cell r="C1821"/>
          <cell r="D1821" t="str">
            <v>du</v>
          </cell>
          <cell r="E1821" t="str">
            <v>pays d'obtention du permis de conduire</v>
          </cell>
          <cell r="F1821"/>
          <cell r="G1821"/>
          <cell r="H1821"/>
          <cell r="I1821"/>
        </row>
        <row r="1822">
          <cell r="C1822"/>
          <cell r="D1822" t="str">
            <v>de la</v>
          </cell>
          <cell r="E1822" t="str">
            <v>catégorie</v>
          </cell>
          <cell r="F1822" t="str">
            <v>du</v>
          </cell>
          <cell r="G1822" t="str">
            <v>permis de conduire</v>
          </cell>
          <cell r="H1822"/>
          <cell r="I1822"/>
        </row>
        <row r="1823">
          <cell r="C1823"/>
          <cell r="D1823" t="str">
            <v>du</v>
          </cell>
          <cell r="E1823" t="str">
            <v>permis de conduire</v>
          </cell>
          <cell r="F1823"/>
          <cell r="G1823"/>
          <cell r="H1823"/>
          <cell r="I1823"/>
        </row>
        <row r="1824">
          <cell r="C1824"/>
          <cell r="D1824" t="str">
            <v>du</v>
          </cell>
          <cell r="E1824" t="str">
            <v>CRM</v>
          </cell>
          <cell r="F1824" t="str">
            <v>du</v>
          </cell>
          <cell r="G1824" t="str">
            <v>conducteur</v>
          </cell>
          <cell r="H1824"/>
          <cell r="I1824"/>
        </row>
        <row r="1825">
          <cell r="C1825"/>
          <cell r="D1825" t="str">
            <v>du</v>
          </cell>
          <cell r="E1825" t="str">
            <v>zonier auto</v>
          </cell>
          <cell r="F1825"/>
          <cell r="G1825"/>
          <cell r="H1825"/>
          <cell r="I1825"/>
        </row>
        <row r="1826">
          <cell r="C1826"/>
          <cell r="D1826" t="str">
            <v>de</v>
          </cell>
          <cell r="E1826" t="str">
            <v>mois d'assurances</v>
          </cell>
          <cell r="F1826" t="str">
            <v>dans le</v>
          </cell>
          <cell r="G1826" t="str">
            <v>36 derniers mois</v>
          </cell>
          <cell r="H1826"/>
          <cell r="I1826"/>
        </row>
        <row r="1827">
          <cell r="C1827"/>
          <cell r="D1827" t="str">
            <v>d'</v>
          </cell>
          <cell r="E1827" t="str">
            <v>indemnisation</v>
          </cell>
          <cell r="F1827"/>
          <cell r="G1827"/>
          <cell r="H1827"/>
          <cell r="I1827"/>
        </row>
        <row r="1828">
          <cell r="C1828"/>
          <cell r="D1828" t="str">
            <v>d'</v>
          </cell>
          <cell r="E1828" t="str">
            <v>indemnisation</v>
          </cell>
          <cell r="F1828"/>
          <cell r="G1828"/>
          <cell r="H1828"/>
          <cell r="I1828"/>
        </row>
        <row r="1829">
          <cell r="C1829"/>
          <cell r="D1829" t="str">
            <v>d'</v>
          </cell>
          <cell r="E1829" t="str">
            <v>indemnisation</v>
          </cell>
          <cell r="F1829"/>
          <cell r="G1829"/>
          <cell r="H1829"/>
          <cell r="I1829"/>
        </row>
        <row r="1830">
          <cell r="C1830"/>
          <cell r="D1830" t="str">
            <v>de</v>
          </cell>
          <cell r="E1830" t="str">
            <v>responsabilité</v>
          </cell>
          <cell r="F1830" t="str">
            <v>du</v>
          </cell>
          <cell r="G1830" t="str">
            <v>conducteur</v>
          </cell>
          <cell r="H1830"/>
          <cell r="I1830"/>
        </row>
        <row r="1831">
          <cell r="C1831"/>
          <cell r="D1831" t="str">
            <v>du</v>
          </cell>
          <cell r="E1831" t="str">
            <v>contrôle d'alcoolémie</v>
          </cell>
          <cell r="F1831" t="str">
            <v>du</v>
          </cell>
          <cell r="G1831" t="str">
            <v>conducteur</v>
          </cell>
          <cell r="H1831"/>
          <cell r="I1831"/>
        </row>
        <row r="1832">
          <cell r="C1832"/>
          <cell r="D1832" t="str">
            <v>du</v>
          </cell>
          <cell r="E1832" t="str">
            <v>contrôle de stupéfiant</v>
          </cell>
          <cell r="F1832" t="str">
            <v>du</v>
          </cell>
          <cell r="G1832" t="str">
            <v>conducteur</v>
          </cell>
          <cell r="H1832"/>
          <cell r="I1832"/>
        </row>
        <row r="1833">
          <cell r="C1833"/>
          <cell r="D1833" t="str">
            <v>d'</v>
          </cell>
          <cell r="E1833" t="str">
            <v>infraction</v>
          </cell>
          <cell r="F1833"/>
          <cell r="G1833"/>
          <cell r="H1833"/>
          <cell r="I1833"/>
        </row>
        <row r="1834">
          <cell r="C1834"/>
          <cell r="D1834" t="str">
            <v>de l'</v>
          </cell>
          <cell r="E1834" t="str">
            <v>infraction</v>
          </cell>
          <cell r="F1834"/>
          <cell r="G1834"/>
          <cell r="H1834"/>
          <cell r="I1834"/>
        </row>
        <row r="1835">
          <cell r="C1835"/>
          <cell r="D1835" t="str">
            <v xml:space="preserve"> </v>
          </cell>
          <cell r="E1835" t="str">
            <v>infraction</v>
          </cell>
          <cell r="F1835" t="str">
            <v>du</v>
          </cell>
          <cell r="G1835" t="str">
            <v>sinistre</v>
          </cell>
          <cell r="H1835"/>
          <cell r="I1835"/>
        </row>
        <row r="1836">
          <cell r="C1836"/>
          <cell r="D1836" t="str">
            <v>d'</v>
          </cell>
          <cell r="E1836" t="str">
            <v>alcoolémie controlée</v>
          </cell>
          <cell r="F1836"/>
          <cell r="G1836"/>
          <cell r="H1836"/>
          <cell r="I1836"/>
        </row>
        <row r="1837">
          <cell r="C1837"/>
          <cell r="D1837" t="str">
            <v>de la</v>
          </cell>
          <cell r="E1837" t="str">
            <v>vitesse relevée</v>
          </cell>
          <cell r="F1837"/>
          <cell r="G1837"/>
          <cell r="H1837"/>
          <cell r="I1837"/>
        </row>
        <row r="1838">
          <cell r="C1838"/>
          <cell r="D1838" t="str">
            <v>de la</v>
          </cell>
          <cell r="E1838" t="str">
            <v>sanction</v>
          </cell>
          <cell r="F1838"/>
          <cell r="G1838"/>
          <cell r="H1838"/>
          <cell r="I1838"/>
        </row>
        <row r="1839">
          <cell r="C1839"/>
          <cell r="D1839" t="str">
            <v>de la</v>
          </cell>
          <cell r="E1839" t="str">
            <v>sanction</v>
          </cell>
          <cell r="F1839"/>
          <cell r="G1839"/>
          <cell r="H1839"/>
          <cell r="I1839"/>
        </row>
        <row r="1840">
          <cell r="C1840"/>
          <cell r="D1840" t="str">
            <v>de la</v>
          </cell>
          <cell r="E1840" t="str">
            <v>sanction</v>
          </cell>
          <cell r="F1840"/>
          <cell r="G1840"/>
          <cell r="H1840"/>
          <cell r="I1840"/>
        </row>
        <row r="1841">
          <cell r="C1841"/>
          <cell r="D1841" t="str">
            <v>du</v>
          </cell>
          <cell r="E1841" t="str">
            <v>motif</v>
          </cell>
          <cell r="F1841" t="str">
            <v>de la</v>
          </cell>
          <cell r="G1841" t="str">
            <v>sanction</v>
          </cell>
          <cell r="H1841"/>
          <cell r="I1841"/>
        </row>
        <row r="1842">
          <cell r="C1842"/>
          <cell r="D1842" t="str">
            <v xml:space="preserve"> </v>
          </cell>
          <cell r="E1842" t="str">
            <v>perte de points</v>
          </cell>
          <cell r="F1842"/>
          <cell r="G1842"/>
          <cell r="H1842"/>
          <cell r="I1842"/>
        </row>
        <row r="1843">
          <cell r="C1843" t="str">
            <v>résiliation</v>
          </cell>
          <cell r="D1843" t="str">
            <v>du</v>
          </cell>
          <cell r="E1843" t="str">
            <v>contrat précédent</v>
          </cell>
          <cell r="F1843" t="str">
            <v>par</v>
          </cell>
          <cell r="G1843" t="str">
            <v>assureur</v>
          </cell>
          <cell r="H1843"/>
          <cell r="I1843"/>
        </row>
        <row r="1844">
          <cell r="C1844"/>
          <cell r="D1844" t="str">
            <v>de</v>
          </cell>
          <cell r="E1844" t="str">
            <v>résiliation</v>
          </cell>
          <cell r="F1844" t="str">
            <v>du</v>
          </cell>
          <cell r="G1844" t="str">
            <v>contrat</v>
          </cell>
          <cell r="H1844"/>
          <cell r="I1844"/>
        </row>
        <row r="1845">
          <cell r="C1845"/>
          <cell r="D1845" t="str">
            <v>du</v>
          </cell>
          <cell r="E1845" t="str">
            <v>conducteur</v>
          </cell>
          <cell r="F1845"/>
          <cell r="G1845"/>
          <cell r="H1845"/>
          <cell r="I1845"/>
        </row>
        <row r="1846">
          <cell r="C1846"/>
          <cell r="D1846" t="str">
            <v>du</v>
          </cell>
          <cell r="E1846" t="str">
            <v>conducteur</v>
          </cell>
          <cell r="F1846"/>
          <cell r="G1846"/>
          <cell r="H1846"/>
          <cell r="I1846"/>
        </row>
        <row r="1847">
          <cell r="C1847"/>
          <cell r="D1847" t="str">
            <v>de l'</v>
          </cell>
          <cell r="E1847" t="str">
            <v>opération</v>
          </cell>
          <cell r="F1847" t="str">
            <v>par le</v>
          </cell>
          <cell r="G1847" t="str">
            <v>courtier</v>
          </cell>
          <cell r="H1847"/>
          <cell r="I1847"/>
        </row>
        <row r="1848">
          <cell r="C1848"/>
          <cell r="D1848" t="str">
            <v>de l'</v>
          </cell>
          <cell r="E1848" t="str">
            <v>opération</v>
          </cell>
          <cell r="F1848" t="str">
            <v>par le</v>
          </cell>
          <cell r="G1848" t="str">
            <v>courtier</v>
          </cell>
          <cell r="H1848"/>
          <cell r="I1848"/>
        </row>
        <row r="1849">
          <cell r="C1849"/>
          <cell r="D1849" t="str">
            <v>du</v>
          </cell>
          <cell r="E1849" t="str">
            <v>rédacteur courtier</v>
          </cell>
          <cell r="F1849" t="str">
            <v>de l'</v>
          </cell>
          <cell r="G1849" t="str">
            <v>opération saisie</v>
          </cell>
          <cell r="H1849"/>
          <cell r="I1849"/>
        </row>
        <row r="1850">
          <cell r="C1850" t="str">
            <v>suppression</v>
          </cell>
          <cell r="D1850" t="str">
            <v>chez</v>
          </cell>
          <cell r="E1850" t="str">
            <v>courtier</v>
          </cell>
          <cell r="F1850"/>
          <cell r="G1850"/>
          <cell r="H1850"/>
          <cell r="I1850"/>
        </row>
        <row r="1851">
          <cell r="C1851" t="str">
            <v>dernière image</v>
          </cell>
          <cell r="D1851" t="str">
            <v>du</v>
          </cell>
          <cell r="E1851" t="str">
            <v>conducteur</v>
          </cell>
          <cell r="F1851"/>
          <cell r="G1851"/>
          <cell r="H1851"/>
          <cell r="I1851"/>
        </row>
        <row r="1852">
          <cell r="C1852"/>
          <cell r="D1852" t="str">
            <v>du</v>
          </cell>
          <cell r="E1852" t="str">
            <v>tiers personne morale</v>
          </cell>
          <cell r="F1852"/>
          <cell r="G1852"/>
          <cell r="H1852"/>
          <cell r="I1852"/>
        </row>
        <row r="1853">
          <cell r="C1853" t="str">
            <v>dernière image</v>
          </cell>
          <cell r="D1853" t="str">
            <v>du</v>
          </cell>
          <cell r="E1853" t="str">
            <v>tiers personne morale</v>
          </cell>
          <cell r="F1853"/>
          <cell r="G1853"/>
          <cell r="H1853"/>
          <cell r="I1853"/>
        </row>
        <row r="1854">
          <cell r="C1854"/>
          <cell r="D1854" t="str">
            <v>du</v>
          </cell>
          <cell r="E1854" t="str">
            <v>tiers personne morale</v>
          </cell>
          <cell r="F1854"/>
          <cell r="G1854"/>
          <cell r="H1854"/>
          <cell r="I1854"/>
        </row>
        <row r="1855">
          <cell r="C1855" t="str">
            <v>suppression</v>
          </cell>
          <cell r="D1855" t="str">
            <v>chez</v>
          </cell>
          <cell r="E1855" t="str">
            <v>courtier</v>
          </cell>
          <cell r="F1855" t="str">
            <v>du</v>
          </cell>
          <cell r="G1855" t="str">
            <v>tiers personne morale</v>
          </cell>
          <cell r="H1855"/>
          <cell r="I1855"/>
        </row>
        <row r="1856">
          <cell r="C1856"/>
          <cell r="D1856" t="str">
            <v>du</v>
          </cell>
          <cell r="E1856" t="str">
            <v>tiers personne morale</v>
          </cell>
          <cell r="F1856"/>
          <cell r="G1856"/>
          <cell r="H1856"/>
          <cell r="I1856"/>
        </row>
        <row r="1857">
          <cell r="C1857"/>
          <cell r="D1857" t="str">
            <v>de la</v>
          </cell>
          <cell r="E1857" t="str">
            <v>raison sociale</v>
          </cell>
          <cell r="F1857"/>
          <cell r="G1857"/>
          <cell r="H1857"/>
          <cell r="I1857"/>
        </row>
        <row r="1858">
          <cell r="C1858"/>
          <cell r="D1858" t="str">
            <v>de</v>
          </cell>
          <cell r="E1858" t="str">
            <v>SIRET</v>
          </cell>
          <cell r="F1858"/>
          <cell r="G1858"/>
          <cell r="H1858"/>
          <cell r="I1858"/>
        </row>
        <row r="1859">
          <cell r="C1859"/>
          <cell r="D1859" t="str">
            <v xml:space="preserve"> </v>
          </cell>
          <cell r="E1859" t="str">
            <v>NAF</v>
          </cell>
          <cell r="F1859"/>
          <cell r="G1859"/>
          <cell r="H1859"/>
          <cell r="I1859"/>
        </row>
        <row r="1860">
          <cell r="C1860"/>
          <cell r="D1860" t="str">
            <v>de</v>
          </cell>
          <cell r="E1860" t="str">
            <v>fondation</v>
          </cell>
          <cell r="F1860"/>
          <cell r="G1860"/>
          <cell r="H1860"/>
          <cell r="I1860"/>
        </row>
        <row r="1861">
          <cell r="C1861"/>
          <cell r="D1861" t="str">
            <v>du</v>
          </cell>
          <cell r="E1861" t="str">
            <v>tiers personne physique</v>
          </cell>
          <cell r="F1861"/>
          <cell r="G1861"/>
          <cell r="H1861"/>
          <cell r="I1861"/>
        </row>
        <row r="1862">
          <cell r="C1862" t="str">
            <v>dernière image</v>
          </cell>
          <cell r="D1862" t="str">
            <v>du</v>
          </cell>
          <cell r="E1862" t="str">
            <v>tiers personne physique</v>
          </cell>
          <cell r="F1862"/>
          <cell r="G1862"/>
          <cell r="H1862"/>
          <cell r="I1862"/>
        </row>
        <row r="1863">
          <cell r="C1863"/>
          <cell r="D1863" t="str">
            <v>du</v>
          </cell>
          <cell r="E1863" t="str">
            <v>tiers personne physique</v>
          </cell>
          <cell r="F1863"/>
          <cell r="G1863"/>
          <cell r="H1863"/>
          <cell r="I1863"/>
        </row>
        <row r="1864">
          <cell r="C1864" t="str">
            <v>suppression</v>
          </cell>
          <cell r="D1864" t="str">
            <v>chez</v>
          </cell>
          <cell r="E1864" t="str">
            <v>courtier</v>
          </cell>
          <cell r="F1864" t="str">
            <v>du</v>
          </cell>
          <cell r="G1864" t="str">
            <v>tiers personne physique</v>
          </cell>
          <cell r="H1864"/>
          <cell r="I1864"/>
        </row>
        <row r="1865">
          <cell r="C1865"/>
          <cell r="D1865" t="str">
            <v>du</v>
          </cell>
          <cell r="E1865" t="str">
            <v>tiers personne physique</v>
          </cell>
          <cell r="F1865"/>
          <cell r="G1865"/>
          <cell r="H1865"/>
          <cell r="I1865"/>
        </row>
        <row r="1866">
          <cell r="C1866"/>
          <cell r="D1866" t="str">
            <v>du</v>
          </cell>
          <cell r="E1866" t="str">
            <v>tiers</v>
          </cell>
          <cell r="F1866"/>
          <cell r="G1866"/>
          <cell r="H1866"/>
          <cell r="I1866"/>
        </row>
        <row r="1867">
          <cell r="C1867"/>
          <cell r="D1867" t="str">
            <v>du</v>
          </cell>
          <cell r="E1867" t="str">
            <v>tiers</v>
          </cell>
          <cell r="F1867"/>
          <cell r="G1867"/>
          <cell r="H1867"/>
          <cell r="I1867"/>
        </row>
        <row r="1868">
          <cell r="C1868"/>
          <cell r="D1868" t="str">
            <v>du</v>
          </cell>
          <cell r="E1868" t="str">
            <v>tiers</v>
          </cell>
          <cell r="F1868"/>
          <cell r="G1868"/>
          <cell r="H1868"/>
          <cell r="I1868"/>
        </row>
        <row r="1869">
          <cell r="C1869"/>
          <cell r="D1869" t="str">
            <v>du</v>
          </cell>
          <cell r="E1869" t="str">
            <v>tiers</v>
          </cell>
          <cell r="F1869"/>
          <cell r="G1869"/>
          <cell r="H1869"/>
          <cell r="I1869"/>
        </row>
        <row r="1870">
          <cell r="C1870" t="str">
            <v>postal</v>
          </cell>
          <cell r="D1870" t="str">
            <v>de la</v>
          </cell>
          <cell r="E1870" t="str">
            <v>ville de naissance</v>
          </cell>
          <cell r="F1870" t="str">
            <v>du</v>
          </cell>
          <cell r="G1870" t="str">
            <v>tiers</v>
          </cell>
          <cell r="H1870"/>
          <cell r="I1870"/>
        </row>
        <row r="1871">
          <cell r="C1871"/>
          <cell r="D1871" t="str">
            <v>de la</v>
          </cell>
          <cell r="E1871" t="str">
            <v>ville de naissance</v>
          </cell>
          <cell r="F1871" t="str">
            <v>du</v>
          </cell>
          <cell r="G1871" t="str">
            <v>tiers</v>
          </cell>
          <cell r="H1871"/>
          <cell r="I1871"/>
        </row>
        <row r="1872">
          <cell r="C1872"/>
          <cell r="D1872" t="str">
            <v>du</v>
          </cell>
          <cell r="E1872" t="str">
            <v>pays de naissance</v>
          </cell>
          <cell r="F1872" t="str">
            <v>du</v>
          </cell>
          <cell r="G1872" t="str">
            <v>tiers</v>
          </cell>
          <cell r="H1872"/>
          <cell r="I1872"/>
        </row>
        <row r="1873">
          <cell r="C1873" t="str">
            <v>INSEE</v>
          </cell>
          <cell r="D1873" t="str">
            <v>de la</v>
          </cell>
          <cell r="E1873" t="str">
            <v>ville de naissance</v>
          </cell>
          <cell r="F1873" t="str">
            <v>du</v>
          </cell>
          <cell r="G1873" t="str">
            <v>tiers</v>
          </cell>
          <cell r="H1873"/>
          <cell r="I1873"/>
        </row>
        <row r="1874">
          <cell r="C1874"/>
          <cell r="D1874" t="str">
            <v>du</v>
          </cell>
          <cell r="E1874" t="str">
            <v>sexe</v>
          </cell>
          <cell r="F1874" t="str">
            <v>du</v>
          </cell>
          <cell r="G1874" t="str">
            <v>tiers</v>
          </cell>
          <cell r="H1874"/>
          <cell r="I1874"/>
        </row>
        <row r="1875">
          <cell r="C1875"/>
          <cell r="D1875" t="str">
            <v>de la</v>
          </cell>
          <cell r="E1875" t="str">
            <v>situation familiale</v>
          </cell>
          <cell r="F1875" t="str">
            <v>du</v>
          </cell>
          <cell r="G1875" t="str">
            <v>tiers</v>
          </cell>
          <cell r="H1875"/>
          <cell r="I1875"/>
        </row>
        <row r="1876">
          <cell r="C1876"/>
          <cell r="D1876" t="str">
            <v>de l'</v>
          </cell>
          <cell r="E1876" t="str">
            <v>état</v>
          </cell>
          <cell r="F1876" t="str">
            <v>de l'</v>
          </cell>
          <cell r="G1876" t="str">
            <v>opération</v>
          </cell>
          <cell r="H1876"/>
          <cell r="I1876"/>
        </row>
        <row r="1877">
          <cell r="C1877"/>
          <cell r="D1877" t="str">
            <v>de la</v>
          </cell>
          <cell r="E1877" t="str">
            <v>catégorie socio-professionnelle</v>
          </cell>
          <cell r="F1877" t="str">
            <v>du</v>
          </cell>
          <cell r="G1877" t="str">
            <v>tiers</v>
          </cell>
          <cell r="H1877"/>
          <cell r="I1877"/>
        </row>
        <row r="1878">
          <cell r="C1878"/>
          <cell r="D1878" t="str">
            <v>de</v>
          </cell>
          <cell r="E1878" t="str">
            <v>conservation</v>
          </cell>
          <cell r="F1878"/>
          <cell r="G1878"/>
          <cell r="H1878"/>
          <cell r="I1878"/>
        </row>
        <row r="1879">
          <cell r="C1879"/>
          <cell r="D1879" t="str">
            <v>d'</v>
          </cell>
          <cell r="E1879" t="str">
            <v>honoraires</v>
          </cell>
          <cell r="F1879"/>
          <cell r="G1879"/>
          <cell r="H1879"/>
          <cell r="I1879"/>
        </row>
        <row r="1880">
          <cell r="C1880" t="str">
            <v>recouvrement par voie d'huissier</v>
          </cell>
          <cell r="D1880" t="str">
            <v>de l'</v>
          </cell>
          <cell r="E1880" t="str">
            <v>événement de la dette</v>
          </cell>
          <cell r="F1880"/>
          <cell r="G1880"/>
          <cell r="H1880"/>
          <cell r="I1880"/>
        </row>
        <row r="1881">
          <cell r="C1881"/>
          <cell r="D1881" t="str">
            <v>de l'</v>
          </cell>
          <cell r="E1881" t="str">
            <v>origine</v>
          </cell>
          <cell r="F1881" t="str">
            <v>de l'</v>
          </cell>
          <cell r="G1881" t="str">
            <v>augmentation</v>
          </cell>
          <cell r="H1881" t="str">
            <v>de l'</v>
          </cell>
          <cell r="I1881" t="str">
            <v>événement de la dette</v>
          </cell>
        </row>
        <row r="1882">
          <cell r="C1882"/>
          <cell r="D1882" t="str">
            <v>de l'</v>
          </cell>
          <cell r="E1882" t="str">
            <v>origine</v>
          </cell>
          <cell r="F1882" t="str">
            <v>de l'</v>
          </cell>
          <cell r="G1882" t="str">
            <v>augmentation</v>
          </cell>
          <cell r="H1882" t="str">
            <v>de l'</v>
          </cell>
          <cell r="I1882" t="str">
            <v>événement de la dette</v>
          </cell>
        </row>
        <row r="1883">
          <cell r="C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cell r="F1884"/>
          <cell r="G1884"/>
          <cell r="H1884"/>
          <cell r="I1884"/>
        </row>
        <row r="1885">
          <cell r="C1885"/>
          <cell r="D1885" t="str">
            <v>de l'</v>
          </cell>
          <cell r="E1885" t="str">
            <v>Entité gestionnaire</v>
          </cell>
          <cell r="F1885" t="str">
            <v>du</v>
          </cell>
          <cell r="G1885" t="str">
            <v>contrat</v>
          </cell>
          <cell r="H1885"/>
          <cell r="I1885"/>
        </row>
        <row r="1886">
          <cell r="C1886"/>
          <cell r="D1886" t="str">
            <v>de la</v>
          </cell>
          <cell r="E1886" t="str">
            <v>société apéritrice</v>
          </cell>
          <cell r="F1886" t="str">
            <v>du</v>
          </cell>
          <cell r="G1886" t="str">
            <v>contrat</v>
          </cell>
          <cell r="H1886"/>
          <cell r="I1886"/>
        </row>
        <row r="1887">
          <cell r="C1887"/>
          <cell r="D1887" t="str">
            <v>de l'</v>
          </cell>
          <cell r="E1887" t="str">
            <v>Entité gestionnaire</v>
          </cell>
          <cell r="F1887" t="str">
            <v>du</v>
          </cell>
          <cell r="G1887" t="str">
            <v>contrat</v>
          </cell>
          <cell r="H1887"/>
          <cell r="I1887"/>
        </row>
        <row r="1888">
          <cell r="C1888"/>
          <cell r="D1888" t="str">
            <v>du</v>
          </cell>
          <cell r="E1888" t="str">
            <v>programme informatique</v>
          </cell>
          <cell r="F1888"/>
          <cell r="G1888" t="str">
            <v>Créateur de l'événement de la dette</v>
          </cell>
          <cell r="H1888"/>
          <cell r="I1888"/>
        </row>
        <row r="1889">
          <cell r="C1889"/>
          <cell r="D1889" t="str">
            <v>de la</v>
          </cell>
          <cell r="E1889" t="str">
            <v>devise du montant</v>
          </cell>
          <cell r="F1889" t="str">
            <v>de la</v>
          </cell>
          <cell r="G1889" t="str">
            <v>dette</v>
          </cell>
          <cell r="H1889"/>
          <cell r="I1889"/>
        </row>
        <row r="1890">
          <cell r="C1890"/>
          <cell r="D1890" t="str">
            <v>de</v>
          </cell>
          <cell r="E1890" t="str">
            <v>contrat</v>
          </cell>
          <cell r="F1890" t="str">
            <v>de la</v>
          </cell>
          <cell r="G1890" t="str">
            <v>dette</v>
          </cell>
          <cell r="H1890"/>
          <cell r="I1890"/>
        </row>
        <row r="1891">
          <cell r="C1891"/>
          <cell r="D1891" t="str">
            <v>de l'</v>
          </cell>
          <cell r="E1891" t="str">
            <v>etat</v>
          </cell>
          <cell r="F1891" t="str">
            <v>de la</v>
          </cell>
          <cell r="G1891" t="str">
            <v>dette</v>
          </cell>
          <cell r="H1891"/>
          <cell r="I1891"/>
        </row>
        <row r="1892">
          <cell r="C1892" t="str">
            <v>actuel</v>
          </cell>
          <cell r="D1892" t="str">
            <v>de la</v>
          </cell>
          <cell r="E1892" t="str">
            <v>dette</v>
          </cell>
          <cell r="F1892"/>
          <cell r="G1892"/>
          <cell r="H1892"/>
          <cell r="I1892"/>
        </row>
        <row r="1893">
          <cell r="C1893"/>
          <cell r="D1893" t="str">
            <v>du</v>
          </cell>
          <cell r="E1893" t="str">
            <v>Mode de règlement</v>
          </cell>
          <cell r="F1893" t="str">
            <v>de l'</v>
          </cell>
          <cell r="G1893" t="str">
            <v>événement de la dette</v>
          </cell>
          <cell r="H1893"/>
          <cell r="I1893"/>
        </row>
        <row r="1894">
          <cell r="C1894"/>
          <cell r="D1894" t="str">
            <v>du</v>
          </cell>
          <cell r="E1894" t="str">
            <v>type de destinataire du règlement</v>
          </cell>
          <cell r="F1894" t="str">
            <v>de l'</v>
          </cell>
          <cell r="G1894" t="str">
            <v>événement de la dette</v>
          </cell>
          <cell r="H1894"/>
          <cell r="I1894"/>
        </row>
        <row r="1895">
          <cell r="C1895"/>
          <cell r="D1895" t="str">
            <v>du</v>
          </cell>
          <cell r="E1895" t="str">
            <v>Type de recours encaissé</v>
          </cell>
          <cell r="F1895" t="str">
            <v>de l'</v>
          </cell>
          <cell r="G1895" t="str">
            <v>événement de la dette</v>
          </cell>
          <cell r="H1895"/>
          <cell r="I1895"/>
        </row>
        <row r="1896">
          <cell r="C1896"/>
          <cell r="D1896" t="str">
            <v>du</v>
          </cell>
          <cell r="E1896" t="str">
            <v>type d'encaissement</v>
          </cell>
          <cell r="F1896" t="str">
            <v>de l'</v>
          </cell>
          <cell r="G1896" t="str">
            <v>événement de la dette</v>
          </cell>
          <cell r="H1896"/>
          <cell r="I1896"/>
        </row>
        <row r="1897">
          <cell r="C1897"/>
          <cell r="D1897" t="str">
            <v>du</v>
          </cell>
          <cell r="E1897" t="str">
            <v>type de saisie SEN</v>
          </cell>
          <cell r="F1897" t="str">
            <v>de l'</v>
          </cell>
          <cell r="G1897" t="str">
            <v>événement de la dette</v>
          </cell>
          <cell r="H1897"/>
          <cell r="I1897"/>
        </row>
        <row r="1898">
          <cell r="C1898"/>
          <cell r="D1898" t="str">
            <v>du</v>
          </cell>
          <cell r="E1898" t="str">
            <v>dépassement assurance</v>
          </cell>
          <cell r="F1898" t="str">
            <v>de l'</v>
          </cell>
          <cell r="G1898" t="str">
            <v>événement de la dette</v>
          </cell>
          <cell r="H1898"/>
          <cell r="I1898"/>
        </row>
        <row r="1899">
          <cell r="C1899"/>
          <cell r="D1899" t="str">
            <v>de l'</v>
          </cell>
          <cell r="E1899" t="str">
            <v>opération</v>
          </cell>
          <cell r="F1899" t="str">
            <v>de l'</v>
          </cell>
          <cell r="G1899" t="str">
            <v>événement de la dette</v>
          </cell>
          <cell r="H1899"/>
          <cell r="I1899"/>
        </row>
        <row r="1900">
          <cell r="C1900"/>
          <cell r="D1900" t="str">
            <v>de la</v>
          </cell>
          <cell r="E1900" t="str">
            <v>retenue positive</v>
          </cell>
          <cell r="F1900" t="str">
            <v>de l'</v>
          </cell>
          <cell r="G1900" t="str">
            <v>événement de la dette</v>
          </cell>
          <cell r="H1900"/>
          <cell r="I1900"/>
        </row>
        <row r="1901">
          <cell r="C1901"/>
          <cell r="D1901" t="str">
            <v>de la</v>
          </cell>
          <cell r="E1901" t="str">
            <v>devise du montant</v>
          </cell>
          <cell r="F1901" t="str">
            <v>de l'</v>
          </cell>
          <cell r="G1901" t="str">
            <v>événement de la dette</v>
          </cell>
          <cell r="H1901"/>
          <cell r="I1901"/>
        </row>
        <row r="1902">
          <cell r="C1902"/>
          <cell r="D1902" t="str">
            <v>de l'</v>
          </cell>
          <cell r="E1902" t="str">
            <v>opération effectuée</v>
          </cell>
          <cell r="F1902" t="str">
            <v>sur l'</v>
          </cell>
          <cell r="G1902" t="str">
            <v>événement de la dette</v>
          </cell>
          <cell r="H1902"/>
          <cell r="I1902"/>
        </row>
        <row r="1903">
          <cell r="C1903"/>
          <cell r="D1903" t="str">
            <v>du</v>
          </cell>
          <cell r="E1903" t="str">
            <v>mode de règlement</v>
          </cell>
          <cell r="F1903" t="str">
            <v>de l'</v>
          </cell>
          <cell r="G1903" t="str">
            <v>événement de la dette</v>
          </cell>
          <cell r="H1903"/>
          <cell r="I1903"/>
        </row>
        <row r="1904">
          <cell r="C1904"/>
          <cell r="D1904" t="str">
            <v>du</v>
          </cell>
          <cell r="E1904" t="str">
            <v>Mode de règlement</v>
          </cell>
          <cell r="F1904" t="str">
            <v>de l'</v>
          </cell>
          <cell r="G1904" t="str">
            <v>événement de la dette</v>
          </cell>
          <cell r="H1904"/>
          <cell r="I1904"/>
        </row>
        <row r="1905">
          <cell r="C1905"/>
          <cell r="D1905" t="str">
            <v>du</v>
          </cell>
          <cell r="E1905" t="str">
            <v>type de destinataire du règlement</v>
          </cell>
          <cell r="F1905" t="str">
            <v>de l'</v>
          </cell>
          <cell r="G1905" t="str">
            <v>événement de la dette</v>
          </cell>
          <cell r="H1905"/>
          <cell r="I1905"/>
        </row>
        <row r="1906">
          <cell r="C1906"/>
          <cell r="D1906" t="str">
            <v>du</v>
          </cell>
          <cell r="E1906" t="str">
            <v>type de destinataire du règlement</v>
          </cell>
          <cell r="F1906" t="str">
            <v>de l'</v>
          </cell>
          <cell r="G1906" t="str">
            <v>événement de la dette</v>
          </cell>
          <cell r="H1906"/>
          <cell r="I1906"/>
        </row>
        <row r="1907">
          <cell r="C1907"/>
          <cell r="D1907" t="str">
            <v>du</v>
          </cell>
          <cell r="E1907" t="str">
            <v>Type de recours encaissé</v>
          </cell>
          <cell r="F1907" t="str">
            <v>de l'</v>
          </cell>
          <cell r="G1907" t="str">
            <v>événement de la dette</v>
          </cell>
          <cell r="H1907"/>
          <cell r="I1907"/>
        </row>
        <row r="1908">
          <cell r="C1908"/>
          <cell r="D1908" t="str">
            <v>du</v>
          </cell>
          <cell r="E1908" t="str">
            <v>Type de recours encaissé</v>
          </cell>
          <cell r="F1908" t="str">
            <v>de l'</v>
          </cell>
          <cell r="G1908" t="str">
            <v>événement de la dette</v>
          </cell>
          <cell r="H1908"/>
          <cell r="I1908"/>
        </row>
        <row r="1909">
          <cell r="C1909"/>
          <cell r="D1909" t="str">
            <v>du</v>
          </cell>
          <cell r="E1909" t="str">
            <v>type d'encaissement</v>
          </cell>
          <cell r="F1909" t="str">
            <v>de l'</v>
          </cell>
          <cell r="G1909" t="str">
            <v>événement de la dette</v>
          </cell>
          <cell r="H1909"/>
          <cell r="I1909"/>
        </row>
        <row r="1910">
          <cell r="C1910"/>
          <cell r="D1910" t="str">
            <v>du</v>
          </cell>
          <cell r="E1910" t="str">
            <v>type d'encaissement</v>
          </cell>
          <cell r="F1910" t="str">
            <v>de l'</v>
          </cell>
          <cell r="G1910" t="str">
            <v>événement de la dette</v>
          </cell>
          <cell r="H1910"/>
          <cell r="I1910"/>
        </row>
        <row r="1911">
          <cell r="C1911"/>
          <cell r="D1911" t="str">
            <v>de la</v>
          </cell>
          <cell r="E1911" t="str">
            <v>valeur de l'encaissement</v>
          </cell>
          <cell r="F1911" t="str">
            <v>de l'</v>
          </cell>
          <cell r="G1911" t="str">
            <v>événement de la dette</v>
          </cell>
          <cell r="H1911"/>
          <cell r="I1911"/>
        </row>
        <row r="1912">
          <cell r="C1912"/>
          <cell r="D1912" t="str">
            <v>du</v>
          </cell>
          <cell r="E1912" t="str">
            <v>type de saisie SEN</v>
          </cell>
          <cell r="F1912" t="str">
            <v>de l'</v>
          </cell>
          <cell r="G1912" t="str">
            <v>événement de la dette</v>
          </cell>
          <cell r="H1912"/>
          <cell r="I1912"/>
        </row>
        <row r="1913">
          <cell r="C1913"/>
          <cell r="D1913" t="str">
            <v>du</v>
          </cell>
          <cell r="E1913" t="str">
            <v>type de saisie SEN</v>
          </cell>
          <cell r="F1913" t="str">
            <v>de l'</v>
          </cell>
          <cell r="G1913" t="str">
            <v>événement de la dette</v>
          </cell>
          <cell r="H1913"/>
          <cell r="I1913"/>
        </row>
        <row r="1914">
          <cell r="C1914"/>
          <cell r="D1914" t="str">
            <v>du</v>
          </cell>
          <cell r="E1914" t="str">
            <v>contrat source</v>
          </cell>
          <cell r="F1914" t="str">
            <v>de l'</v>
          </cell>
          <cell r="G1914" t="str">
            <v>événement de la dette</v>
          </cell>
          <cell r="H1914"/>
          <cell r="I1914"/>
        </row>
        <row r="1915">
          <cell r="C1915"/>
          <cell r="D1915" t="str">
            <v>du</v>
          </cell>
          <cell r="E1915" t="str">
            <v>type de traitement</v>
          </cell>
          <cell r="F1915" t="str">
            <v>de l'</v>
          </cell>
          <cell r="G1915" t="str">
            <v>événement de la dette</v>
          </cell>
          <cell r="H1915"/>
          <cell r="I1915"/>
        </row>
        <row r="1916">
          <cell r="C1916"/>
          <cell r="D1916" t="str">
            <v>du</v>
          </cell>
          <cell r="E1916" t="str">
            <v>contrat cible</v>
          </cell>
          <cell r="F1916" t="str">
            <v>de l'</v>
          </cell>
          <cell r="G1916" t="str">
            <v>événement de la dette</v>
          </cell>
          <cell r="H1916"/>
          <cell r="I1916"/>
        </row>
        <row r="1917">
          <cell r="C1917"/>
          <cell r="D1917" t="str">
            <v>de la</v>
          </cell>
          <cell r="E1917" t="str">
            <v>condition de règlement utilisée</v>
          </cell>
          <cell r="F1917" t="str">
            <v>de l'</v>
          </cell>
          <cell r="G1917" t="str">
            <v>événement de la dette</v>
          </cell>
          <cell r="H1917"/>
          <cell r="I1917"/>
        </row>
        <row r="1918">
          <cell r="C1918"/>
          <cell r="D1918" t="str">
            <v>de l'</v>
          </cell>
          <cell r="E1918" t="str">
            <v>opération</v>
          </cell>
          <cell r="F1918" t="str">
            <v>par</v>
          </cell>
          <cell r="G1918" t="str">
            <v>Ligne de soins</v>
          </cell>
          <cell r="H1918"/>
          <cell r="I1918"/>
        </row>
        <row r="1919">
          <cell r="C1919"/>
          <cell r="D1919" t="str">
            <v>de la</v>
          </cell>
          <cell r="E1919" t="str">
            <v>devise du montant</v>
          </cell>
          <cell r="F1919" t="str">
            <v>de la</v>
          </cell>
          <cell r="G1919" t="str">
            <v>Ligne de soins</v>
          </cell>
          <cell r="H1919"/>
          <cell r="I1919"/>
        </row>
        <row r="1920">
          <cell r="C1920"/>
          <cell r="D1920" t="str">
            <v>du</v>
          </cell>
          <cell r="E1920" t="str">
            <v>motif</v>
          </cell>
          <cell r="F1920" t="str">
            <v>de la</v>
          </cell>
          <cell r="G1920" t="str">
            <v>modification</v>
          </cell>
          <cell r="H1920" t="str">
            <v>de l'</v>
          </cell>
          <cell r="I1920" t="str">
            <v>événement de la dette</v>
          </cell>
        </row>
        <row r="1921">
          <cell r="C1921"/>
          <cell r="D1921" t="str">
            <v>du</v>
          </cell>
          <cell r="E1921" t="str">
            <v>motif</v>
          </cell>
          <cell r="F1921" t="str">
            <v>de la</v>
          </cell>
          <cell r="G1921" t="str">
            <v>modification</v>
          </cell>
          <cell r="H1921" t="str">
            <v>de l'</v>
          </cell>
          <cell r="I1921" t="str">
            <v>événement de la dette</v>
          </cell>
        </row>
        <row r="1922">
          <cell r="C1922"/>
          <cell r="D1922" t="str">
            <v>du</v>
          </cell>
          <cell r="E1922" t="str">
            <v>motif</v>
          </cell>
          <cell r="F1922" t="str">
            <v>de la</v>
          </cell>
          <cell r="G1922" t="str">
            <v>modification</v>
          </cell>
          <cell r="H1922" t="str">
            <v>de l'</v>
          </cell>
          <cell r="I1922" t="str">
            <v>événement de la dette</v>
          </cell>
        </row>
        <row r="1923">
          <cell r="C1923"/>
          <cell r="D1923" t="str">
            <v>sur le</v>
          </cell>
          <cell r="E1923" t="str">
            <v>contrat collectif</v>
          </cell>
          <cell r="F1923" t="str">
            <v>de l'</v>
          </cell>
          <cell r="G1923" t="str">
            <v>opération</v>
          </cell>
          <cell r="H1923"/>
          <cell r="I1923"/>
        </row>
        <row r="1924">
          <cell r="C1924"/>
          <cell r="D1924" t="str">
            <v>de la</v>
          </cell>
          <cell r="E1924" t="str">
            <v>branche IDW</v>
          </cell>
          <cell r="F1924" t="str">
            <v>du</v>
          </cell>
          <cell r="G1924" t="str">
            <v>produit cible</v>
          </cell>
          <cell r="H1924"/>
          <cell r="I1924"/>
        </row>
        <row r="1925">
          <cell r="C1925"/>
          <cell r="D1925" t="str">
            <v>de la</v>
          </cell>
          <cell r="E1925" t="str">
            <v>branche IDW</v>
          </cell>
          <cell r="F1925" t="str">
            <v>du</v>
          </cell>
          <cell r="G1925" t="str">
            <v>Produit d'Assurance</v>
          </cell>
          <cell r="H1925"/>
          <cell r="I1925"/>
        </row>
        <row r="1926">
          <cell r="C1926"/>
          <cell r="D1926" t="str">
            <v>de la</v>
          </cell>
          <cell r="E1926" t="str">
            <v>branche IDW</v>
          </cell>
          <cell r="F1926" t="str">
            <v>du</v>
          </cell>
          <cell r="G1926" t="str">
            <v>produit source</v>
          </cell>
          <cell r="H1926"/>
          <cell r="I1926"/>
        </row>
        <row r="1927">
          <cell r="C1927"/>
          <cell r="D1927" t="str">
            <v>du</v>
          </cell>
          <cell r="E1927" t="str">
            <v>BBAN</v>
          </cell>
          <cell r="F1927" t="str">
            <v>du</v>
          </cell>
          <cell r="G1927" t="str">
            <v>règlement</v>
          </cell>
          <cell r="H1927" t="str">
            <v>de l'</v>
          </cell>
          <cell r="I1927" t="str">
            <v>événement de la dette</v>
          </cell>
        </row>
        <row r="1928">
          <cell r="C1928"/>
          <cell r="D1928" t="str">
            <v>de la</v>
          </cell>
          <cell r="E1928" t="str">
            <v>ligne de soins</v>
          </cell>
          <cell r="F1928"/>
          <cell r="G1928"/>
          <cell r="H1928"/>
          <cell r="I1928"/>
        </row>
        <row r="1929">
          <cell r="C1929"/>
          <cell r="D1929" t="str">
            <v>de la</v>
          </cell>
          <cell r="E1929" t="str">
            <v>dette</v>
          </cell>
          <cell r="F1929"/>
          <cell r="G1929"/>
          <cell r="H1929"/>
          <cell r="I1929"/>
        </row>
        <row r="1930">
          <cell r="C1930"/>
          <cell r="D1930" t="str">
            <v>de l'</v>
          </cell>
          <cell r="E1930" t="str">
            <v>événement de la dette</v>
          </cell>
          <cell r="F1930"/>
          <cell r="G1930"/>
          <cell r="H1930"/>
          <cell r="I1930"/>
        </row>
        <row r="1931">
          <cell r="C1931"/>
          <cell r="D1931" t="str">
            <v>du</v>
          </cell>
          <cell r="E1931" t="str">
            <v>Type d'événement de la dette</v>
          </cell>
          <cell r="F1931"/>
          <cell r="G1931"/>
          <cell r="H1931"/>
          <cell r="I1931"/>
        </row>
        <row r="1932">
          <cell r="C1932"/>
          <cell r="D1932" t="str">
            <v>de la</v>
          </cell>
          <cell r="E1932" t="str">
            <v>nature de la dette</v>
          </cell>
          <cell r="F1932"/>
          <cell r="G1932"/>
          <cell r="H1932"/>
          <cell r="I1932"/>
        </row>
        <row r="1933">
          <cell r="C1933"/>
          <cell r="D1933" t="str">
            <v>du</v>
          </cell>
          <cell r="E1933" t="str">
            <v>Type de destinataire de la dette</v>
          </cell>
          <cell r="F1933"/>
          <cell r="G1933"/>
          <cell r="H1933"/>
          <cell r="I1933"/>
        </row>
        <row r="1934">
          <cell r="C1934"/>
          <cell r="D1934" t="str">
            <v>du</v>
          </cell>
          <cell r="E1934" t="str">
            <v>mode de récupération de la dette</v>
          </cell>
          <cell r="F1934"/>
          <cell r="G1934"/>
          <cell r="H1934"/>
          <cell r="I1934"/>
        </row>
        <row r="1935">
          <cell r="C1935"/>
          <cell r="D1935" t="str">
            <v>de l'</v>
          </cell>
          <cell r="E1935" t="str">
            <v xml:space="preserve">événement rattaché de la dette </v>
          </cell>
          <cell r="F1935"/>
          <cell r="G1935"/>
          <cell r="H1935"/>
          <cell r="I1935"/>
        </row>
        <row r="1936">
          <cell r="C1936"/>
          <cell r="D1936" t="str">
            <v>du</v>
          </cell>
          <cell r="E1936" t="str">
            <v>Règlement Assurance santé</v>
          </cell>
          <cell r="F1936"/>
          <cell r="G1936"/>
          <cell r="H1936"/>
          <cell r="I1936"/>
        </row>
        <row r="1937">
          <cell r="C1937"/>
          <cell r="D1937" t="str">
            <v>du</v>
          </cell>
          <cell r="E1937" t="str">
            <v>Dernier événement de la dette</v>
          </cell>
          <cell r="F1937"/>
          <cell r="G1937"/>
          <cell r="H1937"/>
          <cell r="I1937"/>
        </row>
        <row r="1938">
          <cell r="C1938"/>
          <cell r="D1938" t="str">
            <v>du</v>
          </cell>
          <cell r="E1938" t="str">
            <v>règlement</v>
          </cell>
          <cell r="F1938"/>
          <cell r="G1938"/>
          <cell r="H1938"/>
          <cell r="I1938"/>
        </row>
        <row r="1939">
          <cell r="C1939"/>
          <cell r="D1939" t="str">
            <v>du</v>
          </cell>
          <cell r="E1939" t="str">
            <v>Destinataire du règlement</v>
          </cell>
          <cell r="F1939"/>
          <cell r="G1939"/>
          <cell r="H1939"/>
          <cell r="I1939"/>
        </row>
        <row r="1940">
          <cell r="C1940"/>
          <cell r="D1940" t="str">
            <v>de l'</v>
          </cell>
          <cell r="E1940" t="str">
            <v>encaissement</v>
          </cell>
          <cell r="F1940"/>
          <cell r="G1940"/>
          <cell r="H1940"/>
          <cell r="I1940"/>
        </row>
        <row r="1941">
          <cell r="C1941"/>
          <cell r="D1941" t="str">
            <v>du</v>
          </cell>
          <cell r="E1941" t="str">
            <v>contrat source</v>
          </cell>
          <cell r="F1941"/>
          <cell r="G1941"/>
          <cell r="H1941"/>
          <cell r="I1941"/>
        </row>
        <row r="1942">
          <cell r="C1942"/>
          <cell r="D1942" t="str">
            <v>du</v>
          </cell>
          <cell r="E1942" t="str">
            <v>produit source</v>
          </cell>
          <cell r="F1942"/>
          <cell r="G1942"/>
          <cell r="H1942"/>
          <cell r="I1942"/>
        </row>
        <row r="1943">
          <cell r="C1943"/>
          <cell r="D1943" t="str">
            <v>de la</v>
          </cell>
          <cell r="E1943" t="str">
            <v>dette transférée</v>
          </cell>
          <cell r="F1943"/>
          <cell r="G1943"/>
          <cell r="H1943"/>
          <cell r="I1943"/>
        </row>
        <row r="1944">
          <cell r="C1944"/>
          <cell r="D1944" t="str">
            <v>du</v>
          </cell>
          <cell r="E1944" t="str">
            <v>contrat cible</v>
          </cell>
          <cell r="F1944"/>
          <cell r="G1944"/>
          <cell r="H1944"/>
          <cell r="I1944"/>
        </row>
        <row r="1945">
          <cell r="C1945"/>
          <cell r="D1945" t="str">
            <v>du</v>
          </cell>
          <cell r="E1945" t="str">
            <v>produit cible</v>
          </cell>
          <cell r="F1945"/>
          <cell r="G1945"/>
          <cell r="H1945"/>
          <cell r="I1945"/>
        </row>
        <row r="1946">
          <cell r="C1946"/>
          <cell r="D1946" t="str">
            <v>de la</v>
          </cell>
          <cell r="E1946" t="str">
            <v>dette</v>
          </cell>
          <cell r="F1946"/>
          <cell r="G1946"/>
          <cell r="H1946"/>
          <cell r="I1946"/>
        </row>
        <row r="1947">
          <cell r="C1947"/>
          <cell r="D1947" t="str">
            <v>de la</v>
          </cell>
          <cell r="E1947" t="str">
            <v>dette</v>
          </cell>
          <cell r="F1947"/>
          <cell r="G1947"/>
          <cell r="H1947"/>
          <cell r="I1947"/>
        </row>
        <row r="1948">
          <cell r="C1948"/>
          <cell r="D1948" t="str">
            <v>de la</v>
          </cell>
          <cell r="E1948" t="str">
            <v>dette</v>
          </cell>
          <cell r="F1948"/>
          <cell r="G1948"/>
          <cell r="H1948"/>
          <cell r="I1948"/>
        </row>
        <row r="1949">
          <cell r="C1949"/>
          <cell r="D1949" t="str">
            <v>de l'</v>
          </cell>
          <cell r="E1949" t="str">
            <v>événement de la dette</v>
          </cell>
          <cell r="F1949"/>
          <cell r="G1949"/>
          <cell r="H1949"/>
          <cell r="I1949"/>
        </row>
        <row r="1950">
          <cell r="C1950"/>
          <cell r="D1950" t="str">
            <v>de l'</v>
          </cell>
          <cell r="E1950" t="str">
            <v>événement de la dette</v>
          </cell>
          <cell r="F1950"/>
          <cell r="G1950"/>
          <cell r="H1950"/>
          <cell r="I1950"/>
        </row>
        <row r="1951">
          <cell r="C1951"/>
          <cell r="D1951" t="str">
            <v>de l'</v>
          </cell>
          <cell r="E1951" t="str">
            <v>événement de la dette</v>
          </cell>
          <cell r="F1951"/>
          <cell r="G1951"/>
          <cell r="H1951"/>
          <cell r="I1951"/>
        </row>
        <row r="1952">
          <cell r="C1952"/>
          <cell r="D1952" t="str">
            <v>de l'</v>
          </cell>
          <cell r="E1952" t="str">
            <v>événement de la dette</v>
          </cell>
          <cell r="F1952"/>
          <cell r="G1952"/>
          <cell r="H1952"/>
          <cell r="I1952"/>
        </row>
        <row r="1953">
          <cell r="C1953"/>
          <cell r="D1953" t="str">
            <v>de l'</v>
          </cell>
          <cell r="E1953" t="str">
            <v>événement de la dette</v>
          </cell>
          <cell r="F1953"/>
          <cell r="G1953"/>
          <cell r="H1953"/>
          <cell r="I1953"/>
        </row>
        <row r="1954">
          <cell r="C1954"/>
          <cell r="D1954" t="str">
            <v>d'</v>
          </cell>
          <cell r="E1954" t="str">
            <v>OPC</v>
          </cell>
          <cell r="F1954"/>
          <cell r="G1954"/>
          <cell r="H1954"/>
          <cell r="I1954"/>
        </row>
        <row r="1955">
          <cell r="C1955"/>
          <cell r="D1955" t="str">
            <v>de la</v>
          </cell>
          <cell r="E1955" t="str">
            <v>dette</v>
          </cell>
          <cell r="F1955"/>
          <cell r="G1955"/>
          <cell r="H1955"/>
          <cell r="I1955"/>
        </row>
        <row r="1956">
          <cell r="C1956"/>
          <cell r="D1956" t="str">
            <v>de l'</v>
          </cell>
          <cell r="E1956" t="str">
            <v>événement de la dette</v>
          </cell>
          <cell r="F1956"/>
          <cell r="G1956"/>
          <cell r="H1956"/>
          <cell r="I1956"/>
        </row>
        <row r="1957">
          <cell r="C1957"/>
          <cell r="D1957" t="str">
            <v>du</v>
          </cell>
          <cell r="E1957" t="str">
            <v>Créateur de l'événement de la dette</v>
          </cell>
          <cell r="F1957"/>
          <cell r="G1957"/>
          <cell r="H1957"/>
          <cell r="I1957"/>
        </row>
        <row r="1958">
          <cell r="C1958"/>
          <cell r="D1958" t="str">
            <v>du</v>
          </cell>
          <cell r="E1958" t="str">
            <v>Type d'événement de la dette</v>
          </cell>
          <cell r="F1958"/>
          <cell r="G1958"/>
          <cell r="H1958"/>
          <cell r="I1958"/>
        </row>
        <row r="1959">
          <cell r="C1959"/>
          <cell r="D1959" t="str">
            <v>du</v>
          </cell>
          <cell r="E1959" t="str">
            <v>Type d'événement de la dette</v>
          </cell>
          <cell r="F1959"/>
          <cell r="G1959"/>
          <cell r="H1959"/>
          <cell r="I1959"/>
        </row>
        <row r="1960">
          <cell r="C1960"/>
          <cell r="D1960" t="str">
            <v>de la</v>
          </cell>
          <cell r="E1960" t="str">
            <v>nature de la dette</v>
          </cell>
          <cell r="F1960"/>
          <cell r="G1960"/>
          <cell r="H1960"/>
          <cell r="I1960"/>
        </row>
        <row r="1961">
          <cell r="C1961"/>
          <cell r="D1961" t="str">
            <v>de la</v>
          </cell>
          <cell r="E1961" t="str">
            <v>nature de la dette</v>
          </cell>
          <cell r="F1961"/>
          <cell r="G1961"/>
          <cell r="H1961"/>
          <cell r="I1961"/>
        </row>
        <row r="1962">
          <cell r="C1962"/>
          <cell r="D1962" t="str">
            <v>du</v>
          </cell>
          <cell r="E1962" t="str">
            <v>Type de destinataire de la dette</v>
          </cell>
          <cell r="F1962"/>
          <cell r="G1962"/>
          <cell r="H1962"/>
          <cell r="I1962"/>
        </row>
        <row r="1963">
          <cell r="C1963"/>
          <cell r="D1963" t="str">
            <v>du</v>
          </cell>
          <cell r="E1963" t="str">
            <v>Type de destinataire de la dette</v>
          </cell>
          <cell r="F1963"/>
          <cell r="G1963"/>
          <cell r="H1963"/>
          <cell r="I1963"/>
        </row>
        <row r="1964">
          <cell r="C1964"/>
          <cell r="D1964" t="str">
            <v>du</v>
          </cell>
          <cell r="E1964" t="str">
            <v>mode de récupération de la dette</v>
          </cell>
          <cell r="F1964"/>
          <cell r="G1964"/>
          <cell r="H1964"/>
          <cell r="I1964"/>
        </row>
        <row r="1965">
          <cell r="C1965"/>
          <cell r="D1965" t="str">
            <v>du</v>
          </cell>
          <cell r="E1965" t="str">
            <v>mode de récupération de la dette</v>
          </cell>
          <cell r="F1965"/>
          <cell r="G1965"/>
          <cell r="H1965"/>
          <cell r="I1965"/>
        </row>
        <row r="1966">
          <cell r="C1966"/>
          <cell r="D1966" t="str">
            <v>de l'</v>
          </cell>
          <cell r="E1966" t="str">
            <v xml:space="preserve">événement rattaché de la dette </v>
          </cell>
          <cell r="F1966"/>
          <cell r="G1966"/>
          <cell r="H1966"/>
          <cell r="I1966"/>
        </row>
        <row r="1967">
          <cell r="C1967"/>
          <cell r="D1967" t="str">
            <v>du</v>
          </cell>
          <cell r="E1967" t="str">
            <v>décompte santé</v>
          </cell>
          <cell r="F1967"/>
          <cell r="G1967"/>
          <cell r="H1967"/>
          <cell r="I1967"/>
        </row>
        <row r="1968">
          <cell r="C1968"/>
          <cell r="D1968" t="str">
            <v>du</v>
          </cell>
          <cell r="E1968" t="str">
            <v>Règlement Assurance santé</v>
          </cell>
          <cell r="F1968"/>
          <cell r="G1968"/>
          <cell r="H1968"/>
          <cell r="I1968"/>
        </row>
        <row r="1969">
          <cell r="C1969"/>
          <cell r="D1969" t="str">
            <v>du</v>
          </cell>
          <cell r="E1969" t="str">
            <v>règlement</v>
          </cell>
          <cell r="F1969"/>
          <cell r="G1969"/>
          <cell r="H1969"/>
          <cell r="I1969"/>
        </row>
        <row r="1970">
          <cell r="C1970"/>
          <cell r="D1970" t="str">
            <v>du</v>
          </cell>
          <cell r="E1970" t="str">
            <v>Destinataire du règlement</v>
          </cell>
          <cell r="F1970"/>
          <cell r="G1970"/>
          <cell r="H1970"/>
          <cell r="I1970"/>
        </row>
        <row r="1971">
          <cell r="C1971"/>
          <cell r="D1971" t="str">
            <v>de l'</v>
          </cell>
          <cell r="E1971" t="str">
            <v>encaissement</v>
          </cell>
          <cell r="F1971"/>
          <cell r="G1971"/>
          <cell r="H1971"/>
          <cell r="I1971"/>
        </row>
        <row r="1972">
          <cell r="C1972" t="str">
            <v>interne</v>
          </cell>
          <cell r="D1972" t="str">
            <v>du</v>
          </cell>
          <cell r="E1972" t="str">
            <v>contrat source</v>
          </cell>
          <cell r="F1972"/>
          <cell r="G1972"/>
          <cell r="H1972"/>
          <cell r="I1972"/>
        </row>
        <row r="1973">
          <cell r="C1973" t="str">
            <v>externe</v>
          </cell>
          <cell r="D1973" t="str">
            <v>du</v>
          </cell>
          <cell r="E1973" t="str">
            <v>contrat source</v>
          </cell>
          <cell r="F1973"/>
          <cell r="G1973"/>
          <cell r="H1973"/>
          <cell r="I1973"/>
        </row>
        <row r="1974">
          <cell r="C1974"/>
          <cell r="D1974" t="str">
            <v>du</v>
          </cell>
          <cell r="E1974" t="str">
            <v>produit source</v>
          </cell>
          <cell r="F1974"/>
          <cell r="G1974"/>
          <cell r="H1974"/>
          <cell r="I1974"/>
        </row>
        <row r="1975">
          <cell r="C1975" t="str">
            <v>interne</v>
          </cell>
          <cell r="D1975" t="str">
            <v>du</v>
          </cell>
          <cell r="E1975" t="str">
            <v>contrat cible</v>
          </cell>
          <cell r="F1975"/>
          <cell r="G1975"/>
          <cell r="H1975"/>
          <cell r="I1975"/>
        </row>
        <row r="1976">
          <cell r="C1976" t="str">
            <v>externe</v>
          </cell>
          <cell r="D1976" t="str">
            <v>du</v>
          </cell>
          <cell r="E1976" t="str">
            <v>contrat cible</v>
          </cell>
          <cell r="F1976"/>
          <cell r="G1976"/>
          <cell r="H1976"/>
          <cell r="I1976"/>
        </row>
        <row r="1977">
          <cell r="C1977"/>
          <cell r="D1977" t="str">
            <v>de la</v>
          </cell>
          <cell r="E1977" t="str">
            <v>dette transférée</v>
          </cell>
          <cell r="F1977"/>
          <cell r="G1977"/>
          <cell r="H1977"/>
          <cell r="I1977"/>
        </row>
        <row r="1978">
          <cell r="C1978"/>
          <cell r="D1978" t="str">
            <v>du</v>
          </cell>
          <cell r="E1978" t="str">
            <v>produit cible</v>
          </cell>
          <cell r="F1978"/>
          <cell r="G1978"/>
          <cell r="H1978"/>
          <cell r="I1978"/>
        </row>
        <row r="1979">
          <cell r="C1979" t="str">
            <v>dernière image</v>
          </cell>
          <cell r="D1979" t="str">
            <v>de l'</v>
          </cell>
          <cell r="E1979" t="str">
            <v>employé de la DSN</v>
          </cell>
          <cell r="F1979"/>
          <cell r="G1979"/>
          <cell r="H1979"/>
          <cell r="I1979"/>
        </row>
        <row r="1980">
          <cell r="C1980" t="str">
            <v>dernière image</v>
          </cell>
          <cell r="D1980" t="str">
            <v>de l'</v>
          </cell>
          <cell r="E1980" t="str">
            <v>établissement de la DSN</v>
          </cell>
          <cell r="F1980"/>
          <cell r="G1980"/>
          <cell r="H1980"/>
          <cell r="I1980"/>
        </row>
        <row r="1981">
          <cell r="C1981" t="str">
            <v>téléphone</v>
          </cell>
          <cell r="D1981" t="str">
            <v>du</v>
          </cell>
          <cell r="E1981" t="str">
            <v>correspondant</v>
          </cell>
          <cell r="F1981"/>
          <cell r="G1981"/>
          <cell r="H1981"/>
          <cell r="I1981"/>
        </row>
        <row r="1982">
          <cell r="C1982" t="str">
            <v>ordre</v>
          </cell>
          <cell r="D1982" t="str">
            <v>de l'</v>
          </cell>
          <cell r="E1982" t="str">
            <v>établissement de la DSN</v>
          </cell>
          <cell r="F1982"/>
          <cell r="G1982"/>
          <cell r="H1982"/>
          <cell r="I1982"/>
        </row>
        <row r="1983">
          <cell r="C1983" t="str">
            <v>fractionnement</v>
          </cell>
          <cell r="D1983" t="str">
            <v>de l'</v>
          </cell>
          <cell r="E1983" t="str">
            <v>établissement de la DSN</v>
          </cell>
          <cell r="F1983"/>
          <cell r="G1983"/>
          <cell r="H1983"/>
          <cell r="I1983"/>
        </row>
        <row r="1984">
          <cell r="C1984" t="str">
            <v>version</v>
          </cell>
          <cell r="D1984" t="str">
            <v>du</v>
          </cell>
          <cell r="E1984" t="str">
            <v>logiciel de paie</v>
          </cell>
          <cell r="F1984"/>
          <cell r="G1984"/>
          <cell r="H1984"/>
          <cell r="I1984"/>
        </row>
        <row r="1985">
          <cell r="C1985" t="str">
            <v>reprise</v>
          </cell>
          <cell r="D1985" t="str">
            <v>de l'</v>
          </cell>
          <cell r="E1985" t="str">
            <v>employé de la DSN</v>
          </cell>
          <cell r="F1985"/>
          <cell r="G1985"/>
          <cell r="H1985"/>
          <cell r="I1985"/>
        </row>
        <row r="1986">
          <cell r="C1986" t="str">
            <v>arrêt</v>
          </cell>
          <cell r="D1986" t="str">
            <v>de l'</v>
          </cell>
          <cell r="E1986" t="str">
            <v>employé de la DSN</v>
          </cell>
          <cell r="F1986"/>
          <cell r="G1986"/>
          <cell r="H1986"/>
          <cell r="I1986"/>
        </row>
        <row r="1987">
          <cell r="C1987" t="str">
            <v>annuel</v>
          </cell>
          <cell r="D1987" t="str">
            <v>de l'</v>
          </cell>
          <cell r="E1987" t="str">
            <v>effectif</v>
          </cell>
          <cell r="F1987" t="str">
            <v>de l'</v>
          </cell>
          <cell r="G1987" t="str">
            <v>employeur</v>
          </cell>
          <cell r="H1987"/>
          <cell r="I1987"/>
        </row>
        <row r="1988">
          <cell r="C1988" t="str">
            <v>NIR</v>
          </cell>
          <cell r="D1988" t="str">
            <v>de l'</v>
          </cell>
          <cell r="E1988" t="str">
            <v>employé de la DSN</v>
          </cell>
          <cell r="F1988"/>
          <cell r="G1988"/>
          <cell r="H1988"/>
          <cell r="I1988"/>
        </row>
        <row r="1989">
          <cell r="C1989" t="str">
            <v>temporaire</v>
          </cell>
          <cell r="D1989" t="str">
            <v>de l'</v>
          </cell>
          <cell r="E1989" t="str">
            <v>employé de la DSN</v>
          </cell>
          <cell r="F1989"/>
          <cell r="G1989"/>
          <cell r="H1989"/>
          <cell r="I1989"/>
        </row>
        <row r="1990">
          <cell r="C1990"/>
          <cell r="D1990" t="str">
            <v>de</v>
          </cell>
          <cell r="E1990" t="str">
            <v>SIRET</v>
          </cell>
          <cell r="F1990" t="str">
            <v>de l'</v>
          </cell>
          <cell r="G1990" t="str">
            <v>émetteur</v>
          </cell>
          <cell r="H1990"/>
          <cell r="I1990"/>
        </row>
        <row r="1991">
          <cell r="C1991"/>
          <cell r="D1991" t="str">
            <v>de</v>
          </cell>
          <cell r="E1991" t="str">
            <v>subrogation</v>
          </cell>
          <cell r="F1991"/>
          <cell r="G1991"/>
          <cell r="H1991"/>
          <cell r="I1991"/>
        </row>
        <row r="1992">
          <cell r="C1992"/>
          <cell r="D1992" t="str">
            <v>de l'</v>
          </cell>
          <cell r="E1992" t="str">
            <v>IBAN</v>
          </cell>
          <cell r="F1992"/>
          <cell r="G1992"/>
          <cell r="H1992"/>
          <cell r="I1992"/>
        </row>
        <row r="1993">
          <cell r="C1993"/>
          <cell r="D1993" t="str">
            <v>de la</v>
          </cell>
          <cell r="E1993" t="str">
            <v>cotisaton à appliquer</v>
          </cell>
          <cell r="F1993"/>
          <cell r="G1993"/>
          <cell r="H1993"/>
          <cell r="I1993"/>
        </row>
        <row r="1994">
          <cell r="C1994"/>
          <cell r="D1994" t="str">
            <v>de la</v>
          </cell>
          <cell r="E1994" t="str">
            <v>cotisation global brut calculé</v>
          </cell>
          <cell r="F1994"/>
          <cell r="G1994"/>
          <cell r="H1994"/>
          <cell r="I1994"/>
        </row>
        <row r="1995">
          <cell r="C1995"/>
          <cell r="D1995" t="str">
            <v>de la</v>
          </cell>
          <cell r="E1995" t="str">
            <v>cotisation global brut</v>
          </cell>
          <cell r="F1995"/>
          <cell r="G1995"/>
          <cell r="H1995"/>
          <cell r="I1995"/>
        </row>
        <row r="1996">
          <cell r="C1996"/>
          <cell r="D1996" t="str">
            <v>de la</v>
          </cell>
          <cell r="E1996" t="str">
            <v>rémunération</v>
          </cell>
          <cell r="F1996"/>
          <cell r="G1996"/>
          <cell r="H1996"/>
          <cell r="I1996"/>
        </row>
        <row r="1997">
          <cell r="C1997"/>
          <cell r="D1997" t="str">
            <v>de la</v>
          </cell>
          <cell r="E1997" t="str">
            <v>cotisation</v>
          </cell>
          <cell r="F1997"/>
          <cell r="G1997"/>
          <cell r="H1997"/>
          <cell r="I1997"/>
        </row>
        <row r="1998">
          <cell r="C1998"/>
          <cell r="D1998" t="str">
            <v>de la</v>
          </cell>
          <cell r="E1998" t="str">
            <v>cotisation</v>
          </cell>
          <cell r="F1998"/>
          <cell r="G1998"/>
          <cell r="H1998"/>
          <cell r="I1998"/>
        </row>
        <row r="1999">
          <cell r="C1999"/>
          <cell r="D1999" t="str">
            <v>de</v>
          </cell>
          <cell r="E1999" t="str">
            <v>contrat</v>
          </cell>
          <cell r="F1999"/>
          <cell r="G1999"/>
          <cell r="H1999"/>
          <cell r="I1999"/>
        </row>
        <row r="2000">
          <cell r="C2000"/>
          <cell r="D2000" t="str">
            <v>de</v>
          </cell>
          <cell r="E2000" t="str">
            <v>contrat</v>
          </cell>
          <cell r="F2000"/>
          <cell r="G2000"/>
          <cell r="H2000"/>
          <cell r="I2000"/>
        </row>
        <row r="2001">
          <cell r="C2001"/>
          <cell r="D2001" t="str">
            <v>de</v>
          </cell>
          <cell r="E2001" t="str">
            <v>suspension du contrat</v>
          </cell>
          <cell r="F2001"/>
          <cell r="G2001"/>
          <cell r="H2001"/>
          <cell r="I2001"/>
        </row>
        <row r="2002">
          <cell r="C2002"/>
          <cell r="D2002" t="str">
            <v>de</v>
          </cell>
          <cell r="E2002" t="str">
            <v>suspension du contrat</v>
          </cell>
          <cell r="F2002"/>
          <cell r="G2002"/>
          <cell r="H2002"/>
          <cell r="I2002"/>
        </row>
        <row r="2003">
          <cell r="C2003"/>
          <cell r="D2003" t="str">
            <v>de</v>
          </cell>
          <cell r="E2003" t="str">
            <v>rémunération</v>
          </cell>
          <cell r="F2003"/>
          <cell r="G2003"/>
          <cell r="H2003"/>
          <cell r="I2003"/>
        </row>
        <row r="2004">
          <cell r="C2004"/>
          <cell r="D2004" t="str">
            <v>de</v>
          </cell>
          <cell r="E2004" t="str">
            <v>rémunération</v>
          </cell>
          <cell r="F2004"/>
          <cell r="G2004"/>
          <cell r="H2004"/>
          <cell r="I2004"/>
        </row>
        <row r="2005">
          <cell r="C2005"/>
          <cell r="D2005" t="str">
            <v>de</v>
          </cell>
          <cell r="E2005" t="str">
            <v>subrogation</v>
          </cell>
          <cell r="F2005"/>
          <cell r="G2005"/>
          <cell r="H2005"/>
          <cell r="I2005"/>
        </row>
        <row r="2006">
          <cell r="C2006"/>
          <cell r="D2006" t="str">
            <v>de</v>
          </cell>
          <cell r="E2006" t="str">
            <v>subrogation</v>
          </cell>
          <cell r="F2006"/>
          <cell r="G2006"/>
          <cell r="H2006"/>
          <cell r="I2006"/>
        </row>
        <row r="2007">
          <cell r="C2007"/>
          <cell r="D2007" t="str">
            <v>du</v>
          </cell>
          <cell r="E2007" t="str">
            <v>BIC</v>
          </cell>
          <cell r="F2007"/>
          <cell r="G2007"/>
          <cell r="H2007"/>
          <cell r="I2007"/>
        </row>
        <row r="2008">
          <cell r="C2008"/>
          <cell r="D2008" t="str">
            <v>du</v>
          </cell>
          <cell r="E2008" t="str">
            <v>motif de fin de contrat</v>
          </cell>
          <cell r="F2008"/>
          <cell r="G2008"/>
          <cell r="H2008"/>
          <cell r="I2008"/>
        </row>
        <row r="2009">
          <cell r="C2009"/>
          <cell r="D2009" t="str">
            <v>de</v>
          </cell>
          <cell r="E2009" t="str">
            <v>rémunération</v>
          </cell>
          <cell r="F2009"/>
          <cell r="G2009"/>
          <cell r="H2009"/>
          <cell r="I2009"/>
        </row>
        <row r="2010">
          <cell r="C2010"/>
          <cell r="D2010" t="str">
            <v>du</v>
          </cell>
          <cell r="E2010" t="str">
            <v>motif de reprise</v>
          </cell>
          <cell r="F2010"/>
          <cell r="G2010"/>
          <cell r="H2010"/>
          <cell r="I2010"/>
        </row>
        <row r="2011">
          <cell r="C2011"/>
          <cell r="D2011" t="str">
            <v>du</v>
          </cell>
          <cell r="E2011" t="str">
            <v>motif d'arrêt</v>
          </cell>
          <cell r="F2011"/>
          <cell r="G2011"/>
          <cell r="H2011"/>
          <cell r="I2011"/>
        </row>
        <row r="2012">
          <cell r="C2012"/>
          <cell r="D2012" t="str">
            <v>du</v>
          </cell>
          <cell r="E2012" t="str">
            <v>motif de suspension</v>
          </cell>
          <cell r="F2012"/>
          <cell r="G2012"/>
          <cell r="H2012"/>
          <cell r="I2012"/>
        </row>
        <row r="2013">
          <cell r="C2013"/>
          <cell r="D2013" t="str">
            <v>du</v>
          </cell>
          <cell r="E2013" t="str">
            <v>NIC</v>
          </cell>
          <cell r="F2013" t="str">
            <v>de l'</v>
          </cell>
          <cell r="G2013" t="str">
            <v>employeur</v>
          </cell>
          <cell r="H2013"/>
          <cell r="I2013"/>
        </row>
        <row r="2014">
          <cell r="C2014"/>
          <cell r="D2014" t="str">
            <v>de l'</v>
          </cell>
          <cell r="E2014" t="str">
            <v>effectif</v>
          </cell>
          <cell r="F2014" t="str">
            <v>de l'</v>
          </cell>
          <cell r="G2014" t="str">
            <v>employeur</v>
          </cell>
          <cell r="H2014"/>
          <cell r="I2014"/>
        </row>
        <row r="2015">
          <cell r="C2015"/>
          <cell r="D2015" t="str">
            <v>de</v>
          </cell>
          <cell r="E2015" t="str">
            <v>SIRET</v>
          </cell>
          <cell r="F2015" t="str">
            <v>de l'</v>
          </cell>
          <cell r="G2015" t="str">
            <v>employeur</v>
          </cell>
          <cell r="H2015"/>
          <cell r="I2015"/>
        </row>
        <row r="2016">
          <cell r="C2016"/>
          <cell r="D2016" t="str">
            <v xml:space="preserve"> </v>
          </cell>
          <cell r="E2016" t="str">
            <v>APET</v>
          </cell>
          <cell r="F2016" t="str">
            <v>de l'</v>
          </cell>
          <cell r="G2016" t="str">
            <v>employeur</v>
          </cell>
          <cell r="H2016"/>
          <cell r="I2016"/>
        </row>
        <row r="2017">
          <cell r="C2017"/>
          <cell r="D2017" t="str">
            <v xml:space="preserve"> </v>
          </cell>
          <cell r="E2017" t="str">
            <v>APEN</v>
          </cell>
          <cell r="F2017" t="str">
            <v>de l'</v>
          </cell>
          <cell r="G2017" t="str">
            <v>employeur</v>
          </cell>
          <cell r="H2017"/>
          <cell r="I2017"/>
        </row>
        <row r="2018">
          <cell r="C2018"/>
          <cell r="D2018" t="str">
            <v>du</v>
          </cell>
          <cell r="E2018" t="str">
            <v>BIC</v>
          </cell>
          <cell r="F2018" t="str">
            <v>de l'</v>
          </cell>
          <cell r="G2018" t="str">
            <v>employeur</v>
          </cell>
          <cell r="H2018"/>
          <cell r="I2018"/>
        </row>
        <row r="2019">
          <cell r="C2019"/>
          <cell r="D2019" t="str">
            <v>de la</v>
          </cell>
          <cell r="E2019" t="str">
            <v>nature juridique</v>
          </cell>
          <cell r="F2019" t="str">
            <v>de l'</v>
          </cell>
          <cell r="G2019" t="str">
            <v>employeur</v>
          </cell>
          <cell r="H2019"/>
          <cell r="I2019"/>
        </row>
        <row r="2020">
          <cell r="C2020"/>
          <cell r="D2020" t="str">
            <v>de la</v>
          </cell>
          <cell r="E2020" t="str">
            <v>raison sociale</v>
          </cell>
          <cell r="F2020" t="str">
            <v>de l'</v>
          </cell>
          <cell r="G2020" t="str">
            <v>employeur</v>
          </cell>
          <cell r="H2020"/>
          <cell r="I2020"/>
        </row>
        <row r="2021">
          <cell r="C2021" t="str">
            <v>crypté</v>
          </cell>
          <cell r="D2021" t="str">
            <v>de la</v>
          </cell>
          <cell r="E2021" t="str">
            <v>cotisaton à appliquer</v>
          </cell>
          <cell r="F2021"/>
          <cell r="G2021"/>
          <cell r="H2021"/>
          <cell r="I2021"/>
        </row>
        <row r="2022">
          <cell r="C2022" t="str">
            <v>crypté</v>
          </cell>
          <cell r="D2022" t="str">
            <v>de la</v>
          </cell>
          <cell r="E2022" t="str">
            <v>cotisation global brut calculé</v>
          </cell>
          <cell r="F2022"/>
          <cell r="G2022"/>
          <cell r="H2022"/>
          <cell r="I2022"/>
        </row>
        <row r="2023">
          <cell r="C2023" t="str">
            <v>crypté</v>
          </cell>
          <cell r="D2023" t="str">
            <v>de la</v>
          </cell>
          <cell r="E2023" t="str">
            <v>cotisation global brut</v>
          </cell>
          <cell r="F2023"/>
          <cell r="G2023"/>
          <cell r="H2023"/>
          <cell r="I2023"/>
        </row>
        <row r="2024">
          <cell r="C2024" t="str">
            <v>estimé</v>
          </cell>
          <cell r="D2024" t="str">
            <v>de</v>
          </cell>
          <cell r="E2024" t="str">
            <v>cotisation</v>
          </cell>
          <cell r="F2024"/>
          <cell r="G2024"/>
          <cell r="H2024"/>
          <cell r="I2024"/>
        </row>
        <row r="2025">
          <cell r="C2025"/>
          <cell r="D2025" t="str">
            <v>de l'</v>
          </cell>
          <cell r="E2025" t="str">
            <v>IBAN</v>
          </cell>
          <cell r="F2025"/>
          <cell r="G2025"/>
          <cell r="H2025"/>
          <cell r="I2025"/>
        </row>
        <row r="2026">
          <cell r="C2026"/>
          <cell r="D2026" t="str">
            <v>du</v>
          </cell>
          <cell r="E2026" t="str">
            <v>versement</v>
          </cell>
          <cell r="F2026"/>
          <cell r="G2026"/>
          <cell r="H2026"/>
          <cell r="I2026"/>
        </row>
        <row r="2027">
          <cell r="C2027"/>
          <cell r="D2027" t="str">
            <v>de</v>
          </cell>
          <cell r="E2027" t="str">
            <v>SIRET</v>
          </cell>
          <cell r="F2027"/>
          <cell r="G2027"/>
          <cell r="H2027"/>
          <cell r="I2027"/>
        </row>
        <row r="2028">
          <cell r="C2028"/>
          <cell r="D2028" t="str">
            <v>du</v>
          </cell>
          <cell r="E2028" t="str">
            <v>versement</v>
          </cell>
          <cell r="F2028"/>
          <cell r="G2028"/>
          <cell r="H2028"/>
          <cell r="I2028"/>
        </row>
        <row r="2029">
          <cell r="C2029"/>
          <cell r="D2029" t="str">
            <v>de la</v>
          </cell>
          <cell r="E2029" t="str">
            <v>déclaration</v>
          </cell>
          <cell r="F2029"/>
          <cell r="G2029"/>
          <cell r="H2029"/>
          <cell r="I2029"/>
        </row>
        <row r="2030">
          <cell r="C2030"/>
          <cell r="D2030" t="str">
            <v>de la</v>
          </cell>
          <cell r="E2030" t="str">
            <v>déclaration</v>
          </cell>
          <cell r="F2030"/>
          <cell r="G2030"/>
          <cell r="H2030"/>
          <cell r="I2030"/>
        </row>
        <row r="2031">
          <cell r="C2031"/>
          <cell r="D2031" t="str">
            <v>du</v>
          </cell>
          <cell r="E2031" t="str">
            <v>versement</v>
          </cell>
          <cell r="F2031"/>
          <cell r="G2031"/>
          <cell r="H2031"/>
          <cell r="I2031"/>
        </row>
        <row r="2032">
          <cell r="C2032"/>
          <cell r="D2032" t="str">
            <v>du</v>
          </cell>
          <cell r="E2032" t="str">
            <v>BIC</v>
          </cell>
          <cell r="F2032"/>
          <cell r="G2032"/>
          <cell r="H2032"/>
          <cell r="I2032"/>
        </row>
        <row r="2033">
          <cell r="C2033"/>
          <cell r="D2033" t="str">
            <v>de la</v>
          </cell>
          <cell r="E2033" t="str">
            <v>déclaration</v>
          </cell>
          <cell r="F2033"/>
          <cell r="G2033"/>
          <cell r="H2033"/>
          <cell r="I2033"/>
        </row>
        <row r="2034">
          <cell r="C2034"/>
          <cell r="D2034" t="str">
            <v>du</v>
          </cell>
          <cell r="E2034" t="str">
            <v>versement</v>
          </cell>
          <cell r="F2034"/>
          <cell r="G2034"/>
          <cell r="H2034"/>
          <cell r="I2034"/>
        </row>
        <row r="2035">
          <cell r="C2035"/>
          <cell r="D2035" t="str">
            <v>de l'</v>
          </cell>
          <cell r="E2035" t="str">
            <v>éditeur</v>
          </cell>
          <cell r="F2035" t="str">
            <v>du</v>
          </cell>
          <cell r="G2035" t="str">
            <v>logiciel de paie</v>
          </cell>
          <cell r="H2035"/>
          <cell r="I2035"/>
        </row>
        <row r="2036">
          <cell r="C2036" t="str">
            <v>interne</v>
          </cell>
          <cell r="D2036" t="str">
            <v>du</v>
          </cell>
          <cell r="E2036" t="str">
            <v>contrat collectif retraite</v>
          </cell>
          <cell r="F2036"/>
          <cell r="G2036"/>
          <cell r="H2036"/>
          <cell r="I2036"/>
        </row>
        <row r="2037">
          <cell r="C2037" t="str">
            <v>externe</v>
          </cell>
          <cell r="D2037" t="str">
            <v>du</v>
          </cell>
          <cell r="E2037" t="str">
            <v>contrat collectif retraite</v>
          </cell>
          <cell r="F2037"/>
          <cell r="G2037"/>
          <cell r="H2037"/>
          <cell r="I2037"/>
        </row>
        <row r="2038">
          <cell r="C2038" t="str">
            <v>interne</v>
          </cell>
          <cell r="D2038" t="str">
            <v>du</v>
          </cell>
          <cell r="E2038" t="str">
            <v>contrat collectif prévoyance</v>
          </cell>
          <cell r="F2038"/>
          <cell r="G2038"/>
          <cell r="H2038"/>
          <cell r="I2038"/>
        </row>
        <row r="2039">
          <cell r="C2039" t="str">
            <v>externe</v>
          </cell>
          <cell r="D2039" t="str">
            <v>du</v>
          </cell>
          <cell r="E2039" t="str">
            <v>contrat collectif prévoyance</v>
          </cell>
          <cell r="F2039"/>
          <cell r="G2039"/>
          <cell r="H2039"/>
          <cell r="I2039"/>
        </row>
        <row r="2040">
          <cell r="C2040" t="str">
            <v>interne</v>
          </cell>
          <cell r="D2040" t="str">
            <v>du</v>
          </cell>
          <cell r="E2040" t="str">
            <v>contrat collectif santé</v>
          </cell>
          <cell r="F2040"/>
          <cell r="G2040"/>
          <cell r="H2040"/>
          <cell r="I2040"/>
        </row>
        <row r="2041">
          <cell r="C2041" t="str">
            <v>externe</v>
          </cell>
          <cell r="D2041" t="str">
            <v>du</v>
          </cell>
          <cell r="E2041" t="str">
            <v>contrat collectif santé</v>
          </cell>
          <cell r="F2041"/>
          <cell r="G2041"/>
          <cell r="H2041"/>
          <cell r="I2041"/>
        </row>
        <row r="2042">
          <cell r="C2042" t="str">
            <v>interne</v>
          </cell>
          <cell r="D2042" t="str">
            <v>du</v>
          </cell>
          <cell r="E2042" t="str">
            <v>contrat collectif épargne</v>
          </cell>
          <cell r="F2042"/>
          <cell r="G2042"/>
          <cell r="H2042"/>
          <cell r="I2042"/>
        </row>
        <row r="2043">
          <cell r="C2043" t="str">
            <v>externe</v>
          </cell>
          <cell r="D2043" t="str">
            <v>du</v>
          </cell>
          <cell r="E2043" t="str">
            <v>contrat collectif épargne</v>
          </cell>
          <cell r="F2043"/>
          <cell r="G2043"/>
          <cell r="H2043"/>
          <cell r="I2043"/>
        </row>
        <row r="2044">
          <cell r="C2044"/>
          <cell r="D2044" t="str">
            <v>du</v>
          </cell>
          <cell r="E2044" t="str">
            <v>produit santé</v>
          </cell>
          <cell r="F2044"/>
          <cell r="G2044"/>
          <cell r="H2044"/>
          <cell r="I2044"/>
        </row>
        <row r="2045">
          <cell r="C2045"/>
          <cell r="D2045" t="str">
            <v>de l'</v>
          </cell>
          <cell r="E2045" t="str">
            <v>employé de la DSN</v>
          </cell>
          <cell r="F2045"/>
          <cell r="G2045"/>
          <cell r="H2045"/>
          <cell r="I2045"/>
        </row>
        <row r="2046">
          <cell r="C2046"/>
          <cell r="D2046" t="str">
            <v>de l'</v>
          </cell>
          <cell r="E2046" t="str">
            <v>établissement de la DSN</v>
          </cell>
          <cell r="F2046"/>
          <cell r="G2046"/>
          <cell r="H2046"/>
          <cell r="I2046"/>
        </row>
        <row r="2047">
          <cell r="C2047"/>
          <cell r="D2047" t="str">
            <v>de l'</v>
          </cell>
          <cell r="E2047" t="str">
            <v>entité gestionnaire</v>
          </cell>
          <cell r="F2047"/>
          <cell r="G2047"/>
          <cell r="H2047"/>
          <cell r="I2047"/>
        </row>
        <row r="2048">
          <cell r="C2048"/>
          <cell r="D2048" t="str">
            <v>du</v>
          </cell>
          <cell r="E2048" t="str">
            <v>produit prévoyance</v>
          </cell>
          <cell r="F2048"/>
          <cell r="G2048"/>
          <cell r="H2048"/>
          <cell r="I2048"/>
        </row>
        <row r="2049">
          <cell r="C2049"/>
          <cell r="D2049" t="str">
            <v>du</v>
          </cell>
          <cell r="E2049" t="str">
            <v>produit retraite</v>
          </cell>
          <cell r="F2049"/>
          <cell r="G2049"/>
          <cell r="H2049"/>
          <cell r="I2049"/>
        </row>
        <row r="2050">
          <cell r="C2050" t="str">
            <v>pays</v>
          </cell>
          <cell r="D2050" t="str">
            <v>de l'</v>
          </cell>
          <cell r="E2050" t="str">
            <v>entreprise</v>
          </cell>
          <cell r="F2050"/>
          <cell r="G2050"/>
          <cell r="H2050"/>
          <cell r="I2050"/>
        </row>
        <row r="2051">
          <cell r="C2051" t="str">
            <v>postal</v>
          </cell>
          <cell r="D2051" t="str">
            <v>de l'</v>
          </cell>
          <cell r="E2051" t="str">
            <v>entreprise</v>
          </cell>
          <cell r="F2051"/>
          <cell r="G2051"/>
          <cell r="H2051"/>
          <cell r="I2051"/>
        </row>
        <row r="2052">
          <cell r="C2052"/>
          <cell r="D2052" t="str">
            <v>de l'</v>
          </cell>
          <cell r="E2052" t="str">
            <v>employé de la DSN</v>
          </cell>
          <cell r="F2052"/>
          <cell r="G2052"/>
          <cell r="H2052"/>
          <cell r="I2052"/>
        </row>
        <row r="2053">
          <cell r="C2053"/>
          <cell r="D2053" t="str">
            <v>de l'</v>
          </cell>
          <cell r="E2053" t="str">
            <v>employé de la DSN</v>
          </cell>
          <cell r="F2053"/>
          <cell r="G2053"/>
          <cell r="H2053"/>
          <cell r="I2053"/>
        </row>
        <row r="2054">
          <cell r="C2054"/>
          <cell r="D2054" t="str">
            <v>de l'</v>
          </cell>
          <cell r="E2054" t="str">
            <v>employé de la DSN</v>
          </cell>
          <cell r="F2054"/>
          <cell r="G2054"/>
          <cell r="H2054"/>
          <cell r="I2054"/>
        </row>
        <row r="2055">
          <cell r="C2055"/>
          <cell r="D2055" t="str">
            <v>de l'</v>
          </cell>
          <cell r="E2055" t="str">
            <v>établissement de la DSN</v>
          </cell>
          <cell r="F2055"/>
          <cell r="G2055"/>
          <cell r="H2055"/>
          <cell r="I2055"/>
        </row>
        <row r="2056">
          <cell r="C2056"/>
          <cell r="D2056" t="str">
            <v>de l'</v>
          </cell>
          <cell r="E2056" t="str">
            <v>établissement de la DSN</v>
          </cell>
          <cell r="F2056"/>
          <cell r="G2056"/>
          <cell r="H2056"/>
          <cell r="I2056"/>
        </row>
        <row r="2057">
          <cell r="C2057"/>
          <cell r="D2057" t="str">
            <v>de l'</v>
          </cell>
          <cell r="E2057" t="str">
            <v>établissement de la DSN</v>
          </cell>
          <cell r="F2057"/>
          <cell r="G2057"/>
          <cell r="H2057"/>
          <cell r="I2057"/>
        </row>
        <row r="2058">
          <cell r="C2058"/>
          <cell r="D2058" t="str">
            <v>de l'</v>
          </cell>
          <cell r="E2058" t="str">
            <v>établissement de la DSN</v>
          </cell>
          <cell r="F2058"/>
          <cell r="G2058"/>
          <cell r="H2058"/>
          <cell r="I2058"/>
        </row>
        <row r="2059">
          <cell r="C2059"/>
          <cell r="D2059" t="str">
            <v>de l'</v>
          </cell>
          <cell r="E2059" t="str">
            <v>établissement de la DSN</v>
          </cell>
          <cell r="F2059"/>
          <cell r="G2059"/>
          <cell r="H2059"/>
          <cell r="I2059"/>
        </row>
        <row r="2060">
          <cell r="C2060"/>
          <cell r="D2060" t="str">
            <v>du</v>
          </cell>
          <cell r="E2060" t="str">
            <v>guichet de l'établissement</v>
          </cell>
          <cell r="F2060"/>
          <cell r="G2060"/>
          <cell r="H2060"/>
          <cell r="I2060"/>
        </row>
        <row r="2061">
          <cell r="C2061" t="str">
            <v>pays</v>
          </cell>
          <cell r="D2061" t="str">
            <v>de</v>
          </cell>
          <cell r="E2061" t="str">
            <v>naissance</v>
          </cell>
          <cell r="F2061" t="str">
            <v>de l'</v>
          </cell>
          <cell r="G2061" t="str">
            <v>employé de la DSN</v>
          </cell>
          <cell r="H2061"/>
          <cell r="I2061"/>
        </row>
        <row r="2062">
          <cell r="C2062" t="str">
            <v>pays</v>
          </cell>
          <cell r="D2062" t="str">
            <v>de l'</v>
          </cell>
          <cell r="E2062" t="str">
            <v>employé de la DSN</v>
          </cell>
          <cell r="F2062"/>
          <cell r="G2062"/>
          <cell r="H2062"/>
          <cell r="I2062"/>
        </row>
        <row r="2063">
          <cell r="C2063" t="str">
            <v>postal</v>
          </cell>
          <cell r="D2063" t="str">
            <v>de l'</v>
          </cell>
          <cell r="E2063" t="str">
            <v>employé de la DSN</v>
          </cell>
          <cell r="F2063"/>
          <cell r="G2063"/>
          <cell r="H2063"/>
          <cell r="I2063"/>
        </row>
        <row r="2064">
          <cell r="C2064" t="str">
            <v>patronymique</v>
          </cell>
          <cell r="D2064" t="str">
            <v>de l'</v>
          </cell>
          <cell r="E2064" t="str">
            <v>employé de la DSN</v>
          </cell>
          <cell r="F2064"/>
          <cell r="G2064"/>
          <cell r="H2064"/>
          <cell r="I2064"/>
        </row>
        <row r="2065">
          <cell r="C2065" t="str">
            <v>sexe</v>
          </cell>
          <cell r="D2065" t="str">
            <v>de l'</v>
          </cell>
          <cell r="E2065" t="str">
            <v>employé de la DSN</v>
          </cell>
          <cell r="F2065"/>
          <cell r="G2065"/>
          <cell r="H2065"/>
          <cell r="I2065"/>
        </row>
        <row r="2066">
          <cell r="C2066" t="str">
            <v>ancienneté</v>
          </cell>
          <cell r="D2066" t="str">
            <v>de l'</v>
          </cell>
          <cell r="E2066" t="str">
            <v>employé de la DSN</v>
          </cell>
          <cell r="F2066"/>
          <cell r="G2066"/>
          <cell r="H2066"/>
          <cell r="I2066"/>
        </row>
        <row r="2067">
          <cell r="C2067" t="str">
            <v>ancienneté</v>
          </cell>
          <cell r="D2067" t="str">
            <v>de l'</v>
          </cell>
          <cell r="E2067" t="str">
            <v>employé de la DSN</v>
          </cell>
          <cell r="F2067"/>
          <cell r="G2067"/>
          <cell r="H2067"/>
          <cell r="I2067"/>
        </row>
        <row r="2068">
          <cell r="C2068"/>
          <cell r="D2068" t="str">
            <v>du</v>
          </cell>
          <cell r="E2068" t="str">
            <v>correspondant</v>
          </cell>
          <cell r="F2068"/>
          <cell r="G2068"/>
          <cell r="H2068"/>
          <cell r="I2068"/>
        </row>
        <row r="2069">
          <cell r="C2069"/>
          <cell r="D2069" t="str">
            <v>du</v>
          </cell>
          <cell r="E2069" t="str">
            <v>correspondant</v>
          </cell>
          <cell r="F2069"/>
          <cell r="G2069"/>
          <cell r="H2069"/>
          <cell r="I2069"/>
        </row>
        <row r="2070">
          <cell r="C2070" t="str">
            <v>pays</v>
          </cell>
          <cell r="D2070" t="str">
            <v>de l'</v>
          </cell>
          <cell r="E2070" t="str">
            <v>établissement de la DSN</v>
          </cell>
          <cell r="F2070"/>
          <cell r="G2070"/>
          <cell r="H2070"/>
          <cell r="I2070"/>
        </row>
        <row r="2071">
          <cell r="C2071"/>
          <cell r="D2071" t="str">
            <v>du</v>
          </cell>
          <cell r="E2071" t="str">
            <v>correspondant</v>
          </cell>
          <cell r="F2071"/>
          <cell r="G2071"/>
          <cell r="H2071"/>
          <cell r="I2071"/>
        </row>
        <row r="2072">
          <cell r="C2072"/>
          <cell r="D2072" t="str">
            <v>de</v>
          </cell>
          <cell r="E2072" t="str">
            <v>correspondant</v>
          </cell>
          <cell r="F2072"/>
          <cell r="G2072"/>
          <cell r="H2072"/>
          <cell r="I2072"/>
        </row>
        <row r="2073">
          <cell r="C2073" t="str">
            <v>postal</v>
          </cell>
          <cell r="D2073" t="str">
            <v>de l'</v>
          </cell>
          <cell r="E2073" t="str">
            <v>établissement de la DSN</v>
          </cell>
          <cell r="F2073"/>
          <cell r="G2073"/>
          <cell r="H2073"/>
          <cell r="I2073"/>
        </row>
        <row r="2074">
          <cell r="C2074"/>
          <cell r="D2074" t="str">
            <v>de l'</v>
          </cell>
          <cell r="E2074" t="str">
            <v>établissement</v>
          </cell>
          <cell r="F2074"/>
          <cell r="G2074"/>
          <cell r="H2074"/>
          <cell r="I2074"/>
        </row>
        <row r="2075">
          <cell r="C2075"/>
          <cell r="D2075" t="str">
            <v>de l'</v>
          </cell>
          <cell r="E2075" t="str">
            <v>entreprise</v>
          </cell>
          <cell r="F2075"/>
          <cell r="G2075"/>
          <cell r="H2075"/>
          <cell r="I2075"/>
        </row>
        <row r="2076">
          <cell r="C2076"/>
          <cell r="D2076" t="str">
            <v>de l'</v>
          </cell>
          <cell r="E2076" t="str">
            <v>entreprise</v>
          </cell>
          <cell r="F2076"/>
          <cell r="G2076"/>
          <cell r="H2076"/>
          <cell r="I2076"/>
        </row>
        <row r="2077">
          <cell r="C2077"/>
          <cell r="D2077" t="str">
            <v>de l'</v>
          </cell>
          <cell r="E2077" t="str">
            <v>entreprise</v>
          </cell>
          <cell r="F2077"/>
          <cell r="G2077"/>
          <cell r="H2077"/>
          <cell r="I2077"/>
        </row>
        <row r="2078">
          <cell r="C2078"/>
          <cell r="D2078" t="str">
            <v>de l'</v>
          </cell>
          <cell r="E2078" t="str">
            <v>entreprise</v>
          </cell>
          <cell r="F2078"/>
          <cell r="G2078"/>
          <cell r="H2078"/>
          <cell r="I2078"/>
        </row>
        <row r="2079">
          <cell r="C2079"/>
          <cell r="D2079" t="str">
            <v>de la</v>
          </cell>
          <cell r="E2079" t="str">
            <v>fédération</v>
          </cell>
          <cell r="F2079"/>
          <cell r="G2079"/>
          <cell r="H2079"/>
          <cell r="I2079"/>
        </row>
        <row r="2080">
          <cell r="C2080"/>
          <cell r="D2080" t="str">
            <v>du</v>
          </cell>
          <cell r="E2080" t="str">
            <v>produit santé</v>
          </cell>
          <cell r="F2080"/>
          <cell r="G2080"/>
          <cell r="H2080"/>
          <cell r="I2080"/>
        </row>
        <row r="2081">
          <cell r="C2081"/>
          <cell r="D2081" t="str">
            <v>de l'</v>
          </cell>
          <cell r="E2081" t="str">
            <v>employé de la DSN</v>
          </cell>
          <cell r="F2081"/>
          <cell r="G2081"/>
          <cell r="H2081"/>
          <cell r="I2081"/>
        </row>
        <row r="2082">
          <cell r="C2082"/>
          <cell r="D2082" t="str">
            <v>de l'</v>
          </cell>
          <cell r="E2082" t="str">
            <v>employé de la DSN</v>
          </cell>
          <cell r="F2082"/>
          <cell r="G2082"/>
          <cell r="H2082"/>
          <cell r="I2082"/>
        </row>
        <row r="2083">
          <cell r="C2083"/>
          <cell r="D2083" t="str">
            <v>de l'</v>
          </cell>
          <cell r="E2083" t="str">
            <v>employé de la DSN</v>
          </cell>
          <cell r="F2083"/>
          <cell r="G2083"/>
          <cell r="H2083"/>
          <cell r="I2083"/>
        </row>
        <row r="2084">
          <cell r="C2084"/>
          <cell r="D2084" t="str">
            <v>de l'</v>
          </cell>
          <cell r="E2084" t="str">
            <v>employé de la DSN</v>
          </cell>
          <cell r="F2084"/>
          <cell r="G2084"/>
          <cell r="H2084"/>
          <cell r="I2084"/>
        </row>
        <row r="2085">
          <cell r="C2085"/>
          <cell r="D2085" t="str">
            <v>de l'</v>
          </cell>
          <cell r="E2085" t="str">
            <v>employé de la DSN</v>
          </cell>
          <cell r="F2085"/>
          <cell r="G2085"/>
          <cell r="H2085"/>
          <cell r="I2085"/>
        </row>
        <row r="2086">
          <cell r="C2086"/>
          <cell r="D2086" t="str">
            <v>de l'</v>
          </cell>
          <cell r="E2086" t="str">
            <v>employé de la DSN</v>
          </cell>
          <cell r="F2086"/>
          <cell r="G2086"/>
          <cell r="H2086"/>
          <cell r="I2086"/>
        </row>
        <row r="2087">
          <cell r="C2087"/>
          <cell r="D2087" t="str">
            <v>de l'</v>
          </cell>
          <cell r="E2087" t="str">
            <v>employé de la DSN</v>
          </cell>
          <cell r="F2087"/>
          <cell r="G2087"/>
          <cell r="H2087"/>
          <cell r="I2087"/>
        </row>
        <row r="2088">
          <cell r="C2088"/>
          <cell r="D2088" t="str">
            <v>de l'</v>
          </cell>
          <cell r="E2088" t="str">
            <v>employé de la DSN</v>
          </cell>
          <cell r="F2088"/>
          <cell r="G2088"/>
          <cell r="H2088"/>
          <cell r="I2088"/>
        </row>
        <row r="2089">
          <cell r="C2089"/>
          <cell r="D2089" t="str">
            <v>de l'</v>
          </cell>
          <cell r="E2089" t="str">
            <v>employé de la DSN</v>
          </cell>
          <cell r="F2089"/>
          <cell r="G2089"/>
          <cell r="H2089"/>
          <cell r="I2089"/>
        </row>
        <row r="2090">
          <cell r="C2090"/>
          <cell r="D2090" t="str">
            <v>de l'</v>
          </cell>
          <cell r="E2090" t="str">
            <v>établissement de la DSN</v>
          </cell>
          <cell r="F2090"/>
          <cell r="G2090"/>
          <cell r="H2090"/>
          <cell r="I2090"/>
        </row>
        <row r="2091">
          <cell r="C2091"/>
          <cell r="D2091" t="str">
            <v>de l'</v>
          </cell>
          <cell r="E2091" t="str">
            <v>établissement de la DSN</v>
          </cell>
          <cell r="F2091"/>
          <cell r="G2091"/>
          <cell r="H2091"/>
          <cell r="I2091"/>
        </row>
        <row r="2092">
          <cell r="C2092"/>
          <cell r="D2092" t="str">
            <v>de l'</v>
          </cell>
          <cell r="E2092" t="str">
            <v>établissement de la DSN</v>
          </cell>
          <cell r="F2092"/>
          <cell r="G2092"/>
          <cell r="H2092"/>
          <cell r="I2092"/>
        </row>
        <row r="2093">
          <cell r="C2093"/>
          <cell r="D2093" t="str">
            <v>de l'</v>
          </cell>
          <cell r="E2093" t="str">
            <v>établissement de la DSN</v>
          </cell>
          <cell r="F2093"/>
          <cell r="G2093"/>
          <cell r="H2093"/>
          <cell r="I2093"/>
        </row>
        <row r="2094">
          <cell r="C2094"/>
          <cell r="D2094" t="str">
            <v>de l'</v>
          </cell>
          <cell r="E2094" t="str">
            <v>établissement de la DSN</v>
          </cell>
          <cell r="F2094"/>
          <cell r="G2094"/>
          <cell r="H2094"/>
          <cell r="I2094"/>
        </row>
        <row r="2095">
          <cell r="C2095"/>
          <cell r="D2095" t="str">
            <v>du</v>
          </cell>
          <cell r="E2095" t="str">
            <v>produit prévoyance</v>
          </cell>
          <cell r="F2095"/>
          <cell r="G2095"/>
          <cell r="H2095"/>
          <cell r="I2095"/>
        </row>
        <row r="2096">
          <cell r="C2096"/>
          <cell r="D2096" t="str">
            <v>du</v>
          </cell>
          <cell r="E2096" t="str">
            <v>logiciel de paie</v>
          </cell>
          <cell r="F2096"/>
          <cell r="G2096"/>
          <cell r="H2096"/>
          <cell r="I2096"/>
        </row>
        <row r="2097">
          <cell r="C2097"/>
          <cell r="D2097" t="str">
            <v>du</v>
          </cell>
          <cell r="E2097" t="str">
            <v>produit retraite</v>
          </cell>
          <cell r="F2097"/>
          <cell r="G2097"/>
          <cell r="H2097"/>
          <cell r="I2097"/>
        </row>
        <row r="2098">
          <cell r="C2098"/>
          <cell r="D2098" t="str">
            <v>du</v>
          </cell>
          <cell r="E2098" t="str">
            <v>tiers personne morale</v>
          </cell>
          <cell r="F2098"/>
          <cell r="G2098"/>
          <cell r="H2098"/>
          <cell r="I2098"/>
        </row>
        <row r="2099">
          <cell r="C2099"/>
          <cell r="D2099" t="str">
            <v>du</v>
          </cell>
          <cell r="E2099" t="str">
            <v>tiers personne physique</v>
          </cell>
          <cell r="F2099"/>
          <cell r="G2099"/>
          <cell r="H2099"/>
          <cell r="I2099"/>
        </row>
        <row r="2100">
          <cell r="C2100" t="str">
            <v>naissance</v>
          </cell>
          <cell r="D2100" t="str">
            <v>de l'</v>
          </cell>
          <cell r="E2100" t="str">
            <v>employé de la DSN</v>
          </cell>
          <cell r="F2100"/>
          <cell r="G2100"/>
          <cell r="H2100"/>
          <cell r="I2100"/>
        </row>
        <row r="2101">
          <cell r="C2101" t="str">
            <v>base</v>
          </cell>
          <cell r="D2101" t="str">
            <v>de la</v>
          </cell>
          <cell r="E2101" t="str">
            <v>cotisation</v>
          </cell>
          <cell r="F2101"/>
          <cell r="G2101"/>
          <cell r="H2101"/>
          <cell r="I2101"/>
        </row>
        <row r="2102">
          <cell r="C2102" t="str">
            <v>statut</v>
          </cell>
          <cell r="D2102" t="str">
            <v>de l'</v>
          </cell>
          <cell r="E2102" t="str">
            <v>employé de la DSN</v>
          </cell>
          <cell r="F2102"/>
          <cell r="G2102"/>
          <cell r="H2102"/>
          <cell r="I2102"/>
        </row>
        <row r="2103">
          <cell r="C2103" t="str">
            <v>origine</v>
          </cell>
          <cell r="D2103" t="str">
            <v>de l'</v>
          </cell>
          <cell r="E2103" t="str">
            <v>établissement de la DSN</v>
          </cell>
          <cell r="F2103"/>
          <cell r="G2103"/>
          <cell r="H2103"/>
          <cell r="I2103"/>
        </row>
        <row r="2104">
          <cell r="C2104" t="str">
            <v>affectation</v>
          </cell>
          <cell r="D2104" t="str">
            <v>du</v>
          </cell>
          <cell r="E2104" t="str">
            <v>versement</v>
          </cell>
          <cell r="F2104"/>
          <cell r="G2104"/>
          <cell r="H2104"/>
          <cell r="I2104"/>
        </row>
        <row r="2105">
          <cell r="C2105"/>
          <cell r="D2105" t="str">
            <v>d'</v>
          </cell>
          <cell r="E2105" t="str">
            <v>enfant à charge</v>
          </cell>
          <cell r="F2105"/>
          <cell r="G2105"/>
          <cell r="H2105"/>
          <cell r="I2105"/>
        </row>
        <row r="2106">
          <cell r="C2106"/>
          <cell r="D2106" t="str">
            <v>de la</v>
          </cell>
          <cell r="E2106" t="str">
            <v>nature</v>
          </cell>
          <cell r="F2106" t="str">
            <v>du</v>
          </cell>
          <cell r="G2106" t="str">
            <v>contrat de travail</v>
          </cell>
          <cell r="H2106"/>
          <cell r="I2106"/>
        </row>
        <row r="2107">
          <cell r="C2107"/>
          <cell r="D2107" t="str">
            <v>du</v>
          </cell>
          <cell r="E2107" t="str">
            <v>contrat de travail</v>
          </cell>
          <cell r="F2107"/>
          <cell r="G2107"/>
          <cell r="H2107"/>
          <cell r="I2107"/>
        </row>
        <row r="2108">
          <cell r="C2108"/>
          <cell r="D2108" t="str">
            <v>de la</v>
          </cell>
          <cell r="E2108" t="str">
            <v>convention collective applicable</v>
          </cell>
          <cell r="F2108"/>
          <cell r="G2108"/>
          <cell r="H2108"/>
          <cell r="I2108"/>
        </row>
        <row r="2109">
          <cell r="C2109" t="str">
            <v>prévisionnelle</v>
          </cell>
          <cell r="D2109" t="str">
            <v>d'</v>
          </cell>
          <cell r="E2109" t="str">
            <v>arrêt de travail</v>
          </cell>
          <cell r="F2109"/>
          <cell r="G2109"/>
          <cell r="H2109"/>
          <cell r="I2109"/>
        </row>
        <row r="2110">
          <cell r="C2110"/>
          <cell r="D2110" t="str">
            <v>de l'</v>
          </cell>
          <cell r="E2110" t="str">
            <v>accident</v>
          </cell>
          <cell r="F2110"/>
          <cell r="G2110"/>
          <cell r="H2110"/>
          <cell r="I2110"/>
        </row>
        <row r="2111">
          <cell r="C2111" t="str">
            <v>affectation</v>
          </cell>
          <cell r="D2111" t="str">
            <v>du</v>
          </cell>
          <cell r="E2111" t="str">
            <v>versement</v>
          </cell>
          <cell r="F2111"/>
          <cell r="G2111"/>
          <cell r="H2111"/>
          <cell r="I2111"/>
        </row>
        <row r="2112">
          <cell r="C2112" t="str">
            <v>police</v>
          </cell>
          <cell r="D2112" t="str">
            <v>du</v>
          </cell>
          <cell r="E2112" t="str">
            <v>contrat</v>
          </cell>
          <cell r="F2112"/>
          <cell r="G2112"/>
          <cell r="H2112"/>
          <cell r="I2112"/>
        </row>
        <row r="2113">
          <cell r="C2113"/>
          <cell r="D2113" t="str">
            <v>du</v>
          </cell>
          <cell r="E2113" t="str">
            <v>montant</v>
          </cell>
          <cell r="F2113" t="str">
            <v>du</v>
          </cell>
          <cell r="G2113" t="str">
            <v>contentieux</v>
          </cell>
          <cell r="H2113"/>
          <cell r="I2113"/>
        </row>
        <row r="2114">
          <cell r="C2114"/>
          <cell r="D2114" t="str">
            <v>du</v>
          </cell>
          <cell r="E2114" t="str">
            <v>cycle de vie</v>
          </cell>
          <cell r="F2114" t="str">
            <v>du</v>
          </cell>
          <cell r="G2114" t="str">
            <v>contrat</v>
          </cell>
          <cell r="H2114"/>
          <cell r="I2114"/>
        </row>
        <row r="2115">
          <cell r="C2115" t="str">
            <v>TTC</v>
          </cell>
          <cell r="D2115" t="str">
            <v>de la</v>
          </cell>
          <cell r="E2115" t="str">
            <v>commission</v>
          </cell>
          <cell r="F2115" t="str">
            <v>du</v>
          </cell>
          <cell r="G2115" t="str">
            <v>solde du contrat</v>
          </cell>
          <cell r="H2115"/>
          <cell r="I2115"/>
        </row>
        <row r="2116">
          <cell r="C2116" t="str">
            <v>TTC</v>
          </cell>
          <cell r="D2116" t="str">
            <v>du</v>
          </cell>
          <cell r="E2116" t="str">
            <v>solde du contrat</v>
          </cell>
          <cell r="F2116"/>
          <cell r="G2116"/>
          <cell r="H2116"/>
          <cell r="I2116"/>
        </row>
        <row r="2117">
          <cell r="C2117" t="str">
            <v>TTC</v>
          </cell>
          <cell r="D2117" t="str">
            <v>de l'</v>
          </cell>
          <cell r="E2117" t="str">
            <v>événement</v>
          </cell>
          <cell r="F2117"/>
          <cell r="G2117"/>
          <cell r="H2117"/>
          <cell r="I2117"/>
        </row>
        <row r="2118">
          <cell r="C2118" t="str">
            <v>TTC</v>
          </cell>
          <cell r="D2118" t="str">
            <v>du</v>
          </cell>
          <cell r="E2118" t="str">
            <v>contentieux</v>
          </cell>
          <cell r="F2118"/>
          <cell r="G2118"/>
          <cell r="H2118"/>
          <cell r="I2118"/>
        </row>
        <row r="2119">
          <cell r="C2119"/>
          <cell r="D2119" t="str">
            <v>de l'</v>
          </cell>
          <cell r="E2119" t="str">
            <v>événement</v>
          </cell>
          <cell r="F2119"/>
          <cell r="G2119"/>
          <cell r="H2119"/>
          <cell r="I2119"/>
        </row>
        <row r="2120">
          <cell r="C2120"/>
          <cell r="D2120" t="str">
            <v>de</v>
          </cell>
          <cell r="E2120" t="str">
            <v>cotisation annuelle TTC</v>
          </cell>
          <cell r="F2120"/>
          <cell r="G2120"/>
          <cell r="H2120"/>
          <cell r="I2120"/>
        </row>
        <row r="2121">
          <cell r="C2121"/>
          <cell r="D2121" t="str">
            <v>des</v>
          </cell>
          <cell r="E2121" t="str">
            <v>cotisation</v>
          </cell>
          <cell r="F2121"/>
          <cell r="G2121"/>
          <cell r="H2121"/>
          <cell r="I2121"/>
        </row>
        <row r="2122">
          <cell r="C2122"/>
          <cell r="D2122" t="str">
            <v>d'</v>
          </cell>
          <cell r="E2122" t="str">
            <v>appel des cotisations</v>
          </cell>
          <cell r="F2122"/>
          <cell r="G2122"/>
          <cell r="H2122"/>
          <cell r="I2122"/>
        </row>
        <row r="2123">
          <cell r="C2123"/>
          <cell r="D2123" t="str">
            <v>du</v>
          </cell>
          <cell r="E2123" t="str">
            <v>solde du contrat</v>
          </cell>
          <cell r="F2123"/>
          <cell r="G2123"/>
          <cell r="H2123"/>
          <cell r="I2123"/>
        </row>
        <row r="2124">
          <cell r="C2124"/>
          <cell r="D2124" t="str">
            <v>du</v>
          </cell>
          <cell r="E2124" t="str">
            <v>solde du contrat</v>
          </cell>
          <cell r="F2124"/>
          <cell r="G2124"/>
          <cell r="H2124"/>
          <cell r="I2124"/>
        </row>
        <row r="2125">
          <cell r="C2125"/>
          <cell r="D2125" t="str">
            <v>de l'</v>
          </cell>
          <cell r="E2125" t="str">
            <v>événement</v>
          </cell>
          <cell r="F2125"/>
          <cell r="G2125"/>
          <cell r="H2125"/>
          <cell r="I2125"/>
        </row>
        <row r="2126">
          <cell r="C2126"/>
          <cell r="D2126" t="str">
            <v>de l'</v>
          </cell>
          <cell r="E2126" t="str">
            <v>événement</v>
          </cell>
          <cell r="F2126"/>
          <cell r="G2126"/>
          <cell r="H2126"/>
          <cell r="I2126"/>
        </row>
        <row r="2127">
          <cell r="C2127"/>
          <cell r="D2127" t="str">
            <v>du</v>
          </cell>
          <cell r="E2127" t="str">
            <v>contentieux</v>
          </cell>
          <cell r="F2127"/>
          <cell r="G2127"/>
          <cell r="H2127"/>
          <cell r="I2127"/>
        </row>
        <row r="2128">
          <cell r="C2128"/>
          <cell r="D2128" t="str">
            <v>du</v>
          </cell>
          <cell r="E2128" t="str">
            <v>précédent appel des cotisations</v>
          </cell>
          <cell r="F2128"/>
          <cell r="G2128"/>
          <cell r="H2128"/>
          <cell r="I2128"/>
        </row>
        <row r="2129">
          <cell r="C2129" t="str">
            <v>état</v>
          </cell>
          <cell r="D2129" t="str">
            <v>d'</v>
          </cell>
          <cell r="E2129" t="str">
            <v>appel des cotisations</v>
          </cell>
          <cell r="F2129"/>
          <cell r="G2129"/>
          <cell r="H2129"/>
          <cell r="I2129"/>
        </row>
        <row r="2130">
          <cell r="C2130"/>
          <cell r="D2130" t="str">
            <v>du</v>
          </cell>
          <cell r="E2130" t="str">
            <v>solde du contrat</v>
          </cell>
          <cell r="F2130"/>
          <cell r="G2130"/>
          <cell r="H2130"/>
          <cell r="I2130"/>
        </row>
        <row r="2131">
          <cell r="C2131"/>
          <cell r="D2131" t="str">
            <v>de l'</v>
          </cell>
          <cell r="E2131" t="str">
            <v>événement</v>
          </cell>
          <cell r="F2131"/>
          <cell r="G2131"/>
          <cell r="H2131"/>
          <cell r="I2131"/>
        </row>
        <row r="2132">
          <cell r="C2132" t="str">
            <v>état</v>
          </cell>
          <cell r="D2132" t="str">
            <v>du</v>
          </cell>
          <cell r="E2132" t="str">
            <v>contentieux</v>
          </cell>
          <cell r="F2132"/>
          <cell r="G2132"/>
          <cell r="H2132"/>
          <cell r="I2132"/>
        </row>
        <row r="2133">
          <cell r="C2133"/>
          <cell r="D2133" t="str">
            <v>de l'</v>
          </cell>
          <cell r="E2133" t="str">
            <v>intermédiaire de gestion</v>
          </cell>
          <cell r="F2133"/>
          <cell r="G2133"/>
          <cell r="H2133"/>
          <cell r="I2133"/>
        </row>
        <row r="2134">
          <cell r="C2134" t="str">
            <v>motif</v>
          </cell>
          <cell r="D2134" t="str">
            <v>de l'</v>
          </cell>
          <cell r="E2134" t="str">
            <v>état</v>
          </cell>
          <cell r="F2134" t="str">
            <v>d'</v>
          </cell>
          <cell r="G2134" t="str">
            <v>appel des cotisations</v>
          </cell>
          <cell r="H2134"/>
          <cell r="I2134"/>
        </row>
        <row r="2135">
          <cell r="C2135" t="str">
            <v>validité</v>
          </cell>
          <cell r="D2135" t="str">
            <v>de l'</v>
          </cell>
          <cell r="E2135" t="str">
            <v>agregation des mouvements financiers</v>
          </cell>
          <cell r="F2135"/>
          <cell r="G2135"/>
          <cell r="H2135"/>
          <cell r="I2135"/>
        </row>
        <row r="2136">
          <cell r="C2136"/>
          <cell r="D2136" t="str">
            <v>du</v>
          </cell>
          <cell r="E2136" t="str">
            <v>type de cumul</v>
          </cell>
          <cell r="F2136" t="str">
            <v>du</v>
          </cell>
          <cell r="G2136" t="str">
            <v>mouvement financier</v>
          </cell>
          <cell r="H2136"/>
          <cell r="I2136"/>
        </row>
        <row r="2137">
          <cell r="C2137"/>
          <cell r="D2137" t="str">
            <v>de la</v>
          </cell>
          <cell r="E2137" t="str">
            <v>devise</v>
          </cell>
          <cell r="F2137" t="str">
            <v>du</v>
          </cell>
          <cell r="G2137" t="str">
            <v>mouvement financier</v>
          </cell>
          <cell r="H2137"/>
          <cell r="I2137"/>
        </row>
        <row r="2138">
          <cell r="C2138"/>
          <cell r="D2138" t="str">
            <v>de la</v>
          </cell>
          <cell r="E2138" t="str">
            <v>Branche assurance</v>
          </cell>
          <cell r="F2138" t="str">
            <v>du</v>
          </cell>
          <cell r="G2138" t="str">
            <v>mouvement financier</v>
          </cell>
          <cell r="H2138"/>
          <cell r="I2138"/>
        </row>
        <row r="2139">
          <cell r="C2139"/>
          <cell r="D2139" t="str">
            <v>de la</v>
          </cell>
          <cell r="E2139" t="str">
            <v>Société d'assurance</v>
          </cell>
          <cell r="F2139" t="str">
            <v>du</v>
          </cell>
          <cell r="G2139" t="str">
            <v>mouvement financier</v>
          </cell>
          <cell r="H2139"/>
          <cell r="I2139"/>
        </row>
        <row r="2140">
          <cell r="C2140"/>
          <cell r="D2140" t="str">
            <v>du</v>
          </cell>
          <cell r="E2140" t="str">
            <v>produit d'assurance</v>
          </cell>
          <cell r="F2140" t="str">
            <v>du</v>
          </cell>
          <cell r="G2140" t="str">
            <v>mouvement financier</v>
          </cell>
          <cell r="H2140"/>
          <cell r="I2140"/>
        </row>
        <row r="2141">
          <cell r="C2141"/>
          <cell r="D2141" t="str">
            <v>de la</v>
          </cell>
          <cell r="E2141" t="str">
            <v>nature</v>
          </cell>
          <cell r="F2141" t="str">
            <v>du</v>
          </cell>
          <cell r="G2141" t="str">
            <v>mouvement financier</v>
          </cell>
          <cell r="H2141"/>
          <cell r="I2141"/>
        </row>
        <row r="2142">
          <cell r="C2142"/>
          <cell r="D2142" t="str">
            <v>du</v>
          </cell>
          <cell r="E2142" t="str">
            <v>type de traitement</v>
          </cell>
          <cell r="F2142" t="str">
            <v>du</v>
          </cell>
          <cell r="G2142" t="str">
            <v>mouvement financier</v>
          </cell>
          <cell r="H2142"/>
          <cell r="I2142"/>
        </row>
        <row r="2143">
          <cell r="C2143"/>
          <cell r="D2143" t="str">
            <v>d'</v>
          </cell>
          <cell r="E2143" t="str">
            <v>opérations bancaires agrégées</v>
          </cell>
          <cell r="F2143"/>
          <cell r="G2143"/>
          <cell r="H2143"/>
          <cell r="I2143"/>
        </row>
        <row r="2144">
          <cell r="C2144"/>
          <cell r="D2144" t="str">
            <v>du</v>
          </cell>
          <cell r="E2144" t="str">
            <v>mouvement financier</v>
          </cell>
          <cell r="F2144"/>
          <cell r="G2144"/>
          <cell r="H2144"/>
          <cell r="I2144"/>
        </row>
        <row r="2145">
          <cell r="C2145"/>
          <cell r="D2145" t="str">
            <v>de l'</v>
          </cell>
          <cell r="E2145" t="str">
            <v>agrégation</v>
          </cell>
          <cell r="F2145"/>
          <cell r="G2145"/>
          <cell r="H2145"/>
          <cell r="I2145"/>
        </row>
        <row r="2146">
          <cell r="C2146" t="str">
            <v>IBAN</v>
          </cell>
          <cell r="D2146" t="str">
            <v>du</v>
          </cell>
          <cell r="E2146" t="str">
            <v>donneur d'ordre</v>
          </cell>
          <cell r="F2146" t="str">
            <v>du</v>
          </cell>
          <cell r="G2146" t="str">
            <v>mouvement financier</v>
          </cell>
          <cell r="H2146"/>
          <cell r="I2146"/>
        </row>
        <row r="2147">
          <cell r="C2147"/>
          <cell r="D2147" t="str">
            <v>du</v>
          </cell>
          <cell r="E2147" t="str">
            <v>nom</v>
          </cell>
          <cell r="F2147" t="str">
            <v>de l'</v>
          </cell>
          <cell r="G2147" t="str">
            <v>association</v>
          </cell>
          <cell r="H2147" t="str">
            <v>du</v>
          </cell>
          <cell r="I2147" t="str">
            <v>mouvement financier</v>
          </cell>
        </row>
        <row r="2148">
          <cell r="C2148"/>
          <cell r="D2148" t="str">
            <v>du</v>
          </cell>
          <cell r="E2148" t="str">
            <v>mouvement financier</v>
          </cell>
          <cell r="F2148"/>
          <cell r="G2148"/>
          <cell r="H2148"/>
          <cell r="I2148"/>
        </row>
        <row r="2149">
          <cell r="C2149" t="str">
            <v>BIP</v>
          </cell>
          <cell r="D2149" t="str">
            <v>de l'</v>
          </cell>
          <cell r="E2149" t="str">
            <v>Employé</v>
          </cell>
          <cell r="F2149"/>
          <cell r="G2149"/>
          <cell r="H2149"/>
          <cell r="I2149"/>
        </row>
        <row r="2150">
          <cell r="C2150" t="str">
            <v>matricule RH</v>
          </cell>
          <cell r="D2150" t="str">
            <v>de l'</v>
          </cell>
          <cell r="E2150" t="str">
            <v>Employé</v>
          </cell>
          <cell r="F2150"/>
          <cell r="G2150"/>
          <cell r="H2150"/>
          <cell r="I2150"/>
        </row>
        <row r="2151">
          <cell r="C2151" t="str">
            <v>téléphone</v>
          </cell>
          <cell r="D2151" t="str">
            <v>de l'</v>
          </cell>
          <cell r="E2151" t="str">
            <v>Employé</v>
          </cell>
          <cell r="F2151"/>
          <cell r="G2151"/>
          <cell r="H2151"/>
          <cell r="I2151"/>
        </row>
        <row r="2152">
          <cell r="C2152" t="str">
            <v>Dernière image</v>
          </cell>
          <cell r="D2152" t="str">
            <v>de la</v>
          </cell>
          <cell r="E2152" t="str">
            <v>Communauté</v>
          </cell>
          <cell r="F2152" t="str">
            <v>d'une</v>
          </cell>
          <cell r="G2152" t="str">
            <v>Communauté</v>
          </cell>
          <cell r="H2152"/>
          <cell r="I2152"/>
        </row>
        <row r="2153">
          <cell r="C2153" t="str">
            <v>Dernière image</v>
          </cell>
          <cell r="D2153" t="str">
            <v>entre</v>
          </cell>
          <cell r="E2153" t="str">
            <v>Employé</v>
          </cell>
          <cell r="F2153" t="str">
            <v>et</v>
          </cell>
          <cell r="G2153" t="str">
            <v>Communauté</v>
          </cell>
          <cell r="H2153"/>
          <cell r="I2153"/>
        </row>
        <row r="2154">
          <cell r="C2154" t="str">
            <v>Dernière image</v>
          </cell>
          <cell r="D2154" t="str">
            <v>de la</v>
          </cell>
          <cell r="E2154" t="str">
            <v>Communauté</v>
          </cell>
          <cell r="F2154"/>
          <cell r="G2154"/>
          <cell r="H2154"/>
          <cell r="I2154"/>
        </row>
        <row r="2155">
          <cell r="C2155" t="str">
            <v>Dernière image</v>
          </cell>
          <cell r="D2155" t="str">
            <v>du</v>
          </cell>
          <cell r="E2155" t="str">
            <v>Groupe informatique</v>
          </cell>
          <cell r="F2155"/>
          <cell r="G2155"/>
          <cell r="H2155"/>
          <cell r="I2155"/>
        </row>
        <row r="2156">
          <cell r="C2156" t="str">
            <v>Dernière image</v>
          </cell>
          <cell r="D2156" t="str">
            <v>de l'</v>
          </cell>
          <cell r="E2156" t="str">
            <v>Employé</v>
          </cell>
          <cell r="F2156"/>
          <cell r="G2156"/>
          <cell r="H2156"/>
          <cell r="I2156"/>
        </row>
        <row r="2157">
          <cell r="C2157" t="str">
            <v>manager</v>
          </cell>
          <cell r="D2157" t="str">
            <v>de l'</v>
          </cell>
          <cell r="E2157" t="str">
            <v>Employé</v>
          </cell>
          <cell r="F2157"/>
          <cell r="G2157"/>
          <cell r="H2157"/>
          <cell r="I2157"/>
        </row>
        <row r="2158">
          <cell r="C2158" t="str">
            <v>Dernière image</v>
          </cell>
          <cell r="D2158" t="str">
            <v>du</v>
          </cell>
          <cell r="E2158" t="str">
            <v>Groupe EQU</v>
          </cell>
          <cell r="F2158"/>
          <cell r="G2158"/>
          <cell r="H2158"/>
          <cell r="I2158"/>
        </row>
        <row r="2159">
          <cell r="C2159" t="str">
            <v>Dernière image</v>
          </cell>
          <cell r="D2159" t="str">
            <v>du</v>
          </cell>
          <cell r="E2159" t="str">
            <v>Groupe TRIBU</v>
          </cell>
          <cell r="F2159"/>
          <cell r="G2159"/>
          <cell r="H2159"/>
          <cell r="I2159"/>
        </row>
        <row r="2160">
          <cell r="C2160" t="str">
            <v>manager</v>
          </cell>
          <cell r="D2160" t="str">
            <v>de l'</v>
          </cell>
          <cell r="E2160" t="str">
            <v>Employé</v>
          </cell>
          <cell r="F2160"/>
          <cell r="G2160"/>
          <cell r="H2160"/>
          <cell r="I2160"/>
        </row>
        <row r="2161">
          <cell r="C2161" t="str">
            <v>activité</v>
          </cell>
          <cell r="D2161" t="str">
            <v>de l'</v>
          </cell>
          <cell r="E2161" t="str">
            <v>Employé</v>
          </cell>
          <cell r="F2161"/>
          <cell r="G2161"/>
          <cell r="H2161"/>
          <cell r="I2161"/>
        </row>
        <row r="2162">
          <cell r="C2162"/>
          <cell r="D2162" t="str">
            <v>de la</v>
          </cell>
          <cell r="E2162" t="str">
            <v>Communauté</v>
          </cell>
          <cell r="F2162" t="str">
            <v>d'une</v>
          </cell>
          <cell r="G2162" t="str">
            <v>Communauté</v>
          </cell>
          <cell r="H2162"/>
          <cell r="I2162"/>
        </row>
        <row r="2163">
          <cell r="C2163"/>
          <cell r="D2163" t="str">
            <v>entre</v>
          </cell>
          <cell r="E2163" t="str">
            <v>Employé</v>
          </cell>
          <cell r="F2163" t="str">
            <v>et</v>
          </cell>
          <cell r="G2163" t="str">
            <v>Communauté</v>
          </cell>
          <cell r="H2163"/>
          <cell r="I2163"/>
        </row>
        <row r="2164">
          <cell r="C2164"/>
          <cell r="D2164" t="str">
            <v>de la</v>
          </cell>
          <cell r="E2164" t="str">
            <v>Communauté</v>
          </cell>
          <cell r="F2164" t="str">
            <v>d'une</v>
          </cell>
          <cell r="G2164" t="str">
            <v>Communauté</v>
          </cell>
          <cell r="H2164"/>
          <cell r="I2164"/>
        </row>
        <row r="2165">
          <cell r="C2165"/>
          <cell r="D2165" t="str">
            <v>entre</v>
          </cell>
          <cell r="E2165" t="str">
            <v>Employé</v>
          </cell>
          <cell r="F2165" t="str">
            <v>et</v>
          </cell>
          <cell r="G2165" t="str">
            <v>Communauté</v>
          </cell>
          <cell r="H2165"/>
          <cell r="I2165"/>
        </row>
        <row r="2166">
          <cell r="C2166"/>
          <cell r="D2166" t="str">
            <v>de l'</v>
          </cell>
          <cell r="E2166" t="str">
            <v>Application source</v>
          </cell>
          <cell r="F2166" t="str">
            <v>de la</v>
          </cell>
          <cell r="G2166" t="str">
            <v>Communauté</v>
          </cell>
          <cell r="H2166"/>
          <cell r="I2166"/>
        </row>
        <row r="2167">
          <cell r="C2167"/>
          <cell r="D2167" t="str">
            <v>de la</v>
          </cell>
          <cell r="E2167" t="str">
            <v>Communauté</v>
          </cell>
          <cell r="F2167" t="str">
            <v>d'une</v>
          </cell>
          <cell r="G2167" t="str">
            <v>Communauté</v>
          </cell>
          <cell r="H2167"/>
          <cell r="I2167"/>
        </row>
        <row r="2168">
          <cell r="C2168"/>
          <cell r="D2168" t="str">
            <v>de la</v>
          </cell>
          <cell r="E2168" t="str">
            <v>Communauté</v>
          </cell>
          <cell r="F2168" t="str">
            <v>d'une</v>
          </cell>
          <cell r="G2168" t="str">
            <v>Communauté</v>
          </cell>
          <cell r="H2168"/>
          <cell r="I2168"/>
        </row>
        <row r="2169">
          <cell r="C2169"/>
          <cell r="D2169" t="str">
            <v>entre</v>
          </cell>
          <cell r="E2169" t="str">
            <v>Employé</v>
          </cell>
          <cell r="F2169" t="str">
            <v>et</v>
          </cell>
          <cell r="G2169" t="str">
            <v>Communauté</v>
          </cell>
          <cell r="H2169"/>
          <cell r="I2169"/>
        </row>
        <row r="2170">
          <cell r="C2170"/>
          <cell r="D2170" t="str">
            <v>entre</v>
          </cell>
          <cell r="E2170" t="str">
            <v>Employé</v>
          </cell>
          <cell r="F2170" t="str">
            <v>et</v>
          </cell>
          <cell r="G2170" t="str">
            <v>Communauté</v>
          </cell>
          <cell r="H2170"/>
          <cell r="I2170"/>
        </row>
        <row r="2171">
          <cell r="C2171"/>
          <cell r="D2171" t="str">
            <v>de la</v>
          </cell>
          <cell r="E2171" t="str">
            <v>Catégorie</v>
          </cell>
          <cell r="F2171" t="str">
            <v>de la</v>
          </cell>
          <cell r="G2171" t="str">
            <v>Communauté</v>
          </cell>
          <cell r="H2171"/>
          <cell r="I2171"/>
        </row>
        <row r="2172">
          <cell r="C2172"/>
          <cell r="D2172" t="str">
            <v>d'</v>
          </cell>
          <cell r="E2172" t="str">
            <v>Association</v>
          </cell>
          <cell r="F2172" t="str">
            <v>de la</v>
          </cell>
          <cell r="G2172" t="str">
            <v>Communauté</v>
          </cell>
          <cell r="H2172" t="str">
            <v>d'une</v>
          </cell>
          <cell r="I2172" t="str">
            <v>Communauté</v>
          </cell>
        </row>
        <row r="2173">
          <cell r="C2173"/>
          <cell r="D2173" t="str">
            <v>de la</v>
          </cell>
          <cell r="E2173" t="str">
            <v>Communauté</v>
          </cell>
          <cell r="F2173" t="str">
            <v>d'une</v>
          </cell>
          <cell r="G2173" t="str">
            <v>Communauté</v>
          </cell>
          <cell r="H2173"/>
          <cell r="I2173"/>
        </row>
        <row r="2174">
          <cell r="C2174"/>
          <cell r="D2174" t="str">
            <v>entre</v>
          </cell>
          <cell r="E2174" t="str">
            <v>Employé</v>
          </cell>
          <cell r="F2174" t="str">
            <v>et</v>
          </cell>
          <cell r="G2174" t="str">
            <v>Communauté</v>
          </cell>
          <cell r="H2174"/>
          <cell r="I2174"/>
        </row>
        <row r="2175">
          <cell r="C2175"/>
          <cell r="D2175" t="str">
            <v>de l'</v>
          </cell>
          <cell r="E2175" t="str">
            <v>Application source</v>
          </cell>
          <cell r="F2175" t="str">
            <v>de la</v>
          </cell>
          <cell r="G2175" t="str">
            <v>Communauté</v>
          </cell>
          <cell r="H2175"/>
          <cell r="I2175"/>
        </row>
        <row r="2176">
          <cell r="C2176"/>
          <cell r="D2176" t="str">
            <v>du</v>
          </cell>
          <cell r="E2176" t="str">
            <v>Type</v>
          </cell>
          <cell r="F2176" t="str">
            <v>de la</v>
          </cell>
          <cell r="G2176" t="str">
            <v>Communauté</v>
          </cell>
          <cell r="H2176"/>
          <cell r="I2176"/>
        </row>
        <row r="2177">
          <cell r="C2177"/>
          <cell r="D2177" t="str">
            <v>du</v>
          </cell>
          <cell r="E2177" t="str">
            <v>Message 1</v>
          </cell>
          <cell r="F2177" t="str">
            <v>de la</v>
          </cell>
          <cell r="G2177" t="str">
            <v>Console du gestionnaire</v>
          </cell>
          <cell r="H2177" t="str">
            <v>du</v>
          </cell>
          <cell r="I2177" t="str">
            <v>Groupe TRIBU</v>
          </cell>
        </row>
        <row r="2178">
          <cell r="C2178"/>
          <cell r="D2178" t="str">
            <v>du</v>
          </cell>
          <cell r="E2178" t="str">
            <v>Message 2</v>
          </cell>
          <cell r="F2178" t="str">
            <v>de la</v>
          </cell>
          <cell r="G2178" t="str">
            <v>Console du gestionnaire</v>
          </cell>
          <cell r="H2178" t="str">
            <v>du</v>
          </cell>
          <cell r="I2178" t="str">
            <v>Groupe TRIBU</v>
          </cell>
        </row>
        <row r="2179">
          <cell r="C2179"/>
          <cell r="D2179" t="str">
            <v>de la</v>
          </cell>
          <cell r="E2179" t="str">
            <v>Société d'assurance</v>
          </cell>
          <cell r="F2179" t="str">
            <v>de l'</v>
          </cell>
          <cell r="G2179" t="str">
            <v>Employé</v>
          </cell>
          <cell r="H2179"/>
          <cell r="I2179"/>
        </row>
        <row r="2180">
          <cell r="C2180"/>
          <cell r="D2180" t="str">
            <v>de l'</v>
          </cell>
          <cell r="E2180" t="str">
            <v>Assurance de base</v>
          </cell>
          <cell r="F2180" t="str">
            <v>entre</v>
          </cell>
          <cell r="G2180" t="str">
            <v>Employé</v>
          </cell>
          <cell r="H2180" t="str">
            <v>et</v>
          </cell>
          <cell r="I2180" t="str">
            <v>Communauté</v>
          </cell>
        </row>
        <row r="2181">
          <cell r="C2181"/>
          <cell r="D2181" t="str">
            <v>de l'</v>
          </cell>
          <cell r="E2181" t="str">
            <v>Assurance divers</v>
          </cell>
          <cell r="F2181" t="str">
            <v>entre</v>
          </cell>
          <cell r="G2181" t="str">
            <v>Employé</v>
          </cell>
          <cell r="H2181" t="str">
            <v>et</v>
          </cell>
          <cell r="I2181" t="str">
            <v>Communauté</v>
          </cell>
        </row>
        <row r="2182">
          <cell r="C2182"/>
          <cell r="D2182" t="str">
            <v>de la</v>
          </cell>
          <cell r="E2182" t="str">
            <v>Localité</v>
          </cell>
          <cell r="F2182" t="str">
            <v>du</v>
          </cell>
          <cell r="G2182" t="str">
            <v>Groupe EQU</v>
          </cell>
          <cell r="H2182"/>
          <cell r="I2182"/>
        </row>
        <row r="2183">
          <cell r="C2183"/>
          <cell r="D2183" t="str">
            <v>de la</v>
          </cell>
          <cell r="E2183" t="str">
            <v>Branche assurance</v>
          </cell>
          <cell r="F2183" t="str">
            <v>du</v>
          </cell>
          <cell r="G2183" t="str">
            <v>Groupe TRIBU</v>
          </cell>
          <cell r="H2183"/>
          <cell r="I2183"/>
        </row>
        <row r="2184">
          <cell r="C2184"/>
          <cell r="D2184" t="str">
            <v>de la</v>
          </cell>
          <cell r="E2184" t="str">
            <v>Branche assurance</v>
          </cell>
          <cell r="F2184" t="str">
            <v>du</v>
          </cell>
          <cell r="G2184" t="str">
            <v>Groupe TRIBU</v>
          </cell>
          <cell r="H2184"/>
          <cell r="I2184"/>
        </row>
        <row r="2185">
          <cell r="C2185"/>
          <cell r="D2185" t="str">
            <v>de la</v>
          </cell>
          <cell r="E2185" t="str">
            <v>Communauté</v>
          </cell>
          <cell r="F2185"/>
          <cell r="G2185"/>
          <cell r="H2185"/>
          <cell r="I2185"/>
        </row>
        <row r="2186">
          <cell r="C2186"/>
          <cell r="D2186" t="str">
            <v>du</v>
          </cell>
          <cell r="E2186" t="str">
            <v>Groupe informatique</v>
          </cell>
          <cell r="F2186"/>
          <cell r="G2186"/>
          <cell r="H2186"/>
          <cell r="I2186"/>
        </row>
        <row r="2187">
          <cell r="C2187" t="str">
            <v>rédacteur</v>
          </cell>
          <cell r="D2187" t="str">
            <v>entre</v>
          </cell>
          <cell r="E2187" t="str">
            <v>Employé</v>
          </cell>
          <cell r="F2187" t="str">
            <v>et</v>
          </cell>
          <cell r="G2187" t="str">
            <v>Communauté</v>
          </cell>
          <cell r="H2187"/>
          <cell r="I2187"/>
        </row>
        <row r="2188">
          <cell r="C2188"/>
          <cell r="D2188" t="str">
            <v>de l'</v>
          </cell>
          <cell r="E2188" t="str">
            <v>Employé</v>
          </cell>
          <cell r="F2188"/>
          <cell r="G2188"/>
          <cell r="H2188"/>
          <cell r="I2188"/>
        </row>
        <row r="2189">
          <cell r="C2189"/>
          <cell r="D2189" t="str">
            <v>du</v>
          </cell>
          <cell r="E2189" t="str">
            <v>Groupe EQU</v>
          </cell>
          <cell r="F2189"/>
          <cell r="G2189"/>
          <cell r="H2189"/>
          <cell r="I2189"/>
        </row>
        <row r="2190">
          <cell r="C2190"/>
          <cell r="D2190" t="str">
            <v>du</v>
          </cell>
          <cell r="E2190" t="str">
            <v>Groupe TRIBU</v>
          </cell>
          <cell r="F2190"/>
          <cell r="G2190"/>
          <cell r="H2190"/>
          <cell r="I2190"/>
        </row>
        <row r="2191">
          <cell r="C2191"/>
          <cell r="D2191" t="str">
            <v>de la</v>
          </cell>
          <cell r="E2191" t="str">
            <v>Communauté</v>
          </cell>
          <cell r="F2191"/>
          <cell r="G2191"/>
          <cell r="H2191"/>
          <cell r="I2191"/>
        </row>
        <row r="2192">
          <cell r="C2192"/>
          <cell r="D2192" t="str">
            <v>du</v>
          </cell>
          <cell r="E2192" t="str">
            <v>Groupe informatique</v>
          </cell>
          <cell r="F2192"/>
          <cell r="G2192"/>
          <cell r="H2192"/>
          <cell r="I2192"/>
        </row>
        <row r="2193">
          <cell r="C2193"/>
          <cell r="D2193" t="str">
            <v>de l'</v>
          </cell>
          <cell r="E2193" t="str">
            <v>Employé</v>
          </cell>
          <cell r="F2193"/>
          <cell r="G2193"/>
          <cell r="H2193"/>
          <cell r="I2193"/>
        </row>
        <row r="2194">
          <cell r="C2194"/>
          <cell r="D2194" t="str">
            <v>du</v>
          </cell>
          <cell r="E2194" t="str">
            <v>Groupe EQU</v>
          </cell>
          <cell r="F2194"/>
          <cell r="G2194"/>
          <cell r="H2194"/>
          <cell r="I2194"/>
        </row>
        <row r="2195">
          <cell r="C2195"/>
          <cell r="D2195" t="str">
            <v>du</v>
          </cell>
          <cell r="E2195" t="str">
            <v>Groupe TRIBU</v>
          </cell>
          <cell r="F2195"/>
          <cell r="G2195"/>
          <cell r="H2195"/>
          <cell r="I2195"/>
        </row>
        <row r="2196">
          <cell r="C2196" t="str">
            <v>ordinateur</v>
          </cell>
          <cell r="D2196" t="str">
            <v>de l'</v>
          </cell>
          <cell r="E2196" t="str">
            <v>Employé</v>
          </cell>
          <cell r="F2196"/>
          <cell r="G2196"/>
          <cell r="H2196"/>
          <cell r="I2196"/>
        </row>
        <row r="2197">
          <cell r="C2197" t="str">
            <v>SAS</v>
          </cell>
          <cell r="D2197" t="str">
            <v>de l'</v>
          </cell>
          <cell r="E2197" t="str">
            <v>Employé</v>
          </cell>
          <cell r="F2197"/>
          <cell r="G2197"/>
          <cell r="H2197"/>
          <cell r="I2197"/>
        </row>
        <row r="2198">
          <cell r="C2198"/>
          <cell r="D2198" t="str">
            <v>de la</v>
          </cell>
          <cell r="E2198" t="str">
            <v>Communauté</v>
          </cell>
          <cell r="F2198"/>
          <cell r="G2198"/>
          <cell r="H2198"/>
          <cell r="I2198"/>
        </row>
        <row r="2199">
          <cell r="C2199"/>
          <cell r="D2199" t="str">
            <v>de la</v>
          </cell>
          <cell r="E2199" t="str">
            <v>Communauté</v>
          </cell>
          <cell r="F2199"/>
          <cell r="G2199"/>
          <cell r="H2199"/>
          <cell r="I2199"/>
        </row>
        <row r="2200">
          <cell r="C2200"/>
          <cell r="D2200" t="str">
            <v>du</v>
          </cell>
          <cell r="E2200" t="str">
            <v>Groupe informatique</v>
          </cell>
          <cell r="F2200"/>
          <cell r="G2200"/>
          <cell r="H2200"/>
          <cell r="I2200"/>
        </row>
        <row r="2201">
          <cell r="C2201"/>
          <cell r="D2201" t="str">
            <v>du</v>
          </cell>
          <cell r="E2201" t="str">
            <v>Groupe informatique</v>
          </cell>
          <cell r="F2201"/>
          <cell r="G2201"/>
          <cell r="H2201"/>
          <cell r="I2201"/>
        </row>
        <row r="2202">
          <cell r="C2202"/>
          <cell r="D2202" t="str">
            <v>de l'</v>
          </cell>
          <cell r="E2202" t="str">
            <v>Employé</v>
          </cell>
          <cell r="F2202"/>
          <cell r="G2202"/>
          <cell r="H2202"/>
          <cell r="I2202"/>
        </row>
        <row r="2203">
          <cell r="C2203"/>
          <cell r="D2203" t="str">
            <v>de l'</v>
          </cell>
          <cell r="E2203" t="str">
            <v>Employé</v>
          </cell>
          <cell r="F2203"/>
          <cell r="G2203"/>
          <cell r="H2203"/>
          <cell r="I2203"/>
        </row>
        <row r="2204">
          <cell r="C2204"/>
          <cell r="D2204" t="str">
            <v>du</v>
          </cell>
          <cell r="E2204" t="str">
            <v>Groupe EQU</v>
          </cell>
          <cell r="F2204"/>
          <cell r="G2204"/>
          <cell r="H2204"/>
          <cell r="I2204"/>
        </row>
        <row r="2205">
          <cell r="C2205"/>
          <cell r="D2205" t="str">
            <v>du</v>
          </cell>
          <cell r="E2205" t="str">
            <v>Groupe EQU</v>
          </cell>
          <cell r="F2205"/>
          <cell r="G2205"/>
          <cell r="H2205"/>
          <cell r="I2205"/>
        </row>
        <row r="2206">
          <cell r="C2206"/>
          <cell r="D2206" t="str">
            <v>du</v>
          </cell>
          <cell r="E2206" t="str">
            <v>Groupe TRIBU</v>
          </cell>
          <cell r="F2206"/>
          <cell r="G2206"/>
          <cell r="H2206"/>
          <cell r="I2206"/>
        </row>
        <row r="2207">
          <cell r="C2207"/>
          <cell r="D2207" t="str">
            <v>du</v>
          </cell>
          <cell r="E2207" t="str">
            <v>Groupe TRIBU</v>
          </cell>
          <cell r="F2207"/>
          <cell r="G2207"/>
          <cell r="H2207"/>
          <cell r="I2207"/>
        </row>
        <row r="2208">
          <cell r="C2208"/>
          <cell r="D2208" t="str">
            <v>de la</v>
          </cell>
          <cell r="E2208" t="str">
            <v>Communauté</v>
          </cell>
          <cell r="F2208"/>
          <cell r="G2208"/>
          <cell r="H2208"/>
          <cell r="I2208"/>
        </row>
        <row r="2209">
          <cell r="C2209"/>
          <cell r="D2209" t="str">
            <v>du</v>
          </cell>
          <cell r="E2209" t="str">
            <v>Groupe informatique</v>
          </cell>
          <cell r="F2209"/>
          <cell r="G2209"/>
          <cell r="H2209"/>
          <cell r="I2209"/>
        </row>
        <row r="2210">
          <cell r="C2210"/>
          <cell r="D2210" t="str">
            <v>du</v>
          </cell>
          <cell r="E2210" t="str">
            <v>Groupe informatique</v>
          </cell>
          <cell r="F2210"/>
          <cell r="G2210"/>
          <cell r="H2210"/>
          <cell r="I2210"/>
        </row>
        <row r="2211">
          <cell r="C2211"/>
          <cell r="D2211" t="str">
            <v>de l'</v>
          </cell>
          <cell r="E2211" t="str">
            <v>Employé</v>
          </cell>
          <cell r="F2211"/>
          <cell r="G2211"/>
          <cell r="H2211"/>
          <cell r="I2211"/>
        </row>
        <row r="2212">
          <cell r="C2212"/>
          <cell r="D2212" t="str">
            <v>de l'</v>
          </cell>
          <cell r="E2212" t="str">
            <v>Employé</v>
          </cell>
          <cell r="F2212"/>
          <cell r="G2212"/>
          <cell r="H2212"/>
          <cell r="I2212"/>
        </row>
        <row r="2213">
          <cell r="C2213"/>
          <cell r="D2213" t="str">
            <v>de l'</v>
          </cell>
          <cell r="E2213" t="str">
            <v>Employé</v>
          </cell>
          <cell r="F2213"/>
          <cell r="G2213"/>
          <cell r="H2213"/>
          <cell r="I2213"/>
        </row>
        <row r="2214">
          <cell r="C2214"/>
          <cell r="D2214" t="str">
            <v>de l'</v>
          </cell>
          <cell r="E2214" t="str">
            <v>Employé</v>
          </cell>
          <cell r="F2214"/>
          <cell r="G2214"/>
          <cell r="H2214"/>
          <cell r="I2214"/>
        </row>
        <row r="2215">
          <cell r="C2215"/>
          <cell r="D2215" t="str">
            <v>de l'</v>
          </cell>
          <cell r="E2215" t="str">
            <v>Employé</v>
          </cell>
          <cell r="F2215"/>
          <cell r="G2215"/>
          <cell r="H2215"/>
          <cell r="I2215"/>
        </row>
        <row r="2216">
          <cell r="C2216"/>
          <cell r="D2216" t="str">
            <v>du</v>
          </cell>
          <cell r="E2216" t="str">
            <v>Groupe EQU</v>
          </cell>
          <cell r="F2216"/>
          <cell r="G2216"/>
          <cell r="H2216"/>
          <cell r="I2216"/>
        </row>
        <row r="2217">
          <cell r="C2217"/>
          <cell r="D2217" t="str">
            <v>du</v>
          </cell>
          <cell r="E2217" t="str">
            <v>Groupe EQU</v>
          </cell>
          <cell r="F2217"/>
          <cell r="G2217"/>
          <cell r="H2217"/>
          <cell r="I2217"/>
        </row>
        <row r="2218">
          <cell r="C2218"/>
          <cell r="D2218" t="str">
            <v>du</v>
          </cell>
          <cell r="E2218" t="str">
            <v>Groupe TRIBU</v>
          </cell>
          <cell r="F2218"/>
          <cell r="G2218"/>
          <cell r="H2218"/>
          <cell r="I2218"/>
        </row>
        <row r="2219">
          <cell r="C2219"/>
          <cell r="D2219" t="str">
            <v>du</v>
          </cell>
          <cell r="E2219" t="str">
            <v>Groupe TRIBU</v>
          </cell>
          <cell r="F2219"/>
          <cell r="G2219"/>
          <cell r="H2219"/>
          <cell r="I2219"/>
        </row>
        <row r="2220">
          <cell r="C2220" t="str">
            <v>jour</v>
          </cell>
          <cell r="D2220" t="str">
            <v>de</v>
          </cell>
          <cell r="E2220" t="str">
            <v>Soins santé</v>
          </cell>
          <cell r="F2220" t="str">
            <v>de la</v>
          </cell>
          <cell r="G2220" t="str">
            <v>ligne de soins</v>
          </cell>
          <cell r="H2220"/>
          <cell r="I2220"/>
        </row>
        <row r="2221">
          <cell r="C2221" t="str">
            <v>naissance</v>
          </cell>
          <cell r="D2221" t="str">
            <v>de l'</v>
          </cell>
          <cell r="E2221" t="str">
            <v>Assuré Santé Sinistré</v>
          </cell>
          <cell r="F2221" t="str">
            <v>,</v>
          </cell>
          <cell r="G2221" t="str">
            <v>Non Référencé</v>
          </cell>
          <cell r="H2221"/>
          <cell r="I2221"/>
        </row>
        <row r="2222">
          <cell r="C2222" t="str">
            <v>naissance</v>
          </cell>
          <cell r="D2222" t="str">
            <v>de l'</v>
          </cell>
          <cell r="E2222" t="str">
            <v>Assuré Santé Sinistré</v>
          </cell>
          <cell r="F2222" t="str">
            <v>,</v>
          </cell>
          <cell r="G2222" t="str">
            <v>Non Référencé</v>
          </cell>
          <cell r="H2222"/>
          <cell r="I2222"/>
        </row>
        <row r="2223">
          <cell r="C2223"/>
          <cell r="D2223" t="str">
            <v>d'</v>
          </cell>
          <cell r="E2223" t="str">
            <v>Année de rétention</v>
          </cell>
          <cell r="F2223" t="str">
            <v>de l'</v>
          </cell>
          <cell r="G2223" t="str">
            <v>acte de soins santé des ACM</v>
          </cell>
          <cell r="H2223"/>
          <cell r="I2223"/>
        </row>
        <row r="2224">
          <cell r="C2224"/>
          <cell r="D2224" t="str">
            <v>de la</v>
          </cell>
          <cell r="E2224" t="str">
            <v>Catégorie</v>
          </cell>
          <cell r="F2224" t="str">
            <v>de l'</v>
          </cell>
          <cell r="G2224" t="str">
            <v>acte de soins santé des ACM</v>
          </cell>
          <cell r="H2224"/>
          <cell r="I2224"/>
        </row>
        <row r="2225">
          <cell r="C2225"/>
          <cell r="D2225" t="str">
            <v>du</v>
          </cell>
          <cell r="E2225" t="str">
            <v>Contrôle double</v>
          </cell>
          <cell r="F2225" t="str">
            <v>de l'</v>
          </cell>
          <cell r="G2225" t="str">
            <v>acte de soins santé des ACM</v>
          </cell>
          <cell r="H2225"/>
          <cell r="I2225"/>
        </row>
        <row r="2226">
          <cell r="C2226"/>
          <cell r="D2226" t="str">
            <v>du</v>
          </cell>
          <cell r="E2226" t="str">
            <v>Type de carence</v>
          </cell>
          <cell r="F2226" t="str">
            <v>de l'</v>
          </cell>
          <cell r="G2226" t="str">
            <v>acte de soins santé des ACM</v>
          </cell>
          <cell r="H2226"/>
          <cell r="I2226"/>
        </row>
        <row r="2227">
          <cell r="C2227"/>
          <cell r="D2227" t="str">
            <v>du</v>
          </cell>
          <cell r="E2227" t="str">
            <v xml:space="preserve">Type d'exclusion </v>
          </cell>
          <cell r="F2227" t="str">
            <v>de l'</v>
          </cell>
          <cell r="G2227" t="str">
            <v>acte de soins santé des ACM</v>
          </cell>
          <cell r="H2227"/>
          <cell r="I2227"/>
        </row>
        <row r="2228">
          <cell r="C2228"/>
          <cell r="D2228" t="str">
            <v>du</v>
          </cell>
          <cell r="E2228" t="str">
            <v>Type</v>
          </cell>
          <cell r="F2228" t="str">
            <v>de l'</v>
          </cell>
          <cell r="G2228" t="str">
            <v>acte de soins santé des ACM</v>
          </cell>
          <cell r="H2228"/>
          <cell r="I2228"/>
        </row>
        <row r="2229">
          <cell r="C2229"/>
          <cell r="D2229" t="str">
            <v>de</v>
          </cell>
          <cell r="E2229" t="str">
            <v>Remboursement</v>
          </cell>
          <cell r="F2229" t="str">
            <v>de l'</v>
          </cell>
          <cell r="G2229" t="str">
            <v>acte de soins santé des ACM</v>
          </cell>
          <cell r="H2229"/>
          <cell r="I2229"/>
        </row>
        <row r="2230">
          <cell r="C2230"/>
          <cell r="D2230" t="str">
            <v>de la</v>
          </cell>
          <cell r="E2230" t="str">
            <v>Catégorie</v>
          </cell>
          <cell r="F2230" t="str">
            <v>de l'</v>
          </cell>
          <cell r="G2230" t="str">
            <v>acte de soins santé des ACM</v>
          </cell>
          <cell r="H2230"/>
          <cell r="I2230"/>
        </row>
        <row r="2231">
          <cell r="C2231"/>
          <cell r="D2231" t="str">
            <v>de la</v>
          </cell>
          <cell r="E2231" t="str">
            <v>Catégorie</v>
          </cell>
          <cell r="F2231" t="str">
            <v>de l'</v>
          </cell>
          <cell r="G2231" t="str">
            <v>acte de soins santé des ACM</v>
          </cell>
          <cell r="H2231"/>
          <cell r="I2231"/>
        </row>
        <row r="2232">
          <cell r="C2232"/>
          <cell r="D2232" t="str">
            <v>du</v>
          </cell>
          <cell r="E2232" t="str">
            <v>Contrôle double</v>
          </cell>
          <cell r="F2232" t="str">
            <v>de l'</v>
          </cell>
          <cell r="G2232" t="str">
            <v>acte de soins santé des ACM</v>
          </cell>
          <cell r="H2232"/>
          <cell r="I2232"/>
        </row>
        <row r="2233">
          <cell r="C2233"/>
          <cell r="D2233" t="str">
            <v>du</v>
          </cell>
          <cell r="E2233" t="str">
            <v>Contrôle double</v>
          </cell>
          <cell r="F2233" t="str">
            <v>de l'</v>
          </cell>
          <cell r="G2233" t="str">
            <v>acte de soins santé des ACM</v>
          </cell>
          <cell r="H2233"/>
          <cell r="I2233"/>
        </row>
        <row r="2234">
          <cell r="C2234"/>
          <cell r="D2234" t="str">
            <v>du</v>
          </cell>
          <cell r="E2234" t="str">
            <v>Double règlement</v>
          </cell>
          <cell r="F2234" t="str">
            <v>de l'</v>
          </cell>
          <cell r="G2234" t="str">
            <v>acte de soins santé des ACM</v>
          </cell>
          <cell r="H2234"/>
          <cell r="I2234"/>
        </row>
        <row r="2235">
          <cell r="C2235"/>
          <cell r="D2235" t="str">
            <v>du</v>
          </cell>
          <cell r="E2235" t="str">
            <v>Double règlement</v>
          </cell>
          <cell r="F2235" t="str">
            <v>de l'</v>
          </cell>
          <cell r="G2235" t="str">
            <v>acte de soins santé des ACM</v>
          </cell>
          <cell r="H2235"/>
          <cell r="I2235"/>
        </row>
        <row r="2236">
          <cell r="C2236"/>
          <cell r="D2236" t="str">
            <v>du</v>
          </cell>
          <cell r="E2236" t="str">
            <v>Type de carence</v>
          </cell>
          <cell r="F2236" t="str">
            <v>de l'</v>
          </cell>
          <cell r="G2236" t="str">
            <v>acte de soins santé des ACM</v>
          </cell>
          <cell r="H2236"/>
          <cell r="I2236"/>
        </row>
        <row r="2237">
          <cell r="C2237"/>
          <cell r="D2237" t="str">
            <v>du</v>
          </cell>
          <cell r="E2237" t="str">
            <v>Type de carence</v>
          </cell>
          <cell r="F2237" t="str">
            <v>de l'</v>
          </cell>
          <cell r="G2237" t="str">
            <v>acte de soins santé des ACM</v>
          </cell>
          <cell r="H2237"/>
          <cell r="I2237"/>
        </row>
        <row r="2238">
          <cell r="C2238"/>
          <cell r="D2238" t="str">
            <v>du</v>
          </cell>
          <cell r="E2238" t="str">
            <v xml:space="preserve">Type d'exclusion </v>
          </cell>
          <cell r="F2238" t="str">
            <v>de l'</v>
          </cell>
          <cell r="G2238" t="str">
            <v>acte de soins santé des ACM</v>
          </cell>
          <cell r="H2238"/>
          <cell r="I2238"/>
        </row>
        <row r="2239">
          <cell r="C2239"/>
          <cell r="D2239" t="str">
            <v>du</v>
          </cell>
          <cell r="E2239" t="str">
            <v xml:space="preserve">Type d'exclusion </v>
          </cell>
          <cell r="F2239" t="str">
            <v>de l'</v>
          </cell>
          <cell r="G2239" t="str">
            <v>acte de soins santé des ACM</v>
          </cell>
          <cell r="H2239"/>
          <cell r="I2239"/>
        </row>
        <row r="2240">
          <cell r="C2240"/>
          <cell r="D2240" t="str">
            <v>de la</v>
          </cell>
          <cell r="E2240" t="str">
            <v>Famille</v>
          </cell>
          <cell r="F2240" t="str">
            <v>de l'</v>
          </cell>
          <cell r="G2240" t="str">
            <v>acte de soins santé des ACM</v>
          </cell>
          <cell r="H2240"/>
          <cell r="I2240"/>
        </row>
        <row r="2241">
          <cell r="C2241"/>
          <cell r="D2241" t="str">
            <v>de la</v>
          </cell>
          <cell r="E2241" t="str">
            <v>Famille</v>
          </cell>
          <cell r="F2241" t="str">
            <v>de l'</v>
          </cell>
          <cell r="G2241" t="str">
            <v>acte de soins santé des ACM</v>
          </cell>
          <cell r="H2241"/>
          <cell r="I2241"/>
        </row>
        <row r="2242">
          <cell r="C2242"/>
          <cell r="D2242" t="str">
            <v>de la</v>
          </cell>
          <cell r="E2242" t="str">
            <v>Nature</v>
          </cell>
          <cell r="F2242" t="str">
            <v>de l'</v>
          </cell>
          <cell r="G2242" t="str">
            <v>acte de soins santé des ACM</v>
          </cell>
          <cell r="H2242"/>
          <cell r="I2242"/>
        </row>
        <row r="2243">
          <cell r="C2243"/>
          <cell r="D2243" t="str">
            <v>du</v>
          </cell>
          <cell r="E2243" t="str">
            <v>Type</v>
          </cell>
          <cell r="F2243" t="str">
            <v>de l'</v>
          </cell>
          <cell r="G2243" t="str">
            <v>acte de soins santé des ACM</v>
          </cell>
          <cell r="H2243"/>
          <cell r="I2243"/>
        </row>
        <row r="2244">
          <cell r="C2244"/>
          <cell r="D2244" t="str">
            <v>du</v>
          </cell>
          <cell r="E2244" t="str">
            <v>Type</v>
          </cell>
          <cell r="F2244" t="str">
            <v>de l'</v>
          </cell>
          <cell r="G2244" t="str">
            <v>acte de soins santé des ACM</v>
          </cell>
          <cell r="H2244"/>
          <cell r="I2244"/>
        </row>
        <row r="2245">
          <cell r="C2245"/>
          <cell r="D2245" t="str">
            <v>du</v>
          </cell>
          <cell r="E2245" t="str">
            <v>Type de référence</v>
          </cell>
          <cell r="F2245" t="str">
            <v>de l'</v>
          </cell>
          <cell r="G2245" t="str">
            <v>Assuré Santé Sinistré</v>
          </cell>
          <cell r="H2245"/>
          <cell r="I2245"/>
        </row>
        <row r="2246">
          <cell r="C2246"/>
          <cell r="D2246" t="str">
            <v>de l'</v>
          </cell>
          <cell r="E2246" t="str">
            <v>Acteur santé</v>
          </cell>
          <cell r="F2246" t="str">
            <v>de l'</v>
          </cell>
          <cell r="G2246" t="str">
            <v>Assuré Santé Sinistré</v>
          </cell>
          <cell r="H2246" t="str">
            <v>,</v>
          </cell>
          <cell r="I2246" t="str">
            <v>Non Référencé</v>
          </cell>
        </row>
        <row r="2247">
          <cell r="C2247"/>
          <cell r="D2247" t="str">
            <v>du</v>
          </cell>
          <cell r="E2247" t="str">
            <v>Remboursement effectif</v>
          </cell>
          <cell r="F2247" t="str">
            <v>à</v>
          </cell>
          <cell r="G2247" t="str">
            <v>Assuré Santé Sinistré</v>
          </cell>
          <cell r="H2247" t="str">
            <v>du</v>
          </cell>
          <cell r="I2247" t="str">
            <v>Décompte santé</v>
          </cell>
        </row>
        <row r="2248">
          <cell r="C2248"/>
          <cell r="D2248" t="str">
            <v>du</v>
          </cell>
          <cell r="E2248" t="str">
            <v>Remboursement effectif</v>
          </cell>
          <cell r="F2248" t="str">
            <v>à</v>
          </cell>
          <cell r="G2248" t="str">
            <v>Assuré Santé Sinistré</v>
          </cell>
          <cell r="H2248" t="str">
            <v>de la</v>
          </cell>
          <cell r="I2248" t="str">
            <v>Ligne de soins</v>
          </cell>
        </row>
        <row r="2249">
          <cell r="C2249"/>
          <cell r="D2249" t="str">
            <v>du</v>
          </cell>
          <cell r="E2249" t="str">
            <v>Remboursement effectif</v>
          </cell>
          <cell r="F2249" t="str">
            <v>à</v>
          </cell>
          <cell r="G2249" t="str">
            <v>Assuré Santé Sinistré</v>
          </cell>
          <cell r="H2249" t="str">
            <v>du</v>
          </cell>
          <cell r="I2249" t="str">
            <v>Règlement Assurance santé</v>
          </cell>
        </row>
        <row r="2250">
          <cell r="C2250"/>
          <cell r="D2250" t="str">
            <v>de</v>
          </cell>
          <cell r="E2250" t="str">
            <v>INSEE de rattachement</v>
          </cell>
          <cell r="F2250" t="str">
            <v>de l'</v>
          </cell>
          <cell r="G2250" t="str">
            <v>Assuré Santé Sinistré</v>
          </cell>
          <cell r="H2250"/>
          <cell r="I2250"/>
        </row>
        <row r="2251">
          <cell r="C2251"/>
          <cell r="D2251" t="str">
            <v>du</v>
          </cell>
          <cell r="E2251" t="str">
            <v>Type de référence</v>
          </cell>
          <cell r="F2251" t="str">
            <v>de l'</v>
          </cell>
          <cell r="G2251" t="str">
            <v>Assuré Santé Sinistré</v>
          </cell>
          <cell r="H2251"/>
          <cell r="I2251"/>
        </row>
        <row r="2252">
          <cell r="C2252"/>
          <cell r="D2252" t="str">
            <v>de</v>
          </cell>
          <cell r="E2252" t="str">
            <v>INSEE de rattachement</v>
          </cell>
          <cell r="F2252" t="str">
            <v>de l'</v>
          </cell>
          <cell r="G2252" t="str">
            <v>Assuré Santé Sinistré</v>
          </cell>
          <cell r="H2252" t="str">
            <v>,</v>
          </cell>
          <cell r="I2252" t="str">
            <v>Non Référencé</v>
          </cell>
        </row>
        <row r="2253">
          <cell r="C2253"/>
          <cell r="D2253" t="str">
            <v>de</v>
          </cell>
          <cell r="E2253" t="str">
            <v>Commune de résidence</v>
          </cell>
          <cell r="F2253" t="str">
            <v>de l'</v>
          </cell>
          <cell r="G2253" t="str">
            <v>Assuré Santé Sinistré</v>
          </cell>
          <cell r="H2253" t="str">
            <v>,</v>
          </cell>
          <cell r="I2253" t="str">
            <v>Non Référencé</v>
          </cell>
        </row>
        <row r="2254">
          <cell r="C2254"/>
          <cell r="D2254" t="str">
            <v>de</v>
          </cell>
          <cell r="E2254" t="str">
            <v>localisation</v>
          </cell>
          <cell r="F2254" t="str">
            <v>de l'</v>
          </cell>
          <cell r="G2254" t="str">
            <v>audioprothèse</v>
          </cell>
          <cell r="H2254"/>
          <cell r="I2254"/>
        </row>
        <row r="2255">
          <cell r="C2255"/>
          <cell r="D2255" t="str">
            <v>du</v>
          </cell>
          <cell r="E2255" t="str">
            <v>remboursement</v>
          </cell>
          <cell r="F2255"/>
          <cell r="G2255" t="str">
            <v>autre complémentaire</v>
          </cell>
          <cell r="H2255" t="str">
            <v>de la</v>
          </cell>
          <cell r="I2255" t="str">
            <v>ligne de soins</v>
          </cell>
        </row>
        <row r="2256">
          <cell r="C2256" t="str">
            <v>tiers payant</v>
          </cell>
          <cell r="D2256" t="str">
            <v>de l'</v>
          </cell>
          <cell r="E2256" t="str">
            <v>acte de soins santé des ACM</v>
          </cell>
          <cell r="F2256"/>
          <cell r="G2256"/>
          <cell r="H2256"/>
          <cell r="I2256"/>
        </row>
        <row r="2257">
          <cell r="C2257"/>
          <cell r="D2257" t="str">
            <v>de la</v>
          </cell>
          <cell r="E2257" t="str">
            <v>Famille</v>
          </cell>
          <cell r="F2257" t="str">
            <v>de la</v>
          </cell>
          <cell r="G2257" t="str">
            <v>Carte avance santé</v>
          </cell>
          <cell r="H2257" t="str">
            <v>de l'</v>
          </cell>
          <cell r="I2257" t="str">
            <v>acte de soins santé des ACM</v>
          </cell>
        </row>
        <row r="2258">
          <cell r="C2258"/>
          <cell r="D2258" t="str">
            <v>de la</v>
          </cell>
          <cell r="E2258" t="str">
            <v>Famille</v>
          </cell>
          <cell r="F2258" t="str">
            <v>de la</v>
          </cell>
          <cell r="G2258" t="str">
            <v>Carte avance santé</v>
          </cell>
          <cell r="H2258" t="str">
            <v>de l'</v>
          </cell>
          <cell r="I2258" t="str">
            <v>acte de soins santé des ACM</v>
          </cell>
        </row>
        <row r="2259">
          <cell r="C2259"/>
          <cell r="D2259" t="str">
            <v>,</v>
          </cell>
          <cell r="E2259" t="str">
            <v>FINESS</v>
          </cell>
          <cell r="F2259" t="str">
            <v>du</v>
          </cell>
          <cell r="G2259" t="str">
            <v>Correspondant ADELI</v>
          </cell>
          <cell r="H2259"/>
          <cell r="I2259"/>
        </row>
        <row r="2260">
          <cell r="C2260"/>
          <cell r="D2260" t="str">
            <v>du</v>
          </cell>
          <cell r="E2260" t="str">
            <v>SIREN</v>
          </cell>
          <cell r="F2260" t="str">
            <v>du</v>
          </cell>
          <cell r="G2260" t="str">
            <v>Correspondant ADELI</v>
          </cell>
          <cell r="H2260"/>
          <cell r="I2260"/>
        </row>
        <row r="2261">
          <cell r="C2261"/>
          <cell r="D2261" t="str">
            <v>du</v>
          </cell>
          <cell r="E2261" t="str">
            <v>SIRET</v>
          </cell>
          <cell r="F2261" t="str">
            <v>du</v>
          </cell>
          <cell r="G2261" t="str">
            <v>Correspondant ADELI</v>
          </cell>
          <cell r="H2261"/>
          <cell r="I2261"/>
        </row>
        <row r="2262">
          <cell r="C2262"/>
          <cell r="D2262" t="str">
            <v>de l'</v>
          </cell>
          <cell r="E2262" t="str">
            <v>Enseigne commerciale</v>
          </cell>
          <cell r="F2262" t="str">
            <v>du</v>
          </cell>
          <cell r="G2262" t="str">
            <v>Correspondant ADELI</v>
          </cell>
          <cell r="H2262"/>
          <cell r="I2262"/>
        </row>
        <row r="2263">
          <cell r="C2263"/>
          <cell r="D2263" t="str">
            <v>du</v>
          </cell>
          <cell r="E2263" t="str">
            <v>Pays</v>
          </cell>
          <cell r="F2263" t="str">
            <v>du</v>
          </cell>
          <cell r="G2263" t="str">
            <v>Correspondant ADELI</v>
          </cell>
          <cell r="H2263"/>
          <cell r="I2263"/>
        </row>
        <row r="2264">
          <cell r="C2264"/>
          <cell r="D2264" t="str">
            <v>du</v>
          </cell>
          <cell r="E2264" t="str">
            <v>Département</v>
          </cell>
          <cell r="F2264" t="str">
            <v>du</v>
          </cell>
          <cell r="G2264" t="str">
            <v>Correspondant ADELI</v>
          </cell>
          <cell r="H2264"/>
          <cell r="I2264"/>
        </row>
        <row r="2265">
          <cell r="C2265"/>
          <cell r="D2265" t="str">
            <v>du</v>
          </cell>
          <cell r="E2265" t="str">
            <v>Département</v>
          </cell>
          <cell r="F2265" t="str">
            <v>du</v>
          </cell>
          <cell r="G2265" t="str">
            <v>Correspondant ADELI</v>
          </cell>
          <cell r="H2265"/>
          <cell r="I2265"/>
        </row>
        <row r="2266">
          <cell r="C2266"/>
          <cell r="D2266" t="str">
            <v>du</v>
          </cell>
          <cell r="E2266" t="str">
            <v>Savoir faire</v>
          </cell>
          <cell r="F2266" t="str">
            <v>du</v>
          </cell>
          <cell r="G2266" t="str">
            <v>Correspondant ADELI</v>
          </cell>
          <cell r="H2266"/>
          <cell r="I2266"/>
        </row>
        <row r="2267">
          <cell r="C2267"/>
          <cell r="D2267" t="str">
            <v>du</v>
          </cell>
          <cell r="E2267" t="str">
            <v>Savoir faire</v>
          </cell>
          <cell r="F2267" t="str">
            <v>du</v>
          </cell>
          <cell r="G2267" t="str">
            <v>Correspondant ADELI</v>
          </cell>
          <cell r="H2267"/>
          <cell r="I2267"/>
        </row>
        <row r="2268">
          <cell r="C2268"/>
          <cell r="D2268" t="str">
            <v>de la</v>
          </cell>
          <cell r="E2268" t="str">
            <v>Profession</v>
          </cell>
          <cell r="F2268" t="str">
            <v>du</v>
          </cell>
          <cell r="G2268" t="str">
            <v>Correspondant ADELI</v>
          </cell>
          <cell r="H2268"/>
          <cell r="I2268"/>
        </row>
        <row r="2269">
          <cell r="C2269"/>
          <cell r="D2269" t="str">
            <v>de la</v>
          </cell>
          <cell r="E2269" t="str">
            <v>Profession</v>
          </cell>
          <cell r="F2269" t="str">
            <v>du</v>
          </cell>
          <cell r="G2269" t="str">
            <v>Correspondant ADELI</v>
          </cell>
          <cell r="H2269"/>
          <cell r="I2269"/>
        </row>
        <row r="2270">
          <cell r="C2270"/>
          <cell r="D2270" t="str">
            <v>de la</v>
          </cell>
          <cell r="E2270" t="str">
            <v>Catégorie Professionnelle</v>
          </cell>
          <cell r="F2270" t="str">
            <v>du</v>
          </cell>
          <cell r="G2270" t="str">
            <v>Correspondant ADELI</v>
          </cell>
          <cell r="H2270"/>
          <cell r="I2270"/>
        </row>
        <row r="2271">
          <cell r="C2271"/>
          <cell r="D2271" t="str">
            <v>de la</v>
          </cell>
          <cell r="E2271" t="str">
            <v>Catégorie Professionnelle</v>
          </cell>
          <cell r="F2271" t="str">
            <v>du</v>
          </cell>
          <cell r="G2271" t="str">
            <v>Correspondant ADELI</v>
          </cell>
          <cell r="H2271"/>
          <cell r="I2271"/>
        </row>
        <row r="2272">
          <cell r="C2272"/>
          <cell r="D2272" t="str">
            <v>de la</v>
          </cell>
          <cell r="E2272" t="str">
            <v>Spécialité professionnelle</v>
          </cell>
          <cell r="F2272" t="str">
            <v>du</v>
          </cell>
          <cell r="G2272" t="str">
            <v>Correspondant ADELI</v>
          </cell>
          <cell r="H2272"/>
          <cell r="I2272"/>
        </row>
        <row r="2273">
          <cell r="C2273"/>
          <cell r="D2273" t="str">
            <v>de la</v>
          </cell>
          <cell r="E2273" t="str">
            <v>Région</v>
          </cell>
          <cell r="F2273" t="str">
            <v>du</v>
          </cell>
          <cell r="G2273" t="str">
            <v>Correspondant ADELI</v>
          </cell>
          <cell r="H2273"/>
          <cell r="I2273"/>
        </row>
        <row r="2274">
          <cell r="C2274"/>
          <cell r="D2274" t="str">
            <v>de la</v>
          </cell>
          <cell r="E2274" t="str">
            <v>Région</v>
          </cell>
          <cell r="F2274" t="str">
            <v>du</v>
          </cell>
          <cell r="G2274" t="str">
            <v>Correspondant ADELI</v>
          </cell>
          <cell r="H2274"/>
          <cell r="I2274"/>
        </row>
        <row r="2275">
          <cell r="C2275"/>
          <cell r="D2275" t="str">
            <v>de la</v>
          </cell>
          <cell r="E2275" t="str">
            <v>Raison Sociale</v>
          </cell>
          <cell r="F2275" t="str">
            <v>du</v>
          </cell>
          <cell r="G2275" t="str">
            <v>Correspondant ADELI</v>
          </cell>
          <cell r="H2275"/>
          <cell r="I2275"/>
        </row>
        <row r="2276">
          <cell r="C2276"/>
          <cell r="D2276" t="str">
            <v>de la</v>
          </cell>
          <cell r="E2276" t="str">
            <v>Commune</v>
          </cell>
          <cell r="F2276" t="str">
            <v>du</v>
          </cell>
          <cell r="G2276" t="str">
            <v>Correspondant ADELI</v>
          </cell>
          <cell r="H2276"/>
          <cell r="I2276"/>
        </row>
        <row r="2277">
          <cell r="C2277"/>
          <cell r="D2277" t="str">
            <v>de la</v>
          </cell>
          <cell r="E2277" t="str">
            <v>Commune</v>
          </cell>
          <cell r="F2277" t="str">
            <v>du</v>
          </cell>
          <cell r="G2277" t="str">
            <v>Correspondant ADELI</v>
          </cell>
          <cell r="H2277"/>
          <cell r="I2277"/>
        </row>
        <row r="2278">
          <cell r="C2278"/>
          <cell r="D2278" t="str">
            <v>du</v>
          </cell>
          <cell r="E2278" t="str">
            <v>Remboursement effectif</v>
          </cell>
          <cell r="F2278" t="str">
            <v>au</v>
          </cell>
          <cell r="G2278" t="str">
            <v>Correspondant GECOR</v>
          </cell>
          <cell r="H2278" t="str">
            <v>du</v>
          </cell>
          <cell r="I2278" t="str">
            <v>Décompte santé</v>
          </cell>
        </row>
        <row r="2279">
          <cell r="C2279"/>
          <cell r="D2279" t="str">
            <v>du</v>
          </cell>
          <cell r="E2279" t="str">
            <v>Remboursement effectif</v>
          </cell>
          <cell r="F2279" t="str">
            <v>au</v>
          </cell>
          <cell r="G2279" t="str">
            <v>Correspondant GECOR</v>
          </cell>
          <cell r="H2279" t="str">
            <v>de la</v>
          </cell>
          <cell r="I2279" t="str">
            <v>Ligne de soins</v>
          </cell>
        </row>
        <row r="2280">
          <cell r="C2280"/>
          <cell r="D2280" t="str">
            <v>du</v>
          </cell>
          <cell r="E2280" t="str">
            <v>Remboursement effectif</v>
          </cell>
          <cell r="F2280" t="str">
            <v>au</v>
          </cell>
          <cell r="G2280" t="str">
            <v>Correspondant GECOR</v>
          </cell>
          <cell r="H2280" t="str">
            <v>du</v>
          </cell>
          <cell r="I2280" t="str">
            <v>Règlement Assurance santé</v>
          </cell>
        </row>
        <row r="2281">
          <cell r="C2281"/>
          <cell r="D2281" t="str">
            <v>du</v>
          </cell>
          <cell r="E2281" t="str">
            <v>Panier</v>
          </cell>
          <cell r="F2281" t="str">
            <v>du</v>
          </cell>
          <cell r="G2281" t="str">
            <v>décompte au contrôle</v>
          </cell>
          <cell r="H2281"/>
          <cell r="I2281"/>
        </row>
        <row r="2282">
          <cell r="C2282"/>
          <cell r="D2282" t="str">
            <v>du</v>
          </cell>
          <cell r="E2282" t="str">
            <v>Mouvement</v>
          </cell>
          <cell r="F2282" t="str">
            <v>du</v>
          </cell>
          <cell r="G2282" t="str">
            <v>décompte au contrôle</v>
          </cell>
          <cell r="H2282"/>
          <cell r="I2282"/>
        </row>
        <row r="2283">
          <cell r="C2283"/>
          <cell r="D2283" t="str">
            <v>du</v>
          </cell>
          <cell r="E2283" t="str">
            <v>Panier</v>
          </cell>
          <cell r="F2283" t="str">
            <v>du</v>
          </cell>
          <cell r="G2283" t="str">
            <v>décompte au contrôle</v>
          </cell>
          <cell r="H2283"/>
          <cell r="I2283"/>
        </row>
        <row r="2284">
          <cell r="C2284"/>
          <cell r="D2284" t="str">
            <v>du</v>
          </cell>
          <cell r="E2284" t="str">
            <v>Panier</v>
          </cell>
          <cell r="F2284" t="str">
            <v>du</v>
          </cell>
          <cell r="G2284" t="str">
            <v>décompte au contrôle</v>
          </cell>
          <cell r="H2284"/>
          <cell r="I2284"/>
        </row>
        <row r="2285">
          <cell r="C2285"/>
          <cell r="D2285" t="str">
            <v>du</v>
          </cell>
          <cell r="E2285" t="str">
            <v>Mouvement</v>
          </cell>
          <cell r="F2285" t="str">
            <v>du</v>
          </cell>
          <cell r="G2285" t="str">
            <v>décompte au contrôle</v>
          </cell>
          <cell r="H2285"/>
          <cell r="I2285"/>
        </row>
        <row r="2286">
          <cell r="C2286"/>
          <cell r="D2286" t="str">
            <v>du</v>
          </cell>
          <cell r="E2286" t="str">
            <v>Mouvement</v>
          </cell>
          <cell r="F2286" t="str">
            <v>du</v>
          </cell>
          <cell r="G2286" t="str">
            <v>décompte au contrôle</v>
          </cell>
          <cell r="H2286"/>
          <cell r="I2286"/>
        </row>
        <row r="2287">
          <cell r="C2287"/>
          <cell r="D2287" t="str">
            <v xml:space="preserve"> </v>
          </cell>
          <cell r="E2287" t="str">
            <v>optique solidaire</v>
          </cell>
          <cell r="F2287" t="str">
            <v>du</v>
          </cell>
          <cell r="G2287" t="str">
            <v>Décompte santé</v>
          </cell>
          <cell r="H2287"/>
          <cell r="I2287"/>
        </row>
        <row r="2288">
          <cell r="C2288"/>
          <cell r="D2288" t="str">
            <v>de la</v>
          </cell>
          <cell r="E2288" t="str">
            <v>facture</v>
          </cell>
          <cell r="F2288" t="str">
            <v>du</v>
          </cell>
          <cell r="G2288" t="str">
            <v>Décompte santé</v>
          </cell>
          <cell r="H2288"/>
          <cell r="I2288"/>
        </row>
        <row r="2289">
          <cell r="C2289"/>
          <cell r="D2289" t="str">
            <v>de la</v>
          </cell>
          <cell r="E2289" t="str">
            <v>CMU</v>
          </cell>
          <cell r="F2289" t="str">
            <v>du</v>
          </cell>
          <cell r="G2289" t="str">
            <v>Décompte santé</v>
          </cell>
          <cell r="H2289"/>
          <cell r="I2289"/>
        </row>
        <row r="2290">
          <cell r="C2290"/>
          <cell r="D2290" t="str">
            <v>du</v>
          </cell>
          <cell r="E2290" t="str">
            <v>Mariage avance santé</v>
          </cell>
          <cell r="F2290" t="str">
            <v>du</v>
          </cell>
          <cell r="G2290" t="str">
            <v>Décompte santé</v>
          </cell>
          <cell r="H2290"/>
          <cell r="I2290"/>
        </row>
        <row r="2291">
          <cell r="C2291"/>
          <cell r="D2291" t="str">
            <v>du</v>
          </cell>
          <cell r="E2291" t="str">
            <v>Pays des soins</v>
          </cell>
          <cell r="F2291" t="str">
            <v>du</v>
          </cell>
          <cell r="G2291" t="str">
            <v>Décompte santé</v>
          </cell>
          <cell r="H2291"/>
          <cell r="I2291"/>
        </row>
        <row r="2292">
          <cell r="C2292"/>
          <cell r="D2292" t="str">
            <v>de l'</v>
          </cell>
          <cell r="E2292" t="str">
            <v>Assuré Santé Sinistré</v>
          </cell>
          <cell r="F2292" t="str">
            <v>du</v>
          </cell>
          <cell r="G2292" t="str">
            <v>Décompte santé</v>
          </cell>
          <cell r="H2292"/>
          <cell r="I2292"/>
        </row>
        <row r="2293">
          <cell r="C2293"/>
          <cell r="D2293" t="str">
            <v>du</v>
          </cell>
          <cell r="E2293" t="str">
            <v>format d'origine</v>
          </cell>
          <cell r="F2293" t="str">
            <v>du</v>
          </cell>
          <cell r="G2293" t="str">
            <v>Décompte santé</v>
          </cell>
          <cell r="H2293"/>
          <cell r="I2293"/>
        </row>
        <row r="2294">
          <cell r="C2294"/>
          <cell r="D2294" t="str">
            <v>de l'</v>
          </cell>
          <cell r="E2294" t="str">
            <v>émetteur d'origine</v>
          </cell>
          <cell r="F2294" t="str">
            <v>du</v>
          </cell>
          <cell r="G2294" t="str">
            <v>Décompte santé</v>
          </cell>
          <cell r="H2294"/>
          <cell r="I2294"/>
        </row>
        <row r="2295">
          <cell r="C2295"/>
          <cell r="D2295" t="str">
            <v>de l'</v>
          </cell>
          <cell r="E2295" t="str">
            <v>état SID</v>
          </cell>
          <cell r="F2295" t="str">
            <v>du</v>
          </cell>
          <cell r="G2295" t="str">
            <v>Décompte santé</v>
          </cell>
          <cell r="H2295"/>
          <cell r="I2295"/>
        </row>
        <row r="2296">
          <cell r="C2296"/>
          <cell r="D2296" t="str">
            <v>de l'</v>
          </cell>
          <cell r="E2296" t="str">
            <v>état SIO</v>
          </cell>
          <cell r="F2296" t="str">
            <v>du</v>
          </cell>
          <cell r="G2296" t="str">
            <v>Décompte santé</v>
          </cell>
          <cell r="H2296"/>
          <cell r="I2296"/>
        </row>
        <row r="2297">
          <cell r="C2297"/>
          <cell r="D2297" t="str">
            <v>de la</v>
          </cell>
          <cell r="E2297" t="str">
            <v>Situation de stock</v>
          </cell>
          <cell r="F2297" t="str">
            <v>du</v>
          </cell>
          <cell r="G2297" t="str">
            <v>Décompte santé</v>
          </cell>
          <cell r="H2297"/>
          <cell r="I2297"/>
        </row>
        <row r="2298">
          <cell r="C2298"/>
          <cell r="D2298" t="str">
            <v>du</v>
          </cell>
          <cell r="E2298" t="str">
            <v>Type</v>
          </cell>
          <cell r="F2298" t="str">
            <v>du</v>
          </cell>
          <cell r="G2298" t="str">
            <v>Décompte santé</v>
          </cell>
          <cell r="H2298"/>
          <cell r="I2298"/>
        </row>
        <row r="2299">
          <cell r="C2299"/>
          <cell r="D2299" t="str">
            <v>du</v>
          </cell>
          <cell r="E2299" t="str">
            <v>Remboursement collectif</v>
          </cell>
          <cell r="F2299" t="str">
            <v>du</v>
          </cell>
          <cell r="G2299" t="str">
            <v>Décompte santé</v>
          </cell>
          <cell r="H2299"/>
          <cell r="I2299"/>
        </row>
        <row r="2300">
          <cell r="C2300"/>
          <cell r="D2300" t="str">
            <v>des</v>
          </cell>
          <cell r="E2300" t="str">
            <v>Remboursement CPAM</v>
          </cell>
          <cell r="F2300" t="str">
            <v>du</v>
          </cell>
          <cell r="G2300" t="str">
            <v>Décompte santé</v>
          </cell>
          <cell r="H2300"/>
          <cell r="I2300"/>
        </row>
        <row r="2301">
          <cell r="C2301"/>
          <cell r="D2301" t="str">
            <v>des</v>
          </cell>
          <cell r="E2301" t="str">
            <v>Frais réels</v>
          </cell>
          <cell r="F2301" t="str">
            <v>du</v>
          </cell>
          <cell r="G2301" t="str">
            <v>Décompte santé</v>
          </cell>
          <cell r="H2301"/>
          <cell r="I2301"/>
        </row>
        <row r="2302">
          <cell r="C2302"/>
          <cell r="D2302" t="str">
            <v>du</v>
          </cell>
          <cell r="E2302" t="str">
            <v>Remboursement effectif</v>
          </cell>
          <cell r="F2302" t="str">
            <v>du</v>
          </cell>
          <cell r="G2302" t="str">
            <v>Décompte santé</v>
          </cell>
          <cell r="H2302"/>
          <cell r="I2302"/>
        </row>
        <row r="2303">
          <cell r="C2303"/>
          <cell r="D2303" t="str">
            <v>du</v>
          </cell>
          <cell r="E2303" t="str">
            <v>Reste à charge</v>
          </cell>
          <cell r="F2303" t="str">
            <v>du</v>
          </cell>
          <cell r="G2303" t="str">
            <v>Décompte santé</v>
          </cell>
          <cell r="H2303"/>
          <cell r="I2303"/>
        </row>
        <row r="2304">
          <cell r="C2304"/>
          <cell r="D2304" t="str">
            <v>des</v>
          </cell>
          <cell r="E2304" t="str">
            <v>Soins santé</v>
          </cell>
          <cell r="F2304" t="str">
            <v>du</v>
          </cell>
          <cell r="G2304" t="str">
            <v>Décompte santé</v>
          </cell>
          <cell r="H2304"/>
          <cell r="I2304"/>
        </row>
        <row r="2305">
          <cell r="C2305"/>
          <cell r="D2305" t="str">
            <v>des</v>
          </cell>
          <cell r="E2305" t="str">
            <v>Soins santé</v>
          </cell>
          <cell r="F2305" t="str">
            <v>du</v>
          </cell>
          <cell r="G2305" t="str">
            <v>Décompte santé</v>
          </cell>
          <cell r="H2305"/>
          <cell r="I2305"/>
        </row>
        <row r="2306">
          <cell r="C2306"/>
          <cell r="D2306" t="str">
            <v>de la</v>
          </cell>
          <cell r="E2306" t="str">
            <v>Situation de stock</v>
          </cell>
          <cell r="F2306" t="str">
            <v>du</v>
          </cell>
          <cell r="G2306" t="str">
            <v>Décompte santé</v>
          </cell>
          <cell r="H2306"/>
          <cell r="I2306"/>
        </row>
        <row r="2307">
          <cell r="C2307"/>
          <cell r="D2307" t="str">
            <v>de la</v>
          </cell>
          <cell r="E2307" t="str">
            <v>Situation de stock</v>
          </cell>
          <cell r="F2307" t="str">
            <v>du</v>
          </cell>
          <cell r="G2307" t="str">
            <v>Décompte santé</v>
          </cell>
          <cell r="H2307"/>
          <cell r="I2307"/>
        </row>
        <row r="2308">
          <cell r="C2308"/>
          <cell r="D2308" t="str">
            <v>du</v>
          </cell>
          <cell r="E2308" t="str">
            <v>lien d'archivage</v>
          </cell>
          <cell r="F2308" t="str">
            <v>du</v>
          </cell>
          <cell r="G2308" t="str">
            <v>Décompte santé</v>
          </cell>
          <cell r="H2308"/>
          <cell r="I2308"/>
        </row>
        <row r="2309">
          <cell r="C2309"/>
          <cell r="D2309" t="str">
            <v>de la</v>
          </cell>
          <cell r="E2309" t="str">
            <v>Formule de la version commerciale</v>
          </cell>
          <cell r="F2309" t="str">
            <v>du</v>
          </cell>
          <cell r="G2309" t="str">
            <v>Décompte santé</v>
          </cell>
          <cell r="H2309"/>
          <cell r="I2309"/>
        </row>
        <row r="2310">
          <cell r="C2310"/>
          <cell r="D2310" t="str">
            <v>de la</v>
          </cell>
          <cell r="E2310" t="str">
            <v>CMU</v>
          </cell>
          <cell r="F2310" t="str">
            <v>du</v>
          </cell>
          <cell r="G2310" t="str">
            <v>Décompte santé</v>
          </cell>
          <cell r="H2310"/>
          <cell r="I2310"/>
        </row>
        <row r="2311">
          <cell r="C2311"/>
          <cell r="D2311" t="str">
            <v>de la</v>
          </cell>
          <cell r="E2311" t="str">
            <v>CMU</v>
          </cell>
          <cell r="F2311" t="str">
            <v>du</v>
          </cell>
          <cell r="G2311" t="str">
            <v>Décompte santé</v>
          </cell>
          <cell r="H2311"/>
          <cell r="I2311"/>
        </row>
        <row r="2312">
          <cell r="C2312"/>
          <cell r="D2312" t="str">
            <v>de la</v>
          </cell>
          <cell r="E2312" t="str">
            <v>CMU</v>
          </cell>
          <cell r="F2312" t="str">
            <v>du</v>
          </cell>
          <cell r="G2312" t="str">
            <v>Décompte santé</v>
          </cell>
          <cell r="H2312"/>
          <cell r="I2312"/>
        </row>
        <row r="2313">
          <cell r="C2313"/>
          <cell r="D2313" t="str">
            <v>de la</v>
          </cell>
          <cell r="E2313" t="str">
            <v>CMU</v>
          </cell>
          <cell r="F2313" t="str">
            <v>du</v>
          </cell>
          <cell r="G2313" t="str">
            <v>Décompte santé</v>
          </cell>
          <cell r="H2313"/>
          <cell r="I2313"/>
        </row>
        <row r="2314">
          <cell r="C2314"/>
          <cell r="D2314" t="str">
            <v>du</v>
          </cell>
          <cell r="E2314" t="str">
            <v>Mariage avance santé</v>
          </cell>
          <cell r="F2314" t="str">
            <v>du</v>
          </cell>
          <cell r="G2314" t="str">
            <v>Décompte santé</v>
          </cell>
          <cell r="H2314"/>
          <cell r="I2314"/>
        </row>
        <row r="2315">
          <cell r="C2315"/>
          <cell r="D2315" t="str">
            <v>du</v>
          </cell>
          <cell r="E2315" t="str">
            <v>Mariage avance santé</v>
          </cell>
          <cell r="F2315" t="str">
            <v>du</v>
          </cell>
          <cell r="G2315" t="str">
            <v>Décompte santé</v>
          </cell>
          <cell r="H2315"/>
          <cell r="I2315"/>
        </row>
        <row r="2316">
          <cell r="C2316"/>
          <cell r="D2316" t="str">
            <v>du</v>
          </cell>
          <cell r="E2316" t="str">
            <v>Pays des soins</v>
          </cell>
          <cell r="F2316" t="str">
            <v>du</v>
          </cell>
          <cell r="G2316" t="str">
            <v>Décompte santé</v>
          </cell>
          <cell r="H2316"/>
          <cell r="I2316"/>
        </row>
        <row r="2317">
          <cell r="C2317"/>
          <cell r="D2317" t="str">
            <v>du</v>
          </cell>
          <cell r="E2317" t="str">
            <v>Pays des soins</v>
          </cell>
          <cell r="F2317" t="str">
            <v>du</v>
          </cell>
          <cell r="G2317" t="str">
            <v>Décompte santé</v>
          </cell>
          <cell r="H2317"/>
          <cell r="I2317"/>
        </row>
        <row r="2318">
          <cell r="C2318"/>
          <cell r="D2318" t="str">
            <v>du</v>
          </cell>
          <cell r="E2318" t="str">
            <v>bénéficiaire en assurance santé</v>
          </cell>
          <cell r="F2318" t="str">
            <v>du</v>
          </cell>
          <cell r="G2318" t="str">
            <v>Décompte santé</v>
          </cell>
          <cell r="H2318"/>
          <cell r="I2318"/>
        </row>
        <row r="2319">
          <cell r="C2319"/>
          <cell r="D2319" t="str">
            <v>du</v>
          </cell>
          <cell r="E2319" t="str">
            <v>Produit d'Assurance</v>
          </cell>
          <cell r="F2319" t="str">
            <v>du</v>
          </cell>
          <cell r="G2319" t="str">
            <v>Décompte santé</v>
          </cell>
          <cell r="H2319"/>
          <cell r="I2319"/>
        </row>
        <row r="2320">
          <cell r="C2320"/>
          <cell r="D2320" t="str">
            <v>de l'</v>
          </cell>
          <cell r="E2320" t="str">
            <v>Entité gestionnaire</v>
          </cell>
          <cell r="F2320" t="str">
            <v>du</v>
          </cell>
          <cell r="G2320" t="str">
            <v>Décompte santé</v>
          </cell>
          <cell r="H2320"/>
          <cell r="I2320"/>
        </row>
        <row r="2321">
          <cell r="C2321"/>
          <cell r="D2321" t="str">
            <v>du</v>
          </cell>
          <cell r="E2321" t="str">
            <v>Format d'origne</v>
          </cell>
          <cell r="F2321" t="str">
            <v>du</v>
          </cell>
          <cell r="G2321" t="str">
            <v>Décompte santé</v>
          </cell>
          <cell r="H2321"/>
          <cell r="I2321"/>
        </row>
        <row r="2322">
          <cell r="C2322"/>
          <cell r="D2322" t="str">
            <v>du</v>
          </cell>
          <cell r="E2322" t="str">
            <v>format d'origine</v>
          </cell>
          <cell r="F2322" t="str">
            <v>du</v>
          </cell>
          <cell r="G2322" t="str">
            <v>Décompte santé</v>
          </cell>
          <cell r="H2322"/>
          <cell r="I2322"/>
        </row>
        <row r="2323">
          <cell r="C2323"/>
          <cell r="D2323" t="str">
            <v>du</v>
          </cell>
          <cell r="E2323" t="str">
            <v>Format d'origne</v>
          </cell>
          <cell r="F2323" t="str">
            <v>du</v>
          </cell>
          <cell r="G2323" t="str">
            <v>Décompte santé</v>
          </cell>
          <cell r="H2323"/>
          <cell r="I2323"/>
        </row>
        <row r="2324">
          <cell r="C2324"/>
          <cell r="D2324" t="str">
            <v>du</v>
          </cell>
          <cell r="E2324" t="str">
            <v>format d'origine</v>
          </cell>
          <cell r="F2324" t="str">
            <v>du</v>
          </cell>
          <cell r="G2324" t="str">
            <v>Décompte santé</v>
          </cell>
          <cell r="H2324"/>
          <cell r="I2324"/>
        </row>
        <row r="2325">
          <cell r="C2325"/>
          <cell r="D2325" t="str">
            <v>de l'</v>
          </cell>
          <cell r="E2325" t="str">
            <v>émetteur d'origine</v>
          </cell>
          <cell r="F2325" t="str">
            <v>du</v>
          </cell>
          <cell r="G2325" t="str">
            <v>Décompte santé</v>
          </cell>
          <cell r="H2325"/>
          <cell r="I2325"/>
        </row>
        <row r="2326">
          <cell r="C2326"/>
          <cell r="D2326" t="str">
            <v>de l'</v>
          </cell>
          <cell r="E2326" t="str">
            <v>émetteur d'origine</v>
          </cell>
          <cell r="F2326" t="str">
            <v>du</v>
          </cell>
          <cell r="G2326" t="str">
            <v>Décompte santé</v>
          </cell>
          <cell r="H2326"/>
          <cell r="I2326"/>
        </row>
        <row r="2327">
          <cell r="C2327"/>
          <cell r="D2327" t="str">
            <v>de l'</v>
          </cell>
          <cell r="E2327" t="str">
            <v>émetteur d'origine</v>
          </cell>
          <cell r="F2327" t="str">
            <v>du</v>
          </cell>
          <cell r="G2327" t="str">
            <v>Décompte santé</v>
          </cell>
          <cell r="H2327"/>
          <cell r="I2327"/>
        </row>
        <row r="2328">
          <cell r="C2328"/>
          <cell r="D2328" t="str">
            <v>de l'</v>
          </cell>
          <cell r="E2328" t="str">
            <v>émetteur d'origine</v>
          </cell>
          <cell r="F2328" t="str">
            <v>du</v>
          </cell>
          <cell r="G2328" t="str">
            <v>Décompte santé</v>
          </cell>
          <cell r="H2328"/>
          <cell r="I2328"/>
        </row>
        <row r="2329">
          <cell r="C2329"/>
          <cell r="D2329" t="str">
            <v>du</v>
          </cell>
          <cell r="E2329" t="str">
            <v>Destinataire du règlement</v>
          </cell>
          <cell r="F2329" t="str">
            <v>du</v>
          </cell>
          <cell r="G2329" t="str">
            <v>Décompte santé</v>
          </cell>
          <cell r="H2329"/>
          <cell r="I2329"/>
        </row>
        <row r="2330">
          <cell r="C2330"/>
          <cell r="D2330" t="str">
            <v>de l'</v>
          </cell>
          <cell r="E2330" t="str">
            <v>état SID</v>
          </cell>
          <cell r="F2330" t="str">
            <v>du</v>
          </cell>
          <cell r="G2330" t="str">
            <v>Décompte santé</v>
          </cell>
          <cell r="H2330"/>
          <cell r="I2330"/>
        </row>
        <row r="2331">
          <cell r="C2331"/>
          <cell r="D2331" t="str">
            <v>de l'</v>
          </cell>
          <cell r="E2331" t="str">
            <v>état SID</v>
          </cell>
          <cell r="F2331" t="str">
            <v>du</v>
          </cell>
          <cell r="G2331" t="str">
            <v>Décompte santé</v>
          </cell>
          <cell r="H2331"/>
          <cell r="I2331"/>
        </row>
        <row r="2332">
          <cell r="C2332"/>
          <cell r="D2332" t="str">
            <v>de l'</v>
          </cell>
          <cell r="E2332" t="str">
            <v>état SIO</v>
          </cell>
          <cell r="F2332" t="str">
            <v>du</v>
          </cell>
          <cell r="G2332" t="str">
            <v>Décompte santé</v>
          </cell>
          <cell r="H2332"/>
          <cell r="I2332"/>
        </row>
        <row r="2333">
          <cell r="C2333"/>
          <cell r="D2333" t="str">
            <v>de l'</v>
          </cell>
          <cell r="E2333" t="str">
            <v>état SIO</v>
          </cell>
          <cell r="F2333" t="str">
            <v>du</v>
          </cell>
          <cell r="G2333" t="str">
            <v>Décompte santé</v>
          </cell>
          <cell r="H2333"/>
          <cell r="I2333"/>
        </row>
        <row r="2334">
          <cell r="C2334"/>
          <cell r="D2334" t="str">
            <v>de la</v>
          </cell>
          <cell r="E2334" t="str">
            <v>Situation de stock</v>
          </cell>
          <cell r="F2334" t="str">
            <v>du</v>
          </cell>
          <cell r="G2334" t="str">
            <v>Décompte santé</v>
          </cell>
          <cell r="H2334"/>
          <cell r="I2334"/>
        </row>
        <row r="2335">
          <cell r="C2335"/>
          <cell r="D2335" t="str">
            <v>de la</v>
          </cell>
          <cell r="E2335" t="str">
            <v>Situation de stock</v>
          </cell>
          <cell r="F2335" t="str">
            <v>du</v>
          </cell>
          <cell r="G2335" t="str">
            <v>Décompte santé</v>
          </cell>
          <cell r="H2335"/>
          <cell r="I2335"/>
        </row>
        <row r="2336">
          <cell r="C2336"/>
          <cell r="D2336" t="str">
            <v>du</v>
          </cell>
          <cell r="E2336" t="str">
            <v>Type</v>
          </cell>
          <cell r="F2336" t="str">
            <v>du</v>
          </cell>
          <cell r="G2336" t="str">
            <v>Décompte santé</v>
          </cell>
          <cell r="H2336"/>
          <cell r="I2336"/>
        </row>
        <row r="2337">
          <cell r="C2337"/>
          <cell r="D2337" t="str">
            <v>du</v>
          </cell>
          <cell r="E2337" t="str">
            <v>Type</v>
          </cell>
          <cell r="F2337" t="str">
            <v>du</v>
          </cell>
          <cell r="G2337" t="str">
            <v>Décompte santé</v>
          </cell>
          <cell r="H2337"/>
          <cell r="I2337"/>
        </row>
        <row r="2338">
          <cell r="C2338"/>
          <cell r="D2338" t="str">
            <v>du</v>
          </cell>
          <cell r="E2338" t="str">
            <v>type</v>
          </cell>
          <cell r="F2338" t="str">
            <v>d'</v>
          </cell>
          <cell r="G2338" t="str">
            <v>émetteur</v>
          </cell>
          <cell r="H2338" t="str">
            <v>de la</v>
          </cell>
          <cell r="I2338" t="str">
            <v>facture</v>
          </cell>
        </row>
        <row r="2339">
          <cell r="C2339"/>
          <cell r="D2339" t="str">
            <v>du</v>
          </cell>
          <cell r="E2339" t="str">
            <v>type</v>
          </cell>
          <cell r="F2339" t="str">
            <v>d'</v>
          </cell>
          <cell r="G2339" t="str">
            <v>émetteur</v>
          </cell>
          <cell r="H2339" t="str">
            <v>de la</v>
          </cell>
          <cell r="I2339" t="str">
            <v>facture</v>
          </cell>
        </row>
        <row r="2340">
          <cell r="C2340"/>
          <cell r="D2340" t="str">
            <v>,</v>
          </cell>
          <cell r="E2340" t="str">
            <v>FINESS</v>
          </cell>
          <cell r="F2340" t="str">
            <v>de l'</v>
          </cell>
          <cell r="G2340" t="str">
            <v>établissement juridique</v>
          </cell>
          <cell r="H2340" t="str">
            <v>du</v>
          </cell>
          <cell r="I2340" t="str">
            <v>Correspondant ADELI</v>
          </cell>
        </row>
        <row r="2341">
          <cell r="C2341"/>
          <cell r="D2341" t="str">
            <v>du</v>
          </cell>
          <cell r="E2341" t="str">
            <v>Correspondant ADELI</v>
          </cell>
          <cell r="F2341" t="str">
            <v>de l'</v>
          </cell>
          <cell r="G2341" t="str">
            <v>Exécutant des soins</v>
          </cell>
          <cell r="H2341" t="str">
            <v>de la</v>
          </cell>
          <cell r="I2341" t="str">
            <v>Ligne de soins</v>
          </cell>
        </row>
        <row r="2342">
          <cell r="C2342"/>
          <cell r="D2342" t="str">
            <v>de la</v>
          </cell>
          <cell r="E2342" t="str">
            <v>Spécialité professionnelle</v>
          </cell>
          <cell r="F2342" t="str">
            <v>de l'</v>
          </cell>
          <cell r="G2342" t="str">
            <v>Exécutant des soins</v>
          </cell>
          <cell r="H2342" t="str">
            <v>de la</v>
          </cell>
          <cell r="I2342" t="str">
            <v>Ligne de soins</v>
          </cell>
        </row>
        <row r="2343">
          <cell r="C2343"/>
          <cell r="D2343" t="str">
            <v>de la</v>
          </cell>
          <cell r="E2343" t="str">
            <v>Spécialité professionnelle</v>
          </cell>
          <cell r="F2343" t="str">
            <v>de l'</v>
          </cell>
          <cell r="G2343" t="str">
            <v>Exécutant des soins</v>
          </cell>
          <cell r="H2343" t="str">
            <v>de la</v>
          </cell>
          <cell r="I2343" t="str">
            <v>Ligne de soins</v>
          </cell>
        </row>
        <row r="2344">
          <cell r="C2344"/>
          <cell r="D2344" t="str">
            <v>de l'</v>
          </cell>
          <cell r="E2344" t="str">
            <v>acte CCAM</v>
          </cell>
          <cell r="F2344" t="str">
            <v>de la</v>
          </cell>
          <cell r="G2344" t="str">
            <v>ligne de soins</v>
          </cell>
          <cell r="H2344"/>
          <cell r="I2344"/>
        </row>
        <row r="2345">
          <cell r="C2345"/>
          <cell r="D2345" t="str">
            <v>de l'</v>
          </cell>
          <cell r="E2345" t="str">
            <v>acte de prévention</v>
          </cell>
          <cell r="F2345" t="str">
            <v>de la</v>
          </cell>
          <cell r="G2345" t="str">
            <v>ligne de soins</v>
          </cell>
          <cell r="H2345"/>
          <cell r="I2345"/>
        </row>
        <row r="2346">
          <cell r="C2346"/>
          <cell r="D2346" t="str">
            <v xml:space="preserve"> </v>
          </cell>
          <cell r="E2346" t="str">
            <v>TP RC télétransmis</v>
          </cell>
          <cell r="F2346" t="str">
            <v>de la</v>
          </cell>
          <cell r="G2346" t="str">
            <v>ligne de soins</v>
          </cell>
          <cell r="H2346"/>
          <cell r="I2346"/>
        </row>
        <row r="2347">
          <cell r="C2347"/>
          <cell r="D2347" t="str">
            <v>de</v>
          </cell>
          <cell r="E2347" t="str">
            <v>dent</v>
          </cell>
          <cell r="F2347" t="str">
            <v>de la</v>
          </cell>
          <cell r="G2347" t="str">
            <v>ligne de soins</v>
          </cell>
          <cell r="H2347"/>
          <cell r="I2347"/>
        </row>
        <row r="2348">
          <cell r="C2348"/>
          <cell r="D2348" t="str">
            <v>de</v>
          </cell>
          <cell r="E2348" t="str">
            <v>dent</v>
          </cell>
          <cell r="F2348" t="str">
            <v>de la</v>
          </cell>
          <cell r="G2348" t="str">
            <v>ligne de soins</v>
          </cell>
          <cell r="H2348"/>
          <cell r="I2348"/>
        </row>
        <row r="2349">
          <cell r="C2349"/>
          <cell r="D2349" t="str">
            <v>de l'</v>
          </cell>
          <cell r="E2349" t="str">
            <v>Association</v>
          </cell>
          <cell r="F2349" t="str">
            <v>entre</v>
          </cell>
          <cell r="G2349" t="str">
            <v>Ligne de soins</v>
          </cell>
          <cell r="H2349" t="str">
            <v>et</v>
          </cell>
          <cell r="I2349" t="str">
            <v>Précision De Couverture</v>
          </cell>
        </row>
        <row r="2350">
          <cell r="C2350"/>
          <cell r="D2350" t="str">
            <v>de l'</v>
          </cell>
          <cell r="E2350" t="str">
            <v>option de coordination</v>
          </cell>
          <cell r="F2350" t="str">
            <v>de la</v>
          </cell>
          <cell r="G2350" t="str">
            <v>ligne de soins</v>
          </cell>
          <cell r="H2350"/>
          <cell r="I2350"/>
        </row>
        <row r="2351">
          <cell r="C2351"/>
          <cell r="D2351" t="str">
            <v>de l'</v>
          </cell>
          <cell r="E2351" t="str">
            <v>acte CCAM</v>
          </cell>
          <cell r="F2351" t="str">
            <v>de la</v>
          </cell>
          <cell r="G2351" t="str">
            <v>ligne de soins</v>
          </cell>
          <cell r="H2351"/>
          <cell r="I2351"/>
        </row>
        <row r="2352">
          <cell r="C2352"/>
          <cell r="D2352" t="str">
            <v>du</v>
          </cell>
          <cell r="E2352" t="str">
            <v>Remboursement collectif</v>
          </cell>
          <cell r="F2352" t="str">
            <v>de la</v>
          </cell>
          <cell r="G2352" t="str">
            <v>Ligne de soins</v>
          </cell>
          <cell r="H2352"/>
          <cell r="I2352"/>
        </row>
        <row r="2353">
          <cell r="C2353"/>
          <cell r="D2353" t="str">
            <v>des</v>
          </cell>
          <cell r="E2353" t="str">
            <v>Remboursement CPAM</v>
          </cell>
          <cell r="F2353" t="str">
            <v>de la</v>
          </cell>
          <cell r="G2353" t="str">
            <v>Ligne de soins</v>
          </cell>
          <cell r="H2353"/>
          <cell r="I2353"/>
        </row>
        <row r="2354">
          <cell r="C2354"/>
          <cell r="D2354" t="str">
            <v>de la</v>
          </cell>
          <cell r="E2354" t="str">
            <v>majoration dentaire</v>
          </cell>
          <cell r="F2354" t="str">
            <v>de la</v>
          </cell>
          <cell r="G2354" t="str">
            <v>ligne de soins</v>
          </cell>
          <cell r="H2354"/>
          <cell r="I2354"/>
        </row>
        <row r="2355">
          <cell r="C2355"/>
          <cell r="D2355" t="str">
            <v>de la</v>
          </cell>
          <cell r="E2355" t="str">
            <v>franchise de dépassement</v>
          </cell>
          <cell r="F2355" t="str">
            <v>de la</v>
          </cell>
          <cell r="G2355" t="str">
            <v>ligne de soins</v>
          </cell>
          <cell r="H2355"/>
          <cell r="I2355"/>
        </row>
        <row r="2356">
          <cell r="C2356"/>
          <cell r="D2356" t="str">
            <v>du</v>
          </cell>
          <cell r="E2356" t="str">
            <v>dépassement du forfait</v>
          </cell>
          <cell r="F2356" t="str">
            <v>de la</v>
          </cell>
          <cell r="G2356" t="str">
            <v>ligne de soins</v>
          </cell>
          <cell r="H2356"/>
          <cell r="I2356"/>
        </row>
        <row r="2357">
          <cell r="C2357"/>
          <cell r="D2357" t="str">
            <v>du</v>
          </cell>
          <cell r="E2357" t="str">
            <v>bonus optique</v>
          </cell>
          <cell r="F2357" t="str">
            <v>de la</v>
          </cell>
          <cell r="G2357" t="str">
            <v>ligne de soins</v>
          </cell>
          <cell r="H2357"/>
          <cell r="I2357"/>
        </row>
        <row r="2358">
          <cell r="C2358"/>
          <cell r="D2358" t="str">
            <v>des</v>
          </cell>
          <cell r="E2358" t="str">
            <v>Frais réels</v>
          </cell>
          <cell r="F2358" t="str">
            <v>de la</v>
          </cell>
          <cell r="G2358" t="str">
            <v>Ligne de soins</v>
          </cell>
          <cell r="H2358"/>
          <cell r="I2358"/>
        </row>
        <row r="2359">
          <cell r="C2359"/>
          <cell r="D2359" t="str">
            <v>du</v>
          </cell>
          <cell r="E2359" t="str">
            <v>tarif de responsabilité</v>
          </cell>
          <cell r="F2359" t="str">
            <v>de la</v>
          </cell>
          <cell r="G2359" t="str">
            <v>ligne de soins</v>
          </cell>
          <cell r="H2359"/>
          <cell r="I2359"/>
        </row>
        <row r="2360">
          <cell r="C2360"/>
          <cell r="D2360" t="str">
            <v>du</v>
          </cell>
          <cell r="E2360" t="str">
            <v>Reste à charge</v>
          </cell>
          <cell r="F2360" t="str">
            <v>de la</v>
          </cell>
          <cell r="G2360" t="str">
            <v>Ligne de soins</v>
          </cell>
          <cell r="H2360"/>
          <cell r="I2360"/>
        </row>
        <row r="2361">
          <cell r="C2361"/>
          <cell r="D2361" t="str">
            <v xml:space="preserve"> </v>
          </cell>
          <cell r="E2361" t="str">
            <v>TP RC télétransmis</v>
          </cell>
          <cell r="F2361" t="str">
            <v>de la</v>
          </cell>
          <cell r="G2361" t="str">
            <v>ligne de soins</v>
          </cell>
          <cell r="H2361"/>
          <cell r="I2361"/>
        </row>
        <row r="2362">
          <cell r="C2362"/>
          <cell r="D2362" t="str">
            <v>du</v>
          </cell>
          <cell r="E2362" t="str">
            <v>ticket modérateur</v>
          </cell>
          <cell r="F2362" t="str">
            <v>de la</v>
          </cell>
          <cell r="G2362" t="str">
            <v>ligne de soins</v>
          </cell>
          <cell r="H2362"/>
          <cell r="I2362"/>
        </row>
        <row r="2363">
          <cell r="C2363"/>
          <cell r="D2363" t="str">
            <v>de la</v>
          </cell>
          <cell r="E2363" t="str">
            <v>Destination analytique</v>
          </cell>
          <cell r="F2363" t="str">
            <v>de la</v>
          </cell>
          <cell r="G2363" t="str">
            <v>Ligne de soins</v>
          </cell>
          <cell r="H2363"/>
          <cell r="I2363"/>
        </row>
        <row r="2364">
          <cell r="C2364"/>
          <cell r="D2364" t="str">
            <v>de l'</v>
          </cell>
          <cell r="E2364" t="str">
            <v>option de coordination</v>
          </cell>
          <cell r="F2364" t="str">
            <v>de la</v>
          </cell>
          <cell r="G2364" t="str">
            <v>ligne de soins</v>
          </cell>
          <cell r="H2364"/>
          <cell r="I2364"/>
        </row>
        <row r="2365">
          <cell r="C2365"/>
          <cell r="D2365" t="str">
            <v>de l'</v>
          </cell>
          <cell r="E2365" t="str">
            <v>option de coordination</v>
          </cell>
          <cell r="F2365" t="str">
            <v>de la</v>
          </cell>
          <cell r="G2365" t="str">
            <v>ligne de soins</v>
          </cell>
          <cell r="H2365"/>
          <cell r="I2365"/>
        </row>
        <row r="2366">
          <cell r="C2366"/>
          <cell r="D2366" t="str">
            <v>de l'</v>
          </cell>
          <cell r="E2366" t="str">
            <v>acte CCAM</v>
          </cell>
          <cell r="F2366" t="str">
            <v>de la</v>
          </cell>
          <cell r="G2366" t="str">
            <v>ligne de soins</v>
          </cell>
          <cell r="H2366"/>
          <cell r="I2366"/>
        </row>
        <row r="2367">
          <cell r="C2367"/>
          <cell r="D2367" t="str">
            <v>de l'</v>
          </cell>
          <cell r="E2367" t="str">
            <v>acte CCAM</v>
          </cell>
          <cell r="F2367" t="str">
            <v>de la</v>
          </cell>
          <cell r="G2367" t="str">
            <v>ligne de soins</v>
          </cell>
          <cell r="H2367"/>
          <cell r="I2367"/>
        </row>
        <row r="2368">
          <cell r="C2368"/>
          <cell r="D2368" t="str">
            <v>de l'</v>
          </cell>
          <cell r="E2368" t="str">
            <v>acte de soins santé de la CPAM</v>
          </cell>
          <cell r="F2368" t="str">
            <v>de</v>
          </cell>
          <cell r="G2368" t="str">
            <v>Ligne de soins</v>
          </cell>
          <cell r="H2368"/>
          <cell r="I2368"/>
        </row>
        <row r="2369">
          <cell r="C2369"/>
          <cell r="D2369" t="str">
            <v>du</v>
          </cell>
          <cell r="E2369" t="str">
            <v>mouvement bancaire marié</v>
          </cell>
          <cell r="F2369" t="str">
            <v>de la</v>
          </cell>
          <cell r="G2369" t="str">
            <v>ligne de soins</v>
          </cell>
          <cell r="H2369"/>
          <cell r="I2369"/>
        </row>
        <row r="2370">
          <cell r="C2370"/>
          <cell r="D2370" t="str">
            <v>de la</v>
          </cell>
          <cell r="E2370" t="str">
            <v>version de Garantie</v>
          </cell>
          <cell r="F2370" t="str">
            <v>de la</v>
          </cell>
          <cell r="G2370" t="str">
            <v>Ligne de soins</v>
          </cell>
          <cell r="H2370"/>
          <cell r="I2370"/>
        </row>
        <row r="2371">
          <cell r="C2371"/>
          <cell r="D2371" t="str">
            <v>du</v>
          </cell>
          <cell r="E2371" t="str">
            <v>Type</v>
          </cell>
          <cell r="F2371" t="str">
            <v>de</v>
          </cell>
          <cell r="G2371" t="str">
            <v>Message de la Ligne de soins</v>
          </cell>
          <cell r="H2371" t="str">
            <v>et</v>
          </cell>
          <cell r="I2371" t="str">
            <v>Message du Décompte Santé</v>
          </cell>
        </row>
        <row r="2372">
          <cell r="C2372"/>
          <cell r="D2372" t="str">
            <v>du</v>
          </cell>
          <cell r="E2372" t="str">
            <v>Type</v>
          </cell>
          <cell r="F2372" t="str">
            <v>de</v>
          </cell>
          <cell r="G2372" t="str">
            <v>Message de la Ligne de soins</v>
          </cell>
          <cell r="H2372" t="str">
            <v>et</v>
          </cell>
          <cell r="I2372" t="str">
            <v>Message du Décompte Santé</v>
          </cell>
        </row>
        <row r="2373">
          <cell r="C2373"/>
          <cell r="D2373" t="str">
            <v>du</v>
          </cell>
          <cell r="E2373" t="str">
            <v>Type</v>
          </cell>
          <cell r="F2373" t="str">
            <v>de</v>
          </cell>
          <cell r="G2373" t="str">
            <v>Message de la Ligne de soins</v>
          </cell>
          <cell r="H2373" t="str">
            <v>et</v>
          </cell>
          <cell r="I2373" t="str">
            <v>Message du Décompte Santé</v>
          </cell>
        </row>
        <row r="2374">
          <cell r="C2374"/>
          <cell r="D2374" t="str">
            <v>du</v>
          </cell>
          <cell r="E2374" t="str">
            <v>Type</v>
          </cell>
          <cell r="F2374" t="str">
            <v>du</v>
          </cell>
          <cell r="G2374" t="str">
            <v>Message de la Ligne de soins</v>
          </cell>
          <cell r="H2374"/>
          <cell r="I2374"/>
        </row>
        <row r="2375">
          <cell r="C2375"/>
          <cell r="D2375" t="str">
            <v>du</v>
          </cell>
          <cell r="E2375" t="str">
            <v>Type</v>
          </cell>
          <cell r="F2375" t="str">
            <v>du</v>
          </cell>
          <cell r="G2375" t="str">
            <v>Message de la Ligne de soins</v>
          </cell>
          <cell r="H2375"/>
          <cell r="I2375"/>
        </row>
        <row r="2376">
          <cell r="C2376"/>
          <cell r="D2376" t="str">
            <v>du</v>
          </cell>
          <cell r="E2376" t="str">
            <v>Type</v>
          </cell>
          <cell r="F2376" t="str">
            <v>du</v>
          </cell>
          <cell r="G2376" t="str">
            <v>Message du Décompte Santé</v>
          </cell>
          <cell r="H2376"/>
          <cell r="I2376"/>
        </row>
        <row r="2377">
          <cell r="C2377"/>
          <cell r="D2377" t="str">
            <v>du</v>
          </cell>
          <cell r="E2377" t="str">
            <v>Type</v>
          </cell>
          <cell r="F2377" t="str">
            <v>du</v>
          </cell>
          <cell r="G2377" t="str">
            <v>Message du Décompte Santé</v>
          </cell>
          <cell r="H2377"/>
          <cell r="I2377"/>
        </row>
        <row r="2378">
          <cell r="C2378"/>
          <cell r="D2378" t="str">
            <v>de l'</v>
          </cell>
          <cell r="E2378" t="str">
            <v>Assuré Santé Sinistré</v>
          </cell>
          <cell r="F2378"/>
          <cell r="G2378" t="str">
            <v>Non Référencé</v>
          </cell>
          <cell r="H2378"/>
          <cell r="I2378"/>
        </row>
        <row r="2379">
          <cell r="C2379"/>
          <cell r="D2379" t="str">
            <v>de l'</v>
          </cell>
          <cell r="E2379" t="str">
            <v>Assuré Santé Sinistré</v>
          </cell>
          <cell r="F2379" t="str">
            <v>,</v>
          </cell>
          <cell r="G2379" t="str">
            <v>Non Référencé</v>
          </cell>
          <cell r="H2379"/>
          <cell r="I2379"/>
        </row>
        <row r="2380">
          <cell r="C2380"/>
          <cell r="D2380" t="str">
            <v>de l'</v>
          </cell>
          <cell r="E2380" t="str">
            <v>Assuré Santé Sinistré</v>
          </cell>
          <cell r="F2380"/>
          <cell r="G2380" t="str">
            <v>Non Référencé</v>
          </cell>
          <cell r="H2380"/>
          <cell r="I2380"/>
        </row>
        <row r="2381">
          <cell r="C2381"/>
          <cell r="D2381" t="str">
            <v>de l'</v>
          </cell>
          <cell r="E2381" t="str">
            <v>Assuré Santé Sinistré</v>
          </cell>
          <cell r="F2381" t="str">
            <v>,</v>
          </cell>
          <cell r="G2381" t="str">
            <v>Non Référencé</v>
          </cell>
          <cell r="H2381"/>
          <cell r="I2381"/>
        </row>
        <row r="2382">
          <cell r="C2382"/>
          <cell r="D2382" t="str">
            <v>de l'</v>
          </cell>
          <cell r="E2382" t="str">
            <v>indicateur</v>
          </cell>
          <cell r="F2382" t="str">
            <v>du</v>
          </cell>
          <cell r="G2382" t="str">
            <v>panier de soins</v>
          </cell>
          <cell r="H2382"/>
          <cell r="I2382"/>
        </row>
        <row r="2383">
          <cell r="C2383"/>
          <cell r="D2383" t="str">
            <v>de l'</v>
          </cell>
          <cell r="E2383" t="str">
            <v>indicateur</v>
          </cell>
          <cell r="F2383" t="str">
            <v>du</v>
          </cell>
          <cell r="G2383" t="str">
            <v>panier de soins</v>
          </cell>
          <cell r="H2383"/>
          <cell r="I2383"/>
        </row>
        <row r="2384">
          <cell r="C2384"/>
          <cell r="D2384" t="str">
            <v>du</v>
          </cell>
          <cell r="E2384" t="str">
            <v>Correspondant ADELI</v>
          </cell>
          <cell r="F2384" t="str">
            <v>du</v>
          </cell>
          <cell r="G2384" t="str">
            <v>Prescripteur des soins</v>
          </cell>
          <cell r="H2384" t="str">
            <v>de la</v>
          </cell>
          <cell r="I2384" t="str">
            <v>Ligne de soins</v>
          </cell>
        </row>
        <row r="2385">
          <cell r="C2385"/>
          <cell r="D2385" t="str">
            <v>de la</v>
          </cell>
          <cell r="E2385" t="str">
            <v>Spécialité professionnelle</v>
          </cell>
          <cell r="F2385" t="str">
            <v>du</v>
          </cell>
          <cell r="G2385" t="str">
            <v>Prescripteur des soins</v>
          </cell>
          <cell r="H2385" t="str">
            <v>de la</v>
          </cell>
          <cell r="I2385" t="str">
            <v>Ligne de soins</v>
          </cell>
        </row>
        <row r="2386">
          <cell r="C2386"/>
          <cell r="D2386" t="str">
            <v>de la</v>
          </cell>
          <cell r="E2386" t="str">
            <v>Spécialité professionnelle</v>
          </cell>
          <cell r="F2386" t="str">
            <v>du</v>
          </cell>
          <cell r="G2386" t="str">
            <v>Prescripteur des soins</v>
          </cell>
          <cell r="H2386" t="str">
            <v>de la</v>
          </cell>
          <cell r="I2386" t="str">
            <v>Ligne de soins</v>
          </cell>
        </row>
        <row r="2387">
          <cell r="C2387"/>
          <cell r="D2387" t="str">
            <v>du</v>
          </cell>
          <cell r="E2387" t="str">
            <v>remboursement</v>
          </cell>
          <cell r="F2387"/>
          <cell r="G2387" t="str">
            <v>régime obligatoire</v>
          </cell>
          <cell r="H2387" t="str">
            <v>de la</v>
          </cell>
          <cell r="I2387" t="str">
            <v>ligne de soins</v>
          </cell>
        </row>
        <row r="2388">
          <cell r="C2388"/>
          <cell r="D2388" t="str">
            <v>de l'</v>
          </cell>
          <cell r="E2388" t="str">
            <v>Assuré Santé Sinistré</v>
          </cell>
          <cell r="F2388" t="str">
            <v>du</v>
          </cell>
          <cell r="G2388" t="str">
            <v>Règlement Assurance santé</v>
          </cell>
          <cell r="H2388"/>
          <cell r="I2388"/>
        </row>
        <row r="2389">
          <cell r="C2389"/>
          <cell r="D2389" t="str">
            <v>du</v>
          </cell>
          <cell r="E2389" t="str">
            <v>Mode de règlement</v>
          </cell>
          <cell r="F2389" t="str">
            <v>du</v>
          </cell>
          <cell r="G2389" t="str">
            <v>Règlement Assurance santé</v>
          </cell>
          <cell r="H2389"/>
          <cell r="I2389"/>
        </row>
        <row r="2390">
          <cell r="C2390"/>
          <cell r="D2390" t="str">
            <v>de la</v>
          </cell>
          <cell r="E2390" t="str">
            <v>Situation de stock</v>
          </cell>
          <cell r="F2390" t="str">
            <v>du</v>
          </cell>
          <cell r="G2390" t="str">
            <v>Règlement Assurance santé</v>
          </cell>
          <cell r="H2390"/>
          <cell r="I2390"/>
        </row>
        <row r="2391">
          <cell r="C2391"/>
          <cell r="D2391" t="str">
            <v>de l'</v>
          </cell>
          <cell r="E2391" t="str">
            <v>Etat</v>
          </cell>
          <cell r="F2391" t="str">
            <v>du</v>
          </cell>
          <cell r="G2391" t="str">
            <v>Règlement Assurance santé</v>
          </cell>
          <cell r="H2391"/>
          <cell r="I2391"/>
        </row>
        <row r="2392">
          <cell r="C2392"/>
          <cell r="D2392" t="str">
            <v>du</v>
          </cell>
          <cell r="E2392" t="str">
            <v>Type</v>
          </cell>
          <cell r="F2392" t="str">
            <v>du</v>
          </cell>
          <cell r="G2392" t="str">
            <v>Règlement Assurance santé</v>
          </cell>
          <cell r="H2392"/>
          <cell r="I2392"/>
        </row>
        <row r="2393">
          <cell r="C2393"/>
          <cell r="D2393" t="str">
            <v>de la</v>
          </cell>
          <cell r="E2393" t="str">
            <v>Dette équilibre</v>
          </cell>
          <cell r="F2393" t="str">
            <v>du</v>
          </cell>
          <cell r="G2393" t="str">
            <v>Règlement Assurance santé</v>
          </cell>
          <cell r="H2393"/>
          <cell r="I2393"/>
        </row>
        <row r="2394">
          <cell r="C2394"/>
          <cell r="D2394" t="str">
            <v>du</v>
          </cell>
          <cell r="E2394" t="str">
            <v>Remboursement collectif</v>
          </cell>
          <cell r="F2394" t="str">
            <v>du</v>
          </cell>
          <cell r="G2394" t="str">
            <v>Règlement Assurance santé</v>
          </cell>
          <cell r="H2394"/>
          <cell r="I2394"/>
        </row>
        <row r="2395">
          <cell r="C2395"/>
          <cell r="D2395" t="str">
            <v>de l'</v>
          </cell>
          <cell r="E2395" t="str">
            <v>Annulation</v>
          </cell>
          <cell r="F2395" t="str">
            <v>du</v>
          </cell>
          <cell r="G2395" t="str">
            <v>Règlement Assurance santé</v>
          </cell>
          <cell r="H2395"/>
          <cell r="I2395"/>
        </row>
        <row r="2396">
          <cell r="C2396"/>
          <cell r="D2396" t="str">
            <v>des</v>
          </cell>
          <cell r="E2396" t="str">
            <v>Remboursement CPAM</v>
          </cell>
          <cell r="F2396" t="str">
            <v>du</v>
          </cell>
          <cell r="G2396" t="str">
            <v>Règlement Assurance santé</v>
          </cell>
          <cell r="H2396"/>
          <cell r="I2396"/>
        </row>
        <row r="2397">
          <cell r="C2397"/>
          <cell r="D2397" t="str">
            <v>des</v>
          </cell>
          <cell r="E2397" t="str">
            <v>Frais réels</v>
          </cell>
          <cell r="F2397" t="str">
            <v>du</v>
          </cell>
          <cell r="G2397" t="str">
            <v>Règlement Assurance santé</v>
          </cell>
          <cell r="H2397"/>
          <cell r="I2397"/>
        </row>
        <row r="2398">
          <cell r="C2398"/>
          <cell r="D2398" t="str">
            <v>du</v>
          </cell>
          <cell r="E2398" t="str">
            <v>Reste à charge</v>
          </cell>
          <cell r="F2398" t="str">
            <v>du</v>
          </cell>
          <cell r="G2398" t="str">
            <v>Règlement Assurance santé</v>
          </cell>
          <cell r="H2398"/>
          <cell r="I2398"/>
        </row>
        <row r="2399">
          <cell r="C2399"/>
          <cell r="D2399" t="str">
            <v>d'</v>
          </cell>
          <cell r="E2399" t="str">
            <v>Edition effective</v>
          </cell>
          <cell r="F2399" t="str">
            <v>du</v>
          </cell>
          <cell r="G2399" t="str">
            <v>Règlement Assurance santé</v>
          </cell>
          <cell r="H2399"/>
          <cell r="I2399"/>
        </row>
        <row r="2400">
          <cell r="C2400"/>
          <cell r="D2400" t="str">
            <v>de la</v>
          </cell>
          <cell r="E2400" t="str">
            <v>Situation de stock</v>
          </cell>
          <cell r="F2400" t="str">
            <v>du</v>
          </cell>
          <cell r="G2400" t="str">
            <v>Règlement Assurance santé</v>
          </cell>
          <cell r="H2400"/>
          <cell r="I2400"/>
        </row>
        <row r="2401">
          <cell r="C2401"/>
          <cell r="D2401" t="str">
            <v>de la</v>
          </cell>
          <cell r="E2401" t="str">
            <v>Situation de stock</v>
          </cell>
          <cell r="F2401" t="str">
            <v>du</v>
          </cell>
          <cell r="G2401" t="str">
            <v>Règlement Assurance santé</v>
          </cell>
          <cell r="H2401"/>
          <cell r="I2401"/>
        </row>
        <row r="2402">
          <cell r="C2402"/>
          <cell r="D2402" t="str">
            <v>du</v>
          </cell>
          <cell r="E2402" t="str">
            <v>BBAN</v>
          </cell>
          <cell r="F2402" t="str">
            <v>du</v>
          </cell>
          <cell r="G2402" t="str">
            <v>Règlement Assurance santé</v>
          </cell>
          <cell r="H2402"/>
          <cell r="I2402"/>
        </row>
        <row r="2403">
          <cell r="C2403"/>
          <cell r="D2403" t="str">
            <v>de la</v>
          </cell>
          <cell r="E2403" t="str">
            <v>devise</v>
          </cell>
          <cell r="F2403" t="str">
            <v>du</v>
          </cell>
          <cell r="G2403" t="str">
            <v>Règlement Assurance santé</v>
          </cell>
          <cell r="H2403"/>
          <cell r="I2403"/>
        </row>
        <row r="2404">
          <cell r="C2404"/>
          <cell r="D2404" t="str">
            <v>du</v>
          </cell>
          <cell r="E2404" t="str">
            <v>contrat groupe</v>
          </cell>
          <cell r="F2404" t="str">
            <v>du</v>
          </cell>
          <cell r="G2404" t="str">
            <v>Règlement Assurance santé</v>
          </cell>
          <cell r="H2404"/>
          <cell r="I2404"/>
        </row>
        <row r="2405">
          <cell r="C2405"/>
          <cell r="D2405" t="str">
            <v>de la</v>
          </cell>
          <cell r="E2405" t="str">
            <v>Société d'assurance</v>
          </cell>
          <cell r="F2405" t="str">
            <v>du</v>
          </cell>
          <cell r="G2405" t="str">
            <v>Règlement Assurance santé</v>
          </cell>
          <cell r="H2405"/>
          <cell r="I2405"/>
        </row>
        <row r="2406">
          <cell r="C2406"/>
          <cell r="D2406" t="str">
            <v>du</v>
          </cell>
          <cell r="E2406" t="str">
            <v>Dernier état</v>
          </cell>
          <cell r="F2406" t="str">
            <v>du</v>
          </cell>
          <cell r="G2406" t="str">
            <v>Règlement Assurance santé</v>
          </cell>
          <cell r="H2406"/>
          <cell r="I2406"/>
        </row>
        <row r="2407">
          <cell r="C2407"/>
          <cell r="D2407" t="str">
            <v>du</v>
          </cell>
          <cell r="E2407" t="str">
            <v>Dernier état</v>
          </cell>
          <cell r="F2407" t="str">
            <v>du</v>
          </cell>
          <cell r="G2407" t="str">
            <v>Règlement Assurance santé</v>
          </cell>
          <cell r="H2407"/>
          <cell r="I2407"/>
        </row>
        <row r="2408">
          <cell r="C2408"/>
          <cell r="D2408" t="str">
            <v>de l'</v>
          </cell>
          <cell r="E2408" t="str">
            <v>Equipe gestionnaire</v>
          </cell>
          <cell r="F2408" t="str">
            <v>du</v>
          </cell>
          <cell r="G2408" t="str">
            <v>Règlement Assurance santé</v>
          </cell>
          <cell r="H2408"/>
          <cell r="I2408"/>
        </row>
        <row r="2409">
          <cell r="C2409"/>
          <cell r="D2409" t="str">
            <v>de l'</v>
          </cell>
          <cell r="E2409" t="str">
            <v>Entité gestionnaire</v>
          </cell>
          <cell r="F2409" t="str">
            <v>du</v>
          </cell>
          <cell r="G2409" t="str">
            <v>Règlement Assurance santé</v>
          </cell>
          <cell r="H2409"/>
          <cell r="I2409"/>
        </row>
        <row r="2410">
          <cell r="C2410"/>
          <cell r="D2410" t="str">
            <v>du</v>
          </cell>
          <cell r="E2410" t="str">
            <v>Mode de règlement</v>
          </cell>
          <cell r="F2410" t="str">
            <v>du</v>
          </cell>
          <cell r="G2410" t="str">
            <v>Règlement Assurance santé</v>
          </cell>
          <cell r="H2410"/>
          <cell r="I2410"/>
        </row>
        <row r="2411">
          <cell r="C2411"/>
          <cell r="D2411" t="str">
            <v>du</v>
          </cell>
          <cell r="E2411" t="str">
            <v>Mode de règlement</v>
          </cell>
          <cell r="F2411" t="str">
            <v>du</v>
          </cell>
          <cell r="G2411" t="str">
            <v>Règlement Assurance santé</v>
          </cell>
          <cell r="H2411"/>
          <cell r="I2411"/>
        </row>
        <row r="2412">
          <cell r="C2412"/>
          <cell r="D2412" t="str">
            <v>de l'</v>
          </cell>
          <cell r="E2412" t="str">
            <v>Etat</v>
          </cell>
          <cell r="F2412" t="str">
            <v>du</v>
          </cell>
          <cell r="G2412" t="str">
            <v>Règlement Assurance santé</v>
          </cell>
          <cell r="H2412"/>
          <cell r="I2412"/>
        </row>
        <row r="2413">
          <cell r="C2413"/>
          <cell r="D2413" t="str">
            <v>de l'</v>
          </cell>
          <cell r="E2413" t="str">
            <v>Etat</v>
          </cell>
          <cell r="F2413" t="str">
            <v>du</v>
          </cell>
          <cell r="G2413" t="str">
            <v>Règlement Assurance santé</v>
          </cell>
          <cell r="H2413"/>
          <cell r="I2413"/>
        </row>
        <row r="2414">
          <cell r="C2414"/>
          <cell r="D2414" t="str">
            <v>du</v>
          </cell>
          <cell r="E2414" t="str">
            <v>Type</v>
          </cell>
          <cell r="F2414" t="str">
            <v>du</v>
          </cell>
          <cell r="G2414" t="str">
            <v>Règlement Assurance santé</v>
          </cell>
          <cell r="H2414"/>
          <cell r="I2414"/>
        </row>
        <row r="2415">
          <cell r="C2415"/>
          <cell r="D2415" t="str">
            <v>du</v>
          </cell>
          <cell r="E2415" t="str">
            <v>Type</v>
          </cell>
          <cell r="F2415" t="str">
            <v>du</v>
          </cell>
          <cell r="G2415" t="str">
            <v>Règlement Assurance santé</v>
          </cell>
          <cell r="H2415"/>
          <cell r="I2415"/>
        </row>
        <row r="2416">
          <cell r="C2416"/>
          <cell r="D2416" t="str">
            <v>de l'</v>
          </cell>
          <cell r="E2416" t="str">
            <v>indicateur</v>
          </cell>
          <cell r="F2416" t="str">
            <v>de</v>
          </cell>
          <cell r="G2416" t="str">
            <v>renouvellement anticipé</v>
          </cell>
          <cell r="H2416"/>
          <cell r="I2416"/>
        </row>
        <row r="2417">
          <cell r="C2417"/>
          <cell r="D2417" t="str">
            <v>de l'</v>
          </cell>
          <cell r="E2417" t="str">
            <v>indicateur</v>
          </cell>
          <cell r="F2417" t="str">
            <v>de</v>
          </cell>
          <cell r="G2417" t="str">
            <v>renouvellement anticipé</v>
          </cell>
          <cell r="H2417"/>
          <cell r="I2417"/>
        </row>
        <row r="2418">
          <cell r="C2418"/>
          <cell r="D2418" t="str">
            <v>du</v>
          </cell>
          <cell r="E2418" t="str">
            <v>Type</v>
          </cell>
          <cell r="F2418" t="str">
            <v>de</v>
          </cell>
          <cell r="G2418" t="str">
            <v>Savoir faire</v>
          </cell>
          <cell r="H2418" t="str">
            <v>du</v>
          </cell>
          <cell r="I2418" t="str">
            <v>Correspondant ADELI</v>
          </cell>
        </row>
        <row r="2419">
          <cell r="C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cell r="F2420"/>
          <cell r="G2420"/>
          <cell r="H2420"/>
          <cell r="I2420"/>
        </row>
        <row r="2421">
          <cell r="C2421"/>
          <cell r="D2421" t="str">
            <v>de la</v>
          </cell>
          <cell r="E2421" t="str">
            <v>majoration</v>
          </cell>
          <cell r="F2421" t="str">
            <v>du</v>
          </cell>
          <cell r="G2421" t="str">
            <v>ticket modérateur</v>
          </cell>
          <cell r="H2421" t="str">
            <v>de la</v>
          </cell>
          <cell r="I2421" t="str">
            <v>ligne de soins</v>
          </cell>
        </row>
        <row r="2422">
          <cell r="C2422"/>
          <cell r="D2422" t="str">
            <v>du</v>
          </cell>
          <cell r="E2422" t="str">
            <v>prix limite</v>
          </cell>
          <cell r="F2422" t="str">
            <v>de</v>
          </cell>
          <cell r="G2422" t="str">
            <v>vente</v>
          </cell>
          <cell r="H2422"/>
          <cell r="I2422"/>
        </row>
        <row r="2423">
          <cell r="C2423"/>
          <cell r="D2423" t="str">
            <v>du</v>
          </cell>
          <cell r="E2423" t="str">
            <v>Correspondant ADELI</v>
          </cell>
          <cell r="F2423"/>
          <cell r="G2423"/>
          <cell r="H2423"/>
          <cell r="I2423"/>
        </row>
        <row r="2424">
          <cell r="C2424"/>
          <cell r="D2424" t="str">
            <v>du</v>
          </cell>
          <cell r="E2424" t="str">
            <v>Décompte santé</v>
          </cell>
          <cell r="F2424"/>
          <cell r="G2424"/>
          <cell r="H2424"/>
          <cell r="I2424"/>
        </row>
        <row r="2425">
          <cell r="C2425"/>
          <cell r="D2425" t="str">
            <v>du</v>
          </cell>
          <cell r="E2425" t="str">
            <v>Message du Décompte Santé</v>
          </cell>
          <cell r="F2425"/>
          <cell r="G2425"/>
          <cell r="H2425"/>
          <cell r="I2425"/>
        </row>
        <row r="2426">
          <cell r="C2426"/>
          <cell r="D2426" t="str">
            <v>de la</v>
          </cell>
          <cell r="E2426" t="str">
            <v>Ligne de soins</v>
          </cell>
          <cell r="F2426"/>
          <cell r="G2426"/>
          <cell r="H2426"/>
          <cell r="I2426"/>
        </row>
        <row r="2427">
          <cell r="C2427"/>
          <cell r="D2427" t="str">
            <v>du</v>
          </cell>
          <cell r="E2427" t="str">
            <v>Message de la Ligne de soins</v>
          </cell>
          <cell r="F2427"/>
          <cell r="G2427"/>
          <cell r="H2427"/>
          <cell r="I2427"/>
        </row>
        <row r="2428">
          <cell r="C2428"/>
          <cell r="D2428" t="str">
            <v>du</v>
          </cell>
          <cell r="E2428" t="str">
            <v>Règlement Assurance santé</v>
          </cell>
          <cell r="F2428"/>
          <cell r="G2428"/>
          <cell r="H2428"/>
          <cell r="I2428"/>
        </row>
        <row r="2429">
          <cell r="C2429"/>
          <cell r="D2429" t="str">
            <v>du</v>
          </cell>
          <cell r="E2429" t="str">
            <v>Correspondant ADELI</v>
          </cell>
          <cell r="F2429"/>
          <cell r="G2429"/>
          <cell r="H2429"/>
          <cell r="I2429"/>
        </row>
        <row r="2430">
          <cell r="C2430"/>
          <cell r="D2430" t="str">
            <v>du</v>
          </cell>
          <cell r="E2430" t="str">
            <v>Décompte santé</v>
          </cell>
          <cell r="F2430"/>
          <cell r="G2430"/>
          <cell r="H2430"/>
          <cell r="I2430"/>
        </row>
        <row r="2431">
          <cell r="C2431"/>
          <cell r="D2431" t="str">
            <v>du</v>
          </cell>
          <cell r="E2431" t="str">
            <v>Message du Décompte Santé</v>
          </cell>
          <cell r="F2431"/>
          <cell r="G2431"/>
          <cell r="H2431"/>
          <cell r="I2431"/>
        </row>
        <row r="2432">
          <cell r="C2432"/>
          <cell r="D2432" t="str">
            <v>de l'</v>
          </cell>
          <cell r="E2432" t="str">
            <v>acte de soins santé des ACM</v>
          </cell>
          <cell r="F2432"/>
          <cell r="G2432"/>
          <cell r="H2432"/>
          <cell r="I2432"/>
        </row>
        <row r="2433">
          <cell r="C2433"/>
          <cell r="D2433" t="str">
            <v>de la</v>
          </cell>
          <cell r="E2433" t="str">
            <v>ligne de soins</v>
          </cell>
          <cell r="F2433"/>
          <cell r="G2433"/>
          <cell r="H2433"/>
          <cell r="I2433"/>
        </row>
        <row r="2434">
          <cell r="C2434"/>
          <cell r="D2434" t="str">
            <v>du</v>
          </cell>
          <cell r="E2434" t="str">
            <v>Message de la Ligne de soins</v>
          </cell>
          <cell r="F2434"/>
          <cell r="G2434"/>
          <cell r="H2434"/>
          <cell r="I2434"/>
        </row>
        <row r="2435">
          <cell r="C2435"/>
          <cell r="D2435" t="str">
            <v>de l'</v>
          </cell>
          <cell r="E2435" t="str">
            <v>Assuré Santé Sinistré</v>
          </cell>
          <cell r="F2435"/>
          <cell r="G2435"/>
          <cell r="H2435"/>
          <cell r="I2435"/>
        </row>
        <row r="2436">
          <cell r="C2436"/>
          <cell r="D2436" t="str">
            <v>du</v>
          </cell>
          <cell r="E2436" t="str">
            <v>Règlement Assurance santé</v>
          </cell>
          <cell r="F2436"/>
          <cell r="G2436"/>
          <cell r="H2436"/>
          <cell r="I2436"/>
        </row>
        <row r="2437">
          <cell r="C2437" t="str">
            <v>interne</v>
          </cell>
          <cell r="D2437" t="str">
            <v>du</v>
          </cell>
          <cell r="E2437" t="str">
            <v>Contrat</v>
          </cell>
          <cell r="F2437" t="str">
            <v>du</v>
          </cell>
          <cell r="G2437" t="str">
            <v>Décompte santé</v>
          </cell>
          <cell r="H2437"/>
          <cell r="I2437"/>
        </row>
        <row r="2438">
          <cell r="C2438" t="str">
            <v>externe</v>
          </cell>
          <cell r="D2438" t="str">
            <v>du</v>
          </cell>
          <cell r="E2438" t="str">
            <v>Contrat</v>
          </cell>
          <cell r="F2438" t="str">
            <v>du</v>
          </cell>
          <cell r="G2438" t="str">
            <v>Décompte santé</v>
          </cell>
          <cell r="H2438"/>
          <cell r="I2438"/>
        </row>
        <row r="2439">
          <cell r="C2439" t="str">
            <v>sévérité</v>
          </cell>
          <cell r="D2439" t="str">
            <v>du</v>
          </cell>
          <cell r="E2439" t="str">
            <v>message</v>
          </cell>
          <cell r="F2439" t="str">
            <v>du</v>
          </cell>
          <cell r="G2439" t="str">
            <v>Décompte santé</v>
          </cell>
          <cell r="H2439"/>
          <cell r="I2439"/>
        </row>
        <row r="2440">
          <cell r="C2440"/>
          <cell r="D2440" t="str">
            <v>du</v>
          </cell>
          <cell r="E2440" t="str">
            <v>Décompte santé</v>
          </cell>
          <cell r="F2440"/>
          <cell r="G2440"/>
          <cell r="H2440"/>
          <cell r="I2440"/>
        </row>
        <row r="2441">
          <cell r="C2441"/>
          <cell r="D2441" t="str">
            <v>du</v>
          </cell>
          <cell r="E2441" t="str">
            <v>Décompte santé</v>
          </cell>
          <cell r="F2441"/>
          <cell r="G2441"/>
          <cell r="H2441"/>
          <cell r="I2441"/>
        </row>
        <row r="2442">
          <cell r="C2442" t="str">
            <v>GECOR</v>
          </cell>
          <cell r="D2442" t="str">
            <v>du</v>
          </cell>
          <cell r="E2442" t="str">
            <v>Destinataire du règlement</v>
          </cell>
          <cell r="F2442" t="str">
            <v>du</v>
          </cell>
          <cell r="G2442" t="str">
            <v>Décompte santé</v>
          </cell>
          <cell r="H2442"/>
          <cell r="I2442"/>
        </row>
        <row r="2443">
          <cell r="C2443"/>
          <cell r="D2443" t="str">
            <v>de l'</v>
          </cell>
          <cell r="E2443" t="str">
            <v>acte de soins santé des ACM</v>
          </cell>
          <cell r="F2443"/>
          <cell r="G2443"/>
          <cell r="H2443"/>
          <cell r="I2443"/>
        </row>
        <row r="2444">
          <cell r="C2444"/>
          <cell r="D2444" t="str">
            <v>du</v>
          </cell>
          <cell r="E2444" t="str">
            <v>Règlement Assurance santé</v>
          </cell>
          <cell r="F2444"/>
          <cell r="G2444"/>
          <cell r="H2444"/>
          <cell r="I2444"/>
        </row>
        <row r="2445">
          <cell r="C2445"/>
          <cell r="D2445" t="str">
            <v>du</v>
          </cell>
          <cell r="E2445" t="str">
            <v>Règlement Assurance santé</v>
          </cell>
          <cell r="F2445"/>
          <cell r="G2445"/>
          <cell r="H2445"/>
          <cell r="I2445"/>
        </row>
        <row r="2446">
          <cell r="C2446" t="str">
            <v>sévérité</v>
          </cell>
          <cell r="D2446" t="str">
            <v>du</v>
          </cell>
          <cell r="E2446" t="str">
            <v>message</v>
          </cell>
          <cell r="F2446" t="str">
            <v>de la</v>
          </cell>
          <cell r="G2446" t="str">
            <v>Ligne de soins</v>
          </cell>
          <cell r="H2446"/>
          <cell r="I2446"/>
        </row>
        <row r="2447">
          <cell r="C2447" t="str">
            <v>interne</v>
          </cell>
          <cell r="D2447" t="str">
            <v>du</v>
          </cell>
          <cell r="E2447" t="str">
            <v>Contrat</v>
          </cell>
          <cell r="F2447" t="str">
            <v>du</v>
          </cell>
          <cell r="G2447" t="str">
            <v>Règlement Assurance santé</v>
          </cell>
          <cell r="H2447"/>
          <cell r="I2447"/>
        </row>
        <row r="2448">
          <cell r="C2448" t="str">
            <v>externe</v>
          </cell>
          <cell r="D2448" t="str">
            <v>du</v>
          </cell>
          <cell r="E2448" t="str">
            <v>Contrat</v>
          </cell>
          <cell r="F2448" t="str">
            <v>du</v>
          </cell>
          <cell r="G2448" t="str">
            <v>Règlement Assurance santé</v>
          </cell>
          <cell r="H2448"/>
          <cell r="I2448"/>
        </row>
        <row r="2449">
          <cell r="C2449"/>
          <cell r="D2449" t="str">
            <v>du</v>
          </cell>
          <cell r="E2449" t="str">
            <v>Correspondant ADELI</v>
          </cell>
          <cell r="F2449"/>
          <cell r="G2449"/>
          <cell r="H2449"/>
          <cell r="I2449"/>
        </row>
        <row r="2450">
          <cell r="C2450"/>
          <cell r="D2450" t="str">
            <v>du</v>
          </cell>
          <cell r="E2450" t="str">
            <v>Correspondant ADELI</v>
          </cell>
          <cell r="F2450"/>
          <cell r="G2450"/>
          <cell r="H2450"/>
          <cell r="I2450"/>
        </row>
        <row r="2451">
          <cell r="C2451" t="str">
            <v>postal</v>
          </cell>
          <cell r="D2451" t="str">
            <v>de l'</v>
          </cell>
          <cell r="E2451" t="str">
            <v>Assuré Santé Sinistré</v>
          </cell>
          <cell r="F2451" t="str">
            <v>,</v>
          </cell>
          <cell r="G2451" t="str">
            <v>Non Référencé</v>
          </cell>
          <cell r="H2451"/>
          <cell r="I2451"/>
        </row>
        <row r="2452">
          <cell r="C2452" t="str">
            <v>sexe</v>
          </cell>
          <cell r="D2452" t="str">
            <v>de l'</v>
          </cell>
          <cell r="E2452" t="str">
            <v>Assuré Santé Sinistré</v>
          </cell>
          <cell r="F2452" t="str">
            <v>,</v>
          </cell>
          <cell r="G2452" t="str">
            <v>Non Référencé</v>
          </cell>
          <cell r="H2452"/>
          <cell r="I2452"/>
        </row>
        <row r="2453">
          <cell r="C2453"/>
          <cell r="D2453" t="str">
            <v>du</v>
          </cell>
          <cell r="E2453" t="str">
            <v>Décompte santé</v>
          </cell>
          <cell r="F2453"/>
          <cell r="G2453"/>
          <cell r="H2453"/>
          <cell r="I2453"/>
        </row>
        <row r="2454">
          <cell r="C2454"/>
          <cell r="D2454" t="str">
            <v>du</v>
          </cell>
          <cell r="E2454" t="str">
            <v>Message du Décompte Santé</v>
          </cell>
          <cell r="F2454"/>
          <cell r="G2454"/>
          <cell r="H2454"/>
          <cell r="I2454"/>
        </row>
        <row r="2455">
          <cell r="C2455"/>
          <cell r="D2455" t="str">
            <v>du</v>
          </cell>
          <cell r="E2455" t="str">
            <v>Message du Décompte Santé</v>
          </cell>
          <cell r="F2455"/>
          <cell r="G2455"/>
          <cell r="H2455"/>
          <cell r="I2455"/>
        </row>
        <row r="2456">
          <cell r="C2456"/>
          <cell r="D2456" t="str">
            <v>de l'</v>
          </cell>
          <cell r="E2456" t="str">
            <v>acte de soins santé des ACM</v>
          </cell>
          <cell r="F2456"/>
          <cell r="G2456"/>
          <cell r="H2456"/>
          <cell r="I2456"/>
        </row>
        <row r="2457">
          <cell r="C2457"/>
          <cell r="D2457" t="str">
            <v>de l'</v>
          </cell>
          <cell r="E2457" t="str">
            <v>acte de soins santé des ACM</v>
          </cell>
          <cell r="F2457"/>
          <cell r="G2457"/>
          <cell r="H2457"/>
          <cell r="I2457"/>
        </row>
        <row r="2458">
          <cell r="C2458"/>
          <cell r="D2458" t="str">
            <v>de l'</v>
          </cell>
          <cell r="E2458" t="str">
            <v>acte de soins santé des ACM</v>
          </cell>
          <cell r="F2458"/>
          <cell r="G2458"/>
          <cell r="H2458"/>
          <cell r="I2458"/>
        </row>
        <row r="2459">
          <cell r="C2459"/>
          <cell r="D2459" t="str">
            <v>de la</v>
          </cell>
          <cell r="E2459" t="str">
            <v>ligne de soins</v>
          </cell>
          <cell r="F2459"/>
          <cell r="G2459"/>
          <cell r="H2459"/>
          <cell r="I2459"/>
        </row>
        <row r="2460">
          <cell r="C2460"/>
          <cell r="D2460" t="str">
            <v>du</v>
          </cell>
          <cell r="E2460" t="str">
            <v>Message de la Ligne de soins</v>
          </cell>
          <cell r="F2460"/>
          <cell r="G2460"/>
          <cell r="H2460"/>
          <cell r="I2460"/>
        </row>
        <row r="2461">
          <cell r="C2461"/>
          <cell r="D2461" t="str">
            <v>du</v>
          </cell>
          <cell r="E2461" t="str">
            <v>Message de la Ligne de soins</v>
          </cell>
          <cell r="F2461"/>
          <cell r="G2461"/>
          <cell r="H2461"/>
          <cell r="I2461"/>
        </row>
        <row r="2462">
          <cell r="C2462"/>
          <cell r="D2462" t="str">
            <v>du</v>
          </cell>
          <cell r="E2462" t="str">
            <v>Règlement Assurance santé</v>
          </cell>
          <cell r="F2462"/>
          <cell r="G2462"/>
          <cell r="H2462"/>
          <cell r="I2462"/>
        </row>
        <row r="2463">
          <cell r="C2463"/>
          <cell r="D2463" t="str">
            <v>du</v>
          </cell>
          <cell r="E2463" t="str">
            <v>Décompte santé lié</v>
          </cell>
          <cell r="F2463"/>
          <cell r="G2463"/>
          <cell r="H2463"/>
          <cell r="I2463"/>
        </row>
        <row r="2464">
          <cell r="C2464"/>
          <cell r="D2464" t="str">
            <v>du</v>
          </cell>
          <cell r="E2464" t="str">
            <v>Tiers</v>
          </cell>
          <cell r="F2464"/>
          <cell r="G2464"/>
          <cell r="H2464"/>
          <cell r="I2464"/>
        </row>
        <row r="2465">
          <cell r="C2465"/>
          <cell r="D2465" t="str">
            <v>de l'</v>
          </cell>
          <cell r="E2465" t="str">
            <v>équipe</v>
          </cell>
          <cell r="F2465" t="str">
            <v>du</v>
          </cell>
          <cell r="G2465" t="str">
            <v>gestionnaire</v>
          </cell>
          <cell r="H2465" t="str">
            <v>du</v>
          </cell>
          <cell r="I2465" t="str">
            <v>Décompte santé</v>
          </cell>
        </row>
        <row r="2466">
          <cell r="C2466"/>
          <cell r="D2466" t="str">
            <v>de</v>
          </cell>
          <cell r="E2466" t="str">
            <v>rédacteur de la saisie</v>
          </cell>
          <cell r="F2466" t="str">
            <v>du</v>
          </cell>
          <cell r="G2466" t="str">
            <v>décompte santé</v>
          </cell>
          <cell r="H2466"/>
          <cell r="I2466"/>
        </row>
        <row r="2467">
          <cell r="C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cell r="F2468"/>
          <cell r="G2468"/>
          <cell r="H2468"/>
          <cell r="I2468"/>
        </row>
        <row r="2469">
          <cell r="C2469" t="str">
            <v>dernier</v>
          </cell>
          <cell r="D2469" t="str">
            <v xml:space="preserve"> </v>
          </cell>
          <cell r="E2469" t="str">
            <v>modification intrajournalière</v>
          </cell>
          <cell r="F2469" t="str">
            <v>du</v>
          </cell>
          <cell r="G2469" t="str">
            <v>décompte au contrôle</v>
          </cell>
          <cell r="H2469"/>
          <cell r="I2469"/>
        </row>
        <row r="2470">
          <cell r="C2470" t="str">
            <v>naissance</v>
          </cell>
          <cell r="D2470" t="str">
            <v>du</v>
          </cell>
          <cell r="E2470" t="str">
            <v>bénéficiaire du décompte</v>
          </cell>
          <cell r="F2470"/>
          <cell r="G2470"/>
          <cell r="H2470"/>
          <cell r="I2470"/>
        </row>
        <row r="2471">
          <cell r="C2471" t="str">
            <v>occurrence</v>
          </cell>
          <cell r="D2471" t="str">
            <v>de</v>
          </cell>
          <cell r="E2471" t="str">
            <v>message de contrôle</v>
          </cell>
          <cell r="F2471" t="str">
            <v>de la</v>
          </cell>
          <cell r="G2471" t="str">
            <v>ligne de soins</v>
          </cell>
          <cell r="H2471"/>
          <cell r="I2471"/>
        </row>
        <row r="2472">
          <cell r="C2472" t="str">
            <v>occurrence</v>
          </cell>
          <cell r="D2472" t="str">
            <v>de</v>
          </cell>
          <cell r="E2472" t="str">
            <v>message de contrôle</v>
          </cell>
          <cell r="F2472" t="str">
            <v>du</v>
          </cell>
          <cell r="G2472" t="str">
            <v>décompte santé</v>
          </cell>
          <cell r="H2472"/>
          <cell r="I2472"/>
        </row>
        <row r="2473">
          <cell r="C2473"/>
          <cell r="D2473" t="str">
            <v>de</v>
          </cell>
          <cell r="E2473" t="str">
            <v>décompte au contrôle</v>
          </cell>
          <cell r="F2473"/>
          <cell r="G2473"/>
          <cell r="H2473"/>
          <cell r="I2473"/>
        </row>
        <row r="2474">
          <cell r="C2474" t="str">
            <v>jour</v>
          </cell>
          <cell r="D2474" t="str">
            <v>depuis</v>
          </cell>
          <cell r="E2474" t="str">
            <v>première entrée</v>
          </cell>
          <cell r="F2474" t="str">
            <v>du</v>
          </cell>
          <cell r="G2474" t="str">
            <v>décompte au contrôle</v>
          </cell>
          <cell r="H2474"/>
          <cell r="I2474"/>
        </row>
        <row r="2475">
          <cell r="C2475" t="str">
            <v>actif</v>
          </cell>
          <cell r="D2475" t="str">
            <v>du</v>
          </cell>
          <cell r="E2475" t="str">
            <v>décompte au contrôle</v>
          </cell>
          <cell r="F2475"/>
          <cell r="G2475"/>
          <cell r="H2475"/>
          <cell r="I2475"/>
        </row>
        <row r="2476">
          <cell r="C2476"/>
          <cell r="D2476" t="str">
            <v xml:space="preserve"> </v>
          </cell>
          <cell r="E2476" t="str">
            <v>entrée</v>
          </cell>
          <cell r="F2476" t="str">
            <v>du</v>
          </cell>
          <cell r="G2476" t="str">
            <v>décompte au contrôle</v>
          </cell>
          <cell r="H2476"/>
          <cell r="I2476"/>
        </row>
        <row r="2477">
          <cell r="C2477"/>
          <cell r="D2477" t="str">
            <v xml:space="preserve"> </v>
          </cell>
          <cell r="E2477" t="str">
            <v>sortie</v>
          </cell>
          <cell r="F2477" t="str">
            <v>du</v>
          </cell>
          <cell r="G2477" t="str">
            <v>décompte au contrôle</v>
          </cell>
          <cell r="H2477"/>
          <cell r="I2477"/>
        </row>
        <row r="2478">
          <cell r="C2478"/>
          <cell r="D2478" t="str">
            <v xml:space="preserve"> </v>
          </cell>
          <cell r="E2478" t="str">
            <v>vérification saisie</v>
          </cell>
          <cell r="F2478" t="str">
            <v>du</v>
          </cell>
          <cell r="G2478" t="str">
            <v>décompte au contrôle</v>
          </cell>
          <cell r="H2478"/>
          <cell r="I2478"/>
        </row>
        <row r="2479">
          <cell r="C2479"/>
          <cell r="D2479" t="str">
            <v>de la</v>
          </cell>
          <cell r="E2479" t="str">
            <v>modification intrajournalière</v>
          </cell>
          <cell r="F2479" t="str">
            <v>du</v>
          </cell>
          <cell r="G2479" t="str">
            <v>décompte au contrôle</v>
          </cell>
          <cell r="H2479"/>
          <cell r="I2479"/>
        </row>
        <row r="2480">
          <cell r="C2480"/>
          <cell r="D2480" t="str">
            <v>de l'</v>
          </cell>
          <cell r="E2480" t="str">
            <v>action</v>
          </cell>
          <cell r="F2480" t="str">
            <v>sur le</v>
          </cell>
          <cell r="G2480" t="str">
            <v>décompte au contrôle</v>
          </cell>
          <cell r="H2480"/>
          <cell r="I2480"/>
        </row>
        <row r="2481">
          <cell r="C2481"/>
          <cell r="D2481" t="str">
            <v>du</v>
          </cell>
          <cell r="E2481" t="str">
            <v>panier</v>
          </cell>
          <cell r="F2481" t="str">
            <v>de</v>
          </cell>
          <cell r="G2481" t="str">
            <v>décompte au contrôle</v>
          </cell>
          <cell r="H2481"/>
          <cell r="I2481"/>
        </row>
        <row r="2482">
          <cell r="C2482"/>
          <cell r="D2482" t="str">
            <v>de la</v>
          </cell>
          <cell r="E2482" t="str">
            <v>CMU</v>
          </cell>
          <cell r="F2482" t="str">
            <v>du</v>
          </cell>
          <cell r="G2482" t="str">
            <v>décompte au contrôle</v>
          </cell>
          <cell r="H2482"/>
          <cell r="I2482"/>
        </row>
        <row r="2483">
          <cell r="C2483"/>
          <cell r="D2483" t="str">
            <v>du</v>
          </cell>
          <cell r="E2483" t="str">
            <v>suivi journalier</v>
          </cell>
          <cell r="F2483" t="str">
            <v>du</v>
          </cell>
          <cell r="G2483" t="str">
            <v>décompte au contrôle</v>
          </cell>
          <cell r="H2483"/>
          <cell r="I2483"/>
        </row>
        <row r="2484">
          <cell r="C2484"/>
          <cell r="D2484" t="str">
            <v>du</v>
          </cell>
          <cell r="E2484" t="str">
            <v>pays des soins</v>
          </cell>
          <cell r="F2484" t="str">
            <v>du</v>
          </cell>
          <cell r="G2484" t="str">
            <v>décompte au contrôle</v>
          </cell>
          <cell r="H2484"/>
          <cell r="I2484"/>
        </row>
        <row r="2485">
          <cell r="C2485"/>
          <cell r="D2485" t="str">
            <v>du</v>
          </cell>
          <cell r="E2485" t="str">
            <v>suivi intrajournalier</v>
          </cell>
          <cell r="F2485" t="str">
            <v>du</v>
          </cell>
          <cell r="G2485" t="str">
            <v>décompte au contrôle</v>
          </cell>
          <cell r="H2485"/>
          <cell r="I2485"/>
        </row>
        <row r="2486">
          <cell r="C2486"/>
          <cell r="D2486" t="str">
            <v>du</v>
          </cell>
          <cell r="E2486" t="str">
            <v>mouvement</v>
          </cell>
          <cell r="F2486" t="str">
            <v>du</v>
          </cell>
          <cell r="G2486" t="str">
            <v>décompte au contrôle</v>
          </cell>
          <cell r="H2486"/>
          <cell r="I2486"/>
        </row>
        <row r="2487">
          <cell r="C2487"/>
          <cell r="D2487" t="str">
            <v>du</v>
          </cell>
          <cell r="E2487" t="str">
            <v>format d'origine</v>
          </cell>
          <cell r="F2487" t="str">
            <v>du</v>
          </cell>
          <cell r="G2487" t="str">
            <v>décompte au contrôle</v>
          </cell>
          <cell r="H2487"/>
          <cell r="I2487"/>
        </row>
        <row r="2488">
          <cell r="C2488"/>
          <cell r="D2488" t="str">
            <v>de l'</v>
          </cell>
          <cell r="E2488" t="str">
            <v>émetteur d'origine</v>
          </cell>
          <cell r="F2488" t="str">
            <v>du</v>
          </cell>
          <cell r="G2488" t="str">
            <v>décompte au contrôle</v>
          </cell>
          <cell r="H2488"/>
          <cell r="I2488"/>
        </row>
        <row r="2489">
          <cell r="C2489"/>
          <cell r="D2489" t="str">
            <v>de l'</v>
          </cell>
          <cell r="E2489" t="str">
            <v>état SID</v>
          </cell>
          <cell r="F2489" t="str">
            <v>du</v>
          </cell>
          <cell r="G2489" t="str">
            <v>décompte au contrôle</v>
          </cell>
          <cell r="H2489"/>
          <cell r="I2489"/>
        </row>
        <row r="2490">
          <cell r="C2490"/>
          <cell r="D2490" t="str">
            <v>de l'</v>
          </cell>
          <cell r="E2490" t="str">
            <v>état SIO</v>
          </cell>
          <cell r="F2490" t="str">
            <v>du</v>
          </cell>
          <cell r="G2490" t="str">
            <v>décompte au contrôle</v>
          </cell>
          <cell r="H2490"/>
          <cell r="I2490"/>
        </row>
        <row r="2491">
          <cell r="C2491"/>
          <cell r="D2491" t="str">
            <v>du</v>
          </cell>
          <cell r="E2491" t="str">
            <v>type</v>
          </cell>
          <cell r="F2491" t="str">
            <v>de</v>
          </cell>
          <cell r="G2491" t="str">
            <v>décompte au contrôle</v>
          </cell>
          <cell r="H2491"/>
          <cell r="I2491"/>
        </row>
        <row r="2492">
          <cell r="C2492"/>
          <cell r="D2492" t="str">
            <v>dans le</v>
          </cell>
          <cell r="E2492" t="str">
            <v>panier</v>
          </cell>
          <cell r="F2492" t="str">
            <v>du</v>
          </cell>
          <cell r="G2492" t="str">
            <v>décompte au contrôle</v>
          </cell>
          <cell r="H2492"/>
          <cell r="I2492"/>
        </row>
        <row r="2493">
          <cell r="C2493"/>
          <cell r="D2493" t="str">
            <v>de l'</v>
          </cell>
          <cell r="E2493" t="str">
            <v>action</v>
          </cell>
          <cell r="F2493" t="str">
            <v>sur le</v>
          </cell>
          <cell r="G2493" t="str">
            <v>décompte au contrôle</v>
          </cell>
          <cell r="H2493"/>
          <cell r="I2493"/>
        </row>
        <row r="2494">
          <cell r="C2494"/>
          <cell r="D2494" t="str">
            <v>de l'</v>
          </cell>
          <cell r="E2494" t="str">
            <v>action</v>
          </cell>
          <cell r="F2494" t="str">
            <v>sur le</v>
          </cell>
          <cell r="G2494" t="str">
            <v>décompte au contrôle</v>
          </cell>
          <cell r="H2494"/>
          <cell r="I2494"/>
        </row>
        <row r="2495">
          <cell r="C2495"/>
          <cell r="D2495" t="str">
            <v>du</v>
          </cell>
          <cell r="E2495" t="str">
            <v>panier</v>
          </cell>
          <cell r="F2495" t="str">
            <v>de</v>
          </cell>
          <cell r="G2495" t="str">
            <v>décompte au contrôle</v>
          </cell>
          <cell r="H2495"/>
          <cell r="I2495"/>
        </row>
        <row r="2496">
          <cell r="C2496"/>
          <cell r="D2496" t="str">
            <v>du</v>
          </cell>
          <cell r="E2496" t="str">
            <v>panier</v>
          </cell>
          <cell r="F2496" t="str">
            <v>de</v>
          </cell>
          <cell r="G2496" t="str">
            <v>décompte au contrôle</v>
          </cell>
          <cell r="H2496"/>
          <cell r="I2496"/>
        </row>
        <row r="2497">
          <cell r="C2497"/>
          <cell r="D2497" t="str">
            <v>de la</v>
          </cell>
          <cell r="E2497" t="str">
            <v>CMU</v>
          </cell>
          <cell r="F2497" t="str">
            <v>du</v>
          </cell>
          <cell r="G2497" t="str">
            <v>décompte au contrôle</v>
          </cell>
          <cell r="H2497"/>
          <cell r="I2497"/>
        </row>
        <row r="2498">
          <cell r="C2498"/>
          <cell r="D2498" t="str">
            <v>de la</v>
          </cell>
          <cell r="E2498" t="str">
            <v>CMU</v>
          </cell>
          <cell r="F2498" t="str">
            <v>du</v>
          </cell>
          <cell r="G2498" t="str">
            <v>décompte au contrôle</v>
          </cell>
          <cell r="H2498"/>
          <cell r="I2498"/>
        </row>
        <row r="2499">
          <cell r="C2499"/>
          <cell r="D2499" t="str">
            <v>du</v>
          </cell>
          <cell r="E2499" t="str">
            <v>pays des soins</v>
          </cell>
          <cell r="F2499" t="str">
            <v>du</v>
          </cell>
          <cell r="G2499" t="str">
            <v>décompte au contrôle</v>
          </cell>
          <cell r="H2499"/>
          <cell r="I2499"/>
        </row>
        <row r="2500">
          <cell r="C2500"/>
          <cell r="D2500" t="str">
            <v>du</v>
          </cell>
          <cell r="E2500" t="str">
            <v>pays des soins</v>
          </cell>
          <cell r="F2500" t="str">
            <v>du</v>
          </cell>
          <cell r="G2500" t="str">
            <v>décompte au contrôle</v>
          </cell>
          <cell r="H2500"/>
          <cell r="I2500"/>
        </row>
        <row r="2501">
          <cell r="C2501"/>
          <cell r="D2501" t="str">
            <v>du</v>
          </cell>
          <cell r="E2501" t="str">
            <v>mouvement</v>
          </cell>
          <cell r="F2501" t="str">
            <v>du</v>
          </cell>
          <cell r="G2501" t="str">
            <v>décompte au contrôle</v>
          </cell>
          <cell r="H2501"/>
          <cell r="I2501"/>
        </row>
        <row r="2502">
          <cell r="C2502"/>
          <cell r="D2502" t="str">
            <v>du</v>
          </cell>
          <cell r="E2502" t="str">
            <v>mouvement</v>
          </cell>
          <cell r="F2502" t="str">
            <v>du</v>
          </cell>
          <cell r="G2502" t="str">
            <v>décompte au contrôle</v>
          </cell>
          <cell r="H2502"/>
          <cell r="I2502"/>
        </row>
        <row r="2503">
          <cell r="C2503"/>
          <cell r="D2503" t="str">
            <v>du</v>
          </cell>
          <cell r="E2503" t="str">
            <v>format d'origine</v>
          </cell>
          <cell r="F2503" t="str">
            <v>du</v>
          </cell>
          <cell r="G2503" t="str">
            <v>décompte au contrôle</v>
          </cell>
          <cell r="H2503"/>
          <cell r="I2503"/>
        </row>
        <row r="2504">
          <cell r="C2504"/>
          <cell r="D2504" t="str">
            <v>du</v>
          </cell>
          <cell r="E2504" t="str">
            <v>format d'origine</v>
          </cell>
          <cell r="F2504" t="str">
            <v>du</v>
          </cell>
          <cell r="G2504" t="str">
            <v>décompte au contrôle</v>
          </cell>
          <cell r="H2504"/>
          <cell r="I2504"/>
        </row>
        <row r="2505">
          <cell r="C2505"/>
          <cell r="D2505" t="str">
            <v>de l'</v>
          </cell>
          <cell r="E2505" t="str">
            <v>émetteur d'origine</v>
          </cell>
          <cell r="F2505" t="str">
            <v>du</v>
          </cell>
          <cell r="G2505" t="str">
            <v>décompte au contrôle</v>
          </cell>
          <cell r="H2505"/>
          <cell r="I2505"/>
        </row>
        <row r="2506">
          <cell r="C2506"/>
          <cell r="D2506" t="str">
            <v>de l'</v>
          </cell>
          <cell r="E2506" t="str">
            <v>émetteur d'origine</v>
          </cell>
          <cell r="F2506" t="str">
            <v>du</v>
          </cell>
          <cell r="G2506" t="str">
            <v>décompte au contrôle</v>
          </cell>
          <cell r="H2506"/>
          <cell r="I2506"/>
        </row>
        <row r="2507">
          <cell r="C2507"/>
          <cell r="D2507" t="str">
            <v>de l'</v>
          </cell>
          <cell r="E2507" t="str">
            <v>état SID</v>
          </cell>
          <cell r="F2507" t="str">
            <v>du</v>
          </cell>
          <cell r="G2507" t="str">
            <v>décompte au contrôle</v>
          </cell>
          <cell r="H2507"/>
          <cell r="I2507"/>
        </row>
        <row r="2508">
          <cell r="C2508"/>
          <cell r="D2508" t="str">
            <v>de l'</v>
          </cell>
          <cell r="E2508" t="str">
            <v>état SID</v>
          </cell>
          <cell r="F2508" t="str">
            <v>du</v>
          </cell>
          <cell r="G2508" t="str">
            <v>décompte au contrôle</v>
          </cell>
          <cell r="H2508"/>
          <cell r="I2508"/>
        </row>
        <row r="2509">
          <cell r="C2509"/>
          <cell r="D2509" t="str">
            <v>de l'</v>
          </cell>
          <cell r="E2509" t="str">
            <v>état SIO</v>
          </cell>
          <cell r="F2509" t="str">
            <v>du</v>
          </cell>
          <cell r="G2509" t="str">
            <v>décompte au contrôle</v>
          </cell>
          <cell r="H2509"/>
          <cell r="I2509"/>
        </row>
        <row r="2510">
          <cell r="C2510"/>
          <cell r="D2510" t="str">
            <v>de l'</v>
          </cell>
          <cell r="E2510" t="str">
            <v>état SIO</v>
          </cell>
          <cell r="F2510" t="str">
            <v>du</v>
          </cell>
          <cell r="G2510" t="str">
            <v>décompte au contrôle</v>
          </cell>
          <cell r="H2510"/>
          <cell r="I2510"/>
        </row>
        <row r="2511">
          <cell r="C2511"/>
          <cell r="D2511" t="str">
            <v>du</v>
          </cell>
          <cell r="E2511" t="str">
            <v>type</v>
          </cell>
          <cell r="F2511" t="str">
            <v>de</v>
          </cell>
          <cell r="G2511" t="str">
            <v>décompte au contrôle</v>
          </cell>
          <cell r="H2511"/>
          <cell r="I2511"/>
        </row>
        <row r="2512">
          <cell r="C2512"/>
          <cell r="D2512" t="str">
            <v>du</v>
          </cell>
          <cell r="E2512" t="str">
            <v>type</v>
          </cell>
          <cell r="F2512" t="str">
            <v>de</v>
          </cell>
          <cell r="G2512" t="str">
            <v>décompte au contrôle</v>
          </cell>
          <cell r="H2512"/>
          <cell r="I2512"/>
        </row>
        <row r="2513">
          <cell r="C2513"/>
          <cell r="D2513" t="str">
            <v>de l'</v>
          </cell>
          <cell r="E2513" t="str">
            <v>action</v>
          </cell>
          <cell r="F2513" t="str">
            <v>du</v>
          </cell>
          <cell r="G2513" t="str">
            <v>rédacteur</v>
          </cell>
          <cell r="H2513"/>
          <cell r="I2513"/>
        </row>
        <row r="2514">
          <cell r="C2514"/>
          <cell r="D2514" t="str">
            <v>du</v>
          </cell>
          <cell r="E2514" t="str">
            <v>rédacteur</v>
          </cell>
          <cell r="F2514" t="str">
            <v>de l'</v>
          </cell>
          <cell r="G2514" t="str">
            <v>action</v>
          </cell>
          <cell r="H2514"/>
          <cell r="I2514"/>
        </row>
        <row r="2515">
          <cell r="C2515"/>
          <cell r="D2515" t="str">
            <v>de l'</v>
          </cell>
          <cell r="E2515" t="str">
            <v>équipe</v>
          </cell>
          <cell r="F2515" t="str">
            <v>du</v>
          </cell>
          <cell r="G2515" t="str">
            <v>rédacteur</v>
          </cell>
          <cell r="H2515"/>
          <cell r="I2515"/>
        </row>
        <row r="2516">
          <cell r="C2516"/>
          <cell r="D2516" t="str">
            <v>de l'</v>
          </cell>
          <cell r="E2516" t="str">
            <v>action</v>
          </cell>
          <cell r="F2516"/>
          <cell r="G2516"/>
          <cell r="H2516"/>
          <cell r="I2516"/>
        </row>
        <row r="2517">
          <cell r="C2517"/>
          <cell r="D2517" t="str">
            <v>de l'</v>
          </cell>
          <cell r="E2517" t="str">
            <v>action</v>
          </cell>
          <cell r="F2517"/>
          <cell r="G2517"/>
          <cell r="H2517"/>
          <cell r="I2517"/>
        </row>
        <row r="2518">
          <cell r="C2518"/>
          <cell r="D2518" t="str">
            <v xml:space="preserve"> </v>
          </cell>
          <cell r="E2518" t="str">
            <v>sortie</v>
          </cell>
          <cell r="F2518" t="str">
            <v>de l'</v>
          </cell>
          <cell r="G2518" t="str">
            <v>action</v>
          </cell>
          <cell r="H2518"/>
          <cell r="I2518"/>
        </row>
        <row r="2519">
          <cell r="C2519"/>
          <cell r="D2519" t="str">
            <v xml:space="preserve"> </v>
          </cell>
          <cell r="E2519" t="str">
            <v>ré-instruction</v>
          </cell>
          <cell r="F2519" t="str">
            <v>de l'</v>
          </cell>
          <cell r="G2519" t="str">
            <v>action</v>
          </cell>
          <cell r="H2519"/>
          <cell r="I2519"/>
        </row>
        <row r="2520">
          <cell r="C2520"/>
          <cell r="D2520" t="str">
            <v xml:space="preserve"> </v>
          </cell>
          <cell r="E2520" t="str">
            <v>mise en attente</v>
          </cell>
          <cell r="F2520" t="str">
            <v>de l'</v>
          </cell>
          <cell r="G2520" t="str">
            <v>action</v>
          </cell>
          <cell r="H2520"/>
          <cell r="I2520"/>
        </row>
        <row r="2521">
          <cell r="C2521"/>
          <cell r="D2521" t="str">
            <v xml:space="preserve"> </v>
          </cell>
          <cell r="E2521" t="str">
            <v>classement sans suite</v>
          </cell>
          <cell r="F2521" t="str">
            <v>de l'</v>
          </cell>
          <cell r="G2521" t="str">
            <v>action</v>
          </cell>
          <cell r="H2521"/>
          <cell r="I2521"/>
        </row>
        <row r="2522">
          <cell r="C2522"/>
          <cell r="D2522" t="str">
            <v xml:space="preserve"> </v>
          </cell>
          <cell r="E2522" t="str">
            <v>réglé</v>
          </cell>
          <cell r="F2522" t="str">
            <v>de l'</v>
          </cell>
          <cell r="G2522" t="str">
            <v>action</v>
          </cell>
          <cell r="H2522"/>
          <cell r="I2522"/>
        </row>
        <row r="2523">
          <cell r="C2523"/>
          <cell r="D2523" t="str">
            <v>de la</v>
          </cell>
          <cell r="E2523" t="str">
            <v>vérification saisie</v>
          </cell>
          <cell r="F2523" t="str">
            <v>du</v>
          </cell>
          <cell r="G2523" t="str">
            <v>décompte au contrôle</v>
          </cell>
          <cell r="H2523"/>
          <cell r="I2523"/>
        </row>
        <row r="2524">
          <cell r="C2524"/>
          <cell r="D2524" t="str">
            <v>de l'</v>
          </cell>
          <cell r="E2524" t="str">
            <v>instruction</v>
          </cell>
          <cell r="F2524" t="str">
            <v>du</v>
          </cell>
          <cell r="G2524" t="str">
            <v>contrôle</v>
          </cell>
          <cell r="H2524"/>
          <cell r="I2524"/>
        </row>
        <row r="2525">
          <cell r="C2525"/>
          <cell r="D2525" t="str">
            <v>de l'</v>
          </cell>
          <cell r="E2525" t="str">
            <v>imputation</v>
          </cell>
          <cell r="F2525" t="str">
            <v>du</v>
          </cell>
          <cell r="G2525" t="str">
            <v>contrôle</v>
          </cell>
          <cell r="H2525"/>
          <cell r="I2525"/>
        </row>
        <row r="2526">
          <cell r="C2526" t="str">
            <v>lot</v>
          </cell>
          <cell r="D2526" t="str">
            <v>des</v>
          </cell>
          <cell r="E2526" t="str">
            <v>décompte au contrôle</v>
          </cell>
          <cell r="F2526"/>
          <cell r="G2526"/>
          <cell r="H2526"/>
          <cell r="I2526"/>
        </row>
        <row r="2527">
          <cell r="C2527" t="str">
            <v>définitive</v>
          </cell>
          <cell r="D2527" t="str">
            <v>du</v>
          </cell>
          <cell r="E2527" t="str">
            <v>décompte au contrôle</v>
          </cell>
          <cell r="F2527"/>
          <cell r="G2527"/>
          <cell r="H2527"/>
          <cell r="I2527"/>
        </row>
        <row r="2528">
          <cell r="C2528" t="str">
            <v>jour</v>
          </cell>
          <cell r="D2528" t="str">
            <v>du</v>
          </cell>
          <cell r="E2528" t="str">
            <v>traitement</v>
          </cell>
          <cell r="F2528" t="str">
            <v>du</v>
          </cell>
          <cell r="G2528" t="str">
            <v>décompte au contrôle</v>
          </cell>
          <cell r="H2528"/>
          <cell r="I2528"/>
        </row>
        <row r="2529">
          <cell r="C2529"/>
          <cell r="D2529" t="str">
            <v>des</v>
          </cell>
          <cell r="E2529" t="str">
            <v>frais réels</v>
          </cell>
          <cell r="F2529" t="str">
            <v>de la</v>
          </cell>
          <cell r="G2529" t="str">
            <v>ligne de soins</v>
          </cell>
          <cell r="H2529"/>
          <cell r="I2529"/>
        </row>
        <row r="2530">
          <cell r="C2530"/>
          <cell r="D2530" t="str">
            <v>de</v>
          </cell>
          <cell r="E2530" t="str">
            <v>message de contrôle</v>
          </cell>
          <cell r="F2530" t="str">
            <v>de la</v>
          </cell>
          <cell r="G2530" t="str">
            <v>ligne de soins</v>
          </cell>
          <cell r="H2530"/>
          <cell r="I2530"/>
        </row>
        <row r="2531">
          <cell r="C2531"/>
          <cell r="D2531" t="str">
            <v>de</v>
          </cell>
          <cell r="E2531" t="str">
            <v>message de contrôle</v>
          </cell>
          <cell r="F2531" t="str">
            <v>du</v>
          </cell>
          <cell r="G2531" t="str">
            <v>décompte santé</v>
          </cell>
          <cell r="H2531"/>
          <cell r="I2531"/>
        </row>
        <row r="2532">
          <cell r="C2532"/>
          <cell r="D2532" t="str">
            <v>des</v>
          </cell>
          <cell r="E2532" t="str">
            <v>frais réels</v>
          </cell>
          <cell r="F2532" t="str">
            <v>de la</v>
          </cell>
          <cell r="G2532" t="str">
            <v>ligne de soins</v>
          </cell>
          <cell r="H2532"/>
          <cell r="I2532"/>
        </row>
        <row r="2533">
          <cell r="C2533"/>
          <cell r="D2533" t="str">
            <v>de</v>
          </cell>
          <cell r="E2533" t="str">
            <v>situation de stock</v>
          </cell>
          <cell r="F2533" t="str">
            <v>de la</v>
          </cell>
          <cell r="G2533" t="str">
            <v>ligne de soins</v>
          </cell>
          <cell r="H2533"/>
          <cell r="I2533"/>
        </row>
        <row r="2534">
          <cell r="C2534"/>
          <cell r="D2534" t="str">
            <v>du</v>
          </cell>
          <cell r="E2534" t="str">
            <v>type</v>
          </cell>
          <cell r="F2534" t="str">
            <v>du</v>
          </cell>
          <cell r="G2534" t="str">
            <v>message de contrôle</v>
          </cell>
          <cell r="H2534"/>
          <cell r="I2534"/>
        </row>
        <row r="2535">
          <cell r="C2535"/>
          <cell r="D2535" t="str">
            <v>du</v>
          </cell>
          <cell r="E2535" t="str">
            <v>type</v>
          </cell>
          <cell r="F2535" t="str">
            <v>de</v>
          </cell>
          <cell r="G2535" t="str">
            <v>message de contrôle</v>
          </cell>
          <cell r="H2535"/>
          <cell r="I2535"/>
        </row>
        <row r="2536">
          <cell r="C2536"/>
          <cell r="D2536" t="str">
            <v>du</v>
          </cell>
          <cell r="E2536" t="str">
            <v>type</v>
          </cell>
          <cell r="F2536" t="str">
            <v>de</v>
          </cell>
          <cell r="G2536" t="str">
            <v>message de contrôle</v>
          </cell>
          <cell r="H2536"/>
          <cell r="I2536"/>
        </row>
        <row r="2537">
          <cell r="C2537"/>
          <cell r="D2537" t="str">
            <v>du</v>
          </cell>
          <cell r="E2537" t="str">
            <v>type</v>
          </cell>
          <cell r="F2537" t="str">
            <v>de</v>
          </cell>
          <cell r="G2537" t="str">
            <v>message de contrôle</v>
          </cell>
          <cell r="H2537"/>
          <cell r="I2537"/>
        </row>
        <row r="2538">
          <cell r="C2538"/>
          <cell r="D2538" t="str">
            <v>du</v>
          </cell>
          <cell r="E2538" t="str">
            <v>remboursement forcé</v>
          </cell>
          <cell r="F2538" t="str">
            <v>de la</v>
          </cell>
          <cell r="G2538" t="str">
            <v>ligne de soins</v>
          </cell>
          <cell r="H2538"/>
          <cell r="I2538"/>
        </row>
        <row r="2539">
          <cell r="C2539"/>
          <cell r="D2539" t="str">
            <v>du</v>
          </cell>
          <cell r="E2539" t="str">
            <v>dépassement de messages</v>
          </cell>
          <cell r="F2539" t="str">
            <v>de la</v>
          </cell>
          <cell r="G2539" t="str">
            <v>ligne de soins</v>
          </cell>
          <cell r="H2539"/>
          <cell r="I2539"/>
        </row>
        <row r="2540">
          <cell r="C2540"/>
          <cell r="D2540" t="str">
            <v>du</v>
          </cell>
          <cell r="E2540" t="str">
            <v>dépassement de messages</v>
          </cell>
          <cell r="F2540" t="str">
            <v>du</v>
          </cell>
          <cell r="G2540" t="str">
            <v>décompte santé</v>
          </cell>
          <cell r="H2540"/>
          <cell r="I2540"/>
        </row>
        <row r="2541">
          <cell r="C2541" t="str">
            <v>forcé</v>
          </cell>
          <cell r="D2541" t="str">
            <v>du</v>
          </cell>
          <cell r="E2541" t="str">
            <v>taux de remboursement</v>
          </cell>
          <cell r="F2541" t="str">
            <v>de la</v>
          </cell>
          <cell r="G2541" t="str">
            <v>ligne de soins</v>
          </cell>
          <cell r="H2541"/>
          <cell r="I2541"/>
        </row>
        <row r="2542">
          <cell r="C2542" t="str">
            <v>forcé</v>
          </cell>
          <cell r="D2542" t="str">
            <v>du</v>
          </cell>
          <cell r="E2542" t="str">
            <v>taux de remboursement</v>
          </cell>
          <cell r="F2542" t="str">
            <v>du</v>
          </cell>
          <cell r="G2542" t="str">
            <v>décompte santé</v>
          </cell>
          <cell r="H2542"/>
          <cell r="I2542"/>
        </row>
        <row r="2543">
          <cell r="C2543"/>
          <cell r="D2543" t="str">
            <v>du</v>
          </cell>
          <cell r="E2543" t="str">
            <v>remboursement forcé</v>
          </cell>
          <cell r="F2543" t="str">
            <v>de la</v>
          </cell>
          <cell r="G2543" t="str">
            <v>ligne de soins</v>
          </cell>
          <cell r="H2543"/>
          <cell r="I2543"/>
        </row>
        <row r="2544">
          <cell r="C2544"/>
          <cell r="D2544" t="str">
            <v>du</v>
          </cell>
          <cell r="E2544" t="str">
            <v>remboursement forcé</v>
          </cell>
          <cell r="F2544" t="str">
            <v>du</v>
          </cell>
          <cell r="G2544" t="str">
            <v>décompte santé</v>
          </cell>
          <cell r="H2544"/>
          <cell r="I2544"/>
        </row>
        <row r="2545">
          <cell r="C2545"/>
          <cell r="D2545" t="str">
            <v>de la</v>
          </cell>
          <cell r="E2545" t="str">
            <v>concaténation des identifiants des messages</v>
          </cell>
          <cell r="F2545"/>
          <cell r="G2545"/>
          <cell r="H2545"/>
          <cell r="I2545"/>
        </row>
        <row r="2546">
          <cell r="C2546" t="str">
            <v>SIO</v>
          </cell>
          <cell r="D2546" t="str">
            <v>du</v>
          </cell>
          <cell r="E2546" t="str">
            <v>contrat</v>
          </cell>
          <cell r="F2546" t="str">
            <v>du</v>
          </cell>
          <cell r="G2546" t="str">
            <v>décompte au contrôle</v>
          </cell>
          <cell r="H2546"/>
          <cell r="I2546"/>
        </row>
        <row r="2547">
          <cell r="C2547"/>
          <cell r="D2547" t="str">
            <v>du</v>
          </cell>
          <cell r="E2547" t="str">
            <v>décompte au contrôle</v>
          </cell>
          <cell r="F2547"/>
          <cell r="G2547"/>
          <cell r="H2547"/>
          <cell r="I2547"/>
        </row>
        <row r="2548">
          <cell r="C2548" t="str">
            <v>lot</v>
          </cell>
          <cell r="D2548" t="str">
            <v>du</v>
          </cell>
          <cell r="E2548" t="str">
            <v>décompte au contrôle</v>
          </cell>
          <cell r="F2548"/>
          <cell r="G2548"/>
          <cell r="H2548"/>
          <cell r="I2548"/>
        </row>
        <row r="2549">
          <cell r="C2549"/>
          <cell r="D2549" t="str">
            <v>du</v>
          </cell>
          <cell r="E2549" t="str">
            <v>rédacteur</v>
          </cell>
          <cell r="F2549" t="str">
            <v>pour</v>
          </cell>
          <cell r="G2549" t="str">
            <v>vérification saisie</v>
          </cell>
          <cell r="H2549"/>
          <cell r="I2549"/>
        </row>
        <row r="2550">
          <cell r="C2550"/>
          <cell r="D2550" t="str">
            <v>de la</v>
          </cell>
          <cell r="E2550" t="str">
            <v>sélection audit</v>
          </cell>
          <cell r="F2550" t="str">
            <v>du</v>
          </cell>
          <cell r="G2550" t="str">
            <v>décompte au contrôle</v>
          </cell>
          <cell r="H2550"/>
          <cell r="I2550"/>
        </row>
        <row r="2551">
          <cell r="C2551" t="str">
            <v>sévérité</v>
          </cell>
          <cell r="D2551" t="str">
            <v>du</v>
          </cell>
          <cell r="E2551" t="str">
            <v>décompte au contrôle</v>
          </cell>
          <cell r="F2551"/>
          <cell r="G2551"/>
          <cell r="H2551"/>
          <cell r="I2551"/>
        </row>
        <row r="2552">
          <cell r="C2552"/>
          <cell r="D2552" t="str">
            <v>de la</v>
          </cell>
          <cell r="E2552" t="str">
            <v>facture</v>
          </cell>
          <cell r="F2552" t="str">
            <v>du</v>
          </cell>
          <cell r="G2552" t="str">
            <v>décompte santé</v>
          </cell>
          <cell r="H2552"/>
          <cell r="I2552"/>
        </row>
        <row r="2553">
          <cell r="C2553" t="str">
            <v>alphanumérique</v>
          </cell>
          <cell r="D2553" t="str">
            <v>de la</v>
          </cell>
          <cell r="E2553" t="str">
            <v>facture</v>
          </cell>
          <cell r="F2553" t="str">
            <v>du</v>
          </cell>
          <cell r="G2553" t="str">
            <v>décompte santé</v>
          </cell>
          <cell r="H2553"/>
          <cell r="I2553"/>
        </row>
        <row r="2554">
          <cell r="C2554" t="str">
            <v>modifié</v>
          </cell>
          <cell r="D2554" t="str">
            <v>du</v>
          </cell>
          <cell r="E2554" t="str">
            <v>décompte au contrôle</v>
          </cell>
          <cell r="F2554"/>
          <cell r="G2554"/>
          <cell r="H2554"/>
          <cell r="I2554"/>
        </row>
        <row r="2555">
          <cell r="C2555"/>
          <cell r="D2555" t="str">
            <v xml:space="preserve"> </v>
          </cell>
          <cell r="E2555" t="str">
            <v>médecin référent</v>
          </cell>
          <cell r="F2555" t="str">
            <v>du</v>
          </cell>
          <cell r="G2555" t="str">
            <v>décompte au contrôle</v>
          </cell>
          <cell r="H2555"/>
          <cell r="I2555"/>
        </row>
        <row r="2556">
          <cell r="C2556"/>
          <cell r="D2556" t="str">
            <v>d'</v>
          </cell>
          <cell r="E2556" t="str">
            <v>adhésion</v>
          </cell>
          <cell r="F2556"/>
          <cell r="G2556"/>
          <cell r="H2556"/>
          <cell r="I2556"/>
        </row>
        <row r="2557">
          <cell r="C2557"/>
          <cell r="D2557" t="str">
            <v xml:space="preserve"> </v>
          </cell>
          <cell r="E2557" t="str">
            <v>renouvellement anticipé</v>
          </cell>
          <cell r="F2557"/>
          <cell r="G2557"/>
          <cell r="H2557"/>
          <cell r="I2557"/>
        </row>
        <row r="2558">
          <cell r="C2558" t="str">
            <v>présence</v>
          </cell>
          <cell r="D2558" t="str">
            <v>d'</v>
          </cell>
          <cell r="E2558" t="str">
            <v>action</v>
          </cell>
          <cell r="F2558" t="str">
            <v>du</v>
          </cell>
          <cell r="G2558" t="str">
            <v>rédacteur</v>
          </cell>
          <cell r="H2558"/>
          <cell r="I2558"/>
        </row>
        <row r="2559">
          <cell r="C2559" t="str">
            <v>INSEE</v>
          </cell>
          <cell r="D2559" t="str">
            <v>du</v>
          </cell>
          <cell r="E2559" t="str">
            <v>bénéficiaire du décompte</v>
          </cell>
          <cell r="F2559"/>
          <cell r="G2559"/>
          <cell r="H2559"/>
          <cell r="I2559"/>
        </row>
        <row r="2560">
          <cell r="C2560"/>
          <cell r="D2560" t="str">
            <v>du</v>
          </cell>
          <cell r="E2560" t="str">
            <v>messages génériques</v>
          </cell>
          <cell r="F2560"/>
          <cell r="G2560"/>
          <cell r="H2560"/>
          <cell r="I2560"/>
        </row>
        <row r="2561">
          <cell r="C2561"/>
          <cell r="D2561" t="str">
            <v>du</v>
          </cell>
          <cell r="E2561" t="str">
            <v>messages génériques</v>
          </cell>
          <cell r="F2561"/>
          <cell r="G2561"/>
          <cell r="H2561"/>
          <cell r="I2561"/>
        </row>
        <row r="2562">
          <cell r="C2562"/>
          <cell r="D2562" t="str">
            <v>du</v>
          </cell>
          <cell r="E2562" t="str">
            <v>messages génériques</v>
          </cell>
          <cell r="F2562"/>
          <cell r="G2562"/>
          <cell r="H2562"/>
          <cell r="I2562"/>
        </row>
        <row r="2563">
          <cell r="C2563"/>
          <cell r="D2563" t="str">
            <v>de l'</v>
          </cell>
          <cell r="E2563" t="str">
            <v>identifiant du message</v>
          </cell>
          <cell r="F2563"/>
          <cell r="G2563"/>
          <cell r="H2563"/>
          <cell r="I2563"/>
        </row>
        <row r="2564">
          <cell r="C2564"/>
          <cell r="D2564" t="str">
            <v>de l'</v>
          </cell>
          <cell r="E2564" t="str">
            <v>identifiant du message</v>
          </cell>
          <cell r="F2564"/>
          <cell r="G2564"/>
          <cell r="H2564"/>
          <cell r="I2564"/>
        </row>
        <row r="2565">
          <cell r="C2565" t="str">
            <v>actif</v>
          </cell>
          <cell r="D2565" t="str">
            <v>du</v>
          </cell>
          <cell r="E2565" t="str">
            <v>messages génériques</v>
          </cell>
          <cell r="F2565"/>
          <cell r="G2565"/>
          <cell r="H2565"/>
          <cell r="I2565"/>
        </row>
        <row r="2566">
          <cell r="C2566" t="str">
            <v>sévérité</v>
          </cell>
          <cell r="D2566" t="str">
            <v>du</v>
          </cell>
          <cell r="E2566" t="str">
            <v>message de contrôle</v>
          </cell>
          <cell r="F2566"/>
          <cell r="G2566"/>
          <cell r="H2566"/>
          <cell r="I2566"/>
        </row>
        <row r="2567">
          <cell r="C2567"/>
          <cell r="D2567" t="str">
            <v>du</v>
          </cell>
          <cell r="E2567" t="str">
            <v>bénéficiaire du décompte</v>
          </cell>
          <cell r="F2567"/>
          <cell r="G2567"/>
          <cell r="H2567"/>
          <cell r="I2567"/>
        </row>
        <row r="2568">
          <cell r="C2568"/>
          <cell r="D2568" t="str">
            <v>de la</v>
          </cell>
          <cell r="E2568" t="str">
            <v>ligne de soins</v>
          </cell>
          <cell r="F2568" t="str">
            <v>du</v>
          </cell>
          <cell r="G2568" t="str">
            <v>décompte au contrôle</v>
          </cell>
          <cell r="H2568"/>
          <cell r="I2568"/>
        </row>
        <row r="2569">
          <cell r="C2569"/>
          <cell r="D2569" t="str">
            <v>du</v>
          </cell>
          <cell r="E2569" t="str">
            <v>bénéficiaire du décompte</v>
          </cell>
          <cell r="F2569"/>
          <cell r="G2569"/>
          <cell r="H2569"/>
          <cell r="I2569"/>
        </row>
        <row r="2570">
          <cell r="C2570"/>
          <cell r="D2570" t="str">
            <v>du</v>
          </cell>
          <cell r="E2570" t="str">
            <v>décompte au contrôle</v>
          </cell>
          <cell r="F2570"/>
          <cell r="G2570"/>
          <cell r="H2570"/>
          <cell r="I2570"/>
        </row>
        <row r="2571">
          <cell r="C2571" t="str">
            <v>relation</v>
          </cell>
          <cell r="D2571" t="str">
            <v>du</v>
          </cell>
          <cell r="E2571" t="str">
            <v>bénéficiaire du décompte</v>
          </cell>
          <cell r="F2571"/>
          <cell r="G2571"/>
          <cell r="H2571"/>
          <cell r="I2571"/>
        </row>
        <row r="2572">
          <cell r="C2572"/>
          <cell r="D2572" t="str">
            <v>du</v>
          </cell>
          <cell r="E2572" t="str">
            <v>message de contrôle</v>
          </cell>
          <cell r="F2572"/>
          <cell r="G2572"/>
          <cell r="H2572"/>
          <cell r="I2572"/>
        </row>
        <row r="2573">
          <cell r="C2573"/>
          <cell r="D2573" t="str">
            <v>du</v>
          </cell>
          <cell r="E2573" t="str">
            <v>message de contrôle</v>
          </cell>
          <cell r="F2573"/>
          <cell r="G2573"/>
          <cell r="H2573"/>
          <cell r="I2573"/>
        </row>
        <row r="2574">
          <cell r="C2574"/>
          <cell r="D2574" t="str">
            <v>du</v>
          </cell>
          <cell r="E2574" t="str">
            <v>décompte santé</v>
          </cell>
          <cell r="F2574"/>
          <cell r="G2574"/>
          <cell r="H2574"/>
          <cell r="I2574"/>
        </row>
        <row r="2575">
          <cell r="C2575"/>
          <cell r="D2575" t="str">
            <v>du</v>
          </cell>
          <cell r="E2575" t="str">
            <v>décompte santé</v>
          </cell>
          <cell r="F2575"/>
          <cell r="G2575"/>
          <cell r="H2575"/>
          <cell r="I2575"/>
        </row>
        <row r="2576">
          <cell r="C2576"/>
          <cell r="D2576" t="str">
            <v>du</v>
          </cell>
          <cell r="E2576" t="str">
            <v>bénéficiaire du décompte</v>
          </cell>
          <cell r="F2576"/>
          <cell r="G2576"/>
          <cell r="H2576"/>
          <cell r="I2576"/>
        </row>
        <row r="2577">
          <cell r="C2577"/>
          <cell r="D2577" t="str">
            <v>du</v>
          </cell>
          <cell r="E2577" t="str">
            <v>bénéficiaire du décompte</v>
          </cell>
          <cell r="F2577"/>
          <cell r="G2577"/>
          <cell r="H2577"/>
          <cell r="I2577"/>
        </row>
        <row r="2578">
          <cell r="C2578"/>
          <cell r="D2578" t="str">
            <v>de l'</v>
          </cell>
          <cell r="E2578" t="str">
            <v>acte de soins santé des ACM</v>
          </cell>
          <cell r="F2578"/>
          <cell r="G2578"/>
          <cell r="H2578"/>
          <cell r="I2578"/>
        </row>
        <row r="2579">
          <cell r="C2579"/>
          <cell r="D2579" t="str">
            <v>du</v>
          </cell>
          <cell r="E2579" t="str">
            <v>décompte au contrôle</v>
          </cell>
          <cell r="F2579"/>
          <cell r="G2579"/>
          <cell r="H2579"/>
          <cell r="I2579"/>
        </row>
        <row r="2580">
          <cell r="C2580"/>
          <cell r="D2580" t="str">
            <v>de la</v>
          </cell>
          <cell r="E2580" t="str">
            <v>ligne de soins</v>
          </cell>
          <cell r="F2580" t="str">
            <v>du</v>
          </cell>
          <cell r="G2580" t="str">
            <v>décompte au contrôle</v>
          </cell>
          <cell r="H2580"/>
          <cell r="I2580"/>
        </row>
        <row r="2581">
          <cell r="C2581"/>
          <cell r="D2581" t="str">
            <v>du</v>
          </cell>
          <cell r="E2581" t="str">
            <v>rédacteur de la saisie</v>
          </cell>
          <cell r="F2581" t="str">
            <v>du</v>
          </cell>
          <cell r="G2581" t="str">
            <v>décompte santé</v>
          </cell>
          <cell r="H2581"/>
          <cell r="I2581"/>
        </row>
        <row r="2582">
          <cell r="C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cell r="F2583"/>
          <cell r="G2583"/>
          <cell r="H2583"/>
          <cell r="I2583"/>
        </row>
        <row r="2584">
          <cell r="C2584" t="str">
            <v>gratuité</v>
          </cell>
          <cell r="D2584" t="str">
            <v>de la</v>
          </cell>
          <cell r="E2584" t="str">
            <v>prime émise</v>
          </cell>
          <cell r="F2584"/>
          <cell r="G2584"/>
          <cell r="H2584"/>
          <cell r="I2584"/>
        </row>
        <row r="2585">
          <cell r="C2585" t="str">
            <v>jour de couverture</v>
          </cell>
          <cell r="D2585" t="str">
            <v>de la</v>
          </cell>
          <cell r="E2585" t="str">
            <v>prime acquise</v>
          </cell>
          <cell r="F2585"/>
          <cell r="G2585"/>
          <cell r="H2585"/>
          <cell r="I2585"/>
        </row>
        <row r="2586">
          <cell r="C2586" t="str">
            <v>jour de couverture</v>
          </cell>
          <cell r="D2586" t="str">
            <v>de la</v>
          </cell>
          <cell r="E2586" t="str">
            <v>prime émise</v>
          </cell>
          <cell r="F2586"/>
          <cell r="G2586"/>
          <cell r="H2586"/>
          <cell r="I2586"/>
        </row>
        <row r="2587">
          <cell r="C2587" t="str">
            <v>jour de couverture</v>
          </cell>
          <cell r="D2587" t="str">
            <v>de la</v>
          </cell>
          <cell r="E2587" t="str">
            <v>prime émise non acquise</v>
          </cell>
          <cell r="F2587"/>
          <cell r="G2587" t="str">
            <v>S1</v>
          </cell>
          <cell r="H2587"/>
          <cell r="I2587"/>
        </row>
        <row r="2588">
          <cell r="C2588" t="str">
            <v>comptable</v>
          </cell>
          <cell r="D2588" t="str">
            <v>de la</v>
          </cell>
          <cell r="E2588" t="str">
            <v>prime</v>
          </cell>
          <cell r="F2588"/>
          <cell r="G2588"/>
          <cell r="H2588"/>
          <cell r="I2588"/>
        </row>
        <row r="2589">
          <cell r="C2589"/>
          <cell r="D2589" t="str">
            <v>de l'</v>
          </cell>
          <cell r="E2589" t="str">
            <v>opération</v>
          </cell>
          <cell r="F2589" t="str">
            <v>sur le</v>
          </cell>
          <cell r="G2589" t="str">
            <v>contrat</v>
          </cell>
          <cell r="H2589"/>
          <cell r="I2589"/>
        </row>
        <row r="2590">
          <cell r="C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cell r="F2591"/>
          <cell r="G2591"/>
          <cell r="H2591"/>
          <cell r="I2591"/>
        </row>
        <row r="2592">
          <cell r="C2592"/>
          <cell r="D2592" t="str">
            <v>de la</v>
          </cell>
          <cell r="E2592" t="str">
            <v>devise</v>
          </cell>
          <cell r="F2592" t="str">
            <v>de la</v>
          </cell>
          <cell r="G2592" t="str">
            <v>prime</v>
          </cell>
          <cell r="H2592"/>
          <cell r="I2592"/>
        </row>
        <row r="2593">
          <cell r="C2593"/>
          <cell r="D2593" t="str">
            <v>de</v>
          </cell>
          <cell r="E2593" t="str">
            <v>période de couverture</v>
          </cell>
          <cell r="F2593" t="str">
            <v>de la</v>
          </cell>
          <cell r="G2593" t="str">
            <v>prime émise</v>
          </cell>
          <cell r="H2593"/>
          <cell r="I2593"/>
        </row>
        <row r="2594">
          <cell r="C2594"/>
          <cell r="D2594" t="str">
            <v>de</v>
          </cell>
          <cell r="E2594" t="str">
            <v>période de couverture</v>
          </cell>
          <cell r="F2594" t="str">
            <v>de la</v>
          </cell>
          <cell r="G2594" t="str">
            <v>prime émise</v>
          </cell>
          <cell r="H2594"/>
          <cell r="I2594"/>
        </row>
        <row r="2595">
          <cell r="C2595"/>
          <cell r="D2595" t="str">
            <v>du</v>
          </cell>
          <cell r="E2595" t="str">
            <v>contexte comptable</v>
          </cell>
          <cell r="F2595" t="str">
            <v>de la</v>
          </cell>
          <cell r="G2595" t="str">
            <v>prime émise</v>
          </cell>
          <cell r="H2595"/>
          <cell r="I2595"/>
        </row>
        <row r="2596">
          <cell r="C2596"/>
          <cell r="D2596" t="str">
            <v>de</v>
          </cell>
          <cell r="E2596" t="str">
            <v>contexte comptable</v>
          </cell>
          <cell r="F2596" t="str">
            <v>de la</v>
          </cell>
          <cell r="G2596" t="str">
            <v>prime émise</v>
          </cell>
          <cell r="H2596"/>
          <cell r="I2596"/>
        </row>
        <row r="2597">
          <cell r="C2597"/>
          <cell r="D2597" t="str">
            <v>de la</v>
          </cell>
          <cell r="E2597" t="str">
            <v>destination analytique</v>
          </cell>
          <cell r="F2597" t="str">
            <v>de la</v>
          </cell>
          <cell r="G2597" t="str">
            <v>prime émise</v>
          </cell>
          <cell r="H2597"/>
          <cell r="I2597"/>
        </row>
        <row r="2598">
          <cell r="C2598"/>
          <cell r="D2598" t="str">
            <v>de la</v>
          </cell>
          <cell r="E2598" t="str">
            <v>famille identifiant</v>
          </cell>
          <cell r="F2598" t="str">
            <v>de la</v>
          </cell>
          <cell r="G2598" t="str">
            <v>prime émise</v>
          </cell>
          <cell r="H2598"/>
          <cell r="I2598"/>
        </row>
        <row r="2599">
          <cell r="C2599"/>
          <cell r="D2599" t="str">
            <v>du</v>
          </cell>
          <cell r="E2599" t="str">
            <v>produit d'assurance</v>
          </cell>
          <cell r="F2599" t="str">
            <v>de la</v>
          </cell>
          <cell r="G2599" t="str">
            <v>prime émise</v>
          </cell>
          <cell r="H2599"/>
          <cell r="I2599"/>
        </row>
        <row r="2600">
          <cell r="C2600"/>
          <cell r="D2600" t="str">
            <v>de la</v>
          </cell>
          <cell r="E2600" t="str">
            <v>société apéritrice</v>
          </cell>
          <cell r="F2600" t="str">
            <v>de la</v>
          </cell>
          <cell r="G2600" t="str">
            <v>prime émise</v>
          </cell>
          <cell r="H2600"/>
          <cell r="I2600"/>
        </row>
        <row r="2601">
          <cell r="C2601"/>
          <cell r="D2601" t="str">
            <v>d'</v>
          </cell>
          <cell r="E2601" t="str">
            <v>entité</v>
          </cell>
          <cell r="F2601" t="str">
            <v>de la</v>
          </cell>
          <cell r="G2601" t="str">
            <v>prime émise</v>
          </cell>
          <cell r="H2601"/>
          <cell r="I2601"/>
        </row>
        <row r="2602">
          <cell r="C2602"/>
          <cell r="D2602" t="str">
            <v>de l'</v>
          </cell>
          <cell r="E2602" t="str">
            <v>Entité gestionnaire</v>
          </cell>
          <cell r="F2602" t="str">
            <v>de la</v>
          </cell>
          <cell r="G2602" t="str">
            <v>prime émise</v>
          </cell>
          <cell r="H2602"/>
          <cell r="I2602"/>
        </row>
        <row r="2603">
          <cell r="C2603"/>
          <cell r="D2603" t="str">
            <v>de la</v>
          </cell>
          <cell r="E2603" t="str">
            <v>référence objet</v>
          </cell>
          <cell r="F2603" t="str">
            <v>de la</v>
          </cell>
          <cell r="G2603" t="str">
            <v>prime émise</v>
          </cell>
          <cell r="H2603"/>
          <cell r="I2603"/>
        </row>
        <row r="2604">
          <cell r="C2604"/>
          <cell r="D2604" t="str">
            <v>de la</v>
          </cell>
          <cell r="E2604" t="str">
            <v>garantie ERMES</v>
          </cell>
          <cell r="F2604" t="str">
            <v>de la</v>
          </cell>
          <cell r="G2604" t="str">
            <v>prime émise</v>
          </cell>
          <cell r="H2604"/>
          <cell r="I2604"/>
        </row>
        <row r="2605">
          <cell r="C2605"/>
          <cell r="D2605" t="str">
            <v>de l'</v>
          </cell>
          <cell r="E2605" t="str">
            <v>etat</v>
          </cell>
          <cell r="F2605" t="str">
            <v>de la</v>
          </cell>
          <cell r="G2605" t="str">
            <v>prime émise</v>
          </cell>
          <cell r="H2605"/>
          <cell r="I2605"/>
        </row>
        <row r="2606">
          <cell r="C2606"/>
          <cell r="D2606" t="str">
            <v>de la</v>
          </cell>
          <cell r="E2606" t="str">
            <v>Société de Gestion de la Garantie</v>
          </cell>
          <cell r="F2606" t="str">
            <v>de la</v>
          </cell>
          <cell r="G2606" t="str">
            <v>prime émise</v>
          </cell>
          <cell r="H2606"/>
          <cell r="I2606"/>
        </row>
        <row r="2607">
          <cell r="C2607"/>
          <cell r="D2607" t="str">
            <v>de la</v>
          </cell>
          <cell r="E2607" t="str">
            <v>version de garantie</v>
          </cell>
          <cell r="F2607" t="str">
            <v>de la</v>
          </cell>
          <cell r="G2607" t="str">
            <v>prime émise</v>
          </cell>
          <cell r="H2607"/>
          <cell r="I2607"/>
        </row>
        <row r="2608">
          <cell r="C2608"/>
          <cell r="D2608" t="str">
            <v>de la</v>
          </cell>
          <cell r="E2608" t="str">
            <v>formule</v>
          </cell>
          <cell r="F2608" t="str">
            <v>de</v>
          </cell>
          <cell r="G2608" t="str">
            <v>REGASA</v>
          </cell>
          <cell r="H2608" t="str">
            <v>de la</v>
          </cell>
          <cell r="I2608" t="str">
            <v>prime émise</v>
          </cell>
        </row>
        <row r="2609">
          <cell r="C2609"/>
          <cell r="D2609" t="str">
            <v>de la</v>
          </cell>
          <cell r="E2609" t="str">
            <v>prime émise non acquise</v>
          </cell>
          <cell r="F2609"/>
          <cell r="G2609" t="str">
            <v>S1</v>
          </cell>
          <cell r="H2609"/>
          <cell r="I2609"/>
        </row>
        <row r="2610">
          <cell r="C2610"/>
          <cell r="D2610" t="str">
            <v>de</v>
          </cell>
          <cell r="E2610" t="str">
            <v>prime acquise</v>
          </cell>
          <cell r="F2610"/>
          <cell r="G2610" t="str">
            <v>S1</v>
          </cell>
          <cell r="H2610"/>
          <cell r="I2610"/>
        </row>
        <row r="2611">
          <cell r="C2611"/>
          <cell r="D2611" t="str">
            <v>de la</v>
          </cell>
          <cell r="E2611" t="str">
            <v>prime émise non acquise</v>
          </cell>
          <cell r="F2611"/>
          <cell r="G2611" t="str">
            <v>S1</v>
          </cell>
          <cell r="H2611"/>
          <cell r="I2611"/>
        </row>
        <row r="2612">
          <cell r="C2612"/>
          <cell r="D2612" t="str">
            <v>de la</v>
          </cell>
          <cell r="E2612" t="str">
            <v>prime</v>
          </cell>
          <cell r="F2612"/>
          <cell r="G2612"/>
          <cell r="H2612"/>
          <cell r="I2612"/>
        </row>
        <row r="2613">
          <cell r="C2613"/>
          <cell r="D2613" t="str">
            <v>de la</v>
          </cell>
          <cell r="E2613" t="str">
            <v>prime émise</v>
          </cell>
          <cell r="F2613"/>
          <cell r="G2613"/>
          <cell r="H2613"/>
          <cell r="I2613"/>
        </row>
        <row r="2614">
          <cell r="C2614"/>
          <cell r="D2614" t="str">
            <v>de</v>
          </cell>
          <cell r="E2614" t="str">
            <v>FAR</v>
          </cell>
          <cell r="F2614"/>
          <cell r="G2614"/>
          <cell r="H2614"/>
          <cell r="I2614"/>
        </row>
        <row r="2615">
          <cell r="C2615"/>
          <cell r="D2615" t="str">
            <v>de la</v>
          </cell>
          <cell r="E2615" t="str">
            <v>prime émise</v>
          </cell>
          <cell r="F2615"/>
          <cell r="G2615"/>
          <cell r="H2615"/>
          <cell r="I2615"/>
        </row>
        <row r="2616">
          <cell r="C2616"/>
          <cell r="D2616" t="str">
            <v>du</v>
          </cell>
          <cell r="E2616" t="str">
            <v>calcul des provisions</v>
          </cell>
          <cell r="F2616"/>
          <cell r="G2616"/>
          <cell r="H2616"/>
          <cell r="I2616"/>
        </row>
        <row r="2617">
          <cell r="C2617" t="str">
            <v>interne</v>
          </cell>
          <cell r="D2617" t="str">
            <v>du</v>
          </cell>
          <cell r="E2617" t="str">
            <v>contrat</v>
          </cell>
          <cell r="F2617" t="str">
            <v>de la</v>
          </cell>
          <cell r="G2617" t="str">
            <v>prime émise</v>
          </cell>
          <cell r="H2617"/>
          <cell r="I2617"/>
        </row>
        <row r="2618">
          <cell r="C2618"/>
          <cell r="D2618" t="str">
            <v>de</v>
          </cell>
          <cell r="E2618" t="str">
            <v>montant</v>
          </cell>
          <cell r="F2618"/>
          <cell r="G2618"/>
          <cell r="H2618"/>
          <cell r="I2618"/>
        </row>
        <row r="2619">
          <cell r="C2619"/>
          <cell r="D2619" t="str">
            <v>du</v>
          </cell>
          <cell r="E2619" t="str">
            <v>rachat</v>
          </cell>
          <cell r="F2619"/>
          <cell r="G2619"/>
          <cell r="H2619"/>
          <cell r="I2619"/>
        </row>
        <row r="2620">
          <cell r="C2620"/>
          <cell r="D2620" t="str">
            <v>du</v>
          </cell>
          <cell r="E2620" t="str">
            <v>tiers</v>
          </cell>
          <cell r="F2620"/>
          <cell r="G2620"/>
          <cell r="H2620"/>
          <cell r="I2620"/>
        </row>
        <row r="2621">
          <cell r="C2621"/>
          <cell r="D2621" t="str">
            <v>de la</v>
          </cell>
          <cell r="E2621" t="str">
            <v>spécificité</v>
          </cell>
          <cell r="F2621" t="str">
            <v>du</v>
          </cell>
          <cell r="G2621" t="str">
            <v>tiers</v>
          </cell>
          <cell r="H2621"/>
          <cell r="I2621"/>
        </row>
        <row r="2622">
          <cell r="C2622"/>
          <cell r="D2622" t="str">
            <v>du</v>
          </cell>
          <cell r="E2622" t="str">
            <v>tiers</v>
          </cell>
          <cell r="F2622"/>
          <cell r="G2622"/>
          <cell r="H2622"/>
          <cell r="I2622"/>
        </row>
        <row r="2623">
          <cell r="C2623"/>
          <cell r="D2623" t="str">
            <v>de la</v>
          </cell>
          <cell r="E2623" t="str">
            <v>société apéritrice</v>
          </cell>
          <cell r="F2623"/>
          <cell r="G2623"/>
          <cell r="H2623"/>
          <cell r="I2623"/>
        </row>
        <row r="2624">
          <cell r="C2624"/>
          <cell r="D2624" t="str">
            <v>du</v>
          </cell>
          <cell r="E2624" t="str">
            <v>produit d'assurance</v>
          </cell>
          <cell r="F2624"/>
          <cell r="G2624"/>
          <cell r="H2624"/>
          <cell r="I2624"/>
        </row>
        <row r="2625">
          <cell r="C2625"/>
          <cell r="D2625" t="str">
            <v>de l'</v>
          </cell>
          <cell r="E2625" t="str">
            <v>identifiant du montant</v>
          </cell>
          <cell r="F2625"/>
          <cell r="G2625"/>
          <cell r="H2625"/>
          <cell r="I2625"/>
        </row>
        <row r="2626">
          <cell r="C2626"/>
          <cell r="D2626" t="str">
            <v>de</v>
          </cell>
          <cell r="E2626" t="str">
            <v>référence externe</v>
          </cell>
          <cell r="F2626"/>
          <cell r="G2626"/>
          <cell r="H2626"/>
          <cell r="I2626"/>
        </row>
        <row r="2627">
          <cell r="C2627" t="str">
            <v>externe</v>
          </cell>
          <cell r="D2627" t="str">
            <v>du</v>
          </cell>
          <cell r="E2627" t="str">
            <v>contrat d'assurance</v>
          </cell>
          <cell r="F2627"/>
          <cell r="G2627"/>
          <cell r="H2627"/>
          <cell r="I2627"/>
        </row>
        <row r="2628">
          <cell r="C2628"/>
          <cell r="D2628" t="str">
            <v>de l'</v>
          </cell>
          <cell r="E2628" t="str">
            <v>identifiant du montant</v>
          </cell>
          <cell r="F2628"/>
          <cell r="G2628"/>
          <cell r="H2628"/>
          <cell r="I2628"/>
        </row>
        <row r="2629">
          <cell r="C2629" t="str">
            <v>interne</v>
          </cell>
          <cell r="D2629" t="str">
            <v>du</v>
          </cell>
          <cell r="E2629" t="str">
            <v>contrat d'assurance</v>
          </cell>
          <cell r="F2629"/>
          <cell r="G2629"/>
          <cell r="H2629"/>
          <cell r="I2629"/>
        </row>
        <row r="2630">
          <cell r="C2630"/>
          <cell r="D2630" t="str">
            <v>de la</v>
          </cell>
          <cell r="E2630" t="str">
            <v>fédération</v>
          </cell>
          <cell r="F2630"/>
          <cell r="G2630"/>
          <cell r="H2630"/>
          <cell r="I2630"/>
        </row>
        <row r="2631">
          <cell r="C2631"/>
          <cell r="D2631" t="str">
            <v>de l'</v>
          </cell>
          <cell r="E2631" t="str">
            <v>Entité gestionnaire</v>
          </cell>
          <cell r="F2631"/>
          <cell r="G2631"/>
          <cell r="H2631"/>
          <cell r="I2631"/>
        </row>
        <row r="2632">
          <cell r="C2632"/>
          <cell r="D2632" t="str">
            <v>de l'</v>
          </cell>
          <cell r="E2632" t="str">
            <v>échéance</v>
          </cell>
          <cell r="F2632"/>
          <cell r="G2632"/>
          <cell r="H2632"/>
          <cell r="I2632"/>
        </row>
        <row r="2633">
          <cell r="C2633"/>
          <cell r="D2633" t="str">
            <v>d'</v>
          </cell>
          <cell r="E2633" t="str">
            <v>effet</v>
          </cell>
          <cell r="F2633"/>
          <cell r="G2633"/>
          <cell r="H2633"/>
          <cell r="I2633"/>
        </row>
        <row r="2634">
          <cell r="C2634"/>
          <cell r="D2634" t="str">
            <v>d'</v>
          </cell>
          <cell r="E2634" t="str">
            <v>ordre</v>
          </cell>
          <cell r="F2634"/>
          <cell r="G2634"/>
          <cell r="H2634"/>
          <cell r="I2634"/>
        </row>
        <row r="2635">
          <cell r="C2635" t="str">
            <v>famille</v>
          </cell>
          <cell r="D2635" t="str">
            <v>de l'</v>
          </cell>
          <cell r="E2635" t="str">
            <v>identifiant du montant</v>
          </cell>
          <cell r="F2635"/>
          <cell r="G2635"/>
          <cell r="H2635"/>
          <cell r="I2635"/>
        </row>
        <row r="2636">
          <cell r="C2636"/>
          <cell r="D2636" t="str">
            <v>de l'</v>
          </cell>
          <cell r="E2636" t="str">
            <v>identifiant du montant</v>
          </cell>
          <cell r="F2636"/>
          <cell r="G2636"/>
          <cell r="H2636"/>
          <cell r="I2636"/>
        </row>
        <row r="2637">
          <cell r="C2637"/>
          <cell r="D2637" t="str">
            <v>de l'</v>
          </cell>
          <cell r="E2637" t="str">
            <v>identifiant du montant</v>
          </cell>
          <cell r="F2637"/>
          <cell r="G2637"/>
          <cell r="H2637"/>
          <cell r="I2637"/>
        </row>
        <row r="2638">
          <cell r="C2638" t="str">
            <v>décimal</v>
          </cell>
          <cell r="D2638" t="str">
            <v>du</v>
          </cell>
          <cell r="E2638" t="str">
            <v>montant</v>
          </cell>
          <cell r="F2638"/>
          <cell r="G2638"/>
          <cell r="H2638"/>
          <cell r="I2638"/>
        </row>
        <row r="2639">
          <cell r="C2639"/>
          <cell r="D2639" t="str">
            <v>du</v>
          </cell>
          <cell r="E2639" t="str">
            <v>montant</v>
          </cell>
          <cell r="F2639"/>
          <cell r="G2639"/>
          <cell r="H2639"/>
          <cell r="I2639"/>
        </row>
        <row r="2640">
          <cell r="C2640"/>
          <cell r="D2640" t="str">
            <v>de l'</v>
          </cell>
          <cell r="E2640" t="str">
            <v>identifiant du montant</v>
          </cell>
          <cell r="F2640"/>
          <cell r="G2640"/>
          <cell r="H2640"/>
          <cell r="I2640"/>
        </row>
        <row r="2641">
          <cell r="C2641" t="str">
            <v>décimal</v>
          </cell>
          <cell r="D2641" t="str">
            <v>du</v>
          </cell>
          <cell r="E2641" t="str">
            <v>taux</v>
          </cell>
          <cell r="F2641"/>
          <cell r="G2641"/>
          <cell r="H2641"/>
          <cell r="I2641"/>
        </row>
        <row r="2642">
          <cell r="C2642"/>
          <cell r="D2642" t="str">
            <v>de la</v>
          </cell>
          <cell r="E2642" t="str">
            <v>Société de Gestion de la Garantie</v>
          </cell>
          <cell r="F2642"/>
          <cell r="G2642"/>
          <cell r="H2642"/>
          <cell r="I2642"/>
        </row>
        <row r="2643">
          <cell r="C2643"/>
          <cell r="D2643" t="str">
            <v>du</v>
          </cell>
          <cell r="E2643" t="str">
            <v>sens du montant</v>
          </cell>
          <cell r="F2643"/>
          <cell r="G2643"/>
          <cell r="H2643"/>
          <cell r="I2643"/>
        </row>
        <row r="2644">
          <cell r="C2644" t="str">
            <v>objet</v>
          </cell>
          <cell r="D2644" t="str">
            <v>de la</v>
          </cell>
          <cell r="E2644" t="str">
            <v>prime émise</v>
          </cell>
          <cell r="F2644"/>
          <cell r="G2644"/>
          <cell r="H2644"/>
          <cell r="I2644"/>
        </row>
        <row r="2645">
          <cell r="C2645" t="str">
            <v>dernière image</v>
          </cell>
          <cell r="D2645" t="str">
            <v>du</v>
          </cell>
          <cell r="E2645" t="str">
            <v>regroupement IDW</v>
          </cell>
          <cell r="F2645" t="str">
            <v>par</v>
          </cell>
          <cell r="G2645" t="str">
            <v>Produit d'Assurance</v>
          </cell>
          <cell r="H2645"/>
          <cell r="I2645"/>
        </row>
        <row r="2646">
          <cell r="C2646" t="str">
            <v>dernière image</v>
          </cell>
          <cell r="D2646" t="str">
            <v>du</v>
          </cell>
          <cell r="E2646" t="str">
            <v>Produit d'Assurance</v>
          </cell>
          <cell r="F2646"/>
          <cell r="G2646"/>
          <cell r="H2646"/>
          <cell r="I2646"/>
        </row>
        <row r="2647">
          <cell r="C2647" t="str">
            <v>Adhésion</v>
          </cell>
          <cell r="D2647" t="str">
            <v>à</v>
          </cell>
          <cell r="E2647" t="str">
            <v>Association</v>
          </cell>
          <cell r="F2647"/>
          <cell r="G2647"/>
          <cell r="H2647"/>
          <cell r="I2647"/>
        </row>
        <row r="2648">
          <cell r="C2648" t="str">
            <v>éligibilité</v>
          </cell>
          <cell r="D2648" t="str">
            <v>à</v>
          </cell>
          <cell r="E2648" t="str">
            <v>Loi Madelin</v>
          </cell>
          <cell r="F2648"/>
          <cell r="G2648"/>
          <cell r="H2648"/>
          <cell r="I2648"/>
        </row>
        <row r="2649">
          <cell r="C2649"/>
          <cell r="D2649" t="str">
            <v>de l'</v>
          </cell>
          <cell r="E2649" t="str">
            <v>activité</v>
          </cell>
          <cell r="F2649" t="str">
            <v>du</v>
          </cell>
          <cell r="G2649" t="str">
            <v>Catalogue commercial</v>
          </cell>
          <cell r="H2649"/>
          <cell r="I2649"/>
        </row>
        <row r="2650">
          <cell r="C2650"/>
          <cell r="D2650" t="str">
            <v>de l'</v>
          </cell>
          <cell r="E2650" t="str">
            <v>activité</v>
          </cell>
          <cell r="F2650" t="str">
            <v>du</v>
          </cell>
          <cell r="G2650" t="str">
            <v>Catalogue commercial</v>
          </cell>
          <cell r="H2650"/>
          <cell r="I2650"/>
        </row>
        <row r="2651">
          <cell r="C2651"/>
          <cell r="D2651" t="str">
            <v>du</v>
          </cell>
          <cell r="E2651" t="str">
            <v>Produit commercial</v>
          </cell>
          <cell r="F2651" t="str">
            <v>du</v>
          </cell>
          <cell r="G2651" t="str">
            <v>Catalogue commercial</v>
          </cell>
          <cell r="H2651"/>
          <cell r="I2651"/>
        </row>
        <row r="2652">
          <cell r="C2652"/>
          <cell r="D2652" t="str">
            <v>du</v>
          </cell>
          <cell r="E2652" t="str">
            <v>Produit commercial</v>
          </cell>
          <cell r="F2652" t="str">
            <v>du</v>
          </cell>
          <cell r="G2652" t="str">
            <v>Catalogue commercial</v>
          </cell>
          <cell r="H2652"/>
          <cell r="I2652"/>
        </row>
        <row r="2653">
          <cell r="C2653"/>
          <cell r="D2653" t="str">
            <v>de la</v>
          </cell>
          <cell r="E2653" t="str">
            <v>Famille</v>
          </cell>
          <cell r="F2653" t="str">
            <v>du</v>
          </cell>
          <cell r="G2653" t="str">
            <v>Catalogue commercial</v>
          </cell>
          <cell r="H2653"/>
          <cell r="I2653"/>
        </row>
        <row r="2654">
          <cell r="C2654"/>
          <cell r="D2654" t="str">
            <v>de la</v>
          </cell>
          <cell r="E2654" t="str">
            <v>Famille</v>
          </cell>
          <cell r="F2654" t="str">
            <v>du</v>
          </cell>
          <cell r="G2654" t="str">
            <v>Catalogue commercial</v>
          </cell>
          <cell r="H2654"/>
          <cell r="I2654"/>
        </row>
        <row r="2655">
          <cell r="C2655"/>
          <cell r="D2655" t="str">
            <v>de la</v>
          </cell>
          <cell r="E2655" t="str">
            <v>sous-activité</v>
          </cell>
          <cell r="F2655" t="str">
            <v>du</v>
          </cell>
          <cell r="G2655" t="str">
            <v>Catalogue commercial</v>
          </cell>
          <cell r="H2655"/>
          <cell r="I2655"/>
        </row>
        <row r="2656">
          <cell r="C2656"/>
          <cell r="D2656" t="str">
            <v>de la</v>
          </cell>
          <cell r="E2656" t="str">
            <v>sous-activité</v>
          </cell>
          <cell r="F2656" t="str">
            <v>du</v>
          </cell>
          <cell r="G2656" t="str">
            <v>Catalogue commercial</v>
          </cell>
          <cell r="H2656"/>
          <cell r="I2656"/>
        </row>
        <row r="2657">
          <cell r="C2657"/>
          <cell r="D2657" t="str">
            <v>du</v>
          </cell>
          <cell r="E2657" t="str">
            <v>regroupement IDW</v>
          </cell>
          <cell r="F2657" t="str">
            <v>par</v>
          </cell>
          <cell r="G2657" t="str">
            <v>Produit d'Assurance</v>
          </cell>
          <cell r="H2657"/>
          <cell r="I2657"/>
        </row>
        <row r="2658">
          <cell r="C2658"/>
          <cell r="D2658" t="str">
            <v>l'</v>
          </cell>
          <cell r="E2658" t="str">
            <v>Association</v>
          </cell>
          <cell r="F2658" t="str">
            <v>du</v>
          </cell>
          <cell r="G2658" t="str">
            <v>Produit d'Assurance</v>
          </cell>
          <cell r="H2658"/>
          <cell r="I2658"/>
        </row>
        <row r="2659">
          <cell r="C2659"/>
          <cell r="D2659" t="str">
            <v>du</v>
          </cell>
          <cell r="E2659" t="str">
            <v>regroupement IDW</v>
          </cell>
          <cell r="F2659" t="str">
            <v>par</v>
          </cell>
          <cell r="G2659" t="str">
            <v>Produit d'Assurance</v>
          </cell>
          <cell r="H2659"/>
          <cell r="I2659"/>
        </row>
        <row r="2660">
          <cell r="C2660"/>
          <cell r="D2660" t="str">
            <v>de la</v>
          </cell>
          <cell r="E2660" t="str">
            <v>Nature</v>
          </cell>
          <cell r="F2660" t="str">
            <v>du</v>
          </cell>
          <cell r="G2660" t="str">
            <v>Produit d'Assurance</v>
          </cell>
          <cell r="H2660"/>
          <cell r="I2660"/>
        </row>
        <row r="2661">
          <cell r="C2661"/>
          <cell r="D2661" t="str">
            <v>du</v>
          </cell>
          <cell r="E2661" t="str">
            <v>regroupement IDW</v>
          </cell>
          <cell r="F2661" t="str">
            <v>par</v>
          </cell>
          <cell r="G2661" t="str">
            <v>Produit d'Assurance</v>
          </cell>
          <cell r="H2661"/>
          <cell r="I2661"/>
        </row>
        <row r="2662">
          <cell r="C2662"/>
          <cell r="D2662" t="str">
            <v>du</v>
          </cell>
          <cell r="E2662" t="str">
            <v>regroupement IDW</v>
          </cell>
          <cell r="F2662" t="str">
            <v>par</v>
          </cell>
          <cell r="G2662" t="str">
            <v>Produit d'Assurance</v>
          </cell>
          <cell r="H2662"/>
          <cell r="I2662"/>
        </row>
        <row r="2663">
          <cell r="C2663"/>
          <cell r="D2663" t="str">
            <v>de la</v>
          </cell>
          <cell r="E2663" t="str">
            <v>Nature</v>
          </cell>
          <cell r="F2663" t="str">
            <v>du</v>
          </cell>
          <cell r="G2663" t="str">
            <v>Produit d'Assurance</v>
          </cell>
          <cell r="H2663"/>
          <cell r="I2663"/>
        </row>
        <row r="2664">
          <cell r="C2664"/>
          <cell r="D2664" t="str">
            <v>de la</v>
          </cell>
          <cell r="E2664" t="str">
            <v>Nature</v>
          </cell>
          <cell r="F2664" t="str">
            <v>du</v>
          </cell>
          <cell r="G2664" t="str">
            <v>Produit d'Assurance</v>
          </cell>
          <cell r="H2664"/>
          <cell r="I2664"/>
        </row>
        <row r="2665">
          <cell r="C2665"/>
          <cell r="D2665" t="str">
            <v>du</v>
          </cell>
          <cell r="E2665" t="str">
            <v>Produit d'Assurance</v>
          </cell>
          <cell r="F2665"/>
          <cell r="G2665"/>
          <cell r="H2665"/>
          <cell r="I2665"/>
        </row>
        <row r="2666">
          <cell r="C2666"/>
          <cell r="D2666" t="str">
            <v>de la</v>
          </cell>
          <cell r="E2666" t="str">
            <v>Branche IDW</v>
          </cell>
          <cell r="F2666"/>
          <cell r="G2666"/>
          <cell r="H2666"/>
          <cell r="I2666"/>
        </row>
        <row r="2667">
          <cell r="C2667"/>
          <cell r="D2667" t="str">
            <v>de la</v>
          </cell>
          <cell r="E2667" t="str">
            <v>Sous-branche IDW</v>
          </cell>
          <cell r="F2667"/>
          <cell r="G2667"/>
          <cell r="H2667"/>
          <cell r="I2667"/>
        </row>
        <row r="2668">
          <cell r="C2668"/>
          <cell r="D2668" t="str">
            <v>de la</v>
          </cell>
          <cell r="E2668" t="str">
            <v>Branche assurance</v>
          </cell>
          <cell r="F2668"/>
          <cell r="G2668"/>
          <cell r="H2668"/>
          <cell r="I2668"/>
        </row>
        <row r="2669">
          <cell r="C2669"/>
          <cell r="D2669" t="str">
            <v>de la</v>
          </cell>
          <cell r="E2669" t="str">
            <v>Famille assurance</v>
          </cell>
          <cell r="F2669"/>
          <cell r="G2669"/>
          <cell r="H2669"/>
          <cell r="I2669"/>
        </row>
        <row r="2670">
          <cell r="C2670"/>
          <cell r="D2670" t="str">
            <v>du</v>
          </cell>
          <cell r="E2670" t="str">
            <v>Produit d'Assurance</v>
          </cell>
          <cell r="F2670"/>
          <cell r="G2670"/>
          <cell r="H2670"/>
          <cell r="I2670"/>
        </row>
        <row r="2671">
          <cell r="C2671"/>
          <cell r="D2671" t="str">
            <v>du</v>
          </cell>
          <cell r="E2671" t="str">
            <v>Produit d'Assurance</v>
          </cell>
          <cell r="F2671"/>
          <cell r="G2671"/>
          <cell r="H2671"/>
          <cell r="I2671"/>
        </row>
        <row r="2672">
          <cell r="C2672"/>
          <cell r="D2672" t="str">
            <v>du</v>
          </cell>
          <cell r="E2672" t="str">
            <v>Produit d'Assurance</v>
          </cell>
          <cell r="F2672"/>
          <cell r="G2672"/>
          <cell r="H2672"/>
          <cell r="I2672"/>
        </row>
        <row r="2673">
          <cell r="C2673"/>
          <cell r="D2673" t="str">
            <v>du</v>
          </cell>
          <cell r="E2673" t="str">
            <v>Produit d'Assurance</v>
          </cell>
          <cell r="F2673"/>
          <cell r="G2673"/>
          <cell r="H2673"/>
          <cell r="I2673"/>
        </row>
        <row r="2674">
          <cell r="C2674"/>
          <cell r="D2674" t="str">
            <v>du</v>
          </cell>
          <cell r="E2674" t="str">
            <v>Produit d'Assurance</v>
          </cell>
          <cell r="F2674"/>
          <cell r="G2674"/>
          <cell r="H2674"/>
          <cell r="I2674"/>
        </row>
        <row r="2675">
          <cell r="C2675" t="str">
            <v>simplifié</v>
          </cell>
          <cell r="D2675" t="str">
            <v>du</v>
          </cell>
          <cell r="E2675" t="str">
            <v>Sous-produit d'assurance</v>
          </cell>
          <cell r="F2675"/>
          <cell r="G2675"/>
          <cell r="H2675"/>
          <cell r="I2675"/>
        </row>
        <row r="2676">
          <cell r="C2676" t="str">
            <v>principal</v>
          </cell>
          <cell r="D2676" t="str">
            <v>du</v>
          </cell>
          <cell r="E2676" t="str">
            <v>Produit d'Assurance</v>
          </cell>
          <cell r="F2676"/>
          <cell r="G2676"/>
          <cell r="H2676"/>
          <cell r="I2676"/>
        </row>
        <row r="2677">
          <cell r="C2677"/>
          <cell r="D2677" t="str">
            <v>de l'</v>
          </cell>
          <cell r="E2677" t="str">
            <v>Association</v>
          </cell>
          <cell r="F2677"/>
          <cell r="G2677"/>
          <cell r="H2677"/>
          <cell r="I2677"/>
        </row>
        <row r="2678">
          <cell r="C2678" t="str">
            <v>secondaire</v>
          </cell>
          <cell r="D2678" t="str">
            <v>du</v>
          </cell>
          <cell r="E2678" t="str">
            <v>Produit d'Assurance</v>
          </cell>
          <cell r="F2678"/>
          <cell r="G2678"/>
          <cell r="H2678"/>
          <cell r="I2678"/>
        </row>
        <row r="2679">
          <cell r="C2679" t="str">
            <v>simplifié</v>
          </cell>
          <cell r="D2679" t="str">
            <v>du</v>
          </cell>
          <cell r="E2679" t="str">
            <v>Produit d'Assurance</v>
          </cell>
          <cell r="F2679"/>
          <cell r="G2679"/>
          <cell r="H2679"/>
          <cell r="I2679"/>
        </row>
        <row r="2680">
          <cell r="C2680"/>
          <cell r="D2680" t="str">
            <v>de l'</v>
          </cell>
          <cell r="E2680" t="str">
            <v>Association</v>
          </cell>
          <cell r="F2680"/>
          <cell r="G2680"/>
          <cell r="H2680"/>
          <cell r="I2680"/>
        </row>
        <row r="2681">
          <cell r="C2681"/>
          <cell r="D2681" t="str">
            <v>de l'</v>
          </cell>
          <cell r="E2681" t="str">
            <v>Association</v>
          </cell>
          <cell r="F2681"/>
          <cell r="G2681"/>
          <cell r="H2681"/>
          <cell r="I2681"/>
        </row>
        <row r="2682">
          <cell r="C2682"/>
          <cell r="D2682" t="str">
            <v>de la</v>
          </cell>
          <cell r="E2682" t="str">
            <v>Branche IDW</v>
          </cell>
          <cell r="F2682"/>
          <cell r="G2682"/>
          <cell r="H2682"/>
          <cell r="I2682"/>
        </row>
        <row r="2683">
          <cell r="C2683"/>
          <cell r="D2683" t="str">
            <v>de la</v>
          </cell>
          <cell r="E2683" t="str">
            <v>Branche IDW</v>
          </cell>
          <cell r="F2683"/>
          <cell r="G2683"/>
          <cell r="H2683"/>
          <cell r="I2683"/>
        </row>
        <row r="2684">
          <cell r="C2684"/>
          <cell r="D2684" t="str">
            <v>de la</v>
          </cell>
          <cell r="E2684" t="str">
            <v>Sous-branche IDW</v>
          </cell>
          <cell r="F2684"/>
          <cell r="G2684"/>
          <cell r="H2684"/>
          <cell r="I2684"/>
        </row>
        <row r="2685">
          <cell r="C2685"/>
          <cell r="D2685" t="str">
            <v>de la</v>
          </cell>
          <cell r="E2685" t="str">
            <v>Sous-branche IDW</v>
          </cell>
          <cell r="F2685"/>
          <cell r="G2685"/>
          <cell r="H2685"/>
          <cell r="I2685"/>
        </row>
        <row r="2686">
          <cell r="C2686"/>
          <cell r="D2686" t="str">
            <v>de la</v>
          </cell>
          <cell r="E2686" t="str">
            <v>Branche Assurance</v>
          </cell>
          <cell r="F2686"/>
          <cell r="G2686"/>
          <cell r="H2686"/>
          <cell r="I2686"/>
        </row>
        <row r="2687">
          <cell r="C2687"/>
          <cell r="D2687" t="str">
            <v>de la</v>
          </cell>
          <cell r="E2687" t="str">
            <v>Branche Assurance</v>
          </cell>
          <cell r="F2687"/>
          <cell r="G2687"/>
          <cell r="H2687"/>
          <cell r="I2687"/>
        </row>
        <row r="2688">
          <cell r="C2688"/>
          <cell r="D2688" t="str">
            <v>de la</v>
          </cell>
          <cell r="E2688" t="str">
            <v>Famille assurance</v>
          </cell>
          <cell r="F2688"/>
          <cell r="G2688"/>
          <cell r="H2688"/>
          <cell r="I2688"/>
        </row>
        <row r="2689">
          <cell r="C2689"/>
          <cell r="D2689" t="str">
            <v>de la</v>
          </cell>
          <cell r="E2689" t="str">
            <v>Famille assurance</v>
          </cell>
          <cell r="F2689"/>
          <cell r="G2689"/>
          <cell r="H2689"/>
          <cell r="I2689"/>
        </row>
        <row r="2690">
          <cell r="C2690"/>
          <cell r="D2690" t="str">
            <v>du</v>
          </cell>
          <cell r="E2690" t="str">
            <v>Produit d'Assurance</v>
          </cell>
          <cell r="F2690"/>
          <cell r="G2690"/>
          <cell r="H2690"/>
          <cell r="I2690"/>
        </row>
        <row r="2691">
          <cell r="C2691"/>
          <cell r="D2691" t="str">
            <v>du</v>
          </cell>
          <cell r="E2691" t="str">
            <v>Produit d'Assurance</v>
          </cell>
          <cell r="F2691"/>
          <cell r="G2691"/>
          <cell r="H2691"/>
          <cell r="I2691"/>
        </row>
        <row r="2692">
          <cell r="C2692"/>
          <cell r="D2692" t="str">
            <v>du</v>
          </cell>
          <cell r="E2692" t="str">
            <v>produit externe</v>
          </cell>
          <cell r="F2692"/>
          <cell r="G2692"/>
          <cell r="H2692"/>
          <cell r="I2692"/>
        </row>
        <row r="2693">
          <cell r="C2693" t="str">
            <v>base</v>
          </cell>
          <cell r="D2693" t="str">
            <v>du</v>
          </cell>
          <cell r="E2693" t="str">
            <v>Produit d'Assurance</v>
          </cell>
          <cell r="F2693"/>
          <cell r="G2693"/>
          <cell r="H2693"/>
          <cell r="I2693"/>
        </row>
        <row r="2694">
          <cell r="C2694" t="str">
            <v>dernière image</v>
          </cell>
          <cell r="D2694" t="str">
            <v>du</v>
          </cell>
          <cell r="E2694" t="str">
            <v>Pivot Métier</v>
          </cell>
          <cell r="F2694" t="str">
            <v>de</v>
          </cell>
          <cell r="G2694" t="str">
            <v>REGASA</v>
          </cell>
          <cell r="H2694"/>
          <cell r="I2694"/>
        </row>
        <row r="2695">
          <cell r="C2695" t="str">
            <v>dernière image</v>
          </cell>
          <cell r="D2695" t="str">
            <v>de la</v>
          </cell>
          <cell r="E2695" t="str">
            <v>Version Commerciale</v>
          </cell>
          <cell r="F2695" t="str">
            <v>de</v>
          </cell>
          <cell r="G2695" t="str">
            <v>REGASA</v>
          </cell>
          <cell r="H2695"/>
          <cell r="I2695"/>
        </row>
        <row r="2696">
          <cell r="C2696" t="str">
            <v>dernière image</v>
          </cell>
          <cell r="D2696" t="str">
            <v>de la</v>
          </cell>
          <cell r="E2696" t="str">
            <v>Couverture</v>
          </cell>
          <cell r="F2696" t="str">
            <v>de</v>
          </cell>
          <cell r="G2696" t="str">
            <v>REGASA</v>
          </cell>
          <cell r="H2696"/>
          <cell r="I2696"/>
        </row>
        <row r="2697">
          <cell r="C2697" t="str">
            <v>dernière image</v>
          </cell>
          <cell r="D2697" t="str">
            <v>de la</v>
          </cell>
          <cell r="E2697" t="str">
            <v>Précision de Couverture</v>
          </cell>
          <cell r="F2697" t="str">
            <v>de</v>
          </cell>
          <cell r="G2697" t="str">
            <v>REGASA</v>
          </cell>
          <cell r="H2697"/>
          <cell r="I2697"/>
        </row>
        <row r="2698">
          <cell r="C2698" t="str">
            <v>dernière image</v>
          </cell>
          <cell r="D2698" t="str">
            <v>de la</v>
          </cell>
          <cell r="E2698" t="str">
            <v>formule</v>
          </cell>
          <cell r="F2698" t="str">
            <v>de</v>
          </cell>
          <cell r="G2698" t="str">
            <v>REGASA</v>
          </cell>
          <cell r="H2698"/>
          <cell r="I2698"/>
        </row>
        <row r="2699">
          <cell r="C2699" t="str">
            <v>dernière image</v>
          </cell>
          <cell r="D2699" t="str">
            <v>de la</v>
          </cell>
          <cell r="E2699" t="str">
            <v>Propriété</v>
          </cell>
          <cell r="F2699" t="str">
            <v>de</v>
          </cell>
          <cell r="G2699" t="str">
            <v>REGASA</v>
          </cell>
          <cell r="H2699"/>
          <cell r="I2699"/>
        </row>
        <row r="2700">
          <cell r="C2700" t="str">
            <v>dernière image</v>
          </cell>
          <cell r="D2700" t="str">
            <v>de la</v>
          </cell>
          <cell r="E2700" t="str">
            <v>garantie</v>
          </cell>
          <cell r="F2700" t="str">
            <v>de</v>
          </cell>
          <cell r="G2700" t="str">
            <v>REGASA</v>
          </cell>
          <cell r="H2700"/>
          <cell r="I2700"/>
        </row>
        <row r="2701">
          <cell r="C2701" t="str">
            <v>dernière image</v>
          </cell>
          <cell r="D2701" t="str">
            <v>de la</v>
          </cell>
          <cell r="E2701" t="str">
            <v>version de Garantie</v>
          </cell>
          <cell r="F2701" t="str">
            <v>de</v>
          </cell>
          <cell r="G2701" t="str">
            <v>REGASA</v>
          </cell>
          <cell r="H2701"/>
          <cell r="I2701"/>
        </row>
        <row r="2702">
          <cell r="C2702"/>
          <cell r="D2702" t="str">
            <v>du</v>
          </cell>
          <cell r="E2702" t="str">
            <v>Pivot Métier</v>
          </cell>
          <cell r="F2702" t="str">
            <v>de la</v>
          </cell>
          <cell r="G2702" t="str">
            <v>formule</v>
          </cell>
          <cell r="H2702" t="str">
            <v>de</v>
          </cell>
          <cell r="I2702" t="str">
            <v>REGASA</v>
          </cell>
        </row>
        <row r="2703">
          <cell r="C2703"/>
          <cell r="D2703" t="str">
            <v>du</v>
          </cell>
          <cell r="E2703" t="str">
            <v>Pivot Métier</v>
          </cell>
          <cell r="F2703" t="str">
            <v>de la</v>
          </cell>
          <cell r="G2703" t="str">
            <v>formule</v>
          </cell>
          <cell r="H2703" t="str">
            <v>de</v>
          </cell>
          <cell r="I2703" t="str">
            <v>REGASA</v>
          </cell>
        </row>
        <row r="2704">
          <cell r="C2704"/>
          <cell r="D2704" t="str">
            <v>du</v>
          </cell>
          <cell r="E2704" t="str">
            <v>Pivot Métier</v>
          </cell>
          <cell r="F2704" t="str">
            <v>de la</v>
          </cell>
          <cell r="G2704" t="str">
            <v>formule</v>
          </cell>
          <cell r="H2704" t="str">
            <v>de</v>
          </cell>
          <cell r="I2704" t="str">
            <v>REGASA</v>
          </cell>
        </row>
        <row r="2705">
          <cell r="C2705"/>
          <cell r="D2705" t="str">
            <v>de la</v>
          </cell>
          <cell r="E2705" t="str">
            <v>famille juridique</v>
          </cell>
          <cell r="F2705" t="str">
            <v>de la</v>
          </cell>
          <cell r="G2705" t="str">
            <v>garantie</v>
          </cell>
          <cell r="H2705" t="str">
            <v>de</v>
          </cell>
          <cell r="I2705" t="str">
            <v>REGASA</v>
          </cell>
        </row>
        <row r="2706">
          <cell r="C2706"/>
          <cell r="D2706" t="str">
            <v>de la</v>
          </cell>
          <cell r="E2706" t="str">
            <v>famille produit</v>
          </cell>
          <cell r="F2706" t="str">
            <v>de la</v>
          </cell>
          <cell r="G2706" t="str">
            <v>garantie</v>
          </cell>
          <cell r="H2706" t="str">
            <v>de</v>
          </cell>
          <cell r="I2706" t="str">
            <v>REGASA</v>
          </cell>
        </row>
        <row r="2707">
          <cell r="C2707"/>
          <cell r="D2707" t="str">
            <v>de la</v>
          </cell>
          <cell r="E2707" t="str">
            <v>famille sinistre</v>
          </cell>
          <cell r="F2707" t="str">
            <v>de la</v>
          </cell>
          <cell r="G2707" t="str">
            <v>garantie</v>
          </cell>
          <cell r="H2707" t="str">
            <v>de</v>
          </cell>
          <cell r="I2707" t="str">
            <v>REGASA</v>
          </cell>
        </row>
        <row r="2708">
          <cell r="C2708"/>
          <cell r="D2708" t="str">
            <v>de</v>
          </cell>
          <cell r="E2708" t="str">
            <v>REGASA</v>
          </cell>
          <cell r="F2708" t="str">
            <v>des</v>
          </cell>
          <cell r="G2708" t="str">
            <v>garanties et services</v>
          </cell>
          <cell r="H2708" t="str">
            <v>avec</v>
          </cell>
          <cell r="I2708" t="str">
            <v>propriété</v>
          </cell>
        </row>
        <row r="2709">
          <cell r="C2709"/>
          <cell r="D2709" t="str">
            <v>de</v>
          </cell>
          <cell r="E2709" t="str">
            <v>REGASA</v>
          </cell>
          <cell r="F2709" t="str">
            <v>des</v>
          </cell>
          <cell r="G2709" t="str">
            <v>garanties et services</v>
          </cell>
          <cell r="H2709" t="str">
            <v>avec</v>
          </cell>
          <cell r="I2709" t="str">
            <v>propriété</v>
          </cell>
        </row>
        <row r="2710">
          <cell r="C2710"/>
          <cell r="D2710" t="str">
            <v>de</v>
          </cell>
          <cell r="E2710" t="str">
            <v>REGASA</v>
          </cell>
          <cell r="F2710" t="str">
            <v>des</v>
          </cell>
          <cell r="G2710" t="str">
            <v>garanties et services</v>
          </cell>
          <cell r="H2710" t="str">
            <v>avec</v>
          </cell>
          <cell r="I2710" t="str">
            <v>propriété</v>
          </cell>
        </row>
        <row r="2711">
          <cell r="C2711"/>
          <cell r="D2711" t="str">
            <v>de la</v>
          </cell>
          <cell r="E2711" t="str">
            <v>génération</v>
          </cell>
          <cell r="F2711" t="str">
            <v>du</v>
          </cell>
          <cell r="G2711" t="str">
            <v>Produit d'Assurance</v>
          </cell>
          <cell r="H2711"/>
          <cell r="I2711"/>
        </row>
        <row r="2712">
          <cell r="C2712"/>
          <cell r="D2712" t="str">
            <v>du</v>
          </cell>
          <cell r="E2712" t="str">
            <v>Pivot Métier</v>
          </cell>
          <cell r="F2712" t="str">
            <v>de</v>
          </cell>
          <cell r="G2712" t="str">
            <v>REGASA</v>
          </cell>
          <cell r="H2712"/>
          <cell r="I2712"/>
        </row>
        <row r="2713">
          <cell r="C2713"/>
          <cell r="D2713" t="str">
            <v>de la</v>
          </cell>
          <cell r="E2713" t="str">
            <v>Version Commerciale</v>
          </cell>
          <cell r="F2713" t="str">
            <v>de</v>
          </cell>
          <cell r="G2713" t="str">
            <v>REGASA</v>
          </cell>
          <cell r="H2713"/>
          <cell r="I2713"/>
        </row>
        <row r="2714">
          <cell r="C2714"/>
          <cell r="D2714" t="str">
            <v>de la</v>
          </cell>
          <cell r="E2714" t="str">
            <v>Couverture</v>
          </cell>
          <cell r="F2714" t="str">
            <v>de</v>
          </cell>
          <cell r="G2714" t="str">
            <v>REGASA</v>
          </cell>
          <cell r="H2714"/>
          <cell r="I2714"/>
        </row>
        <row r="2715">
          <cell r="C2715"/>
          <cell r="D2715" t="str">
            <v>de la</v>
          </cell>
          <cell r="E2715" t="str">
            <v>Précision de Couverture</v>
          </cell>
          <cell r="F2715" t="str">
            <v>de</v>
          </cell>
          <cell r="G2715" t="str">
            <v>REGASA</v>
          </cell>
          <cell r="H2715"/>
          <cell r="I2715"/>
        </row>
        <row r="2716">
          <cell r="C2716"/>
          <cell r="D2716" t="str">
            <v>de la</v>
          </cell>
          <cell r="E2716" t="str">
            <v>formule</v>
          </cell>
          <cell r="F2716" t="str">
            <v>de</v>
          </cell>
          <cell r="G2716" t="str">
            <v>REGASA</v>
          </cell>
          <cell r="H2716"/>
          <cell r="I2716"/>
        </row>
        <row r="2717">
          <cell r="C2717"/>
          <cell r="D2717" t="str">
            <v>de la</v>
          </cell>
          <cell r="E2717" t="str">
            <v>Propriété</v>
          </cell>
          <cell r="F2717" t="str">
            <v>de</v>
          </cell>
          <cell r="G2717" t="str">
            <v>REGASA</v>
          </cell>
          <cell r="H2717"/>
          <cell r="I2717"/>
        </row>
        <row r="2718">
          <cell r="C2718"/>
          <cell r="D2718" t="str">
            <v>de la</v>
          </cell>
          <cell r="E2718" t="str">
            <v>Garantie</v>
          </cell>
          <cell r="F2718" t="str">
            <v>de</v>
          </cell>
          <cell r="G2718" t="str">
            <v>REGASA</v>
          </cell>
          <cell r="H2718"/>
          <cell r="I2718"/>
        </row>
        <row r="2719">
          <cell r="C2719"/>
          <cell r="D2719" t="str">
            <v>de la</v>
          </cell>
          <cell r="E2719" t="str">
            <v>version de Garantie</v>
          </cell>
          <cell r="F2719" t="str">
            <v>de</v>
          </cell>
          <cell r="G2719" t="str">
            <v>REGASA</v>
          </cell>
          <cell r="H2719"/>
          <cell r="I2719"/>
        </row>
        <row r="2720">
          <cell r="C2720"/>
          <cell r="D2720" t="str">
            <v>de la</v>
          </cell>
          <cell r="E2720" t="str">
            <v>Propriété</v>
          </cell>
          <cell r="F2720" t="str">
            <v>de</v>
          </cell>
          <cell r="G2720" t="str">
            <v>REGASA</v>
          </cell>
          <cell r="H2720"/>
          <cell r="I2720"/>
        </row>
        <row r="2721">
          <cell r="C2721"/>
          <cell r="D2721" t="str">
            <v>du</v>
          </cell>
          <cell r="E2721" t="str">
            <v>Pivot Métier</v>
          </cell>
          <cell r="F2721" t="str">
            <v>de</v>
          </cell>
          <cell r="G2721" t="str">
            <v>REGASA</v>
          </cell>
          <cell r="H2721"/>
          <cell r="I2721"/>
        </row>
        <row r="2722">
          <cell r="C2722"/>
          <cell r="D2722" t="str">
            <v>de la</v>
          </cell>
          <cell r="E2722" t="str">
            <v>Version Commerciale</v>
          </cell>
          <cell r="F2722" t="str">
            <v>de</v>
          </cell>
          <cell r="G2722" t="str">
            <v>REGASA</v>
          </cell>
          <cell r="H2722"/>
          <cell r="I2722"/>
        </row>
        <row r="2723">
          <cell r="C2723"/>
          <cell r="D2723" t="str">
            <v>de la</v>
          </cell>
          <cell r="E2723" t="str">
            <v>Couverture</v>
          </cell>
          <cell r="F2723" t="str">
            <v>de</v>
          </cell>
          <cell r="G2723" t="str">
            <v>REGASA</v>
          </cell>
          <cell r="H2723"/>
          <cell r="I2723"/>
        </row>
        <row r="2724">
          <cell r="C2724"/>
          <cell r="D2724" t="str">
            <v>de la</v>
          </cell>
          <cell r="E2724" t="str">
            <v>Précision de Couverture</v>
          </cell>
          <cell r="F2724" t="str">
            <v>de</v>
          </cell>
          <cell r="G2724" t="str">
            <v>REGASA</v>
          </cell>
          <cell r="H2724"/>
          <cell r="I2724"/>
        </row>
        <row r="2725">
          <cell r="C2725"/>
          <cell r="D2725" t="str">
            <v>de la</v>
          </cell>
          <cell r="E2725" t="str">
            <v>formule</v>
          </cell>
          <cell r="F2725" t="str">
            <v>de</v>
          </cell>
          <cell r="G2725" t="str">
            <v>REGASA</v>
          </cell>
          <cell r="H2725"/>
          <cell r="I2725"/>
        </row>
        <row r="2726">
          <cell r="C2726"/>
          <cell r="D2726" t="str">
            <v>de la</v>
          </cell>
          <cell r="E2726" t="str">
            <v>Propriété</v>
          </cell>
          <cell r="F2726" t="str">
            <v>de</v>
          </cell>
          <cell r="G2726" t="str">
            <v>REGASA</v>
          </cell>
          <cell r="H2726"/>
          <cell r="I2726"/>
        </row>
        <row r="2727">
          <cell r="C2727"/>
          <cell r="D2727" t="str">
            <v>de la</v>
          </cell>
          <cell r="E2727" t="str">
            <v>garantie</v>
          </cell>
          <cell r="F2727" t="str">
            <v>de</v>
          </cell>
          <cell r="G2727" t="str">
            <v>REGASA</v>
          </cell>
          <cell r="H2727"/>
          <cell r="I2727"/>
        </row>
        <row r="2728">
          <cell r="C2728"/>
          <cell r="D2728" t="str">
            <v>des</v>
          </cell>
          <cell r="E2728" t="str">
            <v>garanties et services</v>
          </cell>
          <cell r="F2728" t="str">
            <v>de</v>
          </cell>
          <cell r="G2728" t="str">
            <v>REGASA</v>
          </cell>
          <cell r="H2728"/>
          <cell r="I2728"/>
        </row>
        <row r="2729">
          <cell r="C2729"/>
          <cell r="D2729" t="str">
            <v>de la</v>
          </cell>
          <cell r="E2729" t="str">
            <v>version de Garantie</v>
          </cell>
          <cell r="F2729" t="str">
            <v>de</v>
          </cell>
          <cell r="G2729" t="str">
            <v>REGASA</v>
          </cell>
          <cell r="H2729"/>
          <cell r="I2729"/>
        </row>
        <row r="2730">
          <cell r="C2730"/>
          <cell r="D2730" t="str">
            <v>du</v>
          </cell>
          <cell r="E2730" t="str">
            <v>Pivot Métier</v>
          </cell>
          <cell r="F2730" t="str">
            <v>de</v>
          </cell>
          <cell r="G2730" t="str">
            <v>REGASA</v>
          </cell>
          <cell r="H2730"/>
          <cell r="I2730"/>
        </row>
        <row r="2731">
          <cell r="C2731"/>
          <cell r="D2731" t="str">
            <v>du</v>
          </cell>
          <cell r="E2731" t="str">
            <v>Pivot Métier</v>
          </cell>
          <cell r="F2731" t="str">
            <v>de</v>
          </cell>
          <cell r="G2731" t="str">
            <v>REGASA</v>
          </cell>
          <cell r="H2731"/>
          <cell r="I2731"/>
        </row>
        <row r="2732">
          <cell r="C2732"/>
          <cell r="D2732" t="str">
            <v>de la</v>
          </cell>
          <cell r="E2732" t="str">
            <v>Version Commerciale</v>
          </cell>
          <cell r="F2732" t="str">
            <v>de</v>
          </cell>
          <cell r="G2732" t="str">
            <v>REGASA</v>
          </cell>
          <cell r="H2732"/>
          <cell r="I2732"/>
        </row>
        <row r="2733">
          <cell r="C2733"/>
          <cell r="D2733" t="str">
            <v>de la</v>
          </cell>
          <cell r="E2733" t="str">
            <v>Version Commerciale</v>
          </cell>
          <cell r="F2733" t="str">
            <v>de</v>
          </cell>
          <cell r="G2733" t="str">
            <v>REGASA</v>
          </cell>
          <cell r="H2733"/>
          <cell r="I2733"/>
        </row>
        <row r="2734">
          <cell r="C2734"/>
          <cell r="D2734" t="str">
            <v>de la</v>
          </cell>
          <cell r="E2734" t="str">
            <v>Version Commerciale</v>
          </cell>
          <cell r="F2734" t="str">
            <v>de</v>
          </cell>
          <cell r="G2734" t="str">
            <v>REGASA</v>
          </cell>
          <cell r="H2734"/>
          <cell r="I2734"/>
        </row>
        <row r="2735">
          <cell r="C2735"/>
          <cell r="D2735" t="str">
            <v>de la</v>
          </cell>
          <cell r="E2735" t="str">
            <v>Version Commerciale</v>
          </cell>
          <cell r="F2735" t="str">
            <v>de</v>
          </cell>
          <cell r="G2735" t="str">
            <v>REGASA</v>
          </cell>
          <cell r="H2735"/>
          <cell r="I2735"/>
        </row>
        <row r="2736">
          <cell r="C2736"/>
          <cell r="D2736" t="str">
            <v>de la</v>
          </cell>
          <cell r="E2736" t="str">
            <v>Couverture</v>
          </cell>
          <cell r="F2736" t="str">
            <v>de</v>
          </cell>
          <cell r="G2736" t="str">
            <v>REGASA</v>
          </cell>
          <cell r="H2736"/>
          <cell r="I2736"/>
        </row>
        <row r="2737">
          <cell r="C2737"/>
          <cell r="D2737" t="str">
            <v>de la</v>
          </cell>
          <cell r="E2737" t="str">
            <v>Couverture</v>
          </cell>
          <cell r="F2737" t="str">
            <v>de</v>
          </cell>
          <cell r="G2737" t="str">
            <v>REGASA</v>
          </cell>
          <cell r="H2737"/>
          <cell r="I2737"/>
        </row>
        <row r="2738">
          <cell r="C2738"/>
          <cell r="D2738" t="str">
            <v>de la</v>
          </cell>
          <cell r="E2738" t="str">
            <v>Précision de Couverture</v>
          </cell>
          <cell r="F2738" t="str">
            <v>de</v>
          </cell>
          <cell r="G2738" t="str">
            <v>REGASA</v>
          </cell>
          <cell r="H2738"/>
          <cell r="I2738"/>
        </row>
        <row r="2739">
          <cell r="C2739"/>
          <cell r="D2739" t="str">
            <v>de la</v>
          </cell>
          <cell r="E2739" t="str">
            <v>Précision de Couverture</v>
          </cell>
          <cell r="F2739" t="str">
            <v>de</v>
          </cell>
          <cell r="G2739" t="str">
            <v>REGASA</v>
          </cell>
          <cell r="H2739"/>
          <cell r="I2739"/>
        </row>
        <row r="2740">
          <cell r="C2740"/>
          <cell r="D2740" t="str">
            <v>de la</v>
          </cell>
          <cell r="E2740" t="str">
            <v>formule</v>
          </cell>
          <cell r="F2740" t="str">
            <v>de</v>
          </cell>
          <cell r="G2740" t="str">
            <v>REGASA</v>
          </cell>
          <cell r="H2740"/>
          <cell r="I2740"/>
        </row>
        <row r="2741">
          <cell r="C2741"/>
          <cell r="D2741" t="str">
            <v>de la</v>
          </cell>
          <cell r="E2741" t="str">
            <v>formule</v>
          </cell>
          <cell r="F2741" t="str">
            <v>de</v>
          </cell>
          <cell r="G2741" t="str">
            <v>REGASA</v>
          </cell>
          <cell r="H2741"/>
          <cell r="I2741"/>
        </row>
        <row r="2742">
          <cell r="C2742"/>
          <cell r="D2742" t="str">
            <v>de la</v>
          </cell>
          <cell r="E2742" t="str">
            <v>formule</v>
          </cell>
          <cell r="F2742" t="str">
            <v>de</v>
          </cell>
          <cell r="G2742" t="str">
            <v>REGASA</v>
          </cell>
          <cell r="H2742"/>
          <cell r="I2742"/>
        </row>
        <row r="2743">
          <cell r="C2743"/>
          <cell r="D2743" t="str">
            <v>de la</v>
          </cell>
          <cell r="E2743" t="str">
            <v>formule</v>
          </cell>
          <cell r="F2743" t="str">
            <v>de</v>
          </cell>
          <cell r="G2743" t="str">
            <v>REGASA</v>
          </cell>
          <cell r="H2743"/>
          <cell r="I2743"/>
        </row>
        <row r="2744">
          <cell r="C2744"/>
          <cell r="D2744" t="str">
            <v>de la</v>
          </cell>
          <cell r="E2744" t="str">
            <v>Propriété</v>
          </cell>
          <cell r="F2744" t="str">
            <v>de</v>
          </cell>
          <cell r="G2744" t="str">
            <v>REGASA</v>
          </cell>
          <cell r="H2744"/>
          <cell r="I2744"/>
        </row>
        <row r="2745">
          <cell r="C2745"/>
          <cell r="D2745" t="str">
            <v>de la</v>
          </cell>
          <cell r="E2745" t="str">
            <v>Propriété</v>
          </cell>
          <cell r="F2745" t="str">
            <v>de</v>
          </cell>
          <cell r="G2745" t="str">
            <v>REGASA</v>
          </cell>
          <cell r="H2745"/>
          <cell r="I2745"/>
        </row>
        <row r="2746">
          <cell r="C2746"/>
          <cell r="D2746" t="str">
            <v>de la</v>
          </cell>
          <cell r="E2746" t="str">
            <v>garantie</v>
          </cell>
          <cell r="F2746" t="str">
            <v>de</v>
          </cell>
          <cell r="G2746" t="str">
            <v>REGASA</v>
          </cell>
          <cell r="H2746"/>
          <cell r="I2746"/>
        </row>
        <row r="2747">
          <cell r="C2747"/>
          <cell r="D2747" t="str">
            <v>de la</v>
          </cell>
          <cell r="E2747" t="str">
            <v>garantie</v>
          </cell>
          <cell r="F2747" t="str">
            <v>de</v>
          </cell>
          <cell r="G2747" t="str">
            <v>REGASA</v>
          </cell>
          <cell r="H2747"/>
          <cell r="I2747"/>
        </row>
        <row r="2748">
          <cell r="C2748"/>
          <cell r="D2748" t="str">
            <v>de la</v>
          </cell>
          <cell r="E2748" t="str">
            <v>version de Garantie</v>
          </cell>
          <cell r="F2748" t="str">
            <v>de</v>
          </cell>
          <cell r="G2748" t="str">
            <v>REGASA</v>
          </cell>
          <cell r="H2748"/>
          <cell r="I2748"/>
        </row>
        <row r="2749">
          <cell r="C2749"/>
          <cell r="D2749" t="str">
            <v>de la</v>
          </cell>
          <cell r="E2749" t="str">
            <v>version de Garantie</v>
          </cell>
          <cell r="F2749" t="str">
            <v>de</v>
          </cell>
          <cell r="G2749" t="str">
            <v>REGASA</v>
          </cell>
          <cell r="H2749"/>
          <cell r="I2749"/>
        </row>
        <row r="2750">
          <cell r="C2750"/>
          <cell r="D2750" t="str">
            <v>du</v>
          </cell>
          <cell r="E2750" t="str">
            <v>Pivot Métier</v>
          </cell>
          <cell r="F2750" t="str">
            <v>de</v>
          </cell>
          <cell r="G2750" t="str">
            <v>REGASA</v>
          </cell>
          <cell r="H2750"/>
          <cell r="I2750"/>
        </row>
        <row r="2751">
          <cell r="C2751"/>
          <cell r="D2751" t="str">
            <v>du</v>
          </cell>
          <cell r="E2751" t="str">
            <v>Pivot Métier</v>
          </cell>
          <cell r="F2751" t="str">
            <v>de</v>
          </cell>
          <cell r="G2751" t="str">
            <v>REGASA</v>
          </cell>
          <cell r="H2751"/>
          <cell r="I2751"/>
        </row>
        <row r="2752">
          <cell r="C2752"/>
          <cell r="D2752" t="str">
            <v>du</v>
          </cell>
          <cell r="E2752" t="str">
            <v>Pivot Métier</v>
          </cell>
          <cell r="F2752" t="str">
            <v>de</v>
          </cell>
          <cell r="G2752" t="str">
            <v>REGASA</v>
          </cell>
          <cell r="H2752"/>
          <cell r="I2752"/>
        </row>
        <row r="2753">
          <cell r="C2753"/>
          <cell r="D2753" t="str">
            <v>de la</v>
          </cell>
          <cell r="E2753" t="str">
            <v>Version Commerciale</v>
          </cell>
          <cell r="F2753" t="str">
            <v>de</v>
          </cell>
          <cell r="G2753" t="str">
            <v>REGASA</v>
          </cell>
          <cell r="H2753"/>
          <cell r="I2753"/>
        </row>
        <row r="2754">
          <cell r="C2754"/>
          <cell r="D2754" t="str">
            <v>de la</v>
          </cell>
          <cell r="E2754" t="str">
            <v>Version Commerciale</v>
          </cell>
          <cell r="F2754" t="str">
            <v>de</v>
          </cell>
          <cell r="G2754" t="str">
            <v>REGASA</v>
          </cell>
          <cell r="H2754"/>
          <cell r="I2754"/>
        </row>
        <row r="2755">
          <cell r="C2755"/>
          <cell r="D2755" t="str">
            <v>de la</v>
          </cell>
          <cell r="E2755" t="str">
            <v>Couverture</v>
          </cell>
          <cell r="F2755" t="str">
            <v>de</v>
          </cell>
          <cell r="G2755" t="str">
            <v>REGASA</v>
          </cell>
          <cell r="H2755"/>
          <cell r="I2755"/>
        </row>
        <row r="2756">
          <cell r="C2756"/>
          <cell r="D2756" t="str">
            <v>de la</v>
          </cell>
          <cell r="E2756" t="str">
            <v>Couverture</v>
          </cell>
          <cell r="F2756" t="str">
            <v>de</v>
          </cell>
          <cell r="G2756" t="str">
            <v>REGASA</v>
          </cell>
          <cell r="H2756"/>
          <cell r="I2756"/>
        </row>
        <row r="2757">
          <cell r="C2757"/>
          <cell r="D2757" t="str">
            <v>de la</v>
          </cell>
          <cell r="E2757" t="str">
            <v>Précision de Couverture</v>
          </cell>
          <cell r="F2757" t="str">
            <v>de</v>
          </cell>
          <cell r="G2757" t="str">
            <v>REGASA</v>
          </cell>
          <cell r="H2757"/>
          <cell r="I2757"/>
        </row>
        <row r="2758">
          <cell r="C2758"/>
          <cell r="D2758" t="str">
            <v>de la</v>
          </cell>
          <cell r="E2758" t="str">
            <v>Précision de Couverture</v>
          </cell>
          <cell r="F2758" t="str">
            <v>de</v>
          </cell>
          <cell r="G2758" t="str">
            <v>REGASA</v>
          </cell>
          <cell r="H2758"/>
          <cell r="I2758"/>
        </row>
        <row r="2759">
          <cell r="C2759"/>
          <cell r="D2759" t="str">
            <v>de la</v>
          </cell>
          <cell r="E2759" t="str">
            <v>formule</v>
          </cell>
          <cell r="F2759" t="str">
            <v>de</v>
          </cell>
          <cell r="G2759" t="str">
            <v>REGASA</v>
          </cell>
          <cell r="H2759"/>
          <cell r="I2759"/>
        </row>
        <row r="2760">
          <cell r="C2760"/>
          <cell r="D2760" t="str">
            <v>de la</v>
          </cell>
          <cell r="E2760" t="str">
            <v>formule</v>
          </cell>
          <cell r="F2760" t="str">
            <v>de</v>
          </cell>
          <cell r="G2760" t="str">
            <v>REGASA</v>
          </cell>
          <cell r="H2760"/>
          <cell r="I2760"/>
        </row>
        <row r="2761">
          <cell r="C2761"/>
          <cell r="D2761" t="str">
            <v>de la</v>
          </cell>
          <cell r="E2761" t="str">
            <v>Propriété</v>
          </cell>
          <cell r="F2761" t="str">
            <v>de</v>
          </cell>
          <cell r="G2761" t="str">
            <v>REGASA</v>
          </cell>
          <cell r="H2761"/>
          <cell r="I2761"/>
        </row>
        <row r="2762">
          <cell r="C2762"/>
          <cell r="D2762" t="str">
            <v>de la</v>
          </cell>
          <cell r="E2762" t="str">
            <v>Propriété</v>
          </cell>
          <cell r="F2762" t="str">
            <v>de</v>
          </cell>
          <cell r="G2762" t="str">
            <v>REGASA</v>
          </cell>
          <cell r="H2762"/>
          <cell r="I2762"/>
        </row>
        <row r="2763">
          <cell r="C2763"/>
          <cell r="D2763" t="str">
            <v>de la</v>
          </cell>
          <cell r="E2763" t="str">
            <v>Propriété</v>
          </cell>
          <cell r="F2763" t="str">
            <v>de</v>
          </cell>
          <cell r="G2763" t="str">
            <v>REGASA</v>
          </cell>
          <cell r="H2763"/>
          <cell r="I2763"/>
        </row>
        <row r="2764">
          <cell r="C2764"/>
          <cell r="D2764" t="str">
            <v>de la</v>
          </cell>
          <cell r="E2764" t="str">
            <v>Garantie</v>
          </cell>
          <cell r="F2764" t="str">
            <v>de</v>
          </cell>
          <cell r="G2764" t="str">
            <v>REGASA</v>
          </cell>
          <cell r="H2764"/>
          <cell r="I2764"/>
        </row>
        <row r="2765">
          <cell r="C2765"/>
          <cell r="D2765" t="str">
            <v>de la</v>
          </cell>
          <cell r="E2765" t="str">
            <v>garantie</v>
          </cell>
          <cell r="F2765" t="str">
            <v>de</v>
          </cell>
          <cell r="G2765" t="str">
            <v>REGASA</v>
          </cell>
          <cell r="H2765"/>
          <cell r="I2765"/>
        </row>
        <row r="2766">
          <cell r="C2766"/>
          <cell r="D2766" t="str">
            <v>de la</v>
          </cell>
          <cell r="E2766" t="str">
            <v>version de Garantie</v>
          </cell>
          <cell r="F2766" t="str">
            <v>de</v>
          </cell>
          <cell r="G2766" t="str">
            <v>REGASA</v>
          </cell>
          <cell r="H2766"/>
          <cell r="I2766"/>
        </row>
        <row r="2767">
          <cell r="C2767"/>
          <cell r="D2767" t="str">
            <v>de la</v>
          </cell>
          <cell r="E2767" t="str">
            <v>version de Garantie</v>
          </cell>
          <cell r="F2767" t="str">
            <v>de</v>
          </cell>
          <cell r="G2767" t="str">
            <v>REGASA</v>
          </cell>
          <cell r="H2767"/>
          <cell r="I2767"/>
        </row>
        <row r="2768">
          <cell r="C2768"/>
          <cell r="D2768" t="str">
            <v>du</v>
          </cell>
          <cell r="E2768" t="str">
            <v>Pivot Métier</v>
          </cell>
          <cell r="F2768" t="str">
            <v>de la</v>
          </cell>
          <cell r="G2768" t="str">
            <v>version commerciale</v>
          </cell>
          <cell r="H2768" t="str">
            <v>de</v>
          </cell>
          <cell r="I2768" t="str">
            <v>REGASA</v>
          </cell>
        </row>
        <row r="2769">
          <cell r="C2769"/>
          <cell r="D2769" t="str">
            <v>du</v>
          </cell>
          <cell r="E2769" t="str">
            <v>Pivot Métier</v>
          </cell>
          <cell r="F2769" t="str">
            <v>de la</v>
          </cell>
          <cell r="G2769" t="str">
            <v>version commerciale</v>
          </cell>
          <cell r="H2769" t="str">
            <v>de</v>
          </cell>
          <cell r="I2769" t="str">
            <v>REGASA</v>
          </cell>
        </row>
        <row r="2770">
          <cell r="C2770"/>
          <cell r="D2770" t="str">
            <v>du</v>
          </cell>
          <cell r="E2770" t="str">
            <v>Pivot Métier</v>
          </cell>
          <cell r="F2770" t="str">
            <v>de la</v>
          </cell>
          <cell r="G2770" t="str">
            <v>version commerciale</v>
          </cell>
          <cell r="H2770" t="str">
            <v>de</v>
          </cell>
          <cell r="I2770" t="str">
            <v>REGASA</v>
          </cell>
        </row>
        <row r="2771">
          <cell r="C2771"/>
          <cell r="D2771" t="str">
            <v>de l'</v>
          </cell>
          <cell r="E2771" t="str">
            <v>objet assuré</v>
          </cell>
          <cell r="F2771" t="str">
            <v xml:space="preserve"> </v>
          </cell>
          <cell r="G2771"/>
          <cell r="H2771"/>
          <cell r="I2771"/>
        </row>
        <row r="2772">
          <cell r="C2772"/>
          <cell r="D2772" t="str">
            <v>de la</v>
          </cell>
          <cell r="E2772" t="str">
            <v>profondeur</v>
          </cell>
          <cell r="F2772" t="str">
            <v>de la</v>
          </cell>
          <cell r="G2772" t="str">
            <v>référence</v>
          </cell>
          <cell r="H2772" t="str">
            <v>du</v>
          </cell>
          <cell r="I2772" t="str">
            <v>module</v>
          </cell>
        </row>
        <row r="2773">
          <cell r="C2773"/>
          <cell r="D2773" t="str">
            <v>du</v>
          </cell>
          <cell r="E2773" t="str">
            <v>chemin</v>
          </cell>
          <cell r="F2773" t="str">
            <v xml:space="preserve"> </v>
          </cell>
          <cell r="G2773"/>
          <cell r="H2773"/>
          <cell r="I2773"/>
        </row>
        <row r="2774">
          <cell r="C2774"/>
          <cell r="D2774" t="str">
            <v>du</v>
          </cell>
          <cell r="E2774" t="str">
            <v>chemin</v>
          </cell>
          <cell r="F2774" t="str">
            <v>avec</v>
          </cell>
          <cell r="G2774" t="str">
            <v>module</v>
          </cell>
          <cell r="H2774" t="str">
            <v>et</v>
          </cell>
          <cell r="I2774" t="str">
            <v>événement</v>
          </cell>
        </row>
        <row r="2775">
          <cell r="C2775"/>
          <cell r="D2775" t="str">
            <v>du</v>
          </cell>
          <cell r="E2775" t="str">
            <v>comportement</v>
          </cell>
          <cell r="F2775" t="str">
            <v>de la</v>
          </cell>
          <cell r="G2775" t="str">
            <v>propriété</v>
          </cell>
          <cell r="H2775" t="str">
            <v xml:space="preserve"> </v>
          </cell>
          <cell r="I2775"/>
        </row>
        <row r="2776">
          <cell r="C2776"/>
          <cell r="D2776" t="str">
            <v>du</v>
          </cell>
          <cell r="E2776" t="str">
            <v>module</v>
          </cell>
          <cell r="F2776" t="str">
            <v xml:space="preserve"> </v>
          </cell>
          <cell r="G2776"/>
          <cell r="H2776"/>
          <cell r="I2776"/>
        </row>
        <row r="2777">
          <cell r="C2777"/>
          <cell r="D2777" t="str">
            <v>du</v>
          </cell>
          <cell r="E2777" t="str">
            <v>niveau</v>
          </cell>
          <cell r="F2777" t="str">
            <v>d'</v>
          </cell>
          <cell r="G2777" t="str">
            <v>arrêt</v>
          </cell>
          <cell r="H2777" t="str">
            <v>dans l'</v>
          </cell>
          <cell r="I2777" t="str">
            <v>arborescence</v>
          </cell>
        </row>
        <row r="2778">
          <cell r="C2778"/>
          <cell r="D2778" t="str">
            <v>du</v>
          </cell>
          <cell r="E2778" t="str">
            <v>niveau</v>
          </cell>
          <cell r="F2778" t="str">
            <v>du</v>
          </cell>
          <cell r="G2778" t="str">
            <v>composant</v>
          </cell>
          <cell r="H2778" t="str">
            <v>du</v>
          </cell>
          <cell r="I2778" t="str">
            <v>module</v>
          </cell>
        </row>
        <row r="2779">
          <cell r="C2779"/>
          <cell r="D2779" t="str">
            <v>du</v>
          </cell>
          <cell r="E2779" t="str">
            <v>niveau standardisé</v>
          </cell>
          <cell r="F2779" t="str">
            <v>du</v>
          </cell>
          <cell r="G2779" t="str">
            <v>composant</v>
          </cell>
          <cell r="H2779" t="str">
            <v>du</v>
          </cell>
          <cell r="I2779" t="str">
            <v>module</v>
          </cell>
        </row>
        <row r="2780">
          <cell r="C2780"/>
          <cell r="D2780" t="str">
            <v>du</v>
          </cell>
          <cell r="E2780" t="str">
            <v>typage</v>
          </cell>
          <cell r="F2780" t="str">
            <v>de la</v>
          </cell>
          <cell r="G2780" t="str">
            <v>propriété</v>
          </cell>
          <cell r="H2780" t="str">
            <v xml:space="preserve"> </v>
          </cell>
          <cell r="I2780"/>
        </row>
        <row r="2781">
          <cell r="C2781"/>
          <cell r="D2781" t="str">
            <v>du</v>
          </cell>
          <cell r="E2781" t="str">
            <v>type</v>
          </cell>
          <cell r="F2781" t="str">
            <v>de la</v>
          </cell>
          <cell r="G2781" t="str">
            <v>formule</v>
          </cell>
          <cell r="H2781" t="str">
            <v xml:space="preserve"> </v>
          </cell>
          <cell r="I2781"/>
        </row>
        <row r="2782">
          <cell r="C2782"/>
          <cell r="D2782" t="str">
            <v>de l'</v>
          </cell>
          <cell r="E2782" t="str">
            <v>événement</v>
          </cell>
          <cell r="F2782" t="str">
            <v xml:space="preserve"> </v>
          </cell>
          <cell r="G2782"/>
          <cell r="H2782"/>
          <cell r="I2782"/>
        </row>
        <row r="2783">
          <cell r="C2783"/>
          <cell r="D2783" t="str">
            <v>de la</v>
          </cell>
          <cell r="E2783" t="str">
            <v>formule</v>
          </cell>
          <cell r="F2783" t="str">
            <v xml:space="preserve"> </v>
          </cell>
          <cell r="G2783"/>
          <cell r="H2783"/>
          <cell r="I2783"/>
        </row>
        <row r="2784">
          <cell r="C2784"/>
          <cell r="D2784" t="str">
            <v>de la</v>
          </cell>
          <cell r="E2784" t="str">
            <v>formule fonctionnelle</v>
          </cell>
          <cell r="F2784" t="str">
            <v xml:space="preserve"> </v>
          </cell>
          <cell r="G2784"/>
          <cell r="H2784"/>
          <cell r="I2784"/>
        </row>
        <row r="2785">
          <cell r="C2785"/>
          <cell r="D2785" t="str">
            <v>de la</v>
          </cell>
          <cell r="E2785" t="str">
            <v>garantie usuelle</v>
          </cell>
          <cell r="F2785" t="str">
            <v xml:space="preserve"> </v>
          </cell>
          <cell r="G2785"/>
          <cell r="H2785"/>
          <cell r="I2785"/>
        </row>
        <row r="2786">
          <cell r="C2786"/>
          <cell r="D2786" t="str">
            <v>du</v>
          </cell>
          <cell r="E2786" t="str">
            <v>composant</v>
          </cell>
          <cell r="F2786" t="str">
            <v xml:space="preserve"> </v>
          </cell>
          <cell r="G2786" t="str">
            <v>initial</v>
          </cell>
          <cell r="H2786"/>
          <cell r="I2786"/>
        </row>
        <row r="2787">
          <cell r="C2787"/>
          <cell r="D2787" t="str">
            <v>du</v>
          </cell>
          <cell r="E2787" t="str">
            <v>niveau</v>
          </cell>
          <cell r="F2787" t="str">
            <v>de la</v>
          </cell>
          <cell r="G2787" t="str">
            <v>formule</v>
          </cell>
          <cell r="H2787"/>
          <cell r="I2787"/>
        </row>
        <row r="2788">
          <cell r="C2788"/>
          <cell r="D2788" t="str">
            <v>de l'</v>
          </cell>
          <cell r="E2788" t="str">
            <v>objet assuré</v>
          </cell>
          <cell r="F2788" t="str">
            <v xml:space="preserve"> </v>
          </cell>
          <cell r="G2788"/>
          <cell r="H2788"/>
          <cell r="I2788"/>
        </row>
        <row r="2789">
          <cell r="C2789"/>
          <cell r="D2789" t="str">
            <v>de la</v>
          </cell>
          <cell r="E2789" t="str">
            <v>profondeur</v>
          </cell>
          <cell r="F2789" t="str">
            <v>de la</v>
          </cell>
          <cell r="G2789" t="str">
            <v>référence</v>
          </cell>
          <cell r="H2789" t="str">
            <v>du</v>
          </cell>
          <cell r="I2789" t="str">
            <v>module</v>
          </cell>
        </row>
        <row r="2790">
          <cell r="C2790"/>
          <cell r="D2790" t="str">
            <v>du</v>
          </cell>
          <cell r="E2790" t="str">
            <v>chemin</v>
          </cell>
          <cell r="F2790" t="str">
            <v xml:space="preserve"> </v>
          </cell>
          <cell r="G2790"/>
          <cell r="H2790"/>
          <cell r="I2790"/>
        </row>
        <row r="2791">
          <cell r="C2791"/>
          <cell r="D2791" t="str">
            <v>du</v>
          </cell>
          <cell r="E2791" t="str">
            <v>chemin</v>
          </cell>
          <cell r="F2791" t="str">
            <v>avec</v>
          </cell>
          <cell r="G2791" t="str">
            <v>module</v>
          </cell>
          <cell r="H2791" t="str">
            <v>et</v>
          </cell>
          <cell r="I2791" t="str">
            <v>événement</v>
          </cell>
        </row>
        <row r="2792">
          <cell r="C2792"/>
          <cell r="D2792" t="str">
            <v>du</v>
          </cell>
          <cell r="E2792" t="str">
            <v>module</v>
          </cell>
          <cell r="F2792" t="str">
            <v xml:space="preserve"> </v>
          </cell>
          <cell r="G2792"/>
          <cell r="H2792"/>
          <cell r="I2792"/>
        </row>
        <row r="2793">
          <cell r="C2793"/>
          <cell r="D2793" t="str">
            <v>du</v>
          </cell>
          <cell r="E2793" t="str">
            <v>niveau</v>
          </cell>
          <cell r="F2793" t="str">
            <v>d'</v>
          </cell>
          <cell r="G2793" t="str">
            <v>arrêt</v>
          </cell>
          <cell r="H2793" t="str">
            <v>dans l'</v>
          </cell>
          <cell r="I2793" t="str">
            <v>arborescence</v>
          </cell>
        </row>
        <row r="2794">
          <cell r="C2794"/>
          <cell r="D2794" t="str">
            <v>du</v>
          </cell>
          <cell r="E2794" t="str">
            <v>niveau</v>
          </cell>
          <cell r="F2794" t="str">
            <v>du</v>
          </cell>
          <cell r="G2794" t="str">
            <v>composant</v>
          </cell>
          <cell r="H2794" t="str">
            <v>du</v>
          </cell>
          <cell r="I2794" t="str">
            <v>module</v>
          </cell>
        </row>
        <row r="2795">
          <cell r="C2795"/>
          <cell r="D2795" t="str">
            <v>du</v>
          </cell>
          <cell r="E2795" t="str">
            <v>niveau standardisé</v>
          </cell>
          <cell r="F2795" t="str">
            <v>du</v>
          </cell>
          <cell r="G2795" t="str">
            <v>composant</v>
          </cell>
          <cell r="H2795" t="str">
            <v>du</v>
          </cell>
          <cell r="I2795" t="str">
            <v>module</v>
          </cell>
        </row>
        <row r="2796">
          <cell r="C2796"/>
          <cell r="D2796" t="str">
            <v>du</v>
          </cell>
          <cell r="E2796" t="str">
            <v>type</v>
          </cell>
          <cell r="F2796" t="str">
            <v>de la</v>
          </cell>
          <cell r="G2796" t="str">
            <v>formule</v>
          </cell>
          <cell r="H2796" t="str">
            <v xml:space="preserve"> </v>
          </cell>
          <cell r="I2796"/>
        </row>
        <row r="2797">
          <cell r="C2797"/>
          <cell r="D2797" t="str">
            <v>de l'</v>
          </cell>
          <cell r="E2797" t="str">
            <v>événement</v>
          </cell>
          <cell r="F2797" t="str">
            <v xml:space="preserve"> </v>
          </cell>
          <cell r="G2797"/>
          <cell r="H2797"/>
          <cell r="I2797"/>
        </row>
        <row r="2798">
          <cell r="C2798"/>
          <cell r="D2798" t="str">
            <v>de la</v>
          </cell>
          <cell r="E2798" t="str">
            <v>formule</v>
          </cell>
          <cell r="F2798" t="str">
            <v xml:space="preserve"> </v>
          </cell>
          <cell r="G2798"/>
          <cell r="H2798"/>
          <cell r="I2798"/>
        </row>
        <row r="2799">
          <cell r="C2799"/>
          <cell r="D2799" t="str">
            <v>de la</v>
          </cell>
          <cell r="E2799" t="str">
            <v>formule fonctionnelle</v>
          </cell>
          <cell r="F2799" t="str">
            <v xml:space="preserve"> </v>
          </cell>
          <cell r="G2799"/>
          <cell r="H2799"/>
          <cell r="I2799"/>
        </row>
        <row r="2800">
          <cell r="C2800"/>
          <cell r="D2800" t="str">
            <v>de la</v>
          </cell>
          <cell r="E2800" t="str">
            <v>garantie usuelle</v>
          </cell>
          <cell r="F2800" t="str">
            <v xml:space="preserve"> </v>
          </cell>
          <cell r="G2800"/>
          <cell r="H2800"/>
          <cell r="I2800"/>
        </row>
        <row r="2801">
          <cell r="C2801"/>
          <cell r="D2801" t="str">
            <v>du</v>
          </cell>
          <cell r="E2801" t="str">
            <v>composant</v>
          </cell>
          <cell r="F2801" t="str">
            <v xml:space="preserve"> </v>
          </cell>
          <cell r="G2801" t="str">
            <v>initial</v>
          </cell>
          <cell r="H2801"/>
          <cell r="I2801"/>
        </row>
        <row r="2802">
          <cell r="C2802"/>
          <cell r="D2802" t="str">
            <v>du</v>
          </cell>
          <cell r="E2802" t="str">
            <v>niveau</v>
          </cell>
          <cell r="F2802" t="str">
            <v>de la</v>
          </cell>
          <cell r="G2802" t="str">
            <v>formule</v>
          </cell>
          <cell r="H2802"/>
          <cell r="I2802"/>
        </row>
        <row r="2803">
          <cell r="C2803"/>
          <cell r="D2803" t="str">
            <v>du</v>
          </cell>
          <cell r="E2803" t="str">
            <v>comportement</v>
          </cell>
          <cell r="F2803" t="str">
            <v>de la</v>
          </cell>
          <cell r="G2803" t="str">
            <v>propriété</v>
          </cell>
          <cell r="H2803" t="str">
            <v xml:space="preserve"> </v>
          </cell>
          <cell r="I2803"/>
        </row>
        <row r="2804">
          <cell r="C2804"/>
          <cell r="D2804" t="str">
            <v>du</v>
          </cell>
          <cell r="E2804" t="str">
            <v>typage</v>
          </cell>
          <cell r="F2804" t="str">
            <v>de la</v>
          </cell>
          <cell r="G2804" t="str">
            <v>propriété</v>
          </cell>
          <cell r="H2804" t="str">
            <v xml:space="preserve"> </v>
          </cell>
          <cell r="I2804"/>
        </row>
        <row r="2805">
          <cell r="C2805"/>
          <cell r="D2805" t="str">
            <v>de l'</v>
          </cell>
          <cell r="E2805" t="str">
            <v>objet assuré</v>
          </cell>
          <cell r="F2805" t="str">
            <v xml:space="preserve"> </v>
          </cell>
          <cell r="G2805"/>
          <cell r="H2805"/>
          <cell r="I2805"/>
        </row>
        <row r="2806">
          <cell r="C2806"/>
          <cell r="D2806" t="str">
            <v>de la</v>
          </cell>
          <cell r="E2806" t="str">
            <v>profondeur</v>
          </cell>
          <cell r="F2806" t="str">
            <v>de la</v>
          </cell>
          <cell r="G2806" t="str">
            <v>référence</v>
          </cell>
          <cell r="H2806" t="str">
            <v>du</v>
          </cell>
          <cell r="I2806" t="str">
            <v>module</v>
          </cell>
        </row>
        <row r="2807">
          <cell r="C2807"/>
          <cell r="D2807" t="str">
            <v>du</v>
          </cell>
          <cell r="E2807" t="str">
            <v>chemin</v>
          </cell>
          <cell r="F2807" t="str">
            <v xml:space="preserve"> </v>
          </cell>
          <cell r="G2807"/>
          <cell r="H2807"/>
          <cell r="I2807"/>
        </row>
        <row r="2808">
          <cell r="C2808"/>
          <cell r="D2808" t="str">
            <v>du</v>
          </cell>
          <cell r="E2808" t="str">
            <v>chemin</v>
          </cell>
          <cell r="F2808" t="str">
            <v>avec</v>
          </cell>
          <cell r="G2808" t="str">
            <v>propriété</v>
          </cell>
          <cell r="H2808" t="str">
            <v>,</v>
          </cell>
          <cell r="I2808" t="str">
            <v>module</v>
          </cell>
        </row>
        <row r="2809">
          <cell r="C2809"/>
          <cell r="D2809" t="str">
            <v>du</v>
          </cell>
          <cell r="E2809" t="str">
            <v>chemin</v>
          </cell>
          <cell r="F2809" t="str">
            <v>avec</v>
          </cell>
          <cell r="G2809" t="str">
            <v>module</v>
          </cell>
          <cell r="H2809" t="str">
            <v>et</v>
          </cell>
          <cell r="I2809" t="str">
            <v>événement</v>
          </cell>
        </row>
        <row r="2810">
          <cell r="C2810"/>
          <cell r="D2810" t="str">
            <v>du</v>
          </cell>
          <cell r="E2810" t="str">
            <v>chemin</v>
          </cell>
          <cell r="F2810" t="str">
            <v>avec</v>
          </cell>
          <cell r="G2810" t="str">
            <v>propriété</v>
          </cell>
          <cell r="H2810" t="str">
            <v xml:space="preserve"> </v>
          </cell>
          <cell r="I2810"/>
        </row>
        <row r="2811">
          <cell r="C2811"/>
          <cell r="D2811" t="str">
            <v>du</v>
          </cell>
          <cell r="E2811" t="str">
            <v>comportement</v>
          </cell>
          <cell r="F2811" t="str">
            <v>de la</v>
          </cell>
          <cell r="G2811" t="str">
            <v>propriété</v>
          </cell>
          <cell r="H2811" t="str">
            <v xml:space="preserve"> </v>
          </cell>
          <cell r="I2811"/>
        </row>
        <row r="2812">
          <cell r="C2812"/>
          <cell r="D2812" t="str">
            <v>du</v>
          </cell>
          <cell r="E2812" t="str">
            <v>module</v>
          </cell>
          <cell r="F2812" t="str">
            <v xml:space="preserve"> </v>
          </cell>
          <cell r="G2812"/>
          <cell r="H2812"/>
          <cell r="I2812"/>
        </row>
        <row r="2813">
          <cell r="C2813"/>
          <cell r="D2813" t="str">
            <v>du</v>
          </cell>
          <cell r="E2813" t="str">
            <v>niveau</v>
          </cell>
          <cell r="F2813" t="str">
            <v>d'</v>
          </cell>
          <cell r="G2813" t="str">
            <v>arrêt</v>
          </cell>
          <cell r="H2813" t="str">
            <v>dans l'</v>
          </cell>
          <cell r="I2813" t="str">
            <v>arborescence</v>
          </cell>
        </row>
        <row r="2814">
          <cell r="C2814"/>
          <cell r="D2814" t="str">
            <v>du</v>
          </cell>
          <cell r="E2814" t="str">
            <v>niveau</v>
          </cell>
          <cell r="F2814" t="str">
            <v>du</v>
          </cell>
          <cell r="G2814" t="str">
            <v>composant</v>
          </cell>
          <cell r="H2814" t="str">
            <v>du</v>
          </cell>
          <cell r="I2814" t="str">
            <v>module</v>
          </cell>
        </row>
        <row r="2815">
          <cell r="C2815"/>
          <cell r="D2815" t="str">
            <v>du</v>
          </cell>
          <cell r="E2815" t="str">
            <v>niveau standardisé</v>
          </cell>
          <cell r="F2815" t="str">
            <v>du</v>
          </cell>
          <cell r="G2815" t="str">
            <v>composant</v>
          </cell>
          <cell r="H2815" t="str">
            <v>du</v>
          </cell>
          <cell r="I2815" t="str">
            <v>module</v>
          </cell>
        </row>
        <row r="2816">
          <cell r="C2816"/>
          <cell r="D2816" t="str">
            <v>du</v>
          </cell>
          <cell r="E2816" t="str">
            <v>typage</v>
          </cell>
          <cell r="F2816" t="str">
            <v>de la</v>
          </cell>
          <cell r="G2816" t="str">
            <v>propriété</v>
          </cell>
          <cell r="H2816" t="str">
            <v xml:space="preserve"> </v>
          </cell>
          <cell r="I2816"/>
        </row>
        <row r="2817">
          <cell r="C2817"/>
          <cell r="D2817" t="str">
            <v>du</v>
          </cell>
          <cell r="E2817" t="str">
            <v>type</v>
          </cell>
          <cell r="F2817" t="str">
            <v>de la</v>
          </cell>
          <cell r="G2817" t="str">
            <v>formule</v>
          </cell>
          <cell r="H2817" t="str">
            <v xml:space="preserve"> </v>
          </cell>
          <cell r="I2817"/>
        </row>
        <row r="2818">
          <cell r="C2818"/>
          <cell r="D2818" t="str">
            <v>de l'</v>
          </cell>
          <cell r="E2818" t="str">
            <v>événement</v>
          </cell>
          <cell r="F2818" t="str">
            <v xml:space="preserve"> </v>
          </cell>
          <cell r="G2818"/>
          <cell r="H2818"/>
          <cell r="I2818"/>
        </row>
        <row r="2819">
          <cell r="C2819"/>
          <cell r="D2819" t="str">
            <v>de la</v>
          </cell>
          <cell r="E2819" t="str">
            <v>formule</v>
          </cell>
          <cell r="F2819" t="str">
            <v xml:space="preserve"> </v>
          </cell>
          <cell r="G2819"/>
          <cell r="H2819"/>
          <cell r="I2819"/>
        </row>
        <row r="2820">
          <cell r="C2820"/>
          <cell r="D2820" t="str">
            <v>de la</v>
          </cell>
          <cell r="E2820" t="str">
            <v>formule fonctionnelle</v>
          </cell>
          <cell r="F2820" t="str">
            <v xml:space="preserve"> </v>
          </cell>
          <cell r="G2820"/>
          <cell r="H2820"/>
          <cell r="I2820"/>
        </row>
        <row r="2821">
          <cell r="C2821"/>
          <cell r="D2821" t="str">
            <v>de la</v>
          </cell>
          <cell r="E2821" t="str">
            <v>garantie usuelle</v>
          </cell>
          <cell r="F2821" t="str">
            <v xml:space="preserve"> </v>
          </cell>
          <cell r="G2821"/>
          <cell r="H2821"/>
          <cell r="I2821"/>
        </row>
        <row r="2822">
          <cell r="C2822"/>
          <cell r="D2822" t="str">
            <v>du</v>
          </cell>
          <cell r="E2822" t="str">
            <v>composant</v>
          </cell>
          <cell r="F2822" t="str">
            <v xml:space="preserve"> </v>
          </cell>
          <cell r="G2822" t="str">
            <v>initial</v>
          </cell>
          <cell r="H2822"/>
          <cell r="I2822"/>
        </row>
        <row r="2823">
          <cell r="C2823"/>
          <cell r="D2823" t="str">
            <v>du</v>
          </cell>
          <cell r="E2823" t="str">
            <v>niveau</v>
          </cell>
          <cell r="F2823" t="str">
            <v>de la</v>
          </cell>
          <cell r="G2823" t="str">
            <v>formule</v>
          </cell>
          <cell r="H2823"/>
          <cell r="I2823"/>
        </row>
        <row r="2824">
          <cell r="C2824"/>
          <cell r="D2824" t="str">
            <v>de l'</v>
          </cell>
          <cell r="E2824" t="str">
            <v>objet assuré</v>
          </cell>
          <cell r="F2824" t="str">
            <v xml:space="preserve"> </v>
          </cell>
          <cell r="G2824"/>
          <cell r="H2824"/>
          <cell r="I2824"/>
        </row>
        <row r="2825">
          <cell r="C2825"/>
          <cell r="D2825" t="str">
            <v>de la</v>
          </cell>
          <cell r="E2825" t="str">
            <v>profondeur</v>
          </cell>
          <cell r="F2825" t="str">
            <v>de la</v>
          </cell>
          <cell r="G2825" t="str">
            <v>référence</v>
          </cell>
          <cell r="H2825" t="str">
            <v>du</v>
          </cell>
          <cell r="I2825" t="str">
            <v>module</v>
          </cell>
        </row>
        <row r="2826">
          <cell r="C2826"/>
          <cell r="D2826" t="str">
            <v>du</v>
          </cell>
          <cell r="E2826" t="str">
            <v>chemin</v>
          </cell>
          <cell r="F2826" t="str">
            <v xml:space="preserve"> </v>
          </cell>
          <cell r="G2826"/>
          <cell r="H2826"/>
          <cell r="I2826"/>
        </row>
        <row r="2827">
          <cell r="C2827"/>
          <cell r="D2827" t="str">
            <v>du</v>
          </cell>
          <cell r="E2827" t="str">
            <v>chemin</v>
          </cell>
          <cell r="F2827" t="str">
            <v>avec</v>
          </cell>
          <cell r="G2827" t="str">
            <v>propriété</v>
          </cell>
          <cell r="H2827" t="str">
            <v>,</v>
          </cell>
          <cell r="I2827" t="str">
            <v>module</v>
          </cell>
        </row>
        <row r="2828">
          <cell r="C2828"/>
          <cell r="D2828" t="str">
            <v>du</v>
          </cell>
          <cell r="E2828" t="str">
            <v>chemin</v>
          </cell>
          <cell r="F2828" t="str">
            <v>avec</v>
          </cell>
          <cell r="G2828" t="str">
            <v>module</v>
          </cell>
          <cell r="H2828" t="str">
            <v>et</v>
          </cell>
          <cell r="I2828" t="str">
            <v>événement</v>
          </cell>
        </row>
        <row r="2829">
          <cell r="C2829"/>
          <cell r="D2829" t="str">
            <v>du</v>
          </cell>
          <cell r="E2829" t="str">
            <v>chemin</v>
          </cell>
          <cell r="F2829" t="str">
            <v>avec</v>
          </cell>
          <cell r="G2829" t="str">
            <v>propriété</v>
          </cell>
          <cell r="H2829" t="str">
            <v xml:space="preserve"> </v>
          </cell>
          <cell r="I2829"/>
        </row>
        <row r="2830">
          <cell r="C2830"/>
          <cell r="D2830" t="str">
            <v>du</v>
          </cell>
          <cell r="E2830" t="str">
            <v>module</v>
          </cell>
          <cell r="F2830" t="str">
            <v xml:space="preserve"> </v>
          </cell>
          <cell r="G2830"/>
          <cell r="H2830"/>
          <cell r="I2830"/>
        </row>
        <row r="2831">
          <cell r="C2831"/>
          <cell r="D2831" t="str">
            <v>du</v>
          </cell>
          <cell r="E2831" t="str">
            <v>niveau</v>
          </cell>
          <cell r="F2831" t="str">
            <v>d'</v>
          </cell>
          <cell r="G2831" t="str">
            <v>arrêt</v>
          </cell>
          <cell r="H2831" t="str">
            <v>dans l'</v>
          </cell>
          <cell r="I2831" t="str">
            <v>arborescence</v>
          </cell>
        </row>
        <row r="2832">
          <cell r="C2832"/>
          <cell r="D2832" t="str">
            <v>du</v>
          </cell>
          <cell r="E2832" t="str">
            <v>niveau</v>
          </cell>
          <cell r="F2832" t="str">
            <v>du</v>
          </cell>
          <cell r="G2832" t="str">
            <v>composant</v>
          </cell>
          <cell r="H2832" t="str">
            <v>du</v>
          </cell>
          <cell r="I2832" t="str">
            <v>module</v>
          </cell>
        </row>
        <row r="2833">
          <cell r="C2833"/>
          <cell r="D2833" t="str">
            <v>du</v>
          </cell>
          <cell r="E2833" t="str">
            <v>niveau standardisé</v>
          </cell>
          <cell r="F2833" t="str">
            <v>du</v>
          </cell>
          <cell r="G2833" t="str">
            <v>composant</v>
          </cell>
          <cell r="H2833" t="str">
            <v>du</v>
          </cell>
          <cell r="I2833" t="str">
            <v>module</v>
          </cell>
        </row>
        <row r="2834">
          <cell r="C2834"/>
          <cell r="D2834" t="str">
            <v>du</v>
          </cell>
          <cell r="E2834" t="str">
            <v>type</v>
          </cell>
          <cell r="F2834" t="str">
            <v>de la</v>
          </cell>
          <cell r="G2834" t="str">
            <v>formule</v>
          </cell>
          <cell r="H2834" t="str">
            <v xml:space="preserve"> </v>
          </cell>
          <cell r="I2834"/>
        </row>
        <row r="2835">
          <cell r="C2835"/>
          <cell r="D2835" t="str">
            <v>de l'</v>
          </cell>
          <cell r="E2835" t="str">
            <v>événement</v>
          </cell>
          <cell r="F2835" t="str">
            <v xml:space="preserve"> </v>
          </cell>
          <cell r="G2835"/>
          <cell r="H2835"/>
          <cell r="I2835"/>
        </row>
        <row r="2836">
          <cell r="C2836"/>
          <cell r="D2836" t="str">
            <v>de la</v>
          </cell>
          <cell r="E2836" t="str">
            <v>formule</v>
          </cell>
          <cell r="F2836" t="str">
            <v xml:space="preserve"> </v>
          </cell>
          <cell r="G2836"/>
          <cell r="H2836"/>
          <cell r="I2836"/>
        </row>
        <row r="2837">
          <cell r="C2837"/>
          <cell r="D2837" t="str">
            <v>de la</v>
          </cell>
          <cell r="E2837" t="str">
            <v>formule fonctionnelle</v>
          </cell>
          <cell r="F2837" t="str">
            <v xml:space="preserve"> </v>
          </cell>
          <cell r="G2837"/>
          <cell r="H2837"/>
          <cell r="I2837"/>
        </row>
        <row r="2838">
          <cell r="C2838"/>
          <cell r="D2838" t="str">
            <v>de la</v>
          </cell>
          <cell r="E2838" t="str">
            <v>garantie usuelle</v>
          </cell>
          <cell r="F2838" t="str">
            <v xml:space="preserve"> </v>
          </cell>
          <cell r="G2838"/>
          <cell r="H2838"/>
          <cell r="I2838"/>
        </row>
        <row r="2839">
          <cell r="C2839"/>
          <cell r="D2839" t="str">
            <v>du</v>
          </cell>
          <cell r="E2839" t="str">
            <v>composant</v>
          </cell>
          <cell r="F2839" t="str">
            <v xml:space="preserve"> </v>
          </cell>
          <cell r="G2839" t="str">
            <v>initial</v>
          </cell>
          <cell r="H2839"/>
          <cell r="I2839"/>
        </row>
        <row r="2840">
          <cell r="C2840"/>
          <cell r="D2840" t="str">
            <v>de la</v>
          </cell>
          <cell r="E2840" t="str">
            <v>couverture</v>
          </cell>
          <cell r="F2840" t="str">
            <v xml:space="preserve"> </v>
          </cell>
          <cell r="G2840"/>
          <cell r="H2840"/>
          <cell r="I2840"/>
        </row>
        <row r="2841">
          <cell r="C2841"/>
          <cell r="D2841" t="str">
            <v>du</v>
          </cell>
          <cell r="E2841" t="str">
            <v>niveau</v>
          </cell>
          <cell r="F2841" t="str">
            <v>de la</v>
          </cell>
          <cell r="G2841" t="str">
            <v>formule</v>
          </cell>
          <cell r="H2841"/>
          <cell r="I2841"/>
        </row>
        <row r="2842">
          <cell r="C2842"/>
          <cell r="D2842" t="str">
            <v>du</v>
          </cell>
          <cell r="E2842" t="str">
            <v>comportement</v>
          </cell>
          <cell r="F2842" t="str">
            <v>de la</v>
          </cell>
          <cell r="G2842" t="str">
            <v>propriété</v>
          </cell>
          <cell r="H2842" t="str">
            <v xml:space="preserve"> </v>
          </cell>
          <cell r="I2842"/>
        </row>
        <row r="2843">
          <cell r="C2843"/>
          <cell r="D2843" t="str">
            <v>du</v>
          </cell>
          <cell r="E2843" t="str">
            <v>typage</v>
          </cell>
          <cell r="F2843" t="str">
            <v>de la</v>
          </cell>
          <cell r="G2843" t="str">
            <v>propriété</v>
          </cell>
          <cell r="H2843" t="str">
            <v xml:space="preserve"> </v>
          </cell>
          <cell r="I2843"/>
        </row>
        <row r="2844">
          <cell r="C2844"/>
          <cell r="D2844" t="str">
            <v>de</v>
          </cell>
          <cell r="E2844" t="str">
            <v>dernière image</v>
          </cell>
          <cell r="F2844" t="str">
            <v>du</v>
          </cell>
          <cell r="G2844" t="str">
            <v>code ACTE</v>
          </cell>
          <cell r="H2844" t="str">
            <v xml:space="preserve"> </v>
          </cell>
          <cell r="I2844"/>
        </row>
        <row r="2845">
          <cell r="C2845"/>
          <cell r="D2845" t="str">
            <v>du</v>
          </cell>
          <cell r="E2845" t="str">
            <v>code ACTE</v>
          </cell>
          <cell r="F2845" t="str">
            <v xml:space="preserve"> </v>
          </cell>
          <cell r="G2845"/>
          <cell r="H2845"/>
          <cell r="I2845"/>
        </row>
        <row r="2846">
          <cell r="C2846"/>
          <cell r="D2846" t="str">
            <v>du</v>
          </cell>
          <cell r="E2846" t="str">
            <v>comportement</v>
          </cell>
          <cell r="F2846" t="str">
            <v>de la</v>
          </cell>
          <cell r="G2846" t="str">
            <v>Précision De Couverture</v>
          </cell>
          <cell r="H2846" t="str">
            <v xml:space="preserve"> </v>
          </cell>
          <cell r="I2846"/>
        </row>
        <row r="2847">
          <cell r="C2847"/>
          <cell r="D2847" t="str">
            <v>de</v>
          </cell>
          <cell r="E2847" t="str">
            <v>Derniere image de l'identifiant unique</v>
          </cell>
          <cell r="F2847" t="str">
            <v>du</v>
          </cell>
          <cell r="G2847" t="str">
            <v>code ACTE</v>
          </cell>
          <cell r="H2847"/>
          <cell r="I2847"/>
        </row>
        <row r="2848">
          <cell r="C2848"/>
          <cell r="D2848" t="str">
            <v>de la</v>
          </cell>
          <cell r="E2848" t="str">
            <v>formule</v>
          </cell>
          <cell r="F2848" t="str">
            <v xml:space="preserve"> </v>
          </cell>
          <cell r="G2848"/>
          <cell r="H2848"/>
          <cell r="I2848"/>
        </row>
        <row r="2849">
          <cell r="C2849"/>
          <cell r="D2849" t="str">
            <v>du</v>
          </cell>
          <cell r="E2849" t="str">
            <v>code ACTE</v>
          </cell>
          <cell r="F2849" t="str">
            <v xml:space="preserve"> </v>
          </cell>
          <cell r="G2849"/>
          <cell r="H2849"/>
          <cell r="I2849"/>
        </row>
        <row r="2850">
          <cell r="C2850"/>
          <cell r="D2850" t="str">
            <v>du</v>
          </cell>
          <cell r="E2850" t="str">
            <v>code ACTE</v>
          </cell>
          <cell r="F2850" t="str">
            <v xml:space="preserve"> </v>
          </cell>
          <cell r="G2850"/>
          <cell r="H2850"/>
          <cell r="I2850"/>
        </row>
        <row r="2851">
          <cell r="C2851"/>
          <cell r="D2851" t="str">
            <v>du</v>
          </cell>
          <cell r="E2851" t="str">
            <v>code ACTE</v>
          </cell>
          <cell r="F2851" t="str">
            <v xml:space="preserve"> </v>
          </cell>
          <cell r="G2851"/>
          <cell r="H2851"/>
          <cell r="I2851"/>
        </row>
        <row r="2852">
          <cell r="C2852"/>
          <cell r="D2852" t="str">
            <v>du</v>
          </cell>
          <cell r="E2852" t="str">
            <v>code ACTE</v>
          </cell>
          <cell r="F2852" t="str">
            <v xml:space="preserve"> </v>
          </cell>
          <cell r="G2852"/>
          <cell r="H2852"/>
          <cell r="I2852"/>
        </row>
        <row r="2853">
          <cell r="C2853"/>
          <cell r="D2853" t="str">
            <v>de</v>
          </cell>
          <cell r="E2853" t="str">
            <v>Derniere image de l'identifiant unique</v>
          </cell>
          <cell r="F2853" t="str">
            <v>de l'</v>
          </cell>
          <cell r="G2853" t="str">
            <v>événement</v>
          </cell>
          <cell r="H2853"/>
          <cell r="I2853"/>
        </row>
        <row r="2854">
          <cell r="C2854"/>
          <cell r="D2854" t="str">
            <v>de</v>
          </cell>
          <cell r="E2854" t="str">
            <v>dernière image</v>
          </cell>
          <cell r="F2854" t="str">
            <v>de l'</v>
          </cell>
          <cell r="G2854" t="str">
            <v>événement</v>
          </cell>
          <cell r="H2854" t="str">
            <v xml:space="preserve"> </v>
          </cell>
          <cell r="I2854"/>
        </row>
        <row r="2855">
          <cell r="C2855"/>
          <cell r="D2855" t="str">
            <v>de la</v>
          </cell>
          <cell r="E2855" t="str">
            <v>branche</v>
          </cell>
          <cell r="F2855" t="str">
            <v xml:space="preserve"> </v>
          </cell>
          <cell r="G2855" t="str">
            <v>Produit d'Assurance</v>
          </cell>
          <cell r="H2855" t="str">
            <v xml:space="preserve"> </v>
          </cell>
          <cell r="I2855"/>
        </row>
        <row r="2856">
          <cell r="C2856"/>
          <cell r="D2856" t="str">
            <v>de l'</v>
          </cell>
          <cell r="E2856" t="str">
            <v>événement</v>
          </cell>
          <cell r="F2856" t="str">
            <v xml:space="preserve"> </v>
          </cell>
          <cell r="G2856"/>
          <cell r="H2856"/>
          <cell r="I2856"/>
        </row>
        <row r="2857">
          <cell r="C2857"/>
          <cell r="D2857" t="str">
            <v>de l'</v>
          </cell>
          <cell r="E2857" t="str">
            <v>événement</v>
          </cell>
          <cell r="F2857" t="str">
            <v xml:space="preserve"> </v>
          </cell>
          <cell r="G2857"/>
          <cell r="H2857"/>
          <cell r="I2857"/>
        </row>
        <row r="2858">
          <cell r="C2858"/>
          <cell r="D2858" t="str">
            <v>de l'</v>
          </cell>
          <cell r="E2858" t="str">
            <v>événement</v>
          </cell>
          <cell r="F2858" t="str">
            <v xml:space="preserve"> </v>
          </cell>
          <cell r="G2858"/>
          <cell r="H2858"/>
          <cell r="I2858"/>
        </row>
        <row r="2859">
          <cell r="C2859"/>
          <cell r="D2859" t="str">
            <v>de l'</v>
          </cell>
          <cell r="E2859" t="str">
            <v>événement</v>
          </cell>
          <cell r="F2859" t="str">
            <v xml:space="preserve"> </v>
          </cell>
          <cell r="G2859"/>
          <cell r="H2859"/>
          <cell r="I2859"/>
        </row>
        <row r="2860">
          <cell r="C2860"/>
          <cell r="D2860" t="str">
            <v>de l'</v>
          </cell>
          <cell r="E2860" t="str">
            <v>événement</v>
          </cell>
          <cell r="F2860" t="str">
            <v xml:space="preserve"> </v>
          </cell>
          <cell r="G2860"/>
          <cell r="H2860"/>
          <cell r="I2860"/>
        </row>
        <row r="2861">
          <cell r="C2861"/>
          <cell r="D2861" t="str">
            <v>de l'</v>
          </cell>
          <cell r="E2861" t="str">
            <v>événement</v>
          </cell>
          <cell r="F2861" t="str">
            <v xml:space="preserve"> </v>
          </cell>
          <cell r="G2861"/>
          <cell r="H2861"/>
          <cell r="I2861"/>
        </row>
        <row r="2862">
          <cell r="C2862"/>
          <cell r="D2862" t="str">
            <v>du</v>
          </cell>
          <cell r="E2862" t="str">
            <v>niveau</v>
          </cell>
          <cell r="F2862" t="str">
            <v>de la</v>
          </cell>
          <cell r="G2862" t="str">
            <v>formule</v>
          </cell>
          <cell r="H2862" t="str">
            <v xml:space="preserve"> </v>
          </cell>
          <cell r="I2862"/>
        </row>
        <row r="2863">
          <cell r="C2863"/>
          <cell r="D2863" t="str">
            <v>de la</v>
          </cell>
          <cell r="E2863" t="str">
            <v>formule fonctionnelle</v>
          </cell>
          <cell r="F2863" t="str">
            <v xml:space="preserve"> </v>
          </cell>
          <cell r="G2863"/>
          <cell r="H2863"/>
          <cell r="I2863"/>
        </row>
        <row r="2864">
          <cell r="C2864"/>
          <cell r="D2864" t="str">
            <v>du</v>
          </cell>
          <cell r="E2864" t="str">
            <v>socle</v>
          </cell>
          <cell r="F2864" t="str">
            <v xml:space="preserve"> </v>
          </cell>
          <cell r="G2864" t="str">
            <v>ACM</v>
          </cell>
          <cell r="H2864" t="str">
            <v>de la</v>
          </cell>
          <cell r="I2864" t="str">
            <v>formule</v>
          </cell>
        </row>
        <row r="2865">
          <cell r="C2865"/>
          <cell r="D2865" t="str">
            <v>de la</v>
          </cell>
          <cell r="E2865" t="str">
            <v>formule fonctionnelle</v>
          </cell>
          <cell r="F2865" t="str">
            <v xml:space="preserve"> </v>
          </cell>
          <cell r="G2865"/>
          <cell r="H2865"/>
          <cell r="I2865"/>
        </row>
        <row r="2866">
          <cell r="C2866"/>
          <cell r="D2866" t="str">
            <v>du</v>
          </cell>
          <cell r="E2866" t="str">
            <v>socle</v>
          </cell>
          <cell r="F2866" t="str">
            <v xml:space="preserve"> </v>
          </cell>
          <cell r="G2866" t="str">
            <v>CCN</v>
          </cell>
          <cell r="H2866" t="str">
            <v>de la</v>
          </cell>
          <cell r="I2866" t="str">
            <v>formule</v>
          </cell>
        </row>
        <row r="2867">
          <cell r="C2867"/>
          <cell r="D2867" t="str">
            <v>du</v>
          </cell>
          <cell r="E2867" t="str">
            <v>niveau standardisé</v>
          </cell>
          <cell r="F2867" t="str">
            <v>de la</v>
          </cell>
          <cell r="G2867" t="str">
            <v>formule</v>
          </cell>
          <cell r="H2867" t="str">
            <v xml:space="preserve"> </v>
          </cell>
          <cell r="I2867"/>
        </row>
        <row r="2868">
          <cell r="C2868"/>
          <cell r="D2868" t="str">
            <v>du</v>
          </cell>
          <cell r="E2868" t="str">
            <v>type</v>
          </cell>
          <cell r="F2868" t="str">
            <v>de la</v>
          </cell>
          <cell r="G2868" t="str">
            <v>formule</v>
          </cell>
          <cell r="H2868" t="str">
            <v xml:space="preserve"> </v>
          </cell>
          <cell r="I2868"/>
        </row>
        <row r="2869">
          <cell r="C2869"/>
          <cell r="D2869" t="str">
            <v>de la</v>
          </cell>
          <cell r="E2869" t="str">
            <v>version</v>
          </cell>
          <cell r="F2869" t="str">
            <v>de</v>
          </cell>
          <cell r="G2869" t="str">
            <v>construction</v>
          </cell>
          <cell r="H2869" t="str">
            <v>de la</v>
          </cell>
          <cell r="I2869" t="str">
            <v>formule</v>
          </cell>
        </row>
        <row r="2870">
          <cell r="C2870"/>
          <cell r="D2870" t="str">
            <v>de la</v>
          </cell>
          <cell r="E2870" t="str">
            <v>formule</v>
          </cell>
          <cell r="F2870" t="str">
            <v xml:space="preserve"> </v>
          </cell>
          <cell r="G2870"/>
          <cell r="H2870"/>
          <cell r="I2870"/>
        </row>
        <row r="2871">
          <cell r="C2871"/>
          <cell r="D2871" t="str">
            <v>du</v>
          </cell>
          <cell r="E2871" t="str">
            <v>statut</v>
          </cell>
          <cell r="F2871" t="str">
            <v>de</v>
          </cell>
          <cell r="G2871" t="str">
            <v>diffusion</v>
          </cell>
          <cell r="H2871"/>
          <cell r="I2871"/>
        </row>
        <row r="2872">
          <cell r="C2872"/>
          <cell r="D2872" t="str">
            <v>du</v>
          </cell>
          <cell r="E2872" t="str">
            <v>typage</v>
          </cell>
          <cell r="F2872" t="str">
            <v>de la</v>
          </cell>
          <cell r="G2872" t="str">
            <v>propriété</v>
          </cell>
          <cell r="H2872" t="str">
            <v xml:space="preserve"> </v>
          </cell>
          <cell r="I2872"/>
        </row>
        <row r="2873">
          <cell r="C2873"/>
          <cell r="D2873" t="str">
            <v>du</v>
          </cell>
          <cell r="E2873" t="str">
            <v>garantie usuelle</v>
          </cell>
          <cell r="F2873" t="str">
            <v xml:space="preserve"> </v>
          </cell>
          <cell r="G2873"/>
          <cell r="H2873"/>
          <cell r="I2873"/>
        </row>
        <row r="2874">
          <cell r="C2874"/>
          <cell r="D2874" t="str">
            <v>de la</v>
          </cell>
          <cell r="E2874" t="str">
            <v>garantie usuelle</v>
          </cell>
          <cell r="F2874" t="str">
            <v xml:space="preserve"> </v>
          </cell>
          <cell r="G2874"/>
          <cell r="H2874"/>
          <cell r="I2874"/>
        </row>
        <row r="2875">
          <cell r="C2875"/>
          <cell r="D2875" t="str">
            <v>de</v>
          </cell>
          <cell r="E2875" t="str">
            <v>Derniere image de l'identifiant unique</v>
          </cell>
          <cell r="F2875" t="str">
            <v>des</v>
          </cell>
          <cell r="G2875" t="str">
            <v>garantie</v>
          </cell>
          <cell r="H2875" t="str">
            <v>et</v>
          </cell>
          <cell r="I2875" t="str">
            <v>service</v>
          </cell>
        </row>
        <row r="2876">
          <cell r="C2876"/>
          <cell r="D2876" t="str">
            <v>de l'</v>
          </cell>
          <cell r="E2876" t="str">
            <v>objet assuré</v>
          </cell>
          <cell r="F2876" t="str">
            <v xml:space="preserve"> </v>
          </cell>
          <cell r="G2876"/>
          <cell r="H2876"/>
          <cell r="I2876"/>
        </row>
        <row r="2877">
          <cell r="C2877"/>
          <cell r="D2877" t="str">
            <v>de la</v>
          </cell>
          <cell r="E2877" t="str">
            <v>profondeur</v>
          </cell>
          <cell r="F2877" t="str">
            <v>de la</v>
          </cell>
          <cell r="G2877" t="str">
            <v>référence</v>
          </cell>
          <cell r="H2877" t="str">
            <v>du</v>
          </cell>
          <cell r="I2877" t="str">
            <v>module</v>
          </cell>
        </row>
        <row r="2878">
          <cell r="C2878"/>
          <cell r="D2878" t="str">
            <v>du</v>
          </cell>
          <cell r="E2878" t="str">
            <v>chemin</v>
          </cell>
          <cell r="F2878" t="str">
            <v xml:space="preserve"> </v>
          </cell>
          <cell r="G2878"/>
          <cell r="H2878"/>
          <cell r="I2878"/>
        </row>
        <row r="2879">
          <cell r="C2879"/>
          <cell r="D2879" t="str">
            <v>du</v>
          </cell>
          <cell r="E2879" t="str">
            <v>chemin</v>
          </cell>
          <cell r="F2879" t="str">
            <v>avec</v>
          </cell>
          <cell r="G2879" t="str">
            <v>module</v>
          </cell>
          <cell r="H2879" t="str">
            <v>et</v>
          </cell>
          <cell r="I2879" t="str">
            <v>événement</v>
          </cell>
        </row>
        <row r="2880">
          <cell r="C2880"/>
          <cell r="D2880" t="str">
            <v>du</v>
          </cell>
          <cell r="E2880" t="str">
            <v>module</v>
          </cell>
          <cell r="F2880" t="str">
            <v xml:space="preserve"> </v>
          </cell>
          <cell r="G2880"/>
          <cell r="H2880"/>
          <cell r="I2880"/>
        </row>
        <row r="2881">
          <cell r="C2881"/>
          <cell r="D2881" t="str">
            <v>du</v>
          </cell>
          <cell r="E2881" t="str">
            <v>niveau</v>
          </cell>
          <cell r="F2881" t="str">
            <v>d'</v>
          </cell>
          <cell r="G2881" t="str">
            <v>arrêt</v>
          </cell>
          <cell r="H2881" t="str">
            <v>dans l'</v>
          </cell>
          <cell r="I2881" t="str">
            <v>arborescence</v>
          </cell>
        </row>
        <row r="2882">
          <cell r="C2882"/>
          <cell r="D2882" t="str">
            <v>du</v>
          </cell>
          <cell r="E2882" t="str">
            <v>niveau</v>
          </cell>
          <cell r="F2882" t="str">
            <v>du</v>
          </cell>
          <cell r="G2882" t="str">
            <v>composant</v>
          </cell>
          <cell r="H2882" t="str">
            <v>du</v>
          </cell>
          <cell r="I2882" t="str">
            <v>module</v>
          </cell>
        </row>
        <row r="2883">
          <cell r="C2883"/>
          <cell r="D2883" t="str">
            <v>du</v>
          </cell>
          <cell r="E2883" t="str">
            <v>niveau standardisé</v>
          </cell>
          <cell r="F2883" t="str">
            <v>du</v>
          </cell>
          <cell r="G2883" t="str">
            <v>composant</v>
          </cell>
          <cell r="H2883" t="str">
            <v>du</v>
          </cell>
          <cell r="I2883" t="str">
            <v>module</v>
          </cell>
        </row>
        <row r="2884">
          <cell r="C2884"/>
          <cell r="D2884" t="str">
            <v>de l'</v>
          </cell>
          <cell r="E2884" t="str">
            <v>événement</v>
          </cell>
          <cell r="F2884" t="str">
            <v xml:space="preserve"> </v>
          </cell>
          <cell r="G2884"/>
          <cell r="H2884"/>
          <cell r="I2884"/>
        </row>
        <row r="2885">
          <cell r="C2885"/>
          <cell r="D2885" t="str">
            <v>du</v>
          </cell>
          <cell r="E2885" t="str">
            <v>composant</v>
          </cell>
          <cell r="F2885" t="str">
            <v xml:space="preserve"> </v>
          </cell>
          <cell r="G2885" t="str">
            <v>initial</v>
          </cell>
          <cell r="H2885"/>
          <cell r="I2885"/>
        </row>
        <row r="2886">
          <cell r="C2886"/>
          <cell r="D2886" t="str">
            <v>du</v>
          </cell>
          <cell r="E2886" t="str">
            <v>chemin</v>
          </cell>
          <cell r="F2886" t="str">
            <v>avec</v>
          </cell>
          <cell r="G2886" t="str">
            <v>propriété</v>
          </cell>
          <cell r="H2886" t="str">
            <v>,</v>
          </cell>
          <cell r="I2886" t="str">
            <v>module</v>
          </cell>
        </row>
        <row r="2887">
          <cell r="C2887"/>
          <cell r="D2887" t="str">
            <v>du</v>
          </cell>
          <cell r="E2887" t="str">
            <v>chemin</v>
          </cell>
          <cell r="F2887" t="str">
            <v>avec</v>
          </cell>
          <cell r="G2887" t="str">
            <v>propriété</v>
          </cell>
          <cell r="H2887" t="str">
            <v xml:space="preserve"> </v>
          </cell>
          <cell r="I2887"/>
        </row>
        <row r="2888">
          <cell r="C2888"/>
          <cell r="D2888" t="str">
            <v>de</v>
          </cell>
          <cell r="E2888" t="str">
            <v>Derniere image de l'identifiant unique</v>
          </cell>
          <cell r="F2888" t="str">
            <v>des</v>
          </cell>
          <cell r="G2888" t="str">
            <v>garantie</v>
          </cell>
          <cell r="H2888" t="str">
            <v>et</v>
          </cell>
          <cell r="I2888" t="str">
            <v>service</v>
          </cell>
        </row>
        <row r="2889">
          <cell r="C2889"/>
          <cell r="D2889" t="str">
            <v>de l'</v>
          </cell>
          <cell r="E2889" t="str">
            <v>objet assuré</v>
          </cell>
          <cell r="F2889" t="str">
            <v xml:space="preserve"> </v>
          </cell>
          <cell r="G2889"/>
          <cell r="H2889"/>
          <cell r="I2889"/>
        </row>
        <row r="2890">
          <cell r="C2890"/>
          <cell r="D2890" t="str">
            <v>de la</v>
          </cell>
          <cell r="E2890" t="str">
            <v>profondeur</v>
          </cell>
          <cell r="F2890" t="str">
            <v>de la</v>
          </cell>
          <cell r="G2890" t="str">
            <v>référence</v>
          </cell>
          <cell r="H2890" t="str">
            <v>du</v>
          </cell>
          <cell r="I2890" t="str">
            <v>module</v>
          </cell>
        </row>
        <row r="2891">
          <cell r="C2891"/>
          <cell r="D2891" t="str">
            <v>du</v>
          </cell>
          <cell r="E2891" t="str">
            <v>chemin</v>
          </cell>
          <cell r="F2891" t="str">
            <v xml:space="preserve"> </v>
          </cell>
          <cell r="G2891"/>
          <cell r="H2891"/>
          <cell r="I2891"/>
        </row>
        <row r="2892">
          <cell r="C2892"/>
          <cell r="D2892" t="str">
            <v>du</v>
          </cell>
          <cell r="E2892" t="str">
            <v>chemin</v>
          </cell>
          <cell r="F2892" t="str">
            <v>avec</v>
          </cell>
          <cell r="G2892" t="str">
            <v>module</v>
          </cell>
          <cell r="H2892" t="str">
            <v>et</v>
          </cell>
          <cell r="I2892" t="str">
            <v>événement</v>
          </cell>
        </row>
        <row r="2893">
          <cell r="C2893"/>
          <cell r="D2893" t="str">
            <v>du</v>
          </cell>
          <cell r="E2893" t="str">
            <v>module</v>
          </cell>
          <cell r="F2893" t="str">
            <v xml:space="preserve"> </v>
          </cell>
          <cell r="G2893"/>
          <cell r="H2893"/>
          <cell r="I2893"/>
        </row>
        <row r="2894">
          <cell r="C2894"/>
          <cell r="D2894" t="str">
            <v>du</v>
          </cell>
          <cell r="E2894" t="str">
            <v>niveau</v>
          </cell>
          <cell r="F2894" t="str">
            <v>d'</v>
          </cell>
          <cell r="G2894" t="str">
            <v>arrêt</v>
          </cell>
          <cell r="H2894" t="str">
            <v>dans l'</v>
          </cell>
          <cell r="I2894" t="str">
            <v>arborescence</v>
          </cell>
        </row>
        <row r="2895">
          <cell r="C2895"/>
          <cell r="D2895" t="str">
            <v>du</v>
          </cell>
          <cell r="E2895" t="str">
            <v>niveau</v>
          </cell>
          <cell r="F2895" t="str">
            <v>du</v>
          </cell>
          <cell r="G2895" t="str">
            <v>composant</v>
          </cell>
          <cell r="H2895" t="str">
            <v>du</v>
          </cell>
          <cell r="I2895" t="str">
            <v>module</v>
          </cell>
        </row>
        <row r="2896">
          <cell r="C2896"/>
          <cell r="D2896" t="str">
            <v>du</v>
          </cell>
          <cell r="E2896" t="str">
            <v>niveau standardisé</v>
          </cell>
          <cell r="F2896" t="str">
            <v>du</v>
          </cell>
          <cell r="G2896" t="str">
            <v>composant</v>
          </cell>
          <cell r="H2896" t="str">
            <v>du</v>
          </cell>
          <cell r="I2896" t="str">
            <v>module</v>
          </cell>
        </row>
        <row r="2897">
          <cell r="C2897"/>
          <cell r="D2897" t="str">
            <v>de l'</v>
          </cell>
          <cell r="E2897" t="str">
            <v>événement</v>
          </cell>
          <cell r="F2897" t="str">
            <v xml:space="preserve"> </v>
          </cell>
          <cell r="G2897"/>
          <cell r="H2897"/>
          <cell r="I2897"/>
        </row>
        <row r="2898">
          <cell r="C2898"/>
          <cell r="D2898" t="str">
            <v>du</v>
          </cell>
          <cell r="E2898" t="str">
            <v>composant</v>
          </cell>
          <cell r="F2898" t="str">
            <v xml:space="preserve"> </v>
          </cell>
          <cell r="G2898" t="str">
            <v>initial</v>
          </cell>
          <cell r="H2898"/>
          <cell r="I2898"/>
        </row>
        <row r="2899">
          <cell r="C2899"/>
          <cell r="D2899" t="str">
            <v>des</v>
          </cell>
          <cell r="E2899" t="str">
            <v>garanties et services</v>
          </cell>
          <cell r="F2899"/>
          <cell r="G2899"/>
          <cell r="H2899"/>
          <cell r="I2899"/>
        </row>
        <row r="2900">
          <cell r="C2900"/>
          <cell r="D2900" t="str">
            <v>des</v>
          </cell>
          <cell r="E2900" t="str">
            <v>garanties et services</v>
          </cell>
          <cell r="F2900"/>
          <cell r="G2900"/>
          <cell r="H2900"/>
          <cell r="I2900"/>
        </row>
        <row r="2901">
          <cell r="C2901"/>
          <cell r="D2901" t="str">
            <v>des</v>
          </cell>
          <cell r="E2901" t="str">
            <v>garanties et services</v>
          </cell>
          <cell r="F2901"/>
          <cell r="G2901"/>
          <cell r="H2901"/>
          <cell r="I2901"/>
        </row>
        <row r="2902">
          <cell r="C2902"/>
          <cell r="D2902" t="str">
            <v>de la</v>
          </cell>
          <cell r="E2902" t="str">
            <v>garantie usuelle</v>
          </cell>
          <cell r="F2902" t="str">
            <v xml:space="preserve"> </v>
          </cell>
          <cell r="G2902"/>
          <cell r="H2902"/>
          <cell r="I2902"/>
        </row>
        <row r="2903">
          <cell r="C2903"/>
          <cell r="D2903" t="str">
            <v>du</v>
          </cell>
          <cell r="E2903" t="str">
            <v>type</v>
          </cell>
          <cell r="F2903" t="str">
            <v>de la</v>
          </cell>
          <cell r="G2903" t="str">
            <v>propriété</v>
          </cell>
          <cell r="H2903" t="str">
            <v xml:space="preserve"> </v>
          </cell>
          <cell r="I2903"/>
        </row>
        <row r="2904">
          <cell r="C2904"/>
          <cell r="D2904" t="str">
            <v>du</v>
          </cell>
          <cell r="E2904" t="str">
            <v>chemin</v>
          </cell>
          <cell r="F2904" t="str">
            <v>de</v>
          </cell>
          <cell r="G2904" t="str">
            <v>regroupement</v>
          </cell>
          <cell r="H2904" t="str">
            <v xml:space="preserve"> </v>
          </cell>
          <cell r="I2904" t="str">
            <v>prise en charge</v>
          </cell>
        </row>
        <row r="2905">
          <cell r="C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cell r="H2906"/>
          <cell r="I2906"/>
        </row>
        <row r="2907">
          <cell r="C2907"/>
          <cell r="D2907" t="str">
            <v>de la</v>
          </cell>
          <cell r="E2907" t="str">
            <v>fédération</v>
          </cell>
          <cell r="F2907" t="str">
            <v>de la</v>
          </cell>
          <cell r="G2907" t="str">
            <v>société apéritrice</v>
          </cell>
          <cell r="H2907"/>
          <cell r="I2907"/>
        </row>
        <row r="2908">
          <cell r="C2908"/>
          <cell r="D2908" t="str">
            <v>de l'</v>
          </cell>
          <cell r="E2908" t="str">
            <v>entité gestionnaire</v>
          </cell>
          <cell r="F2908" t="str">
            <v>de la</v>
          </cell>
          <cell r="G2908" t="str">
            <v>société apéritrice</v>
          </cell>
          <cell r="H2908"/>
          <cell r="I2908"/>
        </row>
        <row r="2909">
          <cell r="C2909"/>
          <cell r="D2909" t="str">
            <v>de la</v>
          </cell>
          <cell r="E2909" t="str">
            <v>fédération</v>
          </cell>
          <cell r="F2909" t="str">
            <v>de la</v>
          </cell>
          <cell r="G2909" t="str">
            <v>Société d'assurance</v>
          </cell>
          <cell r="H2909"/>
          <cell r="I2909"/>
        </row>
        <row r="2910">
          <cell r="C2910"/>
          <cell r="D2910" t="str">
            <v>de l'</v>
          </cell>
          <cell r="E2910" t="str">
            <v>entité gestionnaire</v>
          </cell>
          <cell r="F2910" t="str">
            <v>de la</v>
          </cell>
          <cell r="G2910" t="str">
            <v>Société d'assurance</v>
          </cell>
          <cell r="H2910"/>
          <cell r="I2910"/>
        </row>
        <row r="2911">
          <cell r="C2911"/>
          <cell r="D2911" t="str">
            <v>de la</v>
          </cell>
          <cell r="E2911" t="str">
            <v>fédération</v>
          </cell>
          <cell r="F2911" t="str">
            <v>de la</v>
          </cell>
          <cell r="G2911" t="str">
            <v>Société de Gestion de la Garantie</v>
          </cell>
          <cell r="H2911"/>
          <cell r="I2911"/>
        </row>
        <row r="2912">
          <cell r="C2912"/>
          <cell r="D2912" t="str">
            <v>de l'</v>
          </cell>
          <cell r="E2912" t="str">
            <v>entité gestionnaire</v>
          </cell>
          <cell r="F2912" t="str">
            <v>de la</v>
          </cell>
          <cell r="G2912" t="str">
            <v>Société de Gestion de la Garantie</v>
          </cell>
          <cell r="H2912"/>
          <cell r="I2912"/>
        </row>
        <row r="2913">
          <cell r="C2913"/>
          <cell r="D2913" t="str">
            <v>de la</v>
          </cell>
          <cell r="E2913" t="str">
            <v>Société d'assurance</v>
          </cell>
          <cell r="F2913"/>
          <cell r="G2913"/>
          <cell r="H2913"/>
          <cell r="I2913"/>
        </row>
        <row r="2914">
          <cell r="C2914"/>
          <cell r="D2914" t="str">
            <v>de la</v>
          </cell>
          <cell r="E2914" t="str">
            <v>société apéritrice</v>
          </cell>
          <cell r="F2914"/>
          <cell r="G2914"/>
          <cell r="H2914"/>
          <cell r="I2914"/>
        </row>
        <row r="2915">
          <cell r="C2915"/>
          <cell r="D2915" t="str">
            <v>de la</v>
          </cell>
          <cell r="E2915" t="str">
            <v>Société de Gestion de la Garantie</v>
          </cell>
          <cell r="F2915"/>
          <cell r="G2915"/>
          <cell r="H2915"/>
          <cell r="I2915"/>
        </row>
        <row r="2916">
          <cell r="C2916"/>
          <cell r="D2916" t="str">
            <v>de la</v>
          </cell>
          <cell r="E2916" t="str">
            <v>Société d'assurance</v>
          </cell>
          <cell r="F2916"/>
          <cell r="G2916"/>
          <cell r="H2916"/>
          <cell r="I2916"/>
        </row>
        <row r="2917">
          <cell r="C2917"/>
          <cell r="D2917" t="str">
            <v>de la</v>
          </cell>
          <cell r="E2917" t="str">
            <v>Société d'assurance</v>
          </cell>
          <cell r="F2917"/>
          <cell r="G2917"/>
          <cell r="H2917"/>
          <cell r="I2917"/>
        </row>
        <row r="2918">
          <cell r="C2918"/>
          <cell r="D2918" t="str">
            <v>de la</v>
          </cell>
          <cell r="E2918" t="str">
            <v>Société d'assurance</v>
          </cell>
          <cell r="F2918"/>
          <cell r="G2918"/>
          <cell r="H2918"/>
          <cell r="I2918"/>
        </row>
        <row r="2919">
          <cell r="C2919"/>
          <cell r="D2919" t="str">
            <v>de la</v>
          </cell>
          <cell r="E2919" t="str">
            <v>société apéritrice</v>
          </cell>
          <cell r="F2919"/>
          <cell r="G2919"/>
          <cell r="H2919"/>
          <cell r="I2919"/>
        </row>
        <row r="2920">
          <cell r="C2920"/>
          <cell r="D2920" t="str">
            <v>de la</v>
          </cell>
          <cell r="E2920" t="str">
            <v>société apéritrice</v>
          </cell>
          <cell r="F2920"/>
          <cell r="G2920"/>
          <cell r="H2920"/>
          <cell r="I2920"/>
        </row>
        <row r="2921">
          <cell r="C2921"/>
          <cell r="D2921" t="str">
            <v>de la</v>
          </cell>
          <cell r="E2921" t="str">
            <v>société apéritrice</v>
          </cell>
          <cell r="F2921"/>
          <cell r="G2921"/>
          <cell r="H2921"/>
          <cell r="I2921"/>
        </row>
        <row r="2922">
          <cell r="C2922"/>
          <cell r="D2922" t="str">
            <v>de la</v>
          </cell>
          <cell r="E2922" t="str">
            <v>Société de Gestion de la Garantie</v>
          </cell>
          <cell r="F2922"/>
          <cell r="G2922"/>
          <cell r="H2922"/>
          <cell r="I2922"/>
        </row>
        <row r="2923">
          <cell r="C2923"/>
          <cell r="D2923" t="str">
            <v>de la</v>
          </cell>
          <cell r="E2923" t="str">
            <v>Société de Gestion de la Garantie</v>
          </cell>
          <cell r="F2923"/>
          <cell r="G2923"/>
          <cell r="H2923"/>
          <cell r="I2923"/>
        </row>
        <row r="2924">
          <cell r="C2924"/>
          <cell r="D2924" t="str">
            <v>de la</v>
          </cell>
          <cell r="E2924" t="str">
            <v>Société de Gestion de la Garantie</v>
          </cell>
          <cell r="F2924"/>
          <cell r="G2924"/>
          <cell r="H2924"/>
          <cell r="I2924"/>
        </row>
        <row r="2925">
          <cell r="C2925" t="str">
            <v>Comptable</v>
          </cell>
          <cell r="D2925" t="str">
            <v>de la</v>
          </cell>
          <cell r="E2925" t="str">
            <v>Société d'assurance</v>
          </cell>
          <cell r="F2925"/>
          <cell r="G2925"/>
          <cell r="H2925"/>
          <cell r="I2925"/>
        </row>
        <row r="2926">
          <cell r="C2926" t="str">
            <v>Comptable</v>
          </cell>
          <cell r="D2926" t="str">
            <v>de la</v>
          </cell>
          <cell r="E2926" t="str">
            <v>société apéritrice</v>
          </cell>
          <cell r="F2926"/>
          <cell r="G2926"/>
          <cell r="H2926"/>
          <cell r="I2926"/>
        </row>
        <row r="2927">
          <cell r="C2927"/>
          <cell r="D2927" t="str">
            <v>de la</v>
          </cell>
          <cell r="E2927" t="str">
            <v>Société d'assurance</v>
          </cell>
          <cell r="F2927"/>
          <cell r="G2927"/>
          <cell r="H2927"/>
          <cell r="I2927"/>
        </row>
        <row r="2928">
          <cell r="C2928"/>
          <cell r="D2928" t="str">
            <v>de la</v>
          </cell>
          <cell r="E2928" t="str">
            <v>Société d'assurance</v>
          </cell>
          <cell r="F2928"/>
          <cell r="G2928"/>
          <cell r="H2928"/>
          <cell r="I2928"/>
        </row>
        <row r="2929">
          <cell r="C2929"/>
          <cell r="D2929" t="str">
            <v>de la</v>
          </cell>
          <cell r="E2929" t="str">
            <v>société apéritrice</v>
          </cell>
          <cell r="F2929"/>
          <cell r="G2929"/>
          <cell r="H2929"/>
          <cell r="I2929"/>
        </row>
        <row r="2930">
          <cell r="C2930"/>
          <cell r="D2930" t="str">
            <v>de la</v>
          </cell>
          <cell r="E2930" t="str">
            <v>société apéritrice</v>
          </cell>
          <cell r="F2930"/>
          <cell r="G2930"/>
          <cell r="H2930"/>
          <cell r="I2930"/>
        </row>
        <row r="2931">
          <cell r="C2931" t="str">
            <v>Comptable</v>
          </cell>
          <cell r="D2931" t="str">
            <v>de la</v>
          </cell>
          <cell r="E2931" t="str">
            <v>Société de Gestion de la Garantie</v>
          </cell>
          <cell r="F2931"/>
          <cell r="G2931"/>
          <cell r="H2931"/>
          <cell r="I2931"/>
        </row>
        <row r="2932">
          <cell r="C2932"/>
          <cell r="D2932" t="str">
            <v>de la</v>
          </cell>
          <cell r="E2932" t="str">
            <v>Société de Gestion de la Garantie</v>
          </cell>
          <cell r="F2932"/>
          <cell r="G2932"/>
          <cell r="H2932"/>
          <cell r="I2932"/>
        </row>
        <row r="2933">
          <cell r="C2933"/>
          <cell r="D2933" t="str">
            <v>de la</v>
          </cell>
          <cell r="E2933" t="str">
            <v>Société de Gestion de la Garantie</v>
          </cell>
          <cell r="F2933"/>
          <cell r="G2933"/>
          <cell r="H2933"/>
          <cell r="I2933"/>
        </row>
        <row r="2934">
          <cell r="C2934" t="str">
            <v>jour</v>
          </cell>
          <cell r="D2934" t="str">
            <v>dans l'</v>
          </cell>
          <cell r="E2934" t="str">
            <v>année glissante</v>
          </cell>
          <cell r="F2934" t="str">
            <v>suivant la</v>
          </cell>
          <cell r="G2934" t="str">
            <v>date d'arreté</v>
          </cell>
          <cell r="H2934"/>
          <cell r="I2934"/>
        </row>
        <row r="2935">
          <cell r="C2935" t="str">
            <v>jour de couverture</v>
          </cell>
          <cell r="D2935" t="str">
            <v>de la</v>
          </cell>
          <cell r="E2935" t="str">
            <v>FP existing</v>
          </cell>
          <cell r="F2935"/>
          <cell r="G2935"/>
          <cell r="H2935"/>
          <cell r="I2935"/>
        </row>
        <row r="2936">
          <cell r="C2936" t="str">
            <v>jour</v>
          </cell>
          <cell r="D2936" t="str">
            <v>dans l'</v>
          </cell>
          <cell r="E2936" t="str">
            <v>année glissante</v>
          </cell>
          <cell r="F2936" t="str">
            <v>de la</v>
          </cell>
          <cell r="G2936" t="str">
            <v>FP existing</v>
          </cell>
          <cell r="H2936"/>
          <cell r="I2936"/>
        </row>
        <row r="2937">
          <cell r="C2937" t="str">
            <v>jour de couverture</v>
          </cell>
          <cell r="D2937" t="str">
            <v>de la</v>
          </cell>
          <cell r="E2937" t="str">
            <v>prime future</v>
          </cell>
          <cell r="F2937"/>
          <cell r="G2937"/>
          <cell r="H2937"/>
          <cell r="I2937"/>
        </row>
        <row r="2938">
          <cell r="C2938" t="str">
            <v>jour de couverture</v>
          </cell>
          <cell r="D2938" t="str">
            <v>de la</v>
          </cell>
          <cell r="E2938" t="str">
            <v>provision S2</v>
          </cell>
          <cell r="F2938"/>
          <cell r="G2938"/>
          <cell r="H2938"/>
          <cell r="I2938"/>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cell r="F2940"/>
          <cell r="G2940"/>
          <cell r="H2940"/>
          <cell r="I2940"/>
        </row>
        <row r="2941">
          <cell r="C2941" t="str">
            <v>Dernière image</v>
          </cell>
          <cell r="D2941" t="str">
            <v>de la</v>
          </cell>
          <cell r="E2941" t="str">
            <v>tarification global garantie</v>
          </cell>
          <cell r="F2941"/>
          <cell r="G2941"/>
          <cell r="H2941"/>
          <cell r="I2941"/>
        </row>
        <row r="2942">
          <cell r="C2942" t="str">
            <v>Dernière image</v>
          </cell>
          <cell r="D2942" t="str">
            <v>de la</v>
          </cell>
          <cell r="E2942" t="str">
            <v>tarification données spéciales</v>
          </cell>
          <cell r="F2942"/>
          <cell r="G2942"/>
          <cell r="H2942"/>
          <cell r="I2942"/>
        </row>
        <row r="2943">
          <cell r="C2943" t="str">
            <v>référence</v>
          </cell>
          <cell r="D2943" t="str">
            <v>de la</v>
          </cell>
          <cell r="E2943" t="str">
            <v>tarification global garantie</v>
          </cell>
          <cell r="F2943"/>
          <cell r="G2943"/>
          <cell r="H2943"/>
          <cell r="I2943"/>
        </row>
        <row r="2944">
          <cell r="C2944" t="str">
            <v>fractionnement</v>
          </cell>
          <cell r="D2944" t="str">
            <v>du</v>
          </cell>
          <cell r="E2944" t="str">
            <v>contrat</v>
          </cell>
          <cell r="F2944"/>
          <cell r="G2944"/>
          <cell r="H2944"/>
          <cell r="I2944"/>
        </row>
        <row r="2945">
          <cell r="C2945" t="str">
            <v>regroupement</v>
          </cell>
          <cell r="D2945" t="str">
            <v>de l'</v>
          </cell>
          <cell r="E2945" t="str">
            <v>ajustement</v>
          </cell>
          <cell r="F2945" t="str">
            <v>sur la</v>
          </cell>
          <cell r="G2945" t="str">
            <v>tarification global garantie</v>
          </cell>
          <cell r="H2945"/>
          <cell r="I2945"/>
        </row>
        <row r="2946">
          <cell r="C2946" t="str">
            <v>numéro</v>
          </cell>
          <cell r="D2946" t="str">
            <v>de la</v>
          </cell>
          <cell r="E2946" t="str">
            <v>version de garantie</v>
          </cell>
          <cell r="F2946" t="str">
            <v>de la</v>
          </cell>
          <cell r="G2946" t="str">
            <v>tarification global garantie</v>
          </cell>
          <cell r="H2946"/>
          <cell r="I2946"/>
        </row>
        <row r="2947">
          <cell r="C2947"/>
          <cell r="D2947" t="str">
            <v>du</v>
          </cell>
          <cell r="E2947" t="str">
            <v>choix manuel par défaut</v>
          </cell>
          <cell r="F2947" t="str">
            <v>de l'</v>
          </cell>
          <cell r="G2947" t="str">
            <v>ajustement tarifaire</v>
          </cell>
          <cell r="H2947"/>
          <cell r="I2947"/>
        </row>
        <row r="2948">
          <cell r="C2948"/>
          <cell r="D2948" t="str">
            <v>du</v>
          </cell>
          <cell r="E2948" t="str">
            <v>type de cumul</v>
          </cell>
          <cell r="F2948" t="str">
            <v>de l'</v>
          </cell>
          <cell r="G2948" t="str">
            <v>ajustement tarifaire</v>
          </cell>
          <cell r="H2948"/>
          <cell r="I2948"/>
        </row>
        <row r="2949">
          <cell r="C2949"/>
          <cell r="D2949" t="str">
            <v>du</v>
          </cell>
          <cell r="E2949" t="str">
            <v>motif d'accord</v>
          </cell>
          <cell r="F2949" t="str">
            <v>de l'</v>
          </cell>
          <cell r="G2949" t="str">
            <v>ajustement tarifaire</v>
          </cell>
          <cell r="H2949"/>
          <cell r="I2949"/>
        </row>
        <row r="2950">
          <cell r="C2950"/>
          <cell r="D2950" t="str">
            <v>du</v>
          </cell>
          <cell r="E2950" t="str">
            <v>créateur</v>
          </cell>
          <cell r="F2950" t="str">
            <v>de l'</v>
          </cell>
          <cell r="G2950" t="str">
            <v>ajustement tarifaire</v>
          </cell>
          <cell r="H2950"/>
          <cell r="I2950"/>
        </row>
        <row r="2951">
          <cell r="C2951"/>
          <cell r="D2951" t="str">
            <v>du</v>
          </cell>
          <cell r="E2951" t="str">
            <v>domaine fonctionnel</v>
          </cell>
          <cell r="F2951" t="str">
            <v>de l'</v>
          </cell>
          <cell r="G2951" t="str">
            <v>ajustement tarifaire</v>
          </cell>
          <cell r="H2951"/>
          <cell r="I2951"/>
        </row>
        <row r="2952">
          <cell r="C2952"/>
          <cell r="D2952" t="str">
            <v>du</v>
          </cell>
          <cell r="E2952" t="str">
            <v>type d'application</v>
          </cell>
          <cell r="F2952" t="str">
            <v>de l'</v>
          </cell>
          <cell r="G2952" t="str">
            <v>ajustement tarifaire</v>
          </cell>
          <cell r="H2952"/>
          <cell r="I2952"/>
        </row>
        <row r="2953">
          <cell r="C2953"/>
          <cell r="D2953" t="str">
            <v>de la</v>
          </cell>
          <cell r="E2953" t="str">
            <v>famille produit</v>
          </cell>
          <cell r="F2953" t="str">
            <v>de l'</v>
          </cell>
          <cell r="G2953" t="str">
            <v>ajustement tarifaire</v>
          </cell>
          <cell r="H2953"/>
          <cell r="I2953"/>
        </row>
        <row r="2954">
          <cell r="C2954"/>
          <cell r="D2954" t="str">
            <v>de</v>
          </cell>
          <cell r="E2954" t="str">
            <v>mise à jour</v>
          </cell>
          <cell r="F2954" t="str">
            <v>de l'</v>
          </cell>
          <cell r="G2954" t="str">
            <v>ajustement tarifaire</v>
          </cell>
          <cell r="H2954"/>
          <cell r="I2954"/>
        </row>
        <row r="2955">
          <cell r="C2955"/>
          <cell r="D2955" t="str">
            <v>de la</v>
          </cell>
          <cell r="E2955" t="str">
            <v>forme de la valeur</v>
          </cell>
          <cell r="F2955" t="str">
            <v>de l'</v>
          </cell>
          <cell r="G2955" t="str">
            <v>ajustement tarifaire</v>
          </cell>
          <cell r="H2955"/>
          <cell r="I2955"/>
        </row>
        <row r="2956">
          <cell r="C2956" t="str">
            <v>actif</v>
          </cell>
          <cell r="D2956" t="str">
            <v>de l'</v>
          </cell>
          <cell r="E2956" t="str">
            <v>ajustement tarifaire</v>
          </cell>
          <cell r="F2956"/>
          <cell r="G2956"/>
          <cell r="H2956"/>
          <cell r="I2956"/>
        </row>
        <row r="2957">
          <cell r="C2957"/>
          <cell r="D2957" t="str">
            <v>de la</v>
          </cell>
          <cell r="E2957" t="str">
            <v>prime théorique de référence</v>
          </cell>
          <cell r="F2957" t="str">
            <v>pour le</v>
          </cell>
          <cell r="G2957" t="str">
            <v>calcul de la prime future</v>
          </cell>
          <cell r="H2957"/>
          <cell r="I2957"/>
        </row>
        <row r="2958">
          <cell r="C2958"/>
          <cell r="D2958" t="str">
            <v>du</v>
          </cell>
          <cell r="E2958" t="str">
            <v>produit d'assurance</v>
          </cell>
          <cell r="F2958" t="str">
            <v>du</v>
          </cell>
          <cell r="G2958" t="str">
            <v>contrat</v>
          </cell>
          <cell r="H2958" t="str">
            <v>de la</v>
          </cell>
          <cell r="I2958" t="str">
            <v>prime émise non acquise</v>
          </cell>
        </row>
        <row r="2959">
          <cell r="C2959"/>
          <cell r="D2959" t="str">
            <v>de l'</v>
          </cell>
          <cell r="E2959" t="str">
            <v>Entité gestionnaire</v>
          </cell>
          <cell r="F2959" t="str">
            <v>du</v>
          </cell>
          <cell r="G2959" t="str">
            <v>contrat</v>
          </cell>
          <cell r="H2959" t="str">
            <v>de la</v>
          </cell>
          <cell r="I2959" t="str">
            <v>prime émise non acquise</v>
          </cell>
        </row>
        <row r="2960">
          <cell r="C2960"/>
          <cell r="D2960" t="str">
            <v>de la</v>
          </cell>
          <cell r="E2960" t="str">
            <v>situation</v>
          </cell>
          <cell r="F2960" t="str">
            <v>du</v>
          </cell>
          <cell r="G2960" t="str">
            <v>contrat</v>
          </cell>
          <cell r="H2960" t="str">
            <v>de la</v>
          </cell>
          <cell r="I2960" t="str">
            <v>prime émise non acquise</v>
          </cell>
        </row>
        <row r="2961">
          <cell r="C2961"/>
          <cell r="D2961" t="str">
            <v>de la</v>
          </cell>
          <cell r="E2961" t="str">
            <v>prime</v>
          </cell>
          <cell r="F2961" t="str">
            <v>du</v>
          </cell>
          <cell r="G2961" t="str">
            <v>contrat effet futur</v>
          </cell>
          <cell r="H2961"/>
          <cell r="I2961"/>
        </row>
        <row r="2962">
          <cell r="C2962" t="str">
            <v>TTC</v>
          </cell>
          <cell r="D2962" t="str">
            <v xml:space="preserve"> </v>
          </cell>
          <cell r="E2962" t="str">
            <v>après CRM</v>
          </cell>
          <cell r="F2962" t="str">
            <v>de la</v>
          </cell>
          <cell r="G2962" t="str">
            <v>tarification global contrat</v>
          </cell>
          <cell r="H2962"/>
          <cell r="I2962"/>
        </row>
        <row r="2963">
          <cell r="C2963" t="str">
            <v>TTC</v>
          </cell>
          <cell r="D2963" t="str">
            <v xml:space="preserve"> </v>
          </cell>
          <cell r="E2963" t="str">
            <v>après CRM légal</v>
          </cell>
          <cell r="F2963" t="str">
            <v>de la</v>
          </cell>
          <cell r="G2963" t="str">
            <v>tarification global contrat</v>
          </cell>
          <cell r="H2963"/>
          <cell r="I2963"/>
        </row>
        <row r="2964">
          <cell r="C2964" t="str">
            <v>hors taxe</v>
          </cell>
          <cell r="D2964" t="str">
            <v>de la</v>
          </cell>
          <cell r="E2964" t="str">
            <v>cotisation</v>
          </cell>
          <cell r="F2964" t="str">
            <v>de la</v>
          </cell>
          <cell r="G2964" t="str">
            <v>tarification global contrat</v>
          </cell>
          <cell r="H2964"/>
          <cell r="I2964"/>
        </row>
        <row r="2965">
          <cell r="C2965" t="str">
            <v>TTC</v>
          </cell>
          <cell r="D2965" t="str">
            <v>de la</v>
          </cell>
          <cell r="E2965" t="str">
            <v>cotisation</v>
          </cell>
          <cell r="F2965" t="str">
            <v>de la</v>
          </cell>
          <cell r="G2965" t="str">
            <v>tarification global contrat</v>
          </cell>
          <cell r="H2965"/>
          <cell r="I2965"/>
        </row>
        <row r="2966">
          <cell r="C2966" t="str">
            <v>TTC</v>
          </cell>
          <cell r="D2966" t="str">
            <v>des</v>
          </cell>
          <cell r="E2966" t="str">
            <v>frais</v>
          </cell>
          <cell r="F2966" t="str">
            <v>de la</v>
          </cell>
          <cell r="G2966" t="str">
            <v>tarification global contrat</v>
          </cell>
          <cell r="H2966"/>
          <cell r="I2966"/>
        </row>
        <row r="2967">
          <cell r="C2967" t="str">
            <v>TTC</v>
          </cell>
          <cell r="D2967" t="str">
            <v>avec</v>
          </cell>
          <cell r="E2967" t="str">
            <v>frais inclus</v>
          </cell>
          <cell r="F2967" t="str">
            <v>de la</v>
          </cell>
          <cell r="G2967" t="str">
            <v>tarification global contrat</v>
          </cell>
          <cell r="H2967"/>
          <cell r="I2967"/>
        </row>
        <row r="2968">
          <cell r="C2968" t="str">
            <v>TTC</v>
          </cell>
          <cell r="D2968" t="str">
            <v>de la</v>
          </cell>
          <cell r="E2968" t="str">
            <v>cotisation légale</v>
          </cell>
          <cell r="F2968" t="str">
            <v>de la</v>
          </cell>
          <cell r="G2968" t="str">
            <v>tarification global contrat</v>
          </cell>
          <cell r="H2968"/>
          <cell r="I2968"/>
        </row>
        <row r="2969">
          <cell r="C2969" t="str">
            <v>TTC</v>
          </cell>
          <cell r="D2969" t="str">
            <v>de la</v>
          </cell>
          <cell r="E2969" t="str">
            <v>cotisation de référence</v>
          </cell>
          <cell r="F2969" t="str">
            <v>de la</v>
          </cell>
          <cell r="G2969" t="str">
            <v>tarification global contrat</v>
          </cell>
          <cell r="H2969"/>
          <cell r="I2969"/>
        </row>
        <row r="2970">
          <cell r="C2970" t="str">
            <v>TTC</v>
          </cell>
          <cell r="D2970" t="str">
            <v>des</v>
          </cell>
          <cell r="E2970" t="str">
            <v>garanties non soumises au CRM</v>
          </cell>
          <cell r="F2970" t="str">
            <v>de la</v>
          </cell>
          <cell r="G2970" t="str">
            <v>tarification global contrat</v>
          </cell>
          <cell r="H2970"/>
          <cell r="I2970"/>
        </row>
        <row r="2971">
          <cell r="C2971" t="str">
            <v>calculé</v>
          </cell>
          <cell r="D2971" t="str">
            <v>de l'</v>
          </cell>
          <cell r="E2971" t="str">
            <v>ajustement</v>
          </cell>
          <cell r="F2971" t="str">
            <v>sur la</v>
          </cell>
          <cell r="G2971" t="str">
            <v>tarification global garantie</v>
          </cell>
          <cell r="H2971"/>
          <cell r="I2971"/>
        </row>
        <row r="2972">
          <cell r="C2972" t="str">
            <v>hors taxe</v>
          </cell>
          <cell r="D2972" t="str">
            <v>de</v>
          </cell>
          <cell r="E2972" t="str">
            <v>garantie</v>
          </cell>
          <cell r="F2972" t="str">
            <v>de la</v>
          </cell>
          <cell r="G2972" t="str">
            <v>tarification global garantie</v>
          </cell>
          <cell r="H2972"/>
          <cell r="I2972"/>
        </row>
        <row r="2973">
          <cell r="C2973" t="str">
            <v>TTC</v>
          </cell>
          <cell r="D2973" t="str">
            <v>de</v>
          </cell>
          <cell r="E2973" t="str">
            <v>garantie</v>
          </cell>
          <cell r="F2973" t="str">
            <v>de la</v>
          </cell>
          <cell r="G2973" t="str">
            <v>tarification global garantie</v>
          </cell>
          <cell r="H2973"/>
          <cell r="I2973"/>
        </row>
        <row r="2974">
          <cell r="C2974"/>
          <cell r="D2974" t="str">
            <v>de la</v>
          </cell>
          <cell r="E2974" t="str">
            <v>prime théorique de référence</v>
          </cell>
          <cell r="F2974" t="str">
            <v>de la</v>
          </cell>
          <cell r="G2974" t="str">
            <v>FP existing</v>
          </cell>
          <cell r="H2974"/>
          <cell r="I2974"/>
        </row>
        <row r="2975">
          <cell r="C2975"/>
          <cell r="D2975" t="str">
            <v>de</v>
          </cell>
          <cell r="E2975" t="str">
            <v>destination analytique</v>
          </cell>
          <cell r="F2975" t="str">
            <v>de la</v>
          </cell>
          <cell r="G2975" t="str">
            <v>prime émise</v>
          </cell>
          <cell r="H2975"/>
          <cell r="I2975"/>
        </row>
        <row r="2976">
          <cell r="C2976"/>
          <cell r="D2976" t="str">
            <v>du</v>
          </cell>
          <cell r="E2976" t="str">
            <v>contrat</v>
          </cell>
          <cell r="F2976" t="str">
            <v>de la</v>
          </cell>
          <cell r="G2976" t="str">
            <v>prime émise non acquise</v>
          </cell>
          <cell r="H2976" t="str">
            <v>de</v>
          </cell>
          <cell r="I2976" t="str">
            <v>S2</v>
          </cell>
        </row>
        <row r="2977">
          <cell r="C2977"/>
          <cell r="D2977" t="str">
            <v>du</v>
          </cell>
          <cell r="E2977" t="str">
            <v>contrat</v>
          </cell>
          <cell r="F2977" t="str">
            <v>de la</v>
          </cell>
          <cell r="G2977" t="str">
            <v>prime émise non acquise</v>
          </cell>
          <cell r="H2977" t="str">
            <v>de</v>
          </cell>
          <cell r="I2977" t="str">
            <v>S2</v>
          </cell>
        </row>
        <row r="2978">
          <cell r="C2978"/>
          <cell r="D2978" t="str">
            <v>de la</v>
          </cell>
          <cell r="E2978" t="str">
            <v>tarification</v>
          </cell>
          <cell r="F2978" t="str">
            <v>de la</v>
          </cell>
          <cell r="G2978" t="str">
            <v>prime émise non acquise</v>
          </cell>
          <cell r="H2978" t="str">
            <v>de</v>
          </cell>
          <cell r="I2978" t="str">
            <v>S2</v>
          </cell>
        </row>
        <row r="2979">
          <cell r="C2979"/>
          <cell r="D2979" t="str">
            <v>de la</v>
          </cell>
          <cell r="E2979" t="str">
            <v>tarification</v>
          </cell>
          <cell r="F2979" t="str">
            <v>de la</v>
          </cell>
          <cell r="G2979" t="str">
            <v>prime émise non acquise</v>
          </cell>
          <cell r="H2979" t="str">
            <v>de</v>
          </cell>
          <cell r="I2979" t="str">
            <v>S2</v>
          </cell>
        </row>
        <row r="2980">
          <cell r="C2980"/>
          <cell r="D2980" t="str">
            <v>du</v>
          </cell>
          <cell r="E2980" t="str">
            <v>calcul des provisions</v>
          </cell>
          <cell r="F2980" t="str">
            <v>de la</v>
          </cell>
          <cell r="G2980" t="str">
            <v>prime émise non acquise</v>
          </cell>
          <cell r="H2980" t="str">
            <v>de</v>
          </cell>
          <cell r="I2980" t="str">
            <v>S2</v>
          </cell>
        </row>
        <row r="2981">
          <cell r="C2981"/>
          <cell r="D2981" t="str">
            <v>de la</v>
          </cell>
          <cell r="E2981" t="str">
            <v>Société d'assurance</v>
          </cell>
          <cell r="F2981" t="str">
            <v>de la</v>
          </cell>
          <cell r="G2981" t="str">
            <v>prime émise non acquise</v>
          </cell>
          <cell r="H2981" t="str">
            <v>de</v>
          </cell>
          <cell r="I2981" t="str">
            <v>S2</v>
          </cell>
        </row>
        <row r="2982">
          <cell r="C2982"/>
          <cell r="D2982" t="str">
            <v>de la</v>
          </cell>
          <cell r="E2982" t="str">
            <v>Société de Gestion de la Garantie</v>
          </cell>
          <cell r="F2982" t="str">
            <v>de la</v>
          </cell>
          <cell r="G2982" t="str">
            <v>prime émise non acquise</v>
          </cell>
          <cell r="H2982" t="str">
            <v>de</v>
          </cell>
          <cell r="I2982" t="str">
            <v>S2</v>
          </cell>
        </row>
        <row r="2983">
          <cell r="C2983"/>
          <cell r="D2983" t="str">
            <v>de la</v>
          </cell>
          <cell r="E2983" t="str">
            <v>version de garantie</v>
          </cell>
          <cell r="F2983" t="str">
            <v>de la</v>
          </cell>
          <cell r="G2983" t="str">
            <v>prime émise non acquise</v>
          </cell>
          <cell r="H2983" t="str">
            <v>de</v>
          </cell>
          <cell r="I2983" t="str">
            <v>S2</v>
          </cell>
        </row>
        <row r="2984">
          <cell r="C2984"/>
          <cell r="D2984" t="str">
            <v>de la</v>
          </cell>
          <cell r="E2984" t="str">
            <v>génération</v>
          </cell>
          <cell r="F2984" t="str">
            <v>du</v>
          </cell>
          <cell r="G2984" t="str">
            <v>Produit d'Assurance</v>
          </cell>
          <cell r="H2984" t="str">
            <v>de la</v>
          </cell>
          <cell r="I2984" t="str">
            <v>tarification global contrat</v>
          </cell>
        </row>
        <row r="2985">
          <cell r="C2985"/>
          <cell r="D2985" t="str">
            <v>de la</v>
          </cell>
          <cell r="E2985" t="str">
            <v>prime théorique de référence</v>
          </cell>
          <cell r="F2985" t="str">
            <v>de</v>
          </cell>
          <cell r="G2985" t="str">
            <v>provision S2</v>
          </cell>
          <cell r="H2985"/>
          <cell r="I2985"/>
        </row>
        <row r="2986">
          <cell r="C2986" t="str">
            <v>légal</v>
          </cell>
          <cell r="D2986" t="str">
            <v>du</v>
          </cell>
          <cell r="E2986" t="str">
            <v>taux de taxe</v>
          </cell>
          <cell r="F2986"/>
          <cell r="G2986"/>
          <cell r="H2986"/>
          <cell r="I2986"/>
        </row>
        <row r="2987">
          <cell r="C2987" t="str">
            <v>légal</v>
          </cell>
          <cell r="D2987" t="str">
            <v>du</v>
          </cell>
          <cell r="E2987" t="str">
            <v>taux de taxe</v>
          </cell>
          <cell r="F2987"/>
          <cell r="G2987"/>
          <cell r="H2987"/>
          <cell r="I2987"/>
        </row>
        <row r="2988">
          <cell r="C2988"/>
          <cell r="D2988" t="str">
            <v>de la</v>
          </cell>
          <cell r="E2988" t="str">
            <v>devise</v>
          </cell>
          <cell r="F2988" t="str">
            <v>de la</v>
          </cell>
          <cell r="G2988" t="str">
            <v>tarification</v>
          </cell>
          <cell r="H2988" t="str">
            <v>de la</v>
          </cell>
          <cell r="I2988" t="str">
            <v>prime émise non acquise</v>
          </cell>
        </row>
        <row r="2989">
          <cell r="C2989"/>
          <cell r="D2989" t="str">
            <v>des</v>
          </cell>
          <cell r="E2989" t="str">
            <v>données spéciales</v>
          </cell>
          <cell r="F2989" t="str">
            <v>de la</v>
          </cell>
          <cell r="G2989" t="str">
            <v>tarification données spéciales</v>
          </cell>
          <cell r="H2989"/>
          <cell r="I2989"/>
        </row>
        <row r="2990">
          <cell r="C2990"/>
          <cell r="D2990" t="str">
            <v xml:space="preserve"> </v>
          </cell>
          <cell r="E2990" t="str">
            <v>tarif actif</v>
          </cell>
          <cell r="F2990" t="str">
            <v>de la</v>
          </cell>
          <cell r="G2990" t="str">
            <v>tarification global contrat</v>
          </cell>
          <cell r="H2990"/>
          <cell r="I2990"/>
        </row>
        <row r="2991">
          <cell r="C2991"/>
          <cell r="D2991" t="str">
            <v>de la</v>
          </cell>
          <cell r="E2991" t="str">
            <v>commission appliquée</v>
          </cell>
          <cell r="F2991" t="str">
            <v>de la</v>
          </cell>
          <cell r="G2991" t="str">
            <v>tarification global contrat</v>
          </cell>
          <cell r="H2991"/>
          <cell r="I2991"/>
        </row>
        <row r="2992">
          <cell r="C2992"/>
          <cell r="D2992" t="str">
            <v>du</v>
          </cell>
          <cell r="E2992" t="str">
            <v>discriminant</v>
          </cell>
          <cell r="F2992" t="str">
            <v>de la</v>
          </cell>
          <cell r="G2992" t="str">
            <v>tarification global contrat</v>
          </cell>
          <cell r="H2992"/>
          <cell r="I2992"/>
        </row>
        <row r="2993">
          <cell r="C2993"/>
          <cell r="D2993" t="str">
            <v>de la</v>
          </cell>
          <cell r="E2993" t="str">
            <v>version de tarification</v>
          </cell>
          <cell r="F2993" t="str">
            <v>de la</v>
          </cell>
          <cell r="G2993" t="str">
            <v>tarification global contrat</v>
          </cell>
          <cell r="H2993"/>
          <cell r="I2993"/>
        </row>
        <row r="2994">
          <cell r="C2994"/>
          <cell r="D2994" t="str">
            <v>de la</v>
          </cell>
          <cell r="E2994" t="str">
            <v>commission sur tarif appliqué</v>
          </cell>
          <cell r="F2994" t="str">
            <v>de la</v>
          </cell>
          <cell r="G2994" t="str">
            <v>tarification global contrat</v>
          </cell>
          <cell r="H2994"/>
          <cell r="I2994"/>
        </row>
        <row r="2995">
          <cell r="C2995"/>
          <cell r="D2995" t="str">
            <v>du</v>
          </cell>
          <cell r="E2995" t="str">
            <v>barème général</v>
          </cell>
          <cell r="F2995" t="str">
            <v>de la</v>
          </cell>
          <cell r="G2995" t="str">
            <v>tarification global contrat</v>
          </cell>
          <cell r="H2995"/>
          <cell r="I2995"/>
        </row>
        <row r="2996">
          <cell r="C2996"/>
          <cell r="D2996" t="str">
            <v>du</v>
          </cell>
          <cell r="E2996" t="str">
            <v>barème tarification</v>
          </cell>
          <cell r="F2996" t="str">
            <v>de la</v>
          </cell>
          <cell r="G2996" t="str">
            <v>tarification global contrat</v>
          </cell>
          <cell r="H2996"/>
          <cell r="I2996"/>
        </row>
        <row r="2997">
          <cell r="C2997"/>
          <cell r="D2997" t="str">
            <v>de la</v>
          </cell>
          <cell r="E2997" t="str">
            <v>période</v>
          </cell>
          <cell r="F2997" t="str">
            <v>de la</v>
          </cell>
          <cell r="G2997" t="str">
            <v>tarification global contrat</v>
          </cell>
          <cell r="H2997"/>
          <cell r="I2997"/>
        </row>
        <row r="2998">
          <cell r="C2998"/>
          <cell r="D2998" t="str">
            <v>de la</v>
          </cell>
          <cell r="E2998" t="str">
            <v>période</v>
          </cell>
          <cell r="F2998" t="str">
            <v>de la</v>
          </cell>
          <cell r="G2998" t="str">
            <v>tarification global contrat</v>
          </cell>
          <cell r="H2998"/>
          <cell r="I2998"/>
        </row>
        <row r="2999">
          <cell r="C2999"/>
          <cell r="D2999" t="str">
            <v>de l'</v>
          </cell>
          <cell r="E2999" t="str">
            <v>échéance</v>
          </cell>
          <cell r="F2999" t="str">
            <v>de la</v>
          </cell>
          <cell r="G2999" t="str">
            <v>tarification global contrat</v>
          </cell>
          <cell r="H2999"/>
          <cell r="I2999"/>
        </row>
        <row r="3000">
          <cell r="C3000"/>
          <cell r="D3000" t="str">
            <v>du</v>
          </cell>
          <cell r="E3000" t="str">
            <v>cadre fiscal</v>
          </cell>
          <cell r="F3000" t="str">
            <v>de la</v>
          </cell>
          <cell r="G3000" t="str">
            <v>tarification global contrat</v>
          </cell>
          <cell r="H3000"/>
          <cell r="I3000"/>
        </row>
        <row r="3001">
          <cell r="C3001"/>
          <cell r="D3001" t="str">
            <v>de</v>
          </cell>
          <cell r="E3001" t="str">
            <v>référence objet</v>
          </cell>
          <cell r="F3001" t="str">
            <v>de la</v>
          </cell>
          <cell r="G3001" t="str">
            <v>tarification global contrat</v>
          </cell>
          <cell r="H3001"/>
          <cell r="I3001"/>
        </row>
        <row r="3002">
          <cell r="C3002"/>
          <cell r="D3002" t="str">
            <v>du</v>
          </cell>
          <cell r="E3002" t="str">
            <v>type d'opération</v>
          </cell>
          <cell r="F3002" t="str">
            <v>sur la</v>
          </cell>
          <cell r="G3002" t="str">
            <v>tarification global contrat</v>
          </cell>
          <cell r="H3002"/>
          <cell r="I3002"/>
        </row>
        <row r="3003">
          <cell r="C3003"/>
          <cell r="D3003" t="str">
            <v>du</v>
          </cell>
          <cell r="E3003" t="str">
            <v>CRM</v>
          </cell>
          <cell r="F3003" t="str">
            <v>de la</v>
          </cell>
          <cell r="G3003" t="str">
            <v>tarification global garantie</v>
          </cell>
          <cell r="H3003"/>
          <cell r="I3003"/>
        </row>
        <row r="3004">
          <cell r="C3004"/>
          <cell r="D3004" t="str">
            <v>d'</v>
          </cell>
          <cell r="E3004" t="str">
            <v>exonération taxe</v>
          </cell>
          <cell r="F3004" t="str">
            <v>de la</v>
          </cell>
          <cell r="G3004" t="str">
            <v>tarification global garantie</v>
          </cell>
          <cell r="H3004"/>
          <cell r="I3004"/>
        </row>
        <row r="3005">
          <cell r="C3005"/>
          <cell r="D3005" t="str">
            <v>d'</v>
          </cell>
          <cell r="E3005" t="str">
            <v>ajustement</v>
          </cell>
          <cell r="F3005" t="str">
            <v>sur la</v>
          </cell>
          <cell r="G3005" t="str">
            <v>tarification global garantie</v>
          </cell>
          <cell r="H3005"/>
          <cell r="I3005"/>
        </row>
        <row r="3006">
          <cell r="C3006"/>
          <cell r="D3006" t="str">
            <v>de la</v>
          </cell>
          <cell r="E3006" t="str">
            <v>dégressivité</v>
          </cell>
          <cell r="F3006" t="str">
            <v>sur la</v>
          </cell>
          <cell r="G3006" t="str">
            <v>tarification global garantie</v>
          </cell>
          <cell r="H3006"/>
          <cell r="I3006"/>
        </row>
        <row r="3007">
          <cell r="C3007"/>
          <cell r="D3007" t="str">
            <v>de la</v>
          </cell>
          <cell r="E3007" t="str">
            <v>commission interne</v>
          </cell>
          <cell r="F3007" t="str">
            <v>de la</v>
          </cell>
          <cell r="G3007" t="str">
            <v>tarification global garantie</v>
          </cell>
          <cell r="H3007"/>
          <cell r="I3007"/>
        </row>
        <row r="3008">
          <cell r="C3008"/>
          <cell r="D3008" t="str">
            <v>de la</v>
          </cell>
          <cell r="E3008" t="str">
            <v>commission externe</v>
          </cell>
          <cell r="F3008" t="str">
            <v>de la</v>
          </cell>
          <cell r="G3008" t="str">
            <v>tarification global garantie</v>
          </cell>
          <cell r="H3008"/>
          <cell r="I3008"/>
        </row>
        <row r="3009">
          <cell r="C3009"/>
          <cell r="D3009" t="str">
            <v>d'</v>
          </cell>
          <cell r="E3009" t="str">
            <v>ajustement</v>
          </cell>
          <cell r="F3009" t="str">
            <v>sur la</v>
          </cell>
          <cell r="G3009" t="str">
            <v>tarification global garantie</v>
          </cell>
          <cell r="H3009"/>
          <cell r="I3009"/>
        </row>
        <row r="3010">
          <cell r="C3010"/>
          <cell r="D3010" t="str">
            <v>de</v>
          </cell>
          <cell r="E3010" t="str">
            <v>taxe</v>
          </cell>
          <cell r="F3010" t="str">
            <v>sur la</v>
          </cell>
          <cell r="G3010" t="str">
            <v>tarification global garantie</v>
          </cell>
          <cell r="H3010"/>
          <cell r="I3010"/>
        </row>
        <row r="3011">
          <cell r="C3011"/>
          <cell r="D3011" t="str">
            <v xml:space="preserve"> </v>
          </cell>
          <cell r="E3011" t="str">
            <v>après chargement</v>
          </cell>
          <cell r="F3011" t="str">
            <v>de la</v>
          </cell>
          <cell r="G3011" t="str">
            <v>tarification global garantie</v>
          </cell>
          <cell r="H3011"/>
          <cell r="I3011"/>
        </row>
        <row r="3012">
          <cell r="C3012"/>
          <cell r="D3012" t="str">
            <v>de la</v>
          </cell>
          <cell r="E3012" t="str">
            <v>commission calculée</v>
          </cell>
          <cell r="F3012" t="str">
            <v>de la</v>
          </cell>
          <cell r="G3012" t="str">
            <v>tarification global garantie</v>
          </cell>
          <cell r="H3012"/>
          <cell r="I3012"/>
        </row>
        <row r="3013">
          <cell r="C3013"/>
          <cell r="D3013" t="str">
            <v xml:space="preserve"> </v>
          </cell>
          <cell r="E3013" t="str">
            <v>issu du barème</v>
          </cell>
          <cell r="F3013" t="str">
            <v>de la</v>
          </cell>
          <cell r="G3013" t="str">
            <v>tarification global garantie</v>
          </cell>
          <cell r="H3013"/>
          <cell r="I3013"/>
        </row>
        <row r="3014">
          <cell r="C3014"/>
          <cell r="D3014" t="str">
            <v>de la</v>
          </cell>
          <cell r="E3014" t="str">
            <v>taxe</v>
          </cell>
          <cell r="F3014" t="str">
            <v>de la</v>
          </cell>
          <cell r="G3014" t="str">
            <v>tarification global garantie</v>
          </cell>
          <cell r="H3014"/>
          <cell r="I3014"/>
        </row>
        <row r="3015">
          <cell r="C3015"/>
          <cell r="D3015" t="str">
            <v>de</v>
          </cell>
          <cell r="E3015" t="str">
            <v>taxe</v>
          </cell>
          <cell r="F3015" t="str">
            <v>de la</v>
          </cell>
          <cell r="G3015" t="str">
            <v>tarification global garantie</v>
          </cell>
          <cell r="H3015"/>
          <cell r="I3015"/>
        </row>
        <row r="3016">
          <cell r="C3016"/>
          <cell r="D3016" t="str">
            <v>de l'</v>
          </cell>
          <cell r="E3016" t="str">
            <v>ajustement</v>
          </cell>
          <cell r="F3016" t="str">
            <v>sur la</v>
          </cell>
          <cell r="G3016" t="str">
            <v>tarification global garantie</v>
          </cell>
          <cell r="H3016"/>
          <cell r="I3016"/>
        </row>
        <row r="3017">
          <cell r="C3017"/>
          <cell r="D3017" t="str">
            <v>de l'</v>
          </cell>
          <cell r="E3017" t="str">
            <v>ajustement</v>
          </cell>
          <cell r="F3017" t="str">
            <v>sur la</v>
          </cell>
          <cell r="G3017" t="str">
            <v>tarification global garantie</v>
          </cell>
          <cell r="H3017"/>
          <cell r="I3017"/>
        </row>
        <row r="3018">
          <cell r="C3018"/>
          <cell r="D3018" t="str">
            <v>de l'</v>
          </cell>
          <cell r="E3018" t="str">
            <v>ajustement</v>
          </cell>
          <cell r="F3018" t="str">
            <v>sur la</v>
          </cell>
          <cell r="G3018" t="str">
            <v>tarification global garantie</v>
          </cell>
          <cell r="H3018"/>
          <cell r="I3018"/>
        </row>
        <row r="3019">
          <cell r="C3019"/>
          <cell r="D3019" t="str">
            <v>de la</v>
          </cell>
          <cell r="E3019" t="str">
            <v>concaténation des références d'ajustement</v>
          </cell>
          <cell r="F3019" t="str">
            <v>sur la</v>
          </cell>
          <cell r="G3019" t="str">
            <v>tarification global garantie</v>
          </cell>
          <cell r="H3019"/>
          <cell r="I3019"/>
        </row>
        <row r="3020">
          <cell r="C3020"/>
          <cell r="D3020" t="str">
            <v>de la</v>
          </cell>
          <cell r="E3020" t="str">
            <v>concaténation des identifiants de taxe</v>
          </cell>
          <cell r="F3020" t="str">
            <v>de la</v>
          </cell>
          <cell r="G3020" t="str">
            <v>tarification global garantie</v>
          </cell>
          <cell r="H3020"/>
          <cell r="I3020"/>
        </row>
        <row r="3021">
          <cell r="C3021"/>
          <cell r="D3021" t="str">
            <v>du</v>
          </cell>
          <cell r="E3021" t="str">
            <v>taux de taxe</v>
          </cell>
          <cell r="F3021" t="str">
            <v>de la</v>
          </cell>
          <cell r="G3021" t="str">
            <v>tarification global garantie</v>
          </cell>
          <cell r="H3021"/>
          <cell r="I3021"/>
        </row>
        <row r="3022">
          <cell r="C3022"/>
          <cell r="D3022" t="str">
            <v>du</v>
          </cell>
          <cell r="E3022" t="str">
            <v>type de référence</v>
          </cell>
          <cell r="F3022" t="str">
            <v>de la</v>
          </cell>
          <cell r="G3022" t="str">
            <v>tarification global garantie</v>
          </cell>
          <cell r="H3022"/>
          <cell r="I3022"/>
        </row>
        <row r="3023">
          <cell r="C3023"/>
          <cell r="D3023" t="str">
            <v>de la</v>
          </cell>
          <cell r="E3023" t="str">
            <v>taxe</v>
          </cell>
          <cell r="F3023" t="str">
            <v>de la</v>
          </cell>
          <cell r="G3023" t="str">
            <v>tarification global garantie</v>
          </cell>
          <cell r="H3023"/>
          <cell r="I3023"/>
        </row>
        <row r="3024">
          <cell r="C3024"/>
          <cell r="D3024" t="str">
            <v>de la</v>
          </cell>
          <cell r="E3024" t="str">
            <v>garantie</v>
          </cell>
          <cell r="F3024" t="str">
            <v>de la</v>
          </cell>
          <cell r="G3024" t="str">
            <v>tarification global garantie</v>
          </cell>
          <cell r="H3024"/>
          <cell r="I3024"/>
        </row>
        <row r="3025">
          <cell r="C3025"/>
          <cell r="D3025" t="str">
            <v>de la</v>
          </cell>
          <cell r="E3025" t="str">
            <v>version de garantie</v>
          </cell>
          <cell r="F3025" t="str">
            <v>de la</v>
          </cell>
          <cell r="G3025" t="str">
            <v>tarification global garantie</v>
          </cell>
          <cell r="H3025"/>
          <cell r="I3025"/>
        </row>
        <row r="3026">
          <cell r="C3026"/>
          <cell r="D3026" t="str">
            <v xml:space="preserve"> </v>
          </cell>
          <cell r="E3026" t="str">
            <v>ER</v>
          </cell>
          <cell r="F3026" t="str">
            <v>du</v>
          </cell>
          <cell r="G3026" t="str">
            <v>taux de taxe</v>
          </cell>
          <cell r="H3026"/>
          <cell r="I3026"/>
        </row>
        <row r="3027">
          <cell r="C3027"/>
          <cell r="D3027" t="str">
            <v>de la</v>
          </cell>
          <cell r="E3027" t="str">
            <v>tarification global contrat</v>
          </cell>
          <cell r="F3027"/>
          <cell r="G3027"/>
          <cell r="H3027"/>
          <cell r="I3027"/>
        </row>
        <row r="3028">
          <cell r="C3028"/>
          <cell r="D3028" t="str">
            <v>de la</v>
          </cell>
          <cell r="E3028" t="str">
            <v>tarification global garantie</v>
          </cell>
          <cell r="F3028"/>
          <cell r="G3028"/>
          <cell r="H3028"/>
          <cell r="I3028"/>
        </row>
        <row r="3029">
          <cell r="C3029"/>
          <cell r="D3029" t="str">
            <v>de la</v>
          </cell>
          <cell r="E3029" t="str">
            <v>tarification données spéciales</v>
          </cell>
          <cell r="F3029"/>
          <cell r="G3029"/>
          <cell r="H3029"/>
          <cell r="I3029"/>
        </row>
        <row r="3030">
          <cell r="C3030"/>
          <cell r="D3030" t="str">
            <v>de la</v>
          </cell>
          <cell r="E3030" t="str">
            <v>taxe</v>
          </cell>
          <cell r="F3030"/>
          <cell r="G3030"/>
          <cell r="H3030"/>
          <cell r="I3030"/>
        </row>
        <row r="3031">
          <cell r="C3031"/>
          <cell r="D3031" t="str">
            <v>de la</v>
          </cell>
          <cell r="E3031" t="str">
            <v>tarification global contrat</v>
          </cell>
          <cell r="F3031"/>
          <cell r="G3031"/>
          <cell r="H3031"/>
          <cell r="I3031"/>
        </row>
        <row r="3032">
          <cell r="C3032"/>
          <cell r="D3032" t="str">
            <v>de la</v>
          </cell>
          <cell r="E3032" t="str">
            <v>tarification global garantie</v>
          </cell>
          <cell r="F3032"/>
          <cell r="G3032"/>
          <cell r="H3032"/>
          <cell r="I3032"/>
        </row>
        <row r="3033">
          <cell r="C3033"/>
          <cell r="D3033" t="str">
            <v>de l'</v>
          </cell>
          <cell r="E3033" t="str">
            <v>ajustement tarifaire</v>
          </cell>
          <cell r="F3033"/>
          <cell r="G3033"/>
          <cell r="H3033"/>
          <cell r="I3033"/>
        </row>
        <row r="3034">
          <cell r="C3034"/>
          <cell r="D3034" t="str">
            <v>de la</v>
          </cell>
          <cell r="E3034" t="str">
            <v>tarification données spéciales</v>
          </cell>
          <cell r="F3034"/>
          <cell r="G3034"/>
          <cell r="H3034"/>
          <cell r="I3034"/>
        </row>
        <row r="3035">
          <cell r="C3035"/>
          <cell r="D3035" t="str">
            <v>de la</v>
          </cell>
          <cell r="E3035" t="str">
            <v>taxe</v>
          </cell>
          <cell r="F3035"/>
          <cell r="G3035"/>
          <cell r="H3035"/>
          <cell r="I3035"/>
        </row>
        <row r="3036">
          <cell r="C3036"/>
          <cell r="D3036" t="str">
            <v>de la</v>
          </cell>
          <cell r="E3036" t="str">
            <v>FP existing</v>
          </cell>
          <cell r="F3036"/>
          <cell r="G3036"/>
          <cell r="H3036"/>
          <cell r="I3036"/>
        </row>
        <row r="3037">
          <cell r="C3037"/>
          <cell r="D3037" t="str">
            <v>des</v>
          </cell>
          <cell r="E3037" t="str">
            <v>provision S2</v>
          </cell>
          <cell r="F3037"/>
          <cell r="G3037"/>
          <cell r="H3037"/>
          <cell r="I3037"/>
        </row>
        <row r="3038">
          <cell r="C3038"/>
          <cell r="D3038" t="str">
            <v>de la</v>
          </cell>
          <cell r="E3038" t="str">
            <v>tarification données spéciales</v>
          </cell>
          <cell r="F3038"/>
          <cell r="G3038"/>
          <cell r="H3038"/>
          <cell r="I3038"/>
        </row>
        <row r="3039">
          <cell r="C3039" t="str">
            <v>objet</v>
          </cell>
          <cell r="D3039" t="str">
            <v>de la</v>
          </cell>
          <cell r="E3039" t="str">
            <v>tarification global contrat</v>
          </cell>
          <cell r="F3039"/>
          <cell r="G3039"/>
          <cell r="H3039"/>
          <cell r="I3039"/>
        </row>
        <row r="3040">
          <cell r="C3040"/>
          <cell r="D3040" t="str">
            <v>de la</v>
          </cell>
          <cell r="E3040" t="str">
            <v>tarification global contrat</v>
          </cell>
          <cell r="F3040"/>
          <cell r="G3040"/>
          <cell r="H3040"/>
          <cell r="I3040"/>
        </row>
        <row r="3041">
          <cell r="C3041"/>
          <cell r="D3041" t="str">
            <v>de la</v>
          </cell>
          <cell r="E3041" t="str">
            <v>tarification global contrat</v>
          </cell>
          <cell r="F3041"/>
          <cell r="G3041"/>
          <cell r="H3041"/>
          <cell r="I3041"/>
        </row>
        <row r="3042">
          <cell r="C3042"/>
          <cell r="D3042" t="str">
            <v>de la</v>
          </cell>
          <cell r="E3042" t="str">
            <v>tarification global garantie</v>
          </cell>
          <cell r="F3042"/>
          <cell r="G3042"/>
          <cell r="H3042"/>
          <cell r="I3042"/>
        </row>
        <row r="3043">
          <cell r="C3043"/>
          <cell r="D3043" t="str">
            <v>de la</v>
          </cell>
          <cell r="E3043" t="str">
            <v>tarification global garantie</v>
          </cell>
          <cell r="F3043"/>
          <cell r="G3043"/>
          <cell r="H3043"/>
          <cell r="I3043"/>
        </row>
        <row r="3044">
          <cell r="C3044"/>
          <cell r="D3044" t="str">
            <v>de l'</v>
          </cell>
          <cell r="E3044" t="str">
            <v>ajustement tarifaire</v>
          </cell>
          <cell r="F3044"/>
          <cell r="G3044"/>
          <cell r="H3044"/>
          <cell r="I3044"/>
        </row>
        <row r="3045">
          <cell r="C3045"/>
          <cell r="D3045" t="str">
            <v>de l'</v>
          </cell>
          <cell r="E3045" t="str">
            <v>ajustement tarifaire</v>
          </cell>
          <cell r="F3045"/>
          <cell r="G3045"/>
          <cell r="H3045"/>
          <cell r="I3045"/>
        </row>
        <row r="3046">
          <cell r="C3046"/>
          <cell r="D3046" t="str">
            <v>du</v>
          </cell>
          <cell r="E3046" t="str">
            <v>taux de taxe</v>
          </cell>
          <cell r="F3046"/>
          <cell r="G3046"/>
          <cell r="H3046"/>
          <cell r="I3046"/>
        </row>
        <row r="3047">
          <cell r="C3047"/>
          <cell r="D3047" t="str">
            <v>du</v>
          </cell>
          <cell r="E3047" t="str">
            <v>taux de taxe</v>
          </cell>
          <cell r="F3047"/>
          <cell r="G3047"/>
          <cell r="H3047"/>
          <cell r="I3047"/>
        </row>
        <row r="3048">
          <cell r="C3048"/>
          <cell r="D3048" t="str">
            <v>de la</v>
          </cell>
          <cell r="E3048" t="str">
            <v>tarification données spéciales</v>
          </cell>
          <cell r="F3048"/>
          <cell r="G3048"/>
          <cell r="H3048"/>
          <cell r="I3048"/>
        </row>
        <row r="3049">
          <cell r="C3049"/>
          <cell r="D3049" t="str">
            <v>de la</v>
          </cell>
          <cell r="E3049" t="str">
            <v>tarification données spéciales</v>
          </cell>
          <cell r="F3049"/>
          <cell r="G3049"/>
          <cell r="H3049"/>
          <cell r="I3049"/>
        </row>
        <row r="3050">
          <cell r="C3050"/>
          <cell r="D3050" t="str">
            <v>du</v>
          </cell>
          <cell r="E3050" t="str">
            <v>LOB</v>
          </cell>
          <cell r="F3050"/>
          <cell r="G3050"/>
          <cell r="H3050"/>
          <cell r="I3050"/>
        </row>
        <row r="3051">
          <cell r="C3051"/>
          <cell r="D3051" t="str">
            <v>de l'</v>
          </cell>
          <cell r="E3051" t="str">
            <v>ajustement tarifaire</v>
          </cell>
          <cell r="F3051"/>
          <cell r="G3051"/>
          <cell r="H3051"/>
          <cell r="I3051"/>
        </row>
        <row r="3052">
          <cell r="C3052"/>
          <cell r="D3052" t="str">
            <v>du</v>
          </cell>
          <cell r="E3052" t="str">
            <v>taux de taxe</v>
          </cell>
          <cell r="F3052"/>
          <cell r="G3052"/>
          <cell r="H3052"/>
          <cell r="I3052"/>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C3056"/>
          <cell r="D3056" t="str">
            <v>du</v>
          </cell>
          <cell r="E3056" t="str">
            <v>sous LOB</v>
          </cell>
          <cell r="F3056"/>
          <cell r="G3056"/>
          <cell r="H3056"/>
          <cell r="I3056"/>
        </row>
        <row r="3057">
          <cell r="C3057"/>
          <cell r="D3057" t="str">
            <v>du</v>
          </cell>
          <cell r="E3057" t="str">
            <v>type</v>
          </cell>
          <cell r="F3057" t="str">
            <v>de</v>
          </cell>
          <cell r="G3057" t="str">
            <v>cotisation</v>
          </cell>
          <cell r="H3057"/>
          <cell r="I3057"/>
        </row>
        <row r="3058">
          <cell r="C3058"/>
          <cell r="D3058" t="str">
            <v>de la</v>
          </cell>
          <cell r="E3058" t="str">
            <v>taxe</v>
          </cell>
          <cell r="F3058"/>
          <cell r="G3058"/>
          <cell r="H3058"/>
          <cell r="I3058"/>
        </row>
        <row r="3059">
          <cell r="C3059"/>
          <cell r="D3059" t="str">
            <v>de</v>
          </cell>
          <cell r="E3059" t="str">
            <v>Date de fin</v>
          </cell>
          <cell r="F3059" t="str">
            <v>de l'</v>
          </cell>
          <cell r="G3059" t="str">
            <v>Année</v>
          </cell>
          <cell r="H3059"/>
          <cell r="I3059"/>
        </row>
        <row r="3060">
          <cell r="C3060"/>
          <cell r="D3060" t="str">
            <v>de</v>
          </cell>
          <cell r="E3060" t="str">
            <v>Date de début</v>
          </cell>
          <cell r="F3060" t="str">
            <v>de l'</v>
          </cell>
          <cell r="G3060" t="str">
            <v>Année</v>
          </cell>
          <cell r="H3060"/>
          <cell r="I3060"/>
        </row>
        <row r="3061">
          <cell r="C3061"/>
          <cell r="D3061" t="str">
            <v>du</v>
          </cell>
          <cell r="E3061" t="str">
            <v>Jour</v>
          </cell>
          <cell r="F3061" t="str">
            <v>de l'</v>
          </cell>
          <cell r="G3061" t="str">
            <v>année</v>
          </cell>
          <cell r="H3061"/>
          <cell r="I3061"/>
        </row>
        <row r="3062">
          <cell r="C3062"/>
          <cell r="D3062" t="str">
            <v>de</v>
          </cell>
          <cell r="E3062" t="str">
            <v>Jours restant</v>
          </cell>
          <cell r="F3062" t="str">
            <v>de l'</v>
          </cell>
          <cell r="G3062" t="str">
            <v>Année</v>
          </cell>
          <cell r="H3062"/>
          <cell r="I3062"/>
        </row>
        <row r="3063">
          <cell r="C3063"/>
          <cell r="D3063" t="str">
            <v>de la</v>
          </cell>
          <cell r="E3063" t="str">
            <v>Période calendaire</v>
          </cell>
          <cell r="F3063" t="str">
            <v>de l'</v>
          </cell>
          <cell r="G3063" t="str">
            <v>Année précédente</v>
          </cell>
          <cell r="H3063"/>
          <cell r="I3063"/>
        </row>
        <row r="3064">
          <cell r="C3064"/>
          <cell r="D3064" t="str">
            <v>de la</v>
          </cell>
          <cell r="E3064" t="str">
            <v>Période calendaire</v>
          </cell>
          <cell r="F3064" t="str">
            <v>de l'</v>
          </cell>
          <cell r="G3064" t="str">
            <v>Année précédente</v>
          </cell>
          <cell r="H3064"/>
          <cell r="I3064"/>
        </row>
        <row r="3065">
          <cell r="C3065"/>
          <cell r="D3065" t="str">
            <v>de la</v>
          </cell>
          <cell r="E3065" t="str">
            <v>Période calendaire</v>
          </cell>
          <cell r="F3065" t="str">
            <v>de l'</v>
          </cell>
          <cell r="G3065" t="str">
            <v>Année précédente</v>
          </cell>
          <cell r="H3065"/>
          <cell r="I3065"/>
        </row>
        <row r="3066">
          <cell r="C3066"/>
          <cell r="D3066" t="str">
            <v>de la</v>
          </cell>
          <cell r="E3066" t="str">
            <v>Période calendaire</v>
          </cell>
          <cell r="F3066" t="str">
            <v>de l'</v>
          </cell>
          <cell r="G3066" t="str">
            <v>Année suivante</v>
          </cell>
          <cell r="H3066"/>
          <cell r="I3066"/>
        </row>
        <row r="3067">
          <cell r="C3067"/>
          <cell r="D3067" t="str">
            <v>de la</v>
          </cell>
          <cell r="E3067" t="str">
            <v>Période calendaire</v>
          </cell>
          <cell r="F3067" t="str">
            <v>de l'</v>
          </cell>
          <cell r="G3067" t="str">
            <v>Année suivante</v>
          </cell>
          <cell r="H3067"/>
          <cell r="I3067"/>
        </row>
        <row r="3068">
          <cell r="C3068"/>
          <cell r="D3068" t="str">
            <v>de la</v>
          </cell>
          <cell r="E3068" t="str">
            <v>Période calendaire</v>
          </cell>
          <cell r="F3068" t="str">
            <v>de l'</v>
          </cell>
          <cell r="G3068" t="str">
            <v>Année suivante</v>
          </cell>
          <cell r="H3068"/>
          <cell r="I3068"/>
        </row>
        <row r="3069">
          <cell r="C3069" t="str">
            <v>jour férié</v>
          </cell>
          <cell r="D3069" t="str">
            <v>de la</v>
          </cell>
          <cell r="E3069" t="str">
            <v xml:space="preserve">Date </v>
          </cell>
          <cell r="F3069"/>
          <cell r="G3069"/>
          <cell r="H3069"/>
          <cell r="I3069"/>
        </row>
        <row r="3070">
          <cell r="C3070" t="str">
            <v>jour ouvré</v>
          </cell>
          <cell r="D3070" t="str">
            <v>de la</v>
          </cell>
          <cell r="E3070" t="str">
            <v xml:space="preserve">Date </v>
          </cell>
          <cell r="F3070"/>
          <cell r="G3070"/>
          <cell r="H3070"/>
          <cell r="I3070"/>
        </row>
        <row r="3071">
          <cell r="C3071" t="str">
            <v>jour ouvrable</v>
          </cell>
          <cell r="D3071" t="str">
            <v>de la</v>
          </cell>
          <cell r="E3071" t="str">
            <v xml:space="preserve">Date </v>
          </cell>
          <cell r="F3071"/>
          <cell r="G3071"/>
          <cell r="H3071"/>
          <cell r="I3071"/>
        </row>
        <row r="3072">
          <cell r="C3072" t="str">
            <v>Fin</v>
          </cell>
          <cell r="D3072" t="str">
            <v>du</v>
          </cell>
          <cell r="E3072" t="str">
            <v>mois</v>
          </cell>
          <cell r="F3072" t="str">
            <v>de la</v>
          </cell>
          <cell r="G3072" t="str">
            <v>Période calendaire</v>
          </cell>
          <cell r="H3072"/>
          <cell r="I3072"/>
        </row>
        <row r="3073">
          <cell r="C3073" t="str">
            <v>Fin</v>
          </cell>
          <cell r="D3073" t="str">
            <v>du</v>
          </cell>
          <cell r="E3073" t="str">
            <v>Trimestre</v>
          </cell>
          <cell r="F3073" t="str">
            <v>de la</v>
          </cell>
          <cell r="G3073" t="str">
            <v>Période calendaire</v>
          </cell>
          <cell r="H3073"/>
          <cell r="I3073"/>
        </row>
        <row r="3074">
          <cell r="C3074" t="str">
            <v>Fin</v>
          </cell>
          <cell r="D3074" t="str">
            <v>du</v>
          </cell>
          <cell r="E3074" t="str">
            <v>semestre</v>
          </cell>
          <cell r="F3074" t="str">
            <v>de la</v>
          </cell>
          <cell r="G3074" t="str">
            <v>Période calendaire</v>
          </cell>
          <cell r="H3074"/>
          <cell r="I3074"/>
        </row>
        <row r="3075">
          <cell r="C3075" t="str">
            <v>Fin</v>
          </cell>
          <cell r="D3075" t="str">
            <v>de la</v>
          </cell>
          <cell r="E3075" t="str">
            <v>semaine</v>
          </cell>
          <cell r="F3075" t="str">
            <v>de la</v>
          </cell>
          <cell r="G3075" t="str">
            <v>Période calendaire</v>
          </cell>
          <cell r="H3075"/>
          <cell r="I3075"/>
        </row>
        <row r="3076">
          <cell r="C3076" t="str">
            <v>Fin</v>
          </cell>
          <cell r="D3076" t="str">
            <v>de l'</v>
          </cell>
          <cell r="E3076" t="str">
            <v>année</v>
          </cell>
          <cell r="F3076" t="str">
            <v>de la</v>
          </cell>
          <cell r="G3076" t="str">
            <v>Période calendaire</v>
          </cell>
          <cell r="H3076"/>
          <cell r="I3076"/>
        </row>
        <row r="3077">
          <cell r="C3077" t="str">
            <v>ISO</v>
          </cell>
          <cell r="D3077" t="str">
            <v>du</v>
          </cell>
          <cell r="E3077" t="str">
            <v>Jour</v>
          </cell>
          <cell r="F3077"/>
          <cell r="G3077"/>
          <cell r="H3077"/>
          <cell r="I3077"/>
        </row>
        <row r="3078">
          <cell r="C3078" t="str">
            <v>ISO</v>
          </cell>
          <cell r="D3078" t="str">
            <v>de la</v>
          </cell>
          <cell r="E3078" t="str">
            <v>semaine</v>
          </cell>
          <cell r="F3078"/>
          <cell r="G3078"/>
          <cell r="H3078"/>
          <cell r="I3078"/>
        </row>
        <row r="3079">
          <cell r="C3079" t="str">
            <v>SAS</v>
          </cell>
          <cell r="D3079" t="str">
            <v>de la</v>
          </cell>
          <cell r="E3079" t="str">
            <v>semaine</v>
          </cell>
          <cell r="F3079"/>
          <cell r="G3079"/>
          <cell r="H3079"/>
          <cell r="I3079"/>
        </row>
        <row r="3080">
          <cell r="C3080" t="str">
            <v>ISO</v>
          </cell>
          <cell r="D3080" t="str">
            <v>de</v>
          </cell>
          <cell r="E3080" t="str">
            <v>Année</v>
          </cell>
          <cell r="F3080"/>
          <cell r="G3080" t="str">
            <v>mois</v>
          </cell>
          <cell r="H3080"/>
          <cell r="I3080"/>
        </row>
        <row r="3081">
          <cell r="C3081" t="str">
            <v>ISO</v>
          </cell>
          <cell r="D3081" t="str">
            <v>de la</v>
          </cell>
          <cell r="E3081" t="str">
            <v>semaine</v>
          </cell>
          <cell r="F3081" t="str">
            <v>et</v>
          </cell>
          <cell r="G3081" t="str">
            <v>année</v>
          </cell>
          <cell r="H3081"/>
          <cell r="I3081"/>
        </row>
        <row r="3082">
          <cell r="C3082"/>
          <cell r="D3082" t="str">
            <v>de</v>
          </cell>
          <cell r="E3082" t="str">
            <v>Date de fin</v>
          </cell>
          <cell r="F3082" t="str">
            <v>du</v>
          </cell>
          <cell r="G3082" t="str">
            <v>mois</v>
          </cell>
          <cell r="H3082"/>
          <cell r="I3082"/>
        </row>
        <row r="3083">
          <cell r="C3083"/>
          <cell r="D3083" t="str">
            <v>de</v>
          </cell>
          <cell r="E3083" t="str">
            <v>Date de début</v>
          </cell>
          <cell r="F3083" t="str">
            <v>du</v>
          </cell>
          <cell r="G3083" t="str">
            <v>mois</v>
          </cell>
          <cell r="H3083"/>
          <cell r="I3083"/>
        </row>
        <row r="3084">
          <cell r="C3084"/>
          <cell r="D3084" t="str">
            <v>du</v>
          </cell>
          <cell r="E3084" t="str">
            <v>Jour</v>
          </cell>
          <cell r="F3084" t="str">
            <v>du</v>
          </cell>
          <cell r="G3084" t="str">
            <v>mois</v>
          </cell>
          <cell r="H3084"/>
          <cell r="I3084"/>
        </row>
        <row r="3085">
          <cell r="C3085"/>
          <cell r="D3085" t="str">
            <v>de</v>
          </cell>
          <cell r="E3085" t="str">
            <v>Jours restant</v>
          </cell>
          <cell r="F3085" t="str">
            <v>du</v>
          </cell>
          <cell r="G3085" t="str">
            <v>mois</v>
          </cell>
          <cell r="H3085"/>
          <cell r="I3085"/>
        </row>
        <row r="3086">
          <cell r="C3086"/>
          <cell r="D3086" t="str">
            <v>de</v>
          </cell>
          <cell r="E3086" t="str">
            <v>Année</v>
          </cell>
          <cell r="F3086"/>
          <cell r="G3086" t="str">
            <v>mois</v>
          </cell>
          <cell r="H3086"/>
          <cell r="I3086"/>
        </row>
        <row r="3087">
          <cell r="C3087"/>
          <cell r="D3087" t="str">
            <v>de</v>
          </cell>
          <cell r="E3087" t="str">
            <v>Jour</v>
          </cell>
          <cell r="F3087" t="str">
            <v>de la</v>
          </cell>
          <cell r="G3087" t="str">
            <v>Période calendaire</v>
          </cell>
          <cell r="H3087"/>
          <cell r="I3087"/>
        </row>
        <row r="3088">
          <cell r="C3088"/>
          <cell r="D3088" t="str">
            <v>du</v>
          </cell>
          <cell r="E3088" t="str">
            <v>mois</v>
          </cell>
          <cell r="F3088" t="str">
            <v>de la</v>
          </cell>
          <cell r="G3088" t="str">
            <v>Période calendaire</v>
          </cell>
          <cell r="H3088"/>
          <cell r="I3088"/>
        </row>
        <row r="3089">
          <cell r="C3089"/>
          <cell r="D3089" t="str">
            <v>du</v>
          </cell>
          <cell r="E3089" t="str">
            <v>Trimestre</v>
          </cell>
          <cell r="F3089" t="str">
            <v>de la</v>
          </cell>
          <cell r="G3089" t="str">
            <v>Période calendaire</v>
          </cell>
          <cell r="H3089"/>
          <cell r="I3089"/>
        </row>
        <row r="3090">
          <cell r="C3090"/>
          <cell r="D3090" t="str">
            <v>du</v>
          </cell>
          <cell r="E3090" t="str">
            <v>semestre</v>
          </cell>
          <cell r="F3090" t="str">
            <v>de la</v>
          </cell>
          <cell r="G3090" t="str">
            <v>Période calendaire</v>
          </cell>
          <cell r="H3090"/>
          <cell r="I3090"/>
        </row>
        <row r="3091">
          <cell r="C3091"/>
          <cell r="D3091" t="str">
            <v>de la</v>
          </cell>
          <cell r="E3091" t="str">
            <v>semaine</v>
          </cell>
          <cell r="F3091" t="str">
            <v>de la</v>
          </cell>
          <cell r="G3091" t="str">
            <v>Période calendaire</v>
          </cell>
          <cell r="H3091"/>
          <cell r="I3091"/>
        </row>
        <row r="3092">
          <cell r="C3092"/>
          <cell r="D3092" t="str">
            <v>de l'</v>
          </cell>
          <cell r="E3092" t="str">
            <v>année</v>
          </cell>
          <cell r="F3092" t="str">
            <v>de la</v>
          </cell>
          <cell r="G3092" t="str">
            <v>Période calendaire</v>
          </cell>
          <cell r="H3092"/>
          <cell r="I3092"/>
        </row>
        <row r="3093">
          <cell r="C3093"/>
          <cell r="D3093" t="str">
            <v>de</v>
          </cell>
          <cell r="E3093" t="str">
            <v>Date de fin</v>
          </cell>
          <cell r="F3093" t="str">
            <v>de</v>
          </cell>
          <cell r="G3093" t="str">
            <v>semaine</v>
          </cell>
          <cell r="H3093"/>
          <cell r="I3093"/>
        </row>
        <row r="3094">
          <cell r="C3094"/>
          <cell r="D3094" t="str">
            <v>de</v>
          </cell>
          <cell r="E3094" t="str">
            <v>Date de début</v>
          </cell>
          <cell r="F3094" t="str">
            <v>de</v>
          </cell>
          <cell r="G3094" t="str">
            <v>semaine</v>
          </cell>
          <cell r="H3094"/>
          <cell r="I3094"/>
        </row>
        <row r="3095">
          <cell r="C3095"/>
          <cell r="D3095" t="str">
            <v>du</v>
          </cell>
          <cell r="E3095" t="str">
            <v>Jour</v>
          </cell>
          <cell r="F3095" t="str">
            <v>de la</v>
          </cell>
          <cell r="G3095" t="str">
            <v>semaine</v>
          </cell>
          <cell r="H3095"/>
          <cell r="I3095"/>
        </row>
        <row r="3096">
          <cell r="C3096"/>
          <cell r="D3096" t="str">
            <v>de</v>
          </cell>
          <cell r="E3096" t="str">
            <v>Date de fin</v>
          </cell>
          <cell r="F3096" t="str">
            <v>du</v>
          </cell>
          <cell r="G3096" t="str">
            <v>Semestre</v>
          </cell>
          <cell r="H3096"/>
          <cell r="I3096"/>
        </row>
        <row r="3097">
          <cell r="C3097"/>
          <cell r="D3097" t="str">
            <v>de</v>
          </cell>
          <cell r="E3097" t="str">
            <v>Date de début</v>
          </cell>
          <cell r="F3097" t="str">
            <v>du</v>
          </cell>
          <cell r="G3097" t="str">
            <v>Semestre</v>
          </cell>
          <cell r="H3097"/>
          <cell r="I3097"/>
        </row>
        <row r="3098">
          <cell r="C3098"/>
          <cell r="D3098" t="str">
            <v>de</v>
          </cell>
          <cell r="E3098" t="str">
            <v>Date de fin</v>
          </cell>
          <cell r="F3098" t="str">
            <v>du</v>
          </cell>
          <cell r="G3098" t="str">
            <v>Trimestre</v>
          </cell>
          <cell r="H3098"/>
          <cell r="I3098"/>
        </row>
        <row r="3099">
          <cell r="C3099"/>
          <cell r="D3099" t="str">
            <v>de</v>
          </cell>
          <cell r="E3099" t="str">
            <v>Date de début</v>
          </cell>
          <cell r="F3099" t="str">
            <v>du</v>
          </cell>
          <cell r="G3099" t="str">
            <v>Trimestre</v>
          </cell>
          <cell r="H3099"/>
          <cell r="I3099"/>
        </row>
        <row r="3100">
          <cell r="C3100"/>
          <cell r="D3100" t="str">
            <v>de la</v>
          </cell>
          <cell r="E3100" t="str">
            <v xml:space="preserve">Date </v>
          </cell>
          <cell r="F3100"/>
          <cell r="G3100"/>
          <cell r="H3100"/>
          <cell r="I3100"/>
        </row>
        <row r="3101">
          <cell r="C3101"/>
          <cell r="D3101" t="str">
            <v>de la</v>
          </cell>
          <cell r="E3101" t="str">
            <v xml:space="preserve">Date </v>
          </cell>
          <cell r="F3101"/>
          <cell r="G3101"/>
          <cell r="H3101"/>
          <cell r="I3101"/>
        </row>
        <row r="3102">
          <cell r="C3102"/>
          <cell r="D3102" t="str">
            <v>de la</v>
          </cell>
          <cell r="E3102" t="str">
            <v>Demi-journée</v>
          </cell>
          <cell r="F3102"/>
          <cell r="G3102"/>
          <cell r="H3102"/>
          <cell r="I3102"/>
        </row>
        <row r="3103">
          <cell r="C3103"/>
          <cell r="D3103" t="str">
            <v>de la</v>
          </cell>
          <cell r="E3103" t="str">
            <v>Demi heure</v>
          </cell>
          <cell r="F3103"/>
          <cell r="G3103"/>
          <cell r="H3103"/>
          <cell r="I3103"/>
        </row>
        <row r="3104">
          <cell r="C3104"/>
          <cell r="D3104" t="str">
            <v>de l'</v>
          </cell>
          <cell r="E3104" t="str">
            <v>Heure</v>
          </cell>
          <cell r="F3104"/>
          <cell r="G3104"/>
          <cell r="H3104"/>
          <cell r="I3104"/>
        </row>
        <row r="3105">
          <cell r="C3105"/>
          <cell r="D3105" t="str">
            <v>des</v>
          </cell>
          <cell r="E3105" t="str">
            <v>Minute</v>
          </cell>
          <cell r="F3105"/>
          <cell r="G3105"/>
          <cell r="H3105"/>
          <cell r="I3105"/>
        </row>
        <row r="3106">
          <cell r="C3106"/>
          <cell r="D3106" t="str">
            <v>du</v>
          </cell>
          <cell r="E3106" t="str">
            <v>mois</v>
          </cell>
          <cell r="F3106"/>
          <cell r="G3106"/>
          <cell r="H3106"/>
          <cell r="I3106"/>
        </row>
        <row r="3107">
          <cell r="C3107"/>
          <cell r="D3107" t="str">
            <v>du</v>
          </cell>
          <cell r="E3107" t="str">
            <v>Jour suivant</v>
          </cell>
          <cell r="F3107"/>
          <cell r="G3107"/>
          <cell r="H3107"/>
          <cell r="I3107"/>
        </row>
        <row r="3108">
          <cell r="C3108"/>
          <cell r="D3108" t="str">
            <v>du</v>
          </cell>
          <cell r="E3108" t="str">
            <v>Jour suivant</v>
          </cell>
          <cell r="F3108"/>
          <cell r="G3108"/>
          <cell r="H3108"/>
          <cell r="I3108"/>
        </row>
        <row r="3109">
          <cell r="C3109"/>
          <cell r="D3109" t="str">
            <v>du</v>
          </cell>
          <cell r="E3109" t="str">
            <v>Jour précédent</v>
          </cell>
          <cell r="F3109"/>
          <cell r="G3109"/>
          <cell r="H3109"/>
          <cell r="I3109"/>
        </row>
        <row r="3110">
          <cell r="C3110"/>
          <cell r="D3110" t="str">
            <v>du</v>
          </cell>
          <cell r="E3110" t="str">
            <v>Jour précédent</v>
          </cell>
          <cell r="F3110"/>
          <cell r="G3110"/>
          <cell r="H3110"/>
          <cell r="I3110"/>
        </row>
        <row r="3111">
          <cell r="C3111"/>
          <cell r="D3111" t="str">
            <v>du</v>
          </cell>
          <cell r="E3111" t="str">
            <v>trimestre</v>
          </cell>
          <cell r="F3111"/>
          <cell r="G3111"/>
          <cell r="H3111"/>
          <cell r="I3111"/>
        </row>
        <row r="3112">
          <cell r="C3112"/>
          <cell r="D3112" t="str">
            <v>du</v>
          </cell>
          <cell r="E3112" t="str">
            <v>Quart de journée</v>
          </cell>
          <cell r="F3112"/>
          <cell r="G3112"/>
          <cell r="H3112"/>
          <cell r="I3112"/>
        </row>
        <row r="3113">
          <cell r="C3113"/>
          <cell r="D3113" t="str">
            <v>du</v>
          </cell>
          <cell r="E3113" t="str">
            <v>Quart d'heure</v>
          </cell>
          <cell r="F3113"/>
          <cell r="G3113"/>
          <cell r="H3113"/>
          <cell r="I3113"/>
        </row>
        <row r="3114">
          <cell r="C3114"/>
          <cell r="D3114" t="str">
            <v>du</v>
          </cell>
          <cell r="E3114" t="str">
            <v>semestre</v>
          </cell>
          <cell r="F3114"/>
          <cell r="G3114"/>
          <cell r="H3114"/>
          <cell r="I3114"/>
        </row>
        <row r="3115">
          <cell r="C3115"/>
          <cell r="D3115" t="str">
            <v>de la</v>
          </cell>
          <cell r="E3115" t="str">
            <v>semaine</v>
          </cell>
          <cell r="F3115"/>
          <cell r="G3115"/>
          <cell r="H3115"/>
          <cell r="I3115"/>
        </row>
        <row r="3116">
          <cell r="C3116"/>
          <cell r="D3116" t="str">
            <v>de l'</v>
          </cell>
          <cell r="E3116" t="str">
            <v>Année</v>
          </cell>
          <cell r="F3116"/>
          <cell r="G3116"/>
          <cell r="H3116"/>
          <cell r="I3116"/>
        </row>
        <row r="3117">
          <cell r="C3117"/>
          <cell r="D3117" t="str">
            <v>du</v>
          </cell>
          <cell r="E3117" t="str">
            <v>Calendrier</v>
          </cell>
          <cell r="F3117"/>
          <cell r="G3117"/>
          <cell r="H3117"/>
          <cell r="I3117"/>
        </row>
        <row r="3118">
          <cell r="C3118"/>
          <cell r="D3118" t="str">
            <v>de la</v>
          </cell>
          <cell r="E3118" t="str">
            <v xml:space="preserve">Date </v>
          </cell>
          <cell r="F3118"/>
          <cell r="G3118"/>
          <cell r="H3118"/>
          <cell r="I3118"/>
        </row>
        <row r="3119">
          <cell r="C3119"/>
          <cell r="D3119" t="str">
            <v>de la</v>
          </cell>
          <cell r="E3119" t="str">
            <v>Période calendaire</v>
          </cell>
          <cell r="F3119"/>
          <cell r="G3119"/>
          <cell r="H3119"/>
          <cell r="I3119"/>
        </row>
        <row r="3120">
          <cell r="C3120"/>
          <cell r="D3120" t="str">
            <v>de la</v>
          </cell>
          <cell r="E3120" t="str">
            <v>période calendaire suivante</v>
          </cell>
          <cell r="F3120"/>
          <cell r="G3120"/>
          <cell r="H3120"/>
          <cell r="I3120"/>
        </row>
        <row r="3121">
          <cell r="C3121"/>
          <cell r="D3121" t="str">
            <v>de la</v>
          </cell>
          <cell r="E3121" t="str">
            <v>période calendaire précédente</v>
          </cell>
          <cell r="F3121"/>
          <cell r="G3121"/>
          <cell r="H3121"/>
          <cell r="I3121"/>
        </row>
        <row r="3122">
          <cell r="C3122"/>
          <cell r="D3122" t="str">
            <v>de la</v>
          </cell>
          <cell r="E3122" t="str">
            <v xml:space="preserve">Date </v>
          </cell>
          <cell r="F3122"/>
          <cell r="G3122"/>
          <cell r="H3122"/>
          <cell r="I3122"/>
        </row>
        <row r="3123">
          <cell r="C3123"/>
          <cell r="D3123" t="str">
            <v>de la</v>
          </cell>
          <cell r="E3123" t="str">
            <v>Période calendaire</v>
          </cell>
          <cell r="F3123"/>
          <cell r="G3123"/>
          <cell r="H3123"/>
          <cell r="I3123"/>
        </row>
        <row r="3124">
          <cell r="C3124"/>
          <cell r="D3124" t="str">
            <v>de la</v>
          </cell>
          <cell r="E3124" t="str">
            <v>Période calendaire</v>
          </cell>
          <cell r="F3124"/>
          <cell r="G3124"/>
          <cell r="H3124"/>
          <cell r="I3124"/>
        </row>
        <row r="3125">
          <cell r="C3125"/>
          <cell r="D3125" t="str">
            <v>du</v>
          </cell>
          <cell r="E3125" t="str">
            <v>mois</v>
          </cell>
          <cell r="F3125"/>
          <cell r="G3125"/>
          <cell r="H3125"/>
          <cell r="I3125"/>
        </row>
        <row r="3126">
          <cell r="C3126"/>
          <cell r="D3126" t="str">
            <v>du</v>
          </cell>
          <cell r="E3126" t="str">
            <v>mois</v>
          </cell>
          <cell r="F3126"/>
          <cell r="G3126"/>
          <cell r="H3126"/>
          <cell r="I3126"/>
        </row>
        <row r="3127">
          <cell r="C3127"/>
          <cell r="D3127" t="str">
            <v>de la</v>
          </cell>
          <cell r="E3127" t="str">
            <v>période calendaire suivante</v>
          </cell>
          <cell r="F3127"/>
          <cell r="G3127"/>
          <cell r="H3127"/>
          <cell r="I3127"/>
        </row>
        <row r="3128">
          <cell r="C3128"/>
          <cell r="D3128" t="str">
            <v>de la</v>
          </cell>
          <cell r="E3128" t="str">
            <v>période calendaire suivante</v>
          </cell>
          <cell r="F3128"/>
          <cell r="G3128"/>
          <cell r="H3128"/>
          <cell r="I3128"/>
        </row>
        <row r="3129">
          <cell r="C3129"/>
          <cell r="D3129" t="str">
            <v>du</v>
          </cell>
          <cell r="E3129" t="str">
            <v>Jour suivant</v>
          </cell>
          <cell r="F3129"/>
          <cell r="G3129"/>
          <cell r="H3129"/>
          <cell r="I3129"/>
        </row>
        <row r="3130">
          <cell r="C3130"/>
          <cell r="D3130" t="str">
            <v>du</v>
          </cell>
          <cell r="E3130" t="str">
            <v>mois suivant</v>
          </cell>
          <cell r="F3130"/>
          <cell r="G3130"/>
          <cell r="H3130"/>
          <cell r="I3130"/>
        </row>
        <row r="3131">
          <cell r="C3131"/>
          <cell r="D3131" t="str">
            <v>de la</v>
          </cell>
          <cell r="E3131" t="str">
            <v>semaine suivante</v>
          </cell>
          <cell r="F3131"/>
          <cell r="G3131"/>
          <cell r="H3131"/>
          <cell r="I3131"/>
        </row>
        <row r="3132">
          <cell r="C3132"/>
          <cell r="D3132" t="str">
            <v>de l'</v>
          </cell>
          <cell r="E3132" t="str">
            <v>Année suivante</v>
          </cell>
          <cell r="F3132"/>
          <cell r="G3132"/>
          <cell r="H3132"/>
          <cell r="I3132"/>
        </row>
        <row r="3133">
          <cell r="C3133"/>
          <cell r="D3133" t="str">
            <v>de la</v>
          </cell>
          <cell r="E3133" t="str">
            <v>période calendaire précédente</v>
          </cell>
          <cell r="F3133"/>
          <cell r="G3133"/>
          <cell r="H3133"/>
          <cell r="I3133"/>
        </row>
        <row r="3134">
          <cell r="C3134"/>
          <cell r="D3134" t="str">
            <v>de la</v>
          </cell>
          <cell r="E3134" t="str">
            <v>période calendaire précédente</v>
          </cell>
          <cell r="F3134"/>
          <cell r="G3134"/>
          <cell r="H3134"/>
          <cell r="I3134"/>
        </row>
        <row r="3135">
          <cell r="C3135"/>
          <cell r="D3135" t="str">
            <v>du</v>
          </cell>
          <cell r="E3135" t="str">
            <v>Jour précédent</v>
          </cell>
          <cell r="F3135"/>
          <cell r="G3135"/>
          <cell r="H3135"/>
          <cell r="I3135"/>
        </row>
        <row r="3136">
          <cell r="C3136"/>
          <cell r="D3136" t="str">
            <v>du</v>
          </cell>
          <cell r="E3136" t="str">
            <v>mois précédent</v>
          </cell>
          <cell r="F3136"/>
          <cell r="G3136"/>
          <cell r="H3136"/>
          <cell r="I3136"/>
        </row>
        <row r="3137">
          <cell r="C3137"/>
          <cell r="D3137" t="str">
            <v>du</v>
          </cell>
          <cell r="E3137" t="str">
            <v>mois précédent</v>
          </cell>
          <cell r="F3137"/>
          <cell r="G3137"/>
          <cell r="H3137"/>
          <cell r="I3137"/>
        </row>
        <row r="3138">
          <cell r="C3138"/>
          <cell r="D3138" t="str">
            <v>du</v>
          </cell>
          <cell r="E3138" t="str">
            <v>mois précédent</v>
          </cell>
          <cell r="F3138"/>
          <cell r="G3138"/>
          <cell r="H3138"/>
          <cell r="I3138"/>
        </row>
        <row r="3139">
          <cell r="C3139"/>
          <cell r="D3139" t="str">
            <v>du</v>
          </cell>
          <cell r="E3139" t="str">
            <v>trimestre précédent</v>
          </cell>
          <cell r="F3139"/>
          <cell r="G3139"/>
          <cell r="H3139"/>
          <cell r="I3139"/>
        </row>
        <row r="3140">
          <cell r="C3140"/>
          <cell r="D3140" t="str">
            <v>du</v>
          </cell>
          <cell r="E3140" t="str">
            <v>trimestre précédent</v>
          </cell>
          <cell r="F3140"/>
          <cell r="G3140"/>
          <cell r="H3140"/>
          <cell r="I3140"/>
        </row>
        <row r="3141">
          <cell r="C3141"/>
          <cell r="D3141" t="str">
            <v>du</v>
          </cell>
          <cell r="E3141" t="str">
            <v>semestre précédent</v>
          </cell>
          <cell r="F3141"/>
          <cell r="G3141"/>
          <cell r="H3141"/>
          <cell r="I3141"/>
        </row>
        <row r="3142">
          <cell r="C3142"/>
          <cell r="D3142" t="str">
            <v>du</v>
          </cell>
          <cell r="E3142" t="str">
            <v>semestre précédent</v>
          </cell>
          <cell r="F3142"/>
          <cell r="G3142"/>
          <cell r="H3142"/>
          <cell r="I3142"/>
        </row>
        <row r="3143">
          <cell r="C3143"/>
          <cell r="D3143" t="str">
            <v>de la</v>
          </cell>
          <cell r="E3143" t="str">
            <v>semaine précédente</v>
          </cell>
          <cell r="F3143"/>
          <cell r="G3143"/>
          <cell r="H3143"/>
          <cell r="I3143"/>
        </row>
        <row r="3144">
          <cell r="C3144"/>
          <cell r="D3144" t="str">
            <v>de l'</v>
          </cell>
          <cell r="E3144" t="str">
            <v>Année précédente</v>
          </cell>
          <cell r="F3144"/>
          <cell r="G3144"/>
          <cell r="H3144"/>
          <cell r="I3144"/>
        </row>
        <row r="3145">
          <cell r="C3145"/>
          <cell r="D3145" t="str">
            <v>de l'</v>
          </cell>
          <cell r="E3145" t="str">
            <v>Horaire</v>
          </cell>
          <cell r="F3145"/>
          <cell r="G3145"/>
          <cell r="H3145"/>
          <cell r="I3145"/>
        </row>
        <row r="3146">
          <cell r="C3146"/>
          <cell r="D3146" t="str">
            <v>de la</v>
          </cell>
          <cell r="E3146" t="str">
            <v>semaine</v>
          </cell>
          <cell r="F3146"/>
          <cell r="G3146"/>
          <cell r="H3146"/>
          <cell r="I3146"/>
        </row>
        <row r="3147">
          <cell r="C3147"/>
          <cell r="D3147" t="str">
            <v>de la</v>
          </cell>
          <cell r="E3147" t="str">
            <v>semaine</v>
          </cell>
          <cell r="F3147"/>
          <cell r="G3147"/>
          <cell r="H3147"/>
          <cell r="I3147"/>
        </row>
        <row r="3148">
          <cell r="C3148"/>
          <cell r="D3148" t="str">
            <v>du</v>
          </cell>
          <cell r="E3148" t="str">
            <v>Calendrier</v>
          </cell>
          <cell r="F3148"/>
          <cell r="G3148"/>
          <cell r="H3148"/>
          <cell r="I3148"/>
        </row>
        <row r="3149">
          <cell r="C3149"/>
          <cell r="D3149" t="str">
            <v>du</v>
          </cell>
          <cell r="E3149" t="str">
            <v>Calendrier</v>
          </cell>
          <cell r="F3149"/>
          <cell r="G3149"/>
          <cell r="H3149"/>
          <cell r="I3149"/>
        </row>
        <row r="3150">
          <cell r="C3150"/>
          <cell r="D3150" t="str">
            <v>du</v>
          </cell>
          <cell r="E3150" t="str">
            <v>Pays</v>
          </cell>
          <cell r="F3150"/>
          <cell r="G3150"/>
          <cell r="H3150"/>
          <cell r="I3150"/>
        </row>
        <row r="3151">
          <cell r="C3151"/>
          <cell r="D3151" t="str">
            <v>de la</v>
          </cell>
          <cell r="E3151" t="str">
            <v>Période calendaire</v>
          </cell>
          <cell r="F3151"/>
          <cell r="G3151"/>
          <cell r="H3151"/>
          <cell r="I3151"/>
        </row>
        <row r="3152">
          <cell r="C3152"/>
          <cell r="D3152" t="str">
            <v>de la</v>
          </cell>
          <cell r="E3152" t="str">
            <v>Période calendaire</v>
          </cell>
          <cell r="F3152"/>
          <cell r="G3152"/>
          <cell r="H3152"/>
          <cell r="I3152"/>
        </row>
        <row r="3153">
          <cell r="C3153"/>
          <cell r="D3153" t="str">
            <v>de la</v>
          </cell>
          <cell r="E3153" t="str">
            <v>Période calendaire</v>
          </cell>
          <cell r="F3153"/>
          <cell r="G3153"/>
          <cell r="H3153"/>
          <cell r="I3153"/>
        </row>
        <row r="3154">
          <cell r="C3154"/>
          <cell r="D3154" t="str">
            <v>de</v>
          </cell>
          <cell r="E3154" t="str">
            <v>Regroupement de la période calendaire</v>
          </cell>
          <cell r="F3154"/>
          <cell r="G3154"/>
          <cell r="H3154"/>
          <cell r="I3154"/>
        </row>
        <row r="3155">
          <cell r="C3155"/>
          <cell r="D3155" t="str">
            <v>du</v>
          </cell>
          <cell r="E3155" t="str">
            <v>Jour férié</v>
          </cell>
          <cell r="F3155"/>
          <cell r="G3155"/>
          <cell r="H3155"/>
          <cell r="I3155"/>
        </row>
        <row r="3156">
          <cell r="C3156" t="str">
            <v>Dernière image</v>
          </cell>
          <cell r="D3156" t="str">
            <v>de la</v>
          </cell>
          <cell r="E3156" t="str">
            <v>relation entre tiers</v>
          </cell>
          <cell r="F3156"/>
          <cell r="G3156"/>
          <cell r="H3156"/>
          <cell r="I3156"/>
        </row>
        <row r="3157">
          <cell r="C3157" t="str">
            <v>Dernière image</v>
          </cell>
          <cell r="D3157" t="str">
            <v>du</v>
          </cell>
          <cell r="E3157" t="str">
            <v>tiers</v>
          </cell>
          <cell r="F3157"/>
          <cell r="G3157"/>
          <cell r="H3157"/>
          <cell r="I3157"/>
        </row>
        <row r="3158">
          <cell r="C3158" t="str">
            <v>Dernière image</v>
          </cell>
          <cell r="D3158" t="str">
            <v>des</v>
          </cell>
          <cell r="E3158" t="str">
            <v>données personnelles</v>
          </cell>
          <cell r="F3158" t="str">
            <v>du</v>
          </cell>
          <cell r="G3158" t="str">
            <v>tiers</v>
          </cell>
          <cell r="H3158"/>
          <cell r="I3158"/>
        </row>
        <row r="3159">
          <cell r="C3159" t="str">
            <v>Dernière image</v>
          </cell>
          <cell r="D3159" t="str">
            <v>du</v>
          </cell>
          <cell r="E3159" t="str">
            <v>tiers personne morale</v>
          </cell>
          <cell r="F3159"/>
          <cell r="G3159"/>
          <cell r="H3159"/>
          <cell r="I3159"/>
        </row>
        <row r="3160">
          <cell r="C3160" t="str">
            <v>Dernière image</v>
          </cell>
          <cell r="D3160" t="str">
            <v>du</v>
          </cell>
          <cell r="E3160" t="str">
            <v>tiers personne physique</v>
          </cell>
          <cell r="F3160"/>
          <cell r="G3160"/>
          <cell r="H3160"/>
          <cell r="I3160"/>
        </row>
        <row r="3161">
          <cell r="C3161" t="str">
            <v>Dernière image</v>
          </cell>
          <cell r="D3161" t="str">
            <v>des</v>
          </cell>
          <cell r="E3161" t="str">
            <v>données personnelles</v>
          </cell>
          <cell r="F3161" t="str">
            <v>du</v>
          </cell>
          <cell r="G3161" t="str">
            <v>tiers personne physique</v>
          </cell>
          <cell r="H3161"/>
          <cell r="I3161"/>
        </row>
        <row r="3162">
          <cell r="C3162" t="str">
            <v>guichet</v>
          </cell>
          <cell r="D3162" t="str">
            <v>de la</v>
          </cell>
          <cell r="E3162" t="str">
            <v>relation commerciale</v>
          </cell>
          <cell r="F3162"/>
          <cell r="G3162"/>
          <cell r="H3162"/>
          <cell r="I3162"/>
        </row>
        <row r="3163">
          <cell r="C3163" t="str">
            <v>bureau</v>
          </cell>
          <cell r="D3163" t="str">
            <v>de la</v>
          </cell>
          <cell r="E3163" t="str">
            <v>relation commerciale</v>
          </cell>
          <cell r="F3163"/>
          <cell r="G3163"/>
          <cell r="H3163"/>
          <cell r="I3163"/>
        </row>
        <row r="3164">
          <cell r="C3164" t="str">
            <v>première affectation</v>
          </cell>
          <cell r="D3164" t="str">
            <v>à un</v>
          </cell>
          <cell r="E3164" t="str">
            <v>portefeuille</v>
          </cell>
          <cell r="F3164" t="str">
            <v>de la</v>
          </cell>
          <cell r="G3164" t="str">
            <v>fédération</v>
          </cell>
          <cell r="H3164"/>
          <cell r="I3164"/>
        </row>
        <row r="3165">
          <cell r="C3165" t="str">
            <v>pays</v>
          </cell>
          <cell r="D3165" t="str">
            <v>de l'</v>
          </cell>
          <cell r="E3165" t="str">
            <v>adresse</v>
          </cell>
          <cell r="F3165"/>
          <cell r="G3165"/>
          <cell r="H3165"/>
          <cell r="I3165"/>
        </row>
        <row r="3166">
          <cell r="C3166" t="str">
            <v>pays</v>
          </cell>
          <cell r="D3166" t="str">
            <v>de</v>
          </cell>
          <cell r="E3166" t="str">
            <v>travailleur frontalier</v>
          </cell>
          <cell r="F3166"/>
          <cell r="G3166"/>
          <cell r="H3166"/>
          <cell r="I3166"/>
        </row>
        <row r="3167">
          <cell r="C3167" t="str">
            <v>pays</v>
          </cell>
          <cell r="D3167" t="str">
            <v>du</v>
          </cell>
          <cell r="E3167" t="str">
            <v>contrat</v>
          </cell>
          <cell r="F3167"/>
          <cell r="G3167"/>
          <cell r="H3167"/>
          <cell r="I3167"/>
        </row>
        <row r="3168">
          <cell r="C3168" t="str">
            <v>langue</v>
          </cell>
          <cell r="D3168" t="str">
            <v>du</v>
          </cell>
          <cell r="E3168" t="str">
            <v>contrat</v>
          </cell>
          <cell r="F3168"/>
          <cell r="G3168"/>
          <cell r="H3168"/>
          <cell r="I3168"/>
        </row>
        <row r="3169">
          <cell r="C3169" t="str">
            <v>certification</v>
          </cell>
          <cell r="D3169" t="str">
            <v>du</v>
          </cell>
          <cell r="E3169" t="str">
            <v>mail</v>
          </cell>
          <cell r="F3169"/>
          <cell r="G3169"/>
          <cell r="H3169"/>
          <cell r="I3169"/>
        </row>
        <row r="3170">
          <cell r="C3170" t="str">
            <v>connaissance</v>
          </cell>
          <cell r="D3170" t="str">
            <v>du</v>
          </cell>
          <cell r="E3170" t="str">
            <v>mail</v>
          </cell>
          <cell r="F3170"/>
          <cell r="G3170"/>
          <cell r="H3170"/>
          <cell r="I3170"/>
        </row>
        <row r="3171">
          <cell r="C3171" t="str">
            <v>certification</v>
          </cell>
          <cell r="D3171" t="str">
            <v>du</v>
          </cell>
          <cell r="E3171" t="str">
            <v>téléphone fixe</v>
          </cell>
          <cell r="F3171"/>
          <cell r="G3171"/>
          <cell r="H3171"/>
          <cell r="I3171"/>
        </row>
        <row r="3172">
          <cell r="C3172" t="str">
            <v>connaissance</v>
          </cell>
          <cell r="D3172" t="str">
            <v>du</v>
          </cell>
          <cell r="E3172" t="str">
            <v>téléphone fixe</v>
          </cell>
          <cell r="F3172"/>
          <cell r="G3172"/>
          <cell r="H3172"/>
          <cell r="I3172"/>
        </row>
        <row r="3173">
          <cell r="C3173" t="str">
            <v>pays</v>
          </cell>
          <cell r="D3173" t="str">
            <v>de</v>
          </cell>
          <cell r="E3173" t="str">
            <v>nationalité</v>
          </cell>
          <cell r="F3173"/>
          <cell r="G3173"/>
          <cell r="H3173"/>
          <cell r="I3173"/>
        </row>
        <row r="3174">
          <cell r="C3174" t="str">
            <v>naissance</v>
          </cell>
          <cell r="D3174" t="str">
            <v>du</v>
          </cell>
          <cell r="E3174" t="str">
            <v>mois</v>
          </cell>
          <cell r="F3174" t="str">
            <v>de l'</v>
          </cell>
          <cell r="G3174" t="str">
            <v>année</v>
          </cell>
          <cell r="H3174"/>
          <cell r="I3174"/>
        </row>
        <row r="3175">
          <cell r="C3175" t="str">
            <v>décès</v>
          </cell>
          <cell r="D3175" t="str">
            <v>du</v>
          </cell>
          <cell r="E3175" t="str">
            <v>mois</v>
          </cell>
          <cell r="F3175" t="str">
            <v>de l'</v>
          </cell>
          <cell r="G3175" t="str">
            <v>année</v>
          </cell>
          <cell r="H3175"/>
          <cell r="I3175"/>
        </row>
        <row r="3176">
          <cell r="C3176"/>
          <cell r="D3176" t="str">
            <v>du</v>
          </cell>
          <cell r="E3176" t="str">
            <v>mois</v>
          </cell>
          <cell r="F3176" t="str">
            <v>de</v>
          </cell>
          <cell r="G3176" t="str">
            <v>décès</v>
          </cell>
          <cell r="H3176"/>
          <cell r="I3176"/>
        </row>
        <row r="3177">
          <cell r="C3177"/>
          <cell r="D3177" t="str">
            <v xml:space="preserve"> </v>
          </cell>
          <cell r="E3177" t="str">
            <v>interlocuteur privilégié</v>
          </cell>
          <cell r="F3177" t="str">
            <v>de l'</v>
          </cell>
          <cell r="G3177" t="str">
            <v>employeur</v>
          </cell>
          <cell r="H3177"/>
          <cell r="I3177"/>
        </row>
        <row r="3178">
          <cell r="C3178"/>
          <cell r="D3178" t="str">
            <v>de la</v>
          </cell>
          <cell r="E3178" t="str">
            <v>raison sociale</v>
          </cell>
          <cell r="F3178" t="str">
            <v>de l'</v>
          </cell>
          <cell r="G3178" t="str">
            <v>employeur</v>
          </cell>
          <cell r="H3178"/>
          <cell r="I3178"/>
        </row>
        <row r="3179">
          <cell r="C3179"/>
          <cell r="D3179" t="str">
            <v>du</v>
          </cell>
          <cell r="E3179" t="str">
            <v>tiers personne physique propriétaire</v>
          </cell>
          <cell r="F3179" t="str">
            <v>de l'</v>
          </cell>
          <cell r="G3179" t="str">
            <v>entreprise individuelle</v>
          </cell>
          <cell r="H3179"/>
          <cell r="I3179"/>
        </row>
        <row r="3180">
          <cell r="C3180"/>
          <cell r="D3180" t="str">
            <v>du</v>
          </cell>
          <cell r="E3180" t="str">
            <v>motif</v>
          </cell>
          <cell r="F3180" t="str">
            <v>de l'</v>
          </cell>
          <cell r="G3180" t="str">
            <v>état</v>
          </cell>
          <cell r="H3180" t="str">
            <v>de la</v>
          </cell>
          <cell r="I3180" t="str">
            <v>relation entre tiers</v>
          </cell>
        </row>
        <row r="3181">
          <cell r="C3181"/>
          <cell r="D3181" t="str">
            <v>du</v>
          </cell>
          <cell r="E3181" t="str">
            <v>mode de contact</v>
          </cell>
          <cell r="F3181" t="str">
            <v>à</v>
          </cell>
          <cell r="G3181" t="str">
            <v>exclure</v>
          </cell>
          <cell r="H3181"/>
          <cell r="I3181"/>
        </row>
        <row r="3182">
          <cell r="C3182"/>
          <cell r="D3182" t="str">
            <v>du</v>
          </cell>
          <cell r="E3182" t="str">
            <v>mode de contact</v>
          </cell>
          <cell r="F3182" t="str">
            <v>à</v>
          </cell>
          <cell r="G3182" t="str">
            <v>exclure</v>
          </cell>
          <cell r="H3182"/>
          <cell r="I3182"/>
        </row>
        <row r="3183">
          <cell r="C3183"/>
          <cell r="D3183" t="str">
            <v>de</v>
          </cell>
          <cell r="E3183" t="str">
            <v>tiers interlocuteur privilégié</v>
          </cell>
          <cell r="F3183" t="str">
            <v>du</v>
          </cell>
          <cell r="G3183" t="str">
            <v>groupe de clients</v>
          </cell>
          <cell r="H3183"/>
          <cell r="I3183"/>
        </row>
        <row r="3184">
          <cell r="C3184"/>
          <cell r="D3184" t="str">
            <v>du</v>
          </cell>
          <cell r="E3184" t="str">
            <v>sous-type</v>
          </cell>
          <cell r="F3184" t="str">
            <v>du</v>
          </cell>
          <cell r="G3184" t="str">
            <v>groupe de clients</v>
          </cell>
          <cell r="H3184"/>
          <cell r="I3184"/>
        </row>
        <row r="3185">
          <cell r="C3185"/>
          <cell r="D3185" t="str">
            <v>du</v>
          </cell>
          <cell r="E3185" t="str">
            <v>tiers interlocuteur privilégié</v>
          </cell>
          <cell r="F3185" t="str">
            <v>du</v>
          </cell>
          <cell r="G3185" t="str">
            <v>groupe de clients</v>
          </cell>
          <cell r="H3185"/>
          <cell r="I3185"/>
        </row>
        <row r="3186">
          <cell r="C3186"/>
          <cell r="D3186" t="str">
            <v>du</v>
          </cell>
          <cell r="E3186" t="str">
            <v>type</v>
          </cell>
          <cell r="F3186" t="str">
            <v>du</v>
          </cell>
          <cell r="G3186" t="str">
            <v>groupe de clients</v>
          </cell>
          <cell r="H3186"/>
          <cell r="I3186"/>
        </row>
        <row r="3187">
          <cell r="C3187"/>
          <cell r="D3187" t="str">
            <v>du</v>
          </cell>
          <cell r="E3187" t="str">
            <v>type</v>
          </cell>
          <cell r="F3187" t="str">
            <v>du</v>
          </cell>
          <cell r="G3187" t="str">
            <v>groupe de clients</v>
          </cell>
          <cell r="H3187"/>
          <cell r="I3187"/>
        </row>
        <row r="3188">
          <cell r="C3188"/>
          <cell r="D3188" t="str">
            <v>de</v>
          </cell>
          <cell r="E3188" t="str">
            <v>téléphone fixe</v>
          </cell>
          <cell r="F3188"/>
          <cell r="G3188" t="str">
            <v>international</v>
          </cell>
          <cell r="H3188"/>
          <cell r="I3188"/>
        </row>
        <row r="3189">
          <cell r="C3189"/>
          <cell r="D3189" t="str">
            <v>de</v>
          </cell>
          <cell r="E3189" t="str">
            <v>téléphone professionnel</v>
          </cell>
          <cell r="F3189"/>
          <cell r="G3189" t="str">
            <v>international</v>
          </cell>
          <cell r="H3189"/>
          <cell r="I3189"/>
        </row>
        <row r="3190">
          <cell r="C3190"/>
          <cell r="D3190" t="str">
            <v>de</v>
          </cell>
          <cell r="E3190" t="str">
            <v>téléphone portable</v>
          </cell>
          <cell r="F3190"/>
          <cell r="G3190" t="str">
            <v>international</v>
          </cell>
          <cell r="H3190"/>
          <cell r="I3190"/>
        </row>
        <row r="3191">
          <cell r="C3191"/>
          <cell r="D3191" t="str">
            <v>de</v>
          </cell>
          <cell r="E3191" t="str">
            <v>détention des actions</v>
          </cell>
          <cell r="F3191" t="str">
            <v>après</v>
          </cell>
          <cell r="G3191" t="str">
            <v>modification de l'actionnariat</v>
          </cell>
          <cell r="H3191"/>
          <cell r="I3191"/>
        </row>
        <row r="3192">
          <cell r="C3192"/>
          <cell r="D3192" t="str">
            <v>du</v>
          </cell>
          <cell r="E3192" t="str">
            <v>jour</v>
          </cell>
          <cell r="F3192" t="str">
            <v>et</v>
          </cell>
          <cell r="G3192" t="str">
            <v>mois</v>
          </cell>
          <cell r="H3192" t="str">
            <v>de</v>
          </cell>
          <cell r="I3192" t="str">
            <v>clôture comptable</v>
          </cell>
        </row>
        <row r="3193">
          <cell r="C3193"/>
          <cell r="D3193" t="str">
            <v>du</v>
          </cell>
          <cell r="E3193" t="str">
            <v>jour</v>
          </cell>
          <cell r="F3193" t="str">
            <v>et</v>
          </cell>
          <cell r="G3193" t="str">
            <v>mois</v>
          </cell>
          <cell r="H3193" t="str">
            <v>de l'</v>
          </cell>
          <cell r="I3193" t="str">
            <v>assemblée générale</v>
          </cell>
        </row>
        <row r="3194">
          <cell r="C3194"/>
          <cell r="D3194" t="str">
            <v>du</v>
          </cell>
          <cell r="E3194" t="str">
            <v>pays</v>
          </cell>
          <cell r="F3194" t="str">
            <v>de</v>
          </cell>
          <cell r="G3194" t="str">
            <v>naissance</v>
          </cell>
          <cell r="H3194"/>
          <cell r="I3194"/>
        </row>
        <row r="3195">
          <cell r="C3195"/>
          <cell r="D3195" t="str">
            <v>du</v>
          </cell>
          <cell r="E3195" t="str">
            <v>pays</v>
          </cell>
          <cell r="F3195" t="str">
            <v>de</v>
          </cell>
          <cell r="G3195" t="str">
            <v>naissance</v>
          </cell>
          <cell r="H3195"/>
          <cell r="I3195"/>
        </row>
        <row r="3196">
          <cell r="C3196" t="str">
            <v>certification</v>
          </cell>
          <cell r="D3196" t="str">
            <v>du</v>
          </cell>
          <cell r="E3196" t="str">
            <v>téléphone professionnel</v>
          </cell>
          <cell r="F3196"/>
          <cell r="G3196"/>
          <cell r="H3196"/>
          <cell r="I3196"/>
        </row>
        <row r="3197">
          <cell r="C3197"/>
          <cell r="D3197" t="str">
            <v>du</v>
          </cell>
          <cell r="E3197" t="str">
            <v>département</v>
          </cell>
          <cell r="F3197" t="str">
            <v>de</v>
          </cell>
          <cell r="G3197" t="str">
            <v>naissance</v>
          </cell>
          <cell r="H3197"/>
          <cell r="I3197"/>
        </row>
        <row r="3198">
          <cell r="C3198"/>
          <cell r="D3198" t="str">
            <v>du</v>
          </cell>
          <cell r="E3198" t="str">
            <v>département</v>
          </cell>
          <cell r="F3198" t="str">
            <v>de</v>
          </cell>
          <cell r="G3198" t="str">
            <v>naissance</v>
          </cell>
          <cell r="H3198"/>
          <cell r="I3198"/>
        </row>
        <row r="3199">
          <cell r="C3199"/>
          <cell r="D3199" t="str">
            <v>du</v>
          </cell>
          <cell r="E3199" t="str">
            <v>mois</v>
          </cell>
          <cell r="F3199" t="str">
            <v>de</v>
          </cell>
          <cell r="G3199" t="str">
            <v>naissance</v>
          </cell>
          <cell r="H3199"/>
          <cell r="I3199"/>
        </row>
        <row r="3200">
          <cell r="C3200" t="str">
            <v>connaissance</v>
          </cell>
          <cell r="D3200" t="str">
            <v>du</v>
          </cell>
          <cell r="E3200" t="str">
            <v>téléphone professionnel</v>
          </cell>
          <cell r="F3200"/>
          <cell r="G3200"/>
          <cell r="H3200"/>
          <cell r="I3200"/>
        </row>
        <row r="3201">
          <cell r="C3201"/>
          <cell r="D3201" t="str">
            <v>de la</v>
          </cell>
          <cell r="E3201" t="str">
            <v>commune</v>
          </cell>
          <cell r="F3201" t="str">
            <v>de</v>
          </cell>
          <cell r="G3201" t="str">
            <v>naissance</v>
          </cell>
          <cell r="H3201"/>
          <cell r="I3201"/>
        </row>
        <row r="3202">
          <cell r="C3202"/>
          <cell r="D3202" t="str">
            <v>de la</v>
          </cell>
          <cell r="E3202" t="str">
            <v>commune</v>
          </cell>
          <cell r="F3202" t="str">
            <v>de</v>
          </cell>
          <cell r="G3202" t="str">
            <v>naissance</v>
          </cell>
          <cell r="H3202"/>
          <cell r="I3202"/>
        </row>
        <row r="3203">
          <cell r="C3203"/>
          <cell r="D3203" t="str">
            <v>du</v>
          </cell>
          <cell r="E3203" t="str">
            <v>mode de contact</v>
          </cell>
          <cell r="F3203" t="str">
            <v>à</v>
          </cell>
          <cell r="G3203" t="str">
            <v>privilégier</v>
          </cell>
          <cell r="H3203"/>
          <cell r="I3203"/>
        </row>
        <row r="3204">
          <cell r="C3204"/>
          <cell r="D3204" t="str">
            <v>du</v>
          </cell>
          <cell r="E3204" t="str">
            <v>mode de contact</v>
          </cell>
          <cell r="F3204" t="str">
            <v>à</v>
          </cell>
          <cell r="G3204" t="str">
            <v>privilégier</v>
          </cell>
          <cell r="H3204"/>
          <cell r="I3204"/>
        </row>
        <row r="3205">
          <cell r="C3205"/>
          <cell r="D3205" t="str">
            <v>de</v>
          </cell>
          <cell r="E3205" t="str">
            <v>presence du tiers</v>
          </cell>
          <cell r="F3205" t="str">
            <v>en</v>
          </cell>
          <cell r="G3205" t="str">
            <v>production</v>
          </cell>
          <cell r="H3205"/>
          <cell r="I3205"/>
        </row>
        <row r="3206">
          <cell r="C3206"/>
          <cell r="D3206" t="str">
            <v>de</v>
          </cell>
          <cell r="E3206" t="str">
            <v>presence du tiers</v>
          </cell>
          <cell r="F3206" t="str">
            <v>en</v>
          </cell>
          <cell r="G3206" t="str">
            <v>production</v>
          </cell>
          <cell r="H3206"/>
          <cell r="I3206"/>
        </row>
        <row r="3207">
          <cell r="C3207"/>
          <cell r="D3207" t="str">
            <v>du</v>
          </cell>
          <cell r="E3207" t="str">
            <v>canal d'entrée</v>
          </cell>
          <cell r="F3207" t="str">
            <v>en</v>
          </cell>
          <cell r="G3207" t="str">
            <v>relation</v>
          </cell>
          <cell r="H3207"/>
          <cell r="I3207"/>
        </row>
        <row r="3208">
          <cell r="C3208"/>
          <cell r="D3208" t="str">
            <v>du</v>
          </cell>
          <cell r="E3208" t="str">
            <v>canal d'entrée</v>
          </cell>
          <cell r="F3208" t="str">
            <v>en</v>
          </cell>
          <cell r="G3208" t="str">
            <v>relation</v>
          </cell>
          <cell r="H3208"/>
          <cell r="I3208"/>
        </row>
        <row r="3209">
          <cell r="C3209"/>
          <cell r="D3209" t="str">
            <v>du</v>
          </cell>
          <cell r="E3209" t="str">
            <v>motif</v>
          </cell>
          <cell r="F3209" t="str">
            <v>de la</v>
          </cell>
          <cell r="G3209" t="str">
            <v>relation entre tiers</v>
          </cell>
          <cell r="H3209"/>
          <cell r="I3209"/>
        </row>
        <row r="3210">
          <cell r="C3210"/>
          <cell r="D3210" t="str">
            <v xml:space="preserve"> </v>
          </cell>
          <cell r="E3210" t="str">
            <v>état</v>
          </cell>
          <cell r="F3210" t="str">
            <v>de la</v>
          </cell>
          <cell r="G3210" t="str">
            <v>relation entre tiers</v>
          </cell>
          <cell r="H3210"/>
          <cell r="I3210"/>
        </row>
        <row r="3211">
          <cell r="C3211"/>
          <cell r="D3211" t="str">
            <v>de l'</v>
          </cell>
          <cell r="E3211" t="str">
            <v>état</v>
          </cell>
          <cell r="F3211" t="str">
            <v>de la</v>
          </cell>
          <cell r="G3211" t="str">
            <v>relation entre tiers</v>
          </cell>
          <cell r="H3211"/>
          <cell r="I3211"/>
        </row>
        <row r="3212">
          <cell r="C3212"/>
          <cell r="D3212" t="str">
            <v>du</v>
          </cell>
          <cell r="E3212" t="str">
            <v>sous-type</v>
          </cell>
          <cell r="F3212" t="str">
            <v>de la</v>
          </cell>
          <cell r="G3212" t="str">
            <v>relation entre tiers</v>
          </cell>
          <cell r="H3212"/>
          <cell r="I3212"/>
        </row>
        <row r="3213">
          <cell r="C3213"/>
          <cell r="D3213" t="str">
            <v>du</v>
          </cell>
          <cell r="E3213" t="str">
            <v>sous-type</v>
          </cell>
          <cell r="F3213" t="str">
            <v>de la</v>
          </cell>
          <cell r="G3213" t="str">
            <v>relation entre tiers</v>
          </cell>
          <cell r="H3213"/>
          <cell r="I3213"/>
        </row>
        <row r="3214">
          <cell r="C3214" t="str">
            <v>pays</v>
          </cell>
          <cell r="D3214" t="str">
            <v>de</v>
          </cell>
          <cell r="E3214" t="str">
            <v>présentation</v>
          </cell>
          <cell r="F3214"/>
          <cell r="G3214"/>
          <cell r="H3214"/>
          <cell r="I3214"/>
        </row>
        <row r="3215">
          <cell r="C3215"/>
          <cell r="D3215" t="str">
            <v>du</v>
          </cell>
          <cell r="E3215" t="str">
            <v>tiers source</v>
          </cell>
          <cell r="F3215" t="str">
            <v>de la</v>
          </cell>
          <cell r="G3215" t="str">
            <v>relation entre tiers</v>
          </cell>
          <cell r="H3215"/>
          <cell r="I3215"/>
        </row>
        <row r="3216">
          <cell r="C3216"/>
          <cell r="D3216" t="str">
            <v>du</v>
          </cell>
          <cell r="E3216" t="str">
            <v>tiers cible</v>
          </cell>
          <cell r="F3216" t="str">
            <v>de la</v>
          </cell>
          <cell r="G3216" t="str">
            <v>relation entre tiers</v>
          </cell>
          <cell r="H3216"/>
          <cell r="I3216"/>
        </row>
        <row r="3217">
          <cell r="C3217"/>
          <cell r="D3217" t="str">
            <v>du</v>
          </cell>
          <cell r="E3217" t="str">
            <v>type</v>
          </cell>
          <cell r="F3217" t="str">
            <v>de la</v>
          </cell>
          <cell r="G3217" t="str">
            <v>relation entre tiers</v>
          </cell>
          <cell r="H3217"/>
          <cell r="I3217"/>
        </row>
        <row r="3218">
          <cell r="C3218"/>
          <cell r="D3218" t="str">
            <v>du</v>
          </cell>
          <cell r="E3218" t="str">
            <v>type</v>
          </cell>
          <cell r="F3218" t="str">
            <v>de la</v>
          </cell>
          <cell r="G3218" t="str">
            <v>relation entre tiers</v>
          </cell>
          <cell r="H3218"/>
          <cell r="I3218"/>
        </row>
        <row r="3219">
          <cell r="C3219"/>
          <cell r="D3219" t="str">
            <v>d'</v>
          </cell>
          <cell r="E3219" t="str">
            <v>enfant</v>
          </cell>
          <cell r="F3219" t="str">
            <v>d'un</v>
          </cell>
          <cell r="G3219" t="str">
            <v>salarié du groupe</v>
          </cell>
          <cell r="H3219"/>
          <cell r="I3219"/>
        </row>
        <row r="3220">
          <cell r="C3220"/>
          <cell r="D3220" t="str">
            <v>de</v>
          </cell>
          <cell r="E3220" t="str">
            <v>conjoint</v>
          </cell>
          <cell r="F3220" t="str">
            <v>d'un</v>
          </cell>
          <cell r="G3220" t="str">
            <v>salarié du groupe</v>
          </cell>
          <cell r="H3220"/>
          <cell r="I3220"/>
        </row>
        <row r="3221">
          <cell r="C3221"/>
          <cell r="D3221" t="str">
            <v>du</v>
          </cell>
          <cell r="E3221" t="str">
            <v>téléphone fixe</v>
          </cell>
          <cell r="F3221"/>
          <cell r="G3221" t="str">
            <v>secondaire</v>
          </cell>
          <cell r="H3221"/>
          <cell r="I3221"/>
        </row>
        <row r="3222">
          <cell r="C3222"/>
          <cell r="D3222" t="str">
            <v>du</v>
          </cell>
          <cell r="E3222" t="str">
            <v>téléphone portable</v>
          </cell>
          <cell r="F3222"/>
          <cell r="G3222" t="str">
            <v>secondaire</v>
          </cell>
          <cell r="H3222"/>
          <cell r="I3222"/>
        </row>
        <row r="3223">
          <cell r="C3223" t="str">
            <v>pays</v>
          </cell>
          <cell r="D3223" t="str">
            <v>de l'</v>
          </cell>
          <cell r="E3223" t="str">
            <v>adresse</v>
          </cell>
          <cell r="F3223"/>
          <cell r="G3223"/>
          <cell r="H3223"/>
          <cell r="I3223"/>
        </row>
        <row r="3224">
          <cell r="C3224" t="str">
            <v>origine</v>
          </cell>
          <cell r="D3224" t="str">
            <v>de l'</v>
          </cell>
          <cell r="E3224" t="str">
            <v>adresse</v>
          </cell>
          <cell r="F3224"/>
          <cell r="G3224"/>
          <cell r="H3224"/>
          <cell r="I3224"/>
        </row>
        <row r="3225">
          <cell r="C3225" t="str">
            <v>origine</v>
          </cell>
          <cell r="D3225" t="str">
            <v>de l'</v>
          </cell>
          <cell r="E3225" t="str">
            <v>adresse</v>
          </cell>
          <cell r="F3225"/>
          <cell r="G3225"/>
          <cell r="H3225"/>
          <cell r="I3225"/>
        </row>
        <row r="3226">
          <cell r="C3226"/>
          <cell r="D3226" t="str">
            <v>des</v>
          </cell>
          <cell r="E3226" t="str">
            <v>données personnelles</v>
          </cell>
          <cell r="F3226" t="str">
            <v>du</v>
          </cell>
          <cell r="G3226" t="str">
            <v>tiers</v>
          </cell>
          <cell r="H3226"/>
          <cell r="I3226"/>
        </row>
        <row r="3227">
          <cell r="C3227"/>
          <cell r="D3227" t="str">
            <v>des</v>
          </cell>
          <cell r="E3227" t="str">
            <v>données personnelles</v>
          </cell>
          <cell r="F3227" t="str">
            <v>du</v>
          </cell>
          <cell r="G3227" t="str">
            <v>tiers</v>
          </cell>
          <cell r="H3227"/>
          <cell r="I3227"/>
        </row>
        <row r="3228">
          <cell r="C3228"/>
          <cell r="D3228" t="str">
            <v>des</v>
          </cell>
          <cell r="E3228" t="str">
            <v>données personnelles</v>
          </cell>
          <cell r="F3228" t="str">
            <v>du</v>
          </cell>
          <cell r="G3228" t="str">
            <v>tiers</v>
          </cell>
          <cell r="H3228"/>
          <cell r="I3228"/>
        </row>
        <row r="3229">
          <cell r="C3229" t="str">
            <v>état</v>
          </cell>
          <cell r="D3229" t="str">
            <v>du</v>
          </cell>
          <cell r="E3229" t="str">
            <v>cycle de vie</v>
          </cell>
          <cell r="F3229" t="str">
            <v>du</v>
          </cell>
          <cell r="G3229" t="str">
            <v>tiers</v>
          </cell>
          <cell r="H3229"/>
          <cell r="I3229"/>
        </row>
        <row r="3230">
          <cell r="C3230" t="str">
            <v>état</v>
          </cell>
          <cell r="D3230" t="str">
            <v>du</v>
          </cell>
          <cell r="E3230" t="str">
            <v>cycle de vie</v>
          </cell>
          <cell r="F3230" t="str">
            <v>du</v>
          </cell>
          <cell r="G3230" t="str">
            <v>tiers</v>
          </cell>
          <cell r="H3230"/>
          <cell r="I3230"/>
        </row>
        <row r="3231">
          <cell r="C3231"/>
          <cell r="D3231" t="str">
            <v>du</v>
          </cell>
          <cell r="E3231" t="str">
            <v>type</v>
          </cell>
          <cell r="F3231" t="str">
            <v>de</v>
          </cell>
          <cell r="G3231" t="str">
            <v>tiers</v>
          </cell>
          <cell r="H3231"/>
          <cell r="I3231"/>
        </row>
        <row r="3232">
          <cell r="C3232"/>
          <cell r="D3232" t="str">
            <v>du</v>
          </cell>
          <cell r="E3232" t="str">
            <v>type</v>
          </cell>
          <cell r="F3232" t="str">
            <v>de</v>
          </cell>
          <cell r="G3232" t="str">
            <v>tiers</v>
          </cell>
          <cell r="H3232"/>
          <cell r="I3232"/>
        </row>
        <row r="3233">
          <cell r="C3233"/>
          <cell r="D3233" t="str">
            <v>du</v>
          </cell>
          <cell r="E3233" t="str">
            <v>tiers source</v>
          </cell>
          <cell r="F3233" t="str">
            <v>pour les</v>
          </cell>
          <cell r="G3233" t="str">
            <v>tiers fusionné</v>
          </cell>
          <cell r="H3233"/>
          <cell r="I3233"/>
        </row>
        <row r="3234">
          <cell r="C3234"/>
          <cell r="D3234" t="str">
            <v>des</v>
          </cell>
          <cell r="E3234" t="str">
            <v>données personnelles</v>
          </cell>
          <cell r="F3234" t="str">
            <v>du</v>
          </cell>
          <cell r="G3234" t="str">
            <v>tiers personne physique</v>
          </cell>
          <cell r="H3234"/>
          <cell r="I3234"/>
        </row>
        <row r="3235">
          <cell r="C3235"/>
          <cell r="D3235" t="str">
            <v>des</v>
          </cell>
          <cell r="E3235" t="str">
            <v>données personnelles</v>
          </cell>
          <cell r="F3235" t="str">
            <v>du</v>
          </cell>
          <cell r="G3235" t="str">
            <v>tiers personne physique</v>
          </cell>
          <cell r="H3235"/>
          <cell r="I3235"/>
        </row>
        <row r="3236">
          <cell r="C3236"/>
          <cell r="D3236" t="str">
            <v>des</v>
          </cell>
          <cell r="E3236" t="str">
            <v>données personnelles</v>
          </cell>
          <cell r="F3236" t="str">
            <v>du</v>
          </cell>
          <cell r="G3236" t="str">
            <v>tiers personne physique</v>
          </cell>
          <cell r="H3236"/>
          <cell r="I3236"/>
        </row>
        <row r="3237">
          <cell r="C3237" t="str">
            <v>pays</v>
          </cell>
          <cell r="D3237" t="str">
            <v>de</v>
          </cell>
          <cell r="E3237" t="str">
            <v>travailleur frontalier</v>
          </cell>
          <cell r="F3237"/>
          <cell r="G3237"/>
          <cell r="H3237"/>
          <cell r="I3237"/>
        </row>
        <row r="3238">
          <cell r="C3238"/>
          <cell r="D3238" t="str">
            <v>d'</v>
          </cell>
          <cell r="E3238" t="str">
            <v>administrateur</v>
          </cell>
          <cell r="F3238"/>
          <cell r="G3238"/>
          <cell r="H3238"/>
          <cell r="I3238"/>
        </row>
        <row r="3239">
          <cell r="C3239"/>
          <cell r="D3239" t="str">
            <v xml:space="preserve"> </v>
          </cell>
          <cell r="E3239" t="str">
            <v>"appartient au foyer fiscal"</v>
          </cell>
          <cell r="F3239"/>
          <cell r="G3239"/>
          <cell r="H3239"/>
          <cell r="I3239"/>
        </row>
        <row r="3240">
          <cell r="C3240"/>
          <cell r="D3240" t="str">
            <v xml:space="preserve"> </v>
          </cell>
          <cell r="E3240" t="str">
            <v>"bénéficiaire effectif"</v>
          </cell>
          <cell r="F3240"/>
          <cell r="G3240"/>
          <cell r="H3240"/>
          <cell r="I3240"/>
        </row>
        <row r="3241">
          <cell r="C3241"/>
          <cell r="D3241" t="str">
            <v xml:space="preserve"> </v>
          </cell>
          <cell r="E3241" t="str">
            <v>"a le pouvoir bancaire"</v>
          </cell>
          <cell r="F3241"/>
          <cell r="G3241"/>
          <cell r="H3241"/>
          <cell r="I3241"/>
        </row>
        <row r="3242">
          <cell r="C3242"/>
          <cell r="D3242" t="str">
            <v xml:space="preserve"> </v>
          </cell>
          <cell r="E3242" t="str">
            <v>"a l'autorité parentale"</v>
          </cell>
          <cell r="F3242"/>
          <cell r="G3242"/>
          <cell r="H3242"/>
          <cell r="I3242"/>
        </row>
        <row r="3243">
          <cell r="C3243"/>
          <cell r="D3243" t="str">
            <v xml:space="preserve"> </v>
          </cell>
          <cell r="E3243" t="str">
            <v>relation entre tiers assurance</v>
          </cell>
          <cell r="F3243"/>
          <cell r="G3243"/>
          <cell r="H3243"/>
          <cell r="I3243"/>
        </row>
        <row r="3244">
          <cell r="C3244"/>
          <cell r="D3244" t="str">
            <v xml:space="preserve"> </v>
          </cell>
          <cell r="E3244" t="str">
            <v>conjoint marié</v>
          </cell>
          <cell r="F3244"/>
          <cell r="G3244"/>
          <cell r="H3244"/>
          <cell r="I3244"/>
        </row>
        <row r="3245">
          <cell r="C3245"/>
          <cell r="D3245" t="str">
            <v xml:space="preserve"> </v>
          </cell>
          <cell r="E3245" t="str">
            <v>conjoint pacsé</v>
          </cell>
          <cell r="F3245"/>
          <cell r="G3245"/>
          <cell r="H3245"/>
          <cell r="I3245"/>
        </row>
        <row r="3246">
          <cell r="C3246"/>
          <cell r="D3246" t="str">
            <v xml:space="preserve"> </v>
          </cell>
          <cell r="E3246" t="str">
            <v>parrainage</v>
          </cell>
          <cell r="F3246"/>
          <cell r="G3246"/>
          <cell r="H3246"/>
          <cell r="I3246"/>
        </row>
        <row r="3247">
          <cell r="C3247"/>
          <cell r="D3247" t="str">
            <v xml:space="preserve"> </v>
          </cell>
          <cell r="E3247" t="str">
            <v>tiers assurance</v>
          </cell>
          <cell r="F3247"/>
          <cell r="G3247"/>
          <cell r="H3247"/>
          <cell r="I3247"/>
        </row>
        <row r="3248">
          <cell r="C3248"/>
          <cell r="D3248" t="str">
            <v>de</v>
          </cell>
          <cell r="E3248" t="str">
            <v>pli non distribuable</v>
          </cell>
          <cell r="F3248"/>
          <cell r="G3248"/>
          <cell r="H3248"/>
          <cell r="I3248"/>
        </row>
        <row r="3249">
          <cell r="C3249"/>
          <cell r="D3249" t="str">
            <v>d'</v>
          </cell>
          <cell r="E3249" t="str">
            <v>assujettissement à la TVA</v>
          </cell>
          <cell r="F3249"/>
          <cell r="G3249"/>
          <cell r="H3249"/>
          <cell r="I3249"/>
        </row>
        <row r="3250">
          <cell r="C3250"/>
          <cell r="D3250" t="str">
            <v xml:space="preserve"> </v>
          </cell>
          <cell r="E3250" t="str">
            <v>VIP</v>
          </cell>
          <cell r="F3250"/>
          <cell r="G3250"/>
          <cell r="H3250"/>
          <cell r="I3250"/>
        </row>
        <row r="3251">
          <cell r="C3251"/>
          <cell r="D3251" t="str">
            <v xml:space="preserve"> </v>
          </cell>
          <cell r="E3251" t="str">
            <v>VIP</v>
          </cell>
          <cell r="F3251"/>
          <cell r="G3251"/>
          <cell r="H3251"/>
          <cell r="I3251"/>
        </row>
        <row r="3252">
          <cell r="C3252"/>
          <cell r="D3252" t="str">
            <v>de</v>
          </cell>
          <cell r="E3252" t="str">
            <v>détention des actions</v>
          </cell>
          <cell r="F3252"/>
          <cell r="G3252"/>
          <cell r="H3252"/>
          <cell r="I3252"/>
        </row>
        <row r="3253">
          <cell r="C3253"/>
          <cell r="D3253" t="str">
            <v xml:space="preserve"> </v>
          </cell>
          <cell r="E3253" t="str">
            <v>SIREN</v>
          </cell>
          <cell r="F3253"/>
          <cell r="G3253"/>
          <cell r="H3253"/>
          <cell r="I3253"/>
        </row>
        <row r="3254">
          <cell r="C3254"/>
          <cell r="D3254" t="str">
            <v>de</v>
          </cell>
          <cell r="E3254" t="str">
            <v>sécurité sociale</v>
          </cell>
          <cell r="F3254"/>
          <cell r="G3254"/>
          <cell r="H3254"/>
          <cell r="I3254"/>
        </row>
        <row r="3255">
          <cell r="C3255" t="str">
            <v>pays</v>
          </cell>
          <cell r="D3255" t="str">
            <v>du</v>
          </cell>
          <cell r="E3255" t="str">
            <v>contrat</v>
          </cell>
          <cell r="F3255"/>
          <cell r="G3255"/>
          <cell r="H3255"/>
          <cell r="I3255"/>
        </row>
        <row r="3256">
          <cell r="C3256" t="str">
            <v>langue</v>
          </cell>
          <cell r="D3256" t="str">
            <v>du</v>
          </cell>
          <cell r="E3256" t="str">
            <v>contrat</v>
          </cell>
          <cell r="F3256"/>
          <cell r="G3256"/>
          <cell r="H3256"/>
          <cell r="I3256"/>
        </row>
        <row r="3257">
          <cell r="C3257"/>
          <cell r="D3257" t="str">
            <v>de la</v>
          </cell>
          <cell r="E3257" t="str">
            <v>relation entre tiers</v>
          </cell>
          <cell r="F3257"/>
          <cell r="G3257"/>
          <cell r="H3257"/>
          <cell r="I3257"/>
        </row>
        <row r="3258">
          <cell r="C3258"/>
          <cell r="D3258" t="str">
            <v>du</v>
          </cell>
          <cell r="E3258" t="str">
            <v>tiers</v>
          </cell>
          <cell r="F3258"/>
          <cell r="G3258"/>
          <cell r="H3258"/>
          <cell r="I3258"/>
        </row>
        <row r="3259">
          <cell r="C3259"/>
          <cell r="D3259" t="str">
            <v>du</v>
          </cell>
          <cell r="E3259" t="str">
            <v>tiers personne morale</v>
          </cell>
          <cell r="F3259"/>
          <cell r="G3259"/>
          <cell r="H3259"/>
          <cell r="I3259"/>
        </row>
        <row r="3260">
          <cell r="C3260"/>
          <cell r="D3260" t="str">
            <v>du</v>
          </cell>
          <cell r="E3260" t="str">
            <v>tiers personne physique</v>
          </cell>
          <cell r="F3260"/>
          <cell r="G3260"/>
          <cell r="H3260"/>
          <cell r="I3260"/>
        </row>
        <row r="3261">
          <cell r="C3261"/>
          <cell r="D3261" t="str">
            <v>de</v>
          </cell>
          <cell r="E3261" t="str">
            <v>géocodage Lambert 2</v>
          </cell>
          <cell r="F3261"/>
          <cell r="G3261"/>
          <cell r="H3261"/>
          <cell r="I3261"/>
        </row>
        <row r="3262">
          <cell r="C3262"/>
          <cell r="D3262" t="str">
            <v>de</v>
          </cell>
          <cell r="E3262" t="str">
            <v>géocodage Lambert 2</v>
          </cell>
          <cell r="F3262"/>
          <cell r="G3262"/>
          <cell r="H3262"/>
          <cell r="I3262"/>
        </row>
        <row r="3263">
          <cell r="C3263" t="str">
            <v>certification</v>
          </cell>
          <cell r="D3263" t="str">
            <v>du</v>
          </cell>
          <cell r="E3263" t="str">
            <v>mail</v>
          </cell>
          <cell r="F3263"/>
          <cell r="G3263"/>
          <cell r="H3263"/>
          <cell r="I3263"/>
        </row>
        <row r="3264">
          <cell r="C3264" t="str">
            <v>domaine</v>
          </cell>
          <cell r="D3264" t="str">
            <v>du</v>
          </cell>
          <cell r="E3264" t="str">
            <v>mail</v>
          </cell>
          <cell r="F3264"/>
          <cell r="G3264"/>
          <cell r="H3264"/>
          <cell r="I3264"/>
        </row>
        <row r="3265">
          <cell r="C3265" t="str">
            <v>connaissance</v>
          </cell>
          <cell r="D3265" t="str">
            <v>du</v>
          </cell>
          <cell r="E3265" t="str">
            <v>mail</v>
          </cell>
          <cell r="F3265"/>
          <cell r="G3265"/>
          <cell r="H3265"/>
          <cell r="I3265"/>
        </row>
        <row r="3266">
          <cell r="C3266" t="str">
            <v>option</v>
          </cell>
          <cell r="D3266" t="str">
            <v>de</v>
          </cell>
          <cell r="E3266" t="str">
            <v>mail</v>
          </cell>
          <cell r="F3266"/>
          <cell r="G3266"/>
          <cell r="H3266"/>
          <cell r="I3266"/>
        </row>
        <row r="3267">
          <cell r="C3267" t="str">
            <v>option</v>
          </cell>
          <cell r="D3267" t="str">
            <v>de</v>
          </cell>
          <cell r="E3267" t="str">
            <v>mail</v>
          </cell>
          <cell r="F3267"/>
          <cell r="G3267"/>
          <cell r="H3267"/>
          <cell r="I3267"/>
        </row>
        <row r="3268">
          <cell r="C3268" t="str">
            <v>NACE</v>
          </cell>
          <cell r="D3268" t="str">
            <v>de l'</v>
          </cell>
          <cell r="E3268" t="str">
            <v>employeur</v>
          </cell>
          <cell r="F3268"/>
          <cell r="G3268"/>
          <cell r="H3268"/>
          <cell r="I3268"/>
        </row>
        <row r="3269">
          <cell r="C3269"/>
          <cell r="D3269" t="str">
            <v>de la</v>
          </cell>
          <cell r="E3269" t="str">
            <v>convention</v>
          </cell>
          <cell r="F3269"/>
          <cell r="G3269"/>
          <cell r="H3269"/>
          <cell r="I3269"/>
        </row>
        <row r="3270">
          <cell r="C3270"/>
          <cell r="D3270" t="str">
            <v>du</v>
          </cell>
          <cell r="E3270" t="str">
            <v>contrat de travail</v>
          </cell>
          <cell r="F3270"/>
          <cell r="G3270"/>
          <cell r="H3270"/>
          <cell r="I3270"/>
        </row>
        <row r="3271">
          <cell r="C3271"/>
          <cell r="D3271" t="str">
            <v>de la</v>
          </cell>
          <cell r="E3271" t="str">
            <v>résidence fiscale</v>
          </cell>
          <cell r="F3271"/>
          <cell r="G3271"/>
          <cell r="H3271"/>
          <cell r="I3271"/>
        </row>
        <row r="3272">
          <cell r="C3272"/>
          <cell r="D3272" t="str">
            <v>de</v>
          </cell>
          <cell r="E3272" t="str">
            <v>premier contrat</v>
          </cell>
          <cell r="F3272"/>
          <cell r="G3272"/>
          <cell r="H3272"/>
          <cell r="I3272"/>
        </row>
        <row r="3273">
          <cell r="C3273"/>
          <cell r="D3273" t="str">
            <v>de la</v>
          </cell>
          <cell r="E3273" t="str">
            <v>relation entre tiers</v>
          </cell>
          <cell r="F3273"/>
          <cell r="G3273"/>
          <cell r="H3273"/>
          <cell r="I3273"/>
        </row>
        <row r="3274">
          <cell r="C3274"/>
          <cell r="D3274" t="str">
            <v>de la</v>
          </cell>
          <cell r="E3274" t="str">
            <v>relation entre tiers</v>
          </cell>
          <cell r="F3274"/>
          <cell r="G3274"/>
          <cell r="H3274"/>
          <cell r="I3274"/>
        </row>
        <row r="3275">
          <cell r="C3275"/>
          <cell r="D3275" t="str">
            <v>de</v>
          </cell>
          <cell r="E3275" t="str">
            <v>relation</v>
          </cell>
          <cell r="F3275"/>
          <cell r="G3275"/>
          <cell r="H3275"/>
          <cell r="I3275"/>
        </row>
        <row r="3276">
          <cell r="C3276"/>
          <cell r="D3276" t="str">
            <v>de</v>
          </cell>
          <cell r="E3276" t="str">
            <v>dernier contrat</v>
          </cell>
          <cell r="F3276"/>
          <cell r="G3276"/>
          <cell r="H3276"/>
          <cell r="I3276"/>
        </row>
        <row r="3277">
          <cell r="C3277"/>
          <cell r="D3277" t="str">
            <v>du</v>
          </cell>
          <cell r="E3277" t="str">
            <v>PACS</v>
          </cell>
          <cell r="F3277"/>
          <cell r="G3277"/>
          <cell r="H3277"/>
          <cell r="I3277"/>
        </row>
        <row r="3278">
          <cell r="C3278"/>
          <cell r="D3278" t="str">
            <v>du</v>
          </cell>
          <cell r="E3278" t="str">
            <v>tiers</v>
          </cell>
          <cell r="F3278"/>
          <cell r="G3278"/>
          <cell r="H3278"/>
          <cell r="I3278"/>
        </row>
        <row r="3279">
          <cell r="C3279"/>
          <cell r="D3279" t="str">
            <v>du</v>
          </cell>
          <cell r="E3279" t="str">
            <v>tiers</v>
          </cell>
          <cell r="F3279"/>
          <cell r="G3279"/>
          <cell r="H3279"/>
          <cell r="I3279"/>
        </row>
        <row r="3280">
          <cell r="C3280"/>
          <cell r="D3280" t="str">
            <v>du</v>
          </cell>
          <cell r="E3280" t="str">
            <v>tiers personne morale</v>
          </cell>
          <cell r="F3280"/>
          <cell r="G3280"/>
          <cell r="H3280"/>
          <cell r="I3280"/>
        </row>
        <row r="3281">
          <cell r="C3281" t="str">
            <v>certification</v>
          </cell>
          <cell r="D3281" t="str">
            <v>du</v>
          </cell>
          <cell r="E3281" t="str">
            <v>téléphone fixe</v>
          </cell>
          <cell r="F3281"/>
          <cell r="G3281"/>
          <cell r="H3281"/>
          <cell r="I3281"/>
        </row>
        <row r="3282">
          <cell r="C3282"/>
          <cell r="D3282" t="str">
            <v>du</v>
          </cell>
          <cell r="E3282" t="str">
            <v>tiers personne morale</v>
          </cell>
          <cell r="F3282"/>
          <cell r="G3282"/>
          <cell r="H3282"/>
          <cell r="I3282"/>
        </row>
        <row r="3283">
          <cell r="C3283" t="str">
            <v>indicatif</v>
          </cell>
          <cell r="D3283" t="str">
            <v>du</v>
          </cell>
          <cell r="E3283" t="str">
            <v>téléphone fixe</v>
          </cell>
          <cell r="F3283"/>
          <cell r="G3283"/>
          <cell r="H3283"/>
          <cell r="I3283"/>
        </row>
        <row r="3284">
          <cell r="C3284" t="str">
            <v>connaissance</v>
          </cell>
          <cell r="D3284" t="str">
            <v>du</v>
          </cell>
          <cell r="E3284" t="str">
            <v>téléphone fixe</v>
          </cell>
          <cell r="F3284"/>
          <cell r="G3284"/>
          <cell r="H3284"/>
          <cell r="I3284"/>
        </row>
        <row r="3285">
          <cell r="C3285"/>
          <cell r="D3285" t="str">
            <v>du</v>
          </cell>
          <cell r="E3285" t="str">
            <v>tiers personne morale</v>
          </cell>
          <cell r="F3285"/>
          <cell r="G3285"/>
          <cell r="H3285"/>
          <cell r="I3285"/>
        </row>
        <row r="3286">
          <cell r="C3286"/>
          <cell r="D3286" t="str">
            <v>du</v>
          </cell>
          <cell r="E3286" t="str">
            <v>tiers personne morale</v>
          </cell>
          <cell r="F3286"/>
          <cell r="G3286"/>
          <cell r="H3286"/>
          <cell r="I3286"/>
        </row>
        <row r="3287">
          <cell r="C3287"/>
          <cell r="D3287" t="str">
            <v>du</v>
          </cell>
          <cell r="E3287" t="str">
            <v>tiers personne physique</v>
          </cell>
          <cell r="F3287"/>
          <cell r="G3287"/>
          <cell r="H3287"/>
          <cell r="I3287"/>
        </row>
        <row r="3288">
          <cell r="C3288"/>
          <cell r="D3288" t="str">
            <v>du</v>
          </cell>
          <cell r="E3288" t="str">
            <v>tiers personne physique</v>
          </cell>
          <cell r="F3288"/>
          <cell r="G3288"/>
          <cell r="H3288"/>
          <cell r="I3288"/>
        </row>
        <row r="3289">
          <cell r="C3289" t="str">
            <v>relation</v>
          </cell>
          <cell r="D3289" t="str">
            <v xml:space="preserve"> </v>
          </cell>
          <cell r="E3289" t="str">
            <v>entreprise individuelle</v>
          </cell>
          <cell r="F3289"/>
          <cell r="G3289"/>
          <cell r="H3289"/>
          <cell r="I3289"/>
        </row>
        <row r="3290">
          <cell r="C3290" t="str">
            <v>relation</v>
          </cell>
          <cell r="D3290" t="str">
            <v xml:space="preserve"> </v>
          </cell>
          <cell r="E3290" t="str">
            <v>entreprise individuelle</v>
          </cell>
          <cell r="F3290"/>
          <cell r="G3290"/>
          <cell r="H3290"/>
          <cell r="I3290"/>
        </row>
        <row r="3291">
          <cell r="C3291"/>
          <cell r="D3291" t="str">
            <v>du</v>
          </cell>
          <cell r="E3291" t="str">
            <v>tiers personne physique</v>
          </cell>
          <cell r="F3291"/>
          <cell r="G3291"/>
          <cell r="H3291"/>
          <cell r="I3291"/>
        </row>
        <row r="3292">
          <cell r="C3292"/>
          <cell r="D3292" t="str">
            <v>du</v>
          </cell>
          <cell r="E3292" t="str">
            <v>tiers personne physique</v>
          </cell>
          <cell r="F3292"/>
          <cell r="G3292"/>
          <cell r="H3292"/>
          <cell r="I3292"/>
        </row>
        <row r="3293">
          <cell r="C3293" t="str">
            <v>option</v>
          </cell>
          <cell r="D3293" t="str">
            <v>de</v>
          </cell>
          <cell r="E3293" t="str">
            <v>courrier</v>
          </cell>
          <cell r="F3293"/>
          <cell r="G3293"/>
          <cell r="H3293"/>
          <cell r="I3293"/>
        </row>
        <row r="3294">
          <cell r="C3294" t="str">
            <v>option</v>
          </cell>
          <cell r="D3294" t="str">
            <v>de</v>
          </cell>
          <cell r="E3294" t="str">
            <v>courrier</v>
          </cell>
          <cell r="F3294"/>
          <cell r="G3294"/>
          <cell r="H3294"/>
          <cell r="I3294"/>
        </row>
        <row r="3295">
          <cell r="C3295"/>
          <cell r="D3295" t="str">
            <v>de la</v>
          </cell>
          <cell r="E3295" t="str">
            <v>ville</v>
          </cell>
          <cell r="F3295"/>
          <cell r="G3295"/>
          <cell r="H3295"/>
          <cell r="I3295"/>
        </row>
        <row r="3296">
          <cell r="C3296"/>
          <cell r="D3296" t="str">
            <v>de</v>
          </cell>
          <cell r="E3296" t="str">
            <v>civilité</v>
          </cell>
          <cell r="F3296"/>
          <cell r="G3296"/>
          <cell r="H3296"/>
          <cell r="I3296"/>
        </row>
        <row r="3297">
          <cell r="C3297"/>
          <cell r="D3297" t="str">
            <v>du</v>
          </cell>
          <cell r="E3297" t="str">
            <v>groupe de clients</v>
          </cell>
          <cell r="F3297"/>
          <cell r="G3297"/>
          <cell r="H3297"/>
          <cell r="I3297"/>
        </row>
        <row r="3298">
          <cell r="C3298"/>
          <cell r="D3298" t="str">
            <v>du</v>
          </cell>
          <cell r="E3298" t="str">
            <v>groupe de clients</v>
          </cell>
          <cell r="F3298"/>
          <cell r="G3298"/>
          <cell r="H3298"/>
          <cell r="I3298"/>
        </row>
        <row r="3299">
          <cell r="C3299"/>
          <cell r="D3299" t="str">
            <v>de la</v>
          </cell>
          <cell r="E3299" t="str">
            <v>convention</v>
          </cell>
          <cell r="F3299"/>
          <cell r="G3299"/>
          <cell r="H3299"/>
          <cell r="I3299"/>
        </row>
        <row r="3300">
          <cell r="C3300"/>
          <cell r="D3300" t="str">
            <v>de la</v>
          </cell>
          <cell r="E3300" t="str">
            <v>convention</v>
          </cell>
          <cell r="F3300"/>
          <cell r="G3300"/>
          <cell r="H3300"/>
          <cell r="I3300"/>
        </row>
        <row r="3301">
          <cell r="C3301" t="str">
            <v>pays</v>
          </cell>
          <cell r="D3301" t="str">
            <v>de</v>
          </cell>
          <cell r="E3301" t="str">
            <v>nationalité</v>
          </cell>
          <cell r="F3301"/>
          <cell r="G3301"/>
          <cell r="H3301"/>
          <cell r="I3301"/>
        </row>
        <row r="3302">
          <cell r="C3302" t="str">
            <v>activité</v>
          </cell>
          <cell r="D3302" t="str">
            <v xml:space="preserve"> </v>
          </cell>
          <cell r="E3302" t="str">
            <v>OBNL</v>
          </cell>
          <cell r="F3302"/>
          <cell r="G3302"/>
          <cell r="H3302"/>
          <cell r="I3302"/>
        </row>
        <row r="3303">
          <cell r="C3303" t="str">
            <v>certification</v>
          </cell>
          <cell r="D3303" t="str">
            <v>du</v>
          </cell>
          <cell r="E3303" t="str">
            <v>téléphone professionnel</v>
          </cell>
          <cell r="F3303"/>
          <cell r="G3303"/>
          <cell r="H3303"/>
          <cell r="I3303"/>
        </row>
        <row r="3304">
          <cell r="C3304" t="str">
            <v>indicatif</v>
          </cell>
          <cell r="D3304" t="str">
            <v>du</v>
          </cell>
          <cell r="E3304" t="str">
            <v>téléphone professionnel</v>
          </cell>
          <cell r="F3304"/>
          <cell r="G3304"/>
          <cell r="H3304"/>
          <cell r="I3304"/>
        </row>
        <row r="3305">
          <cell r="C3305" t="str">
            <v>connaissance</v>
          </cell>
          <cell r="D3305" t="str">
            <v>du</v>
          </cell>
          <cell r="E3305" t="str">
            <v>téléphone professionnel</v>
          </cell>
          <cell r="F3305"/>
          <cell r="G3305"/>
          <cell r="H3305"/>
          <cell r="I3305"/>
        </row>
        <row r="3306">
          <cell r="C3306"/>
          <cell r="D3306" t="str">
            <v>de</v>
          </cell>
          <cell r="E3306" t="str">
            <v>contrat de travail</v>
          </cell>
          <cell r="F3306"/>
          <cell r="G3306"/>
          <cell r="H3306"/>
          <cell r="I3306"/>
        </row>
        <row r="3307">
          <cell r="C3307" t="str">
            <v>pays</v>
          </cell>
          <cell r="D3307" t="str">
            <v>de</v>
          </cell>
          <cell r="E3307" t="str">
            <v>présentation</v>
          </cell>
          <cell r="F3307"/>
          <cell r="G3307"/>
          <cell r="H3307"/>
          <cell r="I3307"/>
        </row>
        <row r="3308">
          <cell r="C3308"/>
          <cell r="D3308" t="str">
            <v>de la</v>
          </cell>
          <cell r="E3308" t="str">
            <v>situation familiale</v>
          </cell>
          <cell r="F3308"/>
          <cell r="G3308"/>
          <cell r="H3308"/>
          <cell r="I3308"/>
        </row>
        <row r="3309">
          <cell r="C3309"/>
          <cell r="D3309" t="str">
            <v>de la</v>
          </cell>
          <cell r="E3309" t="str">
            <v>situation familiale</v>
          </cell>
          <cell r="F3309"/>
          <cell r="G3309"/>
          <cell r="H3309"/>
          <cell r="I3309"/>
        </row>
        <row r="3310">
          <cell r="C3310" t="str">
            <v>langue</v>
          </cell>
          <cell r="D3310" t="str">
            <v>de</v>
          </cell>
          <cell r="E3310" t="str">
            <v>restitution</v>
          </cell>
          <cell r="F3310"/>
          <cell r="G3310"/>
          <cell r="H3310"/>
          <cell r="I3310"/>
        </row>
        <row r="3311">
          <cell r="C3311"/>
          <cell r="D3311" t="str">
            <v>de la</v>
          </cell>
          <cell r="E3311" t="str">
            <v>fédération</v>
          </cell>
          <cell r="F3311"/>
          <cell r="G3311"/>
          <cell r="H3311"/>
          <cell r="I3311"/>
        </row>
        <row r="3312">
          <cell r="C3312"/>
          <cell r="D3312" t="str">
            <v>du</v>
          </cell>
          <cell r="E3312" t="str">
            <v>statut fédéral</v>
          </cell>
          <cell r="F3312"/>
          <cell r="G3312"/>
          <cell r="H3312"/>
          <cell r="I3312"/>
        </row>
        <row r="3313">
          <cell r="C3313"/>
          <cell r="D3313" t="str">
            <v>du</v>
          </cell>
          <cell r="E3313" t="str">
            <v>statut fédéral</v>
          </cell>
          <cell r="F3313"/>
          <cell r="G3313"/>
          <cell r="H3313"/>
          <cell r="I3313"/>
        </row>
        <row r="3314">
          <cell r="C3314"/>
          <cell r="D3314" t="str">
            <v>de la</v>
          </cell>
          <cell r="E3314" t="str">
            <v>résidence fiscale</v>
          </cell>
          <cell r="F3314"/>
          <cell r="G3314"/>
          <cell r="H3314"/>
          <cell r="I3314"/>
        </row>
        <row r="3315">
          <cell r="C3315"/>
          <cell r="D3315" t="str">
            <v>de la</v>
          </cell>
          <cell r="E3315" t="str">
            <v>résidence fiscale</v>
          </cell>
          <cell r="F3315"/>
          <cell r="G3315"/>
          <cell r="H3315"/>
          <cell r="I3315"/>
        </row>
        <row r="3316">
          <cell r="C3316"/>
          <cell r="D3316" t="str">
            <v>du</v>
          </cell>
          <cell r="E3316" t="str">
            <v>régime fiscal</v>
          </cell>
          <cell r="F3316"/>
          <cell r="G3316"/>
          <cell r="H3316"/>
          <cell r="I3316"/>
        </row>
        <row r="3317">
          <cell r="C3317"/>
          <cell r="D3317" t="str">
            <v>du</v>
          </cell>
          <cell r="E3317" t="str">
            <v>régime fiscal</v>
          </cell>
          <cell r="F3317"/>
          <cell r="G3317"/>
          <cell r="H3317"/>
          <cell r="I3317"/>
        </row>
        <row r="3318">
          <cell r="C3318"/>
          <cell r="D3318" t="str">
            <v>du</v>
          </cell>
          <cell r="E3318" t="str">
            <v>sexe</v>
          </cell>
          <cell r="F3318"/>
          <cell r="G3318"/>
          <cell r="H3318"/>
          <cell r="I3318"/>
        </row>
        <row r="3319">
          <cell r="C3319"/>
          <cell r="D3319" t="str">
            <v>du</v>
          </cell>
          <cell r="E3319" t="str">
            <v>sexe</v>
          </cell>
          <cell r="F3319"/>
          <cell r="G3319"/>
          <cell r="H3319"/>
          <cell r="I3319"/>
        </row>
        <row r="3320">
          <cell r="C3320"/>
          <cell r="D3320" t="str">
            <v xml:space="preserve"> </v>
          </cell>
          <cell r="E3320" t="str">
            <v>"a une entreprise individuelle"</v>
          </cell>
          <cell r="F3320"/>
          <cell r="G3320"/>
          <cell r="H3320"/>
          <cell r="I3320"/>
        </row>
        <row r="3321">
          <cell r="C3321"/>
          <cell r="D3321" t="str">
            <v xml:space="preserve"> </v>
          </cell>
          <cell r="E3321" t="str">
            <v>"a une entreprise individuelle"</v>
          </cell>
          <cell r="F3321"/>
          <cell r="G3321"/>
          <cell r="H3321"/>
          <cell r="I3321"/>
        </row>
        <row r="3322">
          <cell r="C3322"/>
          <cell r="D3322" t="str">
            <v>de</v>
          </cell>
          <cell r="E3322" t="str">
            <v>salarié du groupe</v>
          </cell>
          <cell r="F3322"/>
          <cell r="G3322"/>
          <cell r="H3322"/>
          <cell r="I3322"/>
        </row>
        <row r="3323">
          <cell r="C3323"/>
          <cell r="D3323" t="str">
            <v xml:space="preserve"> </v>
          </cell>
          <cell r="E3323" t="str">
            <v>salarié du groupe</v>
          </cell>
          <cell r="F3323"/>
          <cell r="G3323"/>
          <cell r="H3323"/>
          <cell r="I3323"/>
        </row>
        <row r="3324">
          <cell r="C3324"/>
          <cell r="D3324" t="str">
            <v>du</v>
          </cell>
          <cell r="E3324" t="str">
            <v>téléphone fixe</v>
          </cell>
          <cell r="F3324"/>
          <cell r="G3324"/>
          <cell r="H3324"/>
          <cell r="I3324"/>
        </row>
        <row r="3325">
          <cell r="C3325"/>
          <cell r="D3325" t="str">
            <v>de</v>
          </cell>
          <cell r="E3325" t="str">
            <v>condition logement</v>
          </cell>
          <cell r="F3325"/>
          <cell r="G3325"/>
          <cell r="H3325"/>
          <cell r="I3325"/>
        </row>
        <row r="3326">
          <cell r="C3326"/>
          <cell r="D3326" t="str">
            <v>de</v>
          </cell>
          <cell r="E3326" t="str">
            <v>condition logement</v>
          </cell>
          <cell r="F3326"/>
          <cell r="G3326"/>
          <cell r="H3326"/>
          <cell r="I3326"/>
        </row>
        <row r="3327">
          <cell r="C3327"/>
          <cell r="D3327" t="str">
            <v xml:space="preserve"> </v>
          </cell>
          <cell r="E3327" t="str">
            <v>entreprise individuelle</v>
          </cell>
          <cell r="F3327"/>
          <cell r="G3327"/>
          <cell r="H3327"/>
          <cell r="I3327"/>
        </row>
        <row r="3328">
          <cell r="C3328"/>
          <cell r="D3328" t="str">
            <v xml:space="preserve"> </v>
          </cell>
          <cell r="E3328" t="str">
            <v>entreprise individuelle</v>
          </cell>
          <cell r="F3328"/>
          <cell r="G3328"/>
          <cell r="H3328"/>
          <cell r="I3328"/>
        </row>
        <row r="3329">
          <cell r="C3329"/>
          <cell r="D3329" t="str">
            <v>de la</v>
          </cell>
          <cell r="E3329" t="str">
            <v>catégorie juridique</v>
          </cell>
          <cell r="F3329"/>
          <cell r="G3329"/>
          <cell r="H3329"/>
          <cell r="I3329"/>
        </row>
        <row r="3330">
          <cell r="C3330"/>
          <cell r="D3330" t="str">
            <v>de la</v>
          </cell>
          <cell r="E3330" t="str">
            <v>catégorie juridique</v>
          </cell>
          <cell r="F3330"/>
          <cell r="G3330"/>
          <cell r="H3330"/>
          <cell r="I3330"/>
        </row>
        <row r="3331">
          <cell r="C3331"/>
          <cell r="D3331" t="str">
            <v>de la</v>
          </cell>
          <cell r="E3331" t="str">
            <v>capacité juridique</v>
          </cell>
          <cell r="F3331"/>
          <cell r="G3331"/>
          <cell r="H3331"/>
          <cell r="I3331"/>
        </row>
        <row r="3332">
          <cell r="C3332"/>
          <cell r="D3332" t="str">
            <v>de la</v>
          </cell>
          <cell r="E3332" t="str">
            <v>capacité juridique</v>
          </cell>
          <cell r="F3332"/>
          <cell r="G3332"/>
          <cell r="H3332"/>
          <cell r="I3332"/>
        </row>
        <row r="3333">
          <cell r="C3333" t="str">
            <v>langue</v>
          </cell>
          <cell r="D3333" t="str">
            <v>de</v>
          </cell>
          <cell r="E3333" t="str">
            <v>restitution</v>
          </cell>
          <cell r="F3333"/>
          <cell r="G3333"/>
          <cell r="H3333"/>
          <cell r="I3333"/>
        </row>
        <row r="3334">
          <cell r="C3334"/>
          <cell r="D3334" t="str">
            <v>du</v>
          </cell>
          <cell r="E3334" t="str">
            <v>rôle du représentant légal principal</v>
          </cell>
          <cell r="F3334"/>
          <cell r="G3334"/>
          <cell r="H3334"/>
          <cell r="I3334"/>
        </row>
        <row r="3335">
          <cell r="C3335"/>
          <cell r="D3335" t="str">
            <v>du</v>
          </cell>
          <cell r="E3335" t="str">
            <v>rôle du représentant légal principal</v>
          </cell>
          <cell r="F3335"/>
          <cell r="G3335"/>
          <cell r="H3335"/>
          <cell r="I3335"/>
        </row>
        <row r="3336">
          <cell r="C3336"/>
          <cell r="D3336" t="str">
            <v>du</v>
          </cell>
          <cell r="E3336" t="str">
            <v>régime matrimonial</v>
          </cell>
          <cell r="F3336"/>
          <cell r="G3336"/>
          <cell r="H3336"/>
          <cell r="I3336"/>
        </row>
        <row r="3337">
          <cell r="C3337"/>
          <cell r="D3337" t="str">
            <v>du</v>
          </cell>
          <cell r="E3337" t="str">
            <v>régime matrimonial</v>
          </cell>
          <cell r="F3337"/>
          <cell r="G3337"/>
          <cell r="H3337"/>
          <cell r="I3337"/>
        </row>
        <row r="3338">
          <cell r="C3338"/>
          <cell r="D3338" t="str">
            <v xml:space="preserve"> </v>
          </cell>
          <cell r="E3338" t="str">
            <v>NIC</v>
          </cell>
          <cell r="F3338"/>
          <cell r="G3338"/>
          <cell r="H3338"/>
          <cell r="I3338"/>
        </row>
        <row r="3339">
          <cell r="C3339"/>
          <cell r="D3339" t="str">
            <v>de l'</v>
          </cell>
          <cell r="E3339" t="str">
            <v>identification nationale</v>
          </cell>
          <cell r="F3339"/>
          <cell r="G3339"/>
          <cell r="H3339"/>
          <cell r="I3339"/>
        </row>
        <row r="3340">
          <cell r="C3340"/>
          <cell r="D3340" t="str">
            <v>de l'</v>
          </cell>
          <cell r="E3340" t="str">
            <v>identification nationale</v>
          </cell>
          <cell r="F3340"/>
          <cell r="G3340"/>
          <cell r="H3340"/>
          <cell r="I3340"/>
        </row>
        <row r="3341">
          <cell r="C3341" t="str">
            <v>indicatif</v>
          </cell>
          <cell r="D3341" t="str">
            <v>du</v>
          </cell>
          <cell r="E3341" t="str">
            <v>téléphone fixe</v>
          </cell>
          <cell r="F3341" t="str">
            <v xml:space="preserve"> </v>
          </cell>
          <cell r="G3341" t="str">
            <v>secondaire</v>
          </cell>
          <cell r="H3341"/>
          <cell r="I3341"/>
        </row>
        <row r="3342">
          <cell r="C3342" t="str">
            <v>indicatif</v>
          </cell>
          <cell r="D3342" t="str">
            <v>du</v>
          </cell>
          <cell r="E3342" t="str">
            <v>téléphone portable</v>
          </cell>
          <cell r="F3342" t="str">
            <v xml:space="preserve"> </v>
          </cell>
          <cell r="G3342" t="str">
            <v>secondaire</v>
          </cell>
          <cell r="H3342"/>
          <cell r="I3342"/>
        </row>
        <row r="3343">
          <cell r="C3343"/>
          <cell r="D3343" t="str">
            <v>du</v>
          </cell>
          <cell r="E3343" t="str">
            <v>téléphone professionnel</v>
          </cell>
          <cell r="F3343"/>
          <cell r="G3343"/>
          <cell r="H3343"/>
          <cell r="I3343"/>
        </row>
        <row r="3344">
          <cell r="C3344"/>
          <cell r="D3344" t="str">
            <v>du</v>
          </cell>
          <cell r="E3344" t="str">
            <v>statut professionnel</v>
          </cell>
          <cell r="F3344"/>
          <cell r="G3344"/>
          <cell r="H3344"/>
          <cell r="I3344"/>
        </row>
        <row r="3345">
          <cell r="C3345"/>
          <cell r="D3345" t="str">
            <v>du</v>
          </cell>
          <cell r="E3345" t="str">
            <v>statut professionnel</v>
          </cell>
          <cell r="F3345"/>
          <cell r="G3345"/>
          <cell r="H3345"/>
          <cell r="I3345"/>
        </row>
        <row r="3346">
          <cell r="C3346" t="str">
            <v>indicatif</v>
          </cell>
          <cell r="D3346" t="str">
            <v>du</v>
          </cell>
          <cell r="E3346" t="str">
            <v>téléphone portable</v>
          </cell>
          <cell r="F3346"/>
          <cell r="G3346"/>
          <cell r="H3346"/>
          <cell r="I3346"/>
        </row>
        <row r="3347">
          <cell r="C3347" t="str">
            <v>connaissance</v>
          </cell>
          <cell r="D3347" t="str">
            <v>du</v>
          </cell>
          <cell r="E3347" t="str">
            <v>téléphone portable</v>
          </cell>
          <cell r="F3347"/>
          <cell r="G3347"/>
          <cell r="H3347"/>
          <cell r="I3347"/>
        </row>
        <row r="3348">
          <cell r="C3348" t="str">
            <v>option</v>
          </cell>
          <cell r="D3348" t="str">
            <v>de</v>
          </cell>
          <cell r="E3348" t="str">
            <v>SMS</v>
          </cell>
          <cell r="F3348"/>
          <cell r="G3348"/>
          <cell r="H3348"/>
          <cell r="I3348"/>
        </row>
        <row r="3349">
          <cell r="C3349" t="str">
            <v>option</v>
          </cell>
          <cell r="D3349" t="str">
            <v>de</v>
          </cell>
          <cell r="E3349" t="str">
            <v>SMS</v>
          </cell>
          <cell r="F3349"/>
          <cell r="G3349"/>
          <cell r="H3349"/>
          <cell r="I3349"/>
        </row>
        <row r="3350">
          <cell r="C3350" t="str">
            <v>état</v>
          </cell>
          <cell r="D3350" t="str">
            <v xml:space="preserve"> </v>
          </cell>
          <cell r="E3350" t="str">
            <v>immatriculation</v>
          </cell>
          <cell r="F3350"/>
          <cell r="G3350"/>
          <cell r="H3350"/>
          <cell r="I3350"/>
        </row>
        <row r="3351">
          <cell r="C3351" t="str">
            <v>qualité</v>
          </cell>
          <cell r="D3351" t="str">
            <v>de l'</v>
          </cell>
          <cell r="E3351" t="str">
            <v>acheminement</v>
          </cell>
          <cell r="F3351"/>
          <cell r="G3351"/>
          <cell r="H3351"/>
          <cell r="I3351"/>
        </row>
        <row r="3352">
          <cell r="C3352" t="str">
            <v>qualité</v>
          </cell>
          <cell r="D3352" t="str">
            <v>de l'</v>
          </cell>
          <cell r="E3352" t="str">
            <v>acheminement</v>
          </cell>
          <cell r="F3352"/>
          <cell r="G3352"/>
          <cell r="H3352"/>
          <cell r="I3352"/>
        </row>
        <row r="3353">
          <cell r="C3353"/>
          <cell r="D3353" t="str">
            <v>d'</v>
          </cell>
          <cell r="E3353" t="str">
            <v>actionnaire</v>
          </cell>
          <cell r="F3353"/>
          <cell r="G3353"/>
          <cell r="H3353"/>
          <cell r="I3353"/>
        </row>
        <row r="3354">
          <cell r="C3354"/>
          <cell r="D3354" t="str">
            <v>du</v>
          </cell>
          <cell r="E3354" t="str">
            <v>site de gestion</v>
          </cell>
          <cell r="F3354"/>
          <cell r="G3354"/>
          <cell r="H3354"/>
          <cell r="I3354"/>
        </row>
        <row r="3355">
          <cell r="C3355"/>
          <cell r="D3355" t="str">
            <v>du</v>
          </cell>
          <cell r="E3355" t="str">
            <v>téléphone portable</v>
          </cell>
          <cell r="F3355"/>
          <cell r="G3355"/>
          <cell r="H3355"/>
          <cell r="I3355"/>
        </row>
        <row r="3356">
          <cell r="C3356"/>
          <cell r="D3356" t="str">
            <v>de la</v>
          </cell>
          <cell r="E3356" t="str">
            <v>catégorie socio-professionnelle</v>
          </cell>
          <cell r="F3356"/>
          <cell r="G3356"/>
          <cell r="H3356"/>
          <cell r="I3356"/>
        </row>
        <row r="3357">
          <cell r="C3357"/>
          <cell r="D3357" t="str">
            <v>de la</v>
          </cell>
          <cell r="E3357" t="str">
            <v>catégorie socio-professionnelle</v>
          </cell>
          <cell r="F3357"/>
          <cell r="G3357"/>
          <cell r="H3357"/>
          <cell r="I3357"/>
        </row>
        <row r="3358">
          <cell r="C3358" t="str">
            <v>classification MIF</v>
          </cell>
          <cell r="D3358" t="str">
            <v>du</v>
          </cell>
          <cell r="E3358" t="str">
            <v>tiers</v>
          </cell>
          <cell r="F3358"/>
          <cell r="G3358"/>
          <cell r="H3358"/>
          <cell r="I3358"/>
        </row>
        <row r="3359">
          <cell r="C3359" t="str">
            <v>IRIS</v>
          </cell>
          <cell r="D3359" t="str">
            <v>du</v>
          </cell>
          <cell r="E3359" t="str">
            <v>tiers</v>
          </cell>
          <cell r="F3359"/>
          <cell r="G3359"/>
          <cell r="H3359"/>
          <cell r="I3359"/>
        </row>
        <row r="3360">
          <cell r="C3360" t="str">
            <v>pays ISO</v>
          </cell>
          <cell r="D3360" t="str">
            <v>du</v>
          </cell>
          <cell r="E3360" t="str">
            <v>tiers</v>
          </cell>
          <cell r="F3360"/>
          <cell r="G3360"/>
          <cell r="H3360"/>
          <cell r="I3360"/>
        </row>
        <row r="3361">
          <cell r="C3361" t="str">
            <v>marché</v>
          </cell>
          <cell r="D3361" t="str">
            <v>du</v>
          </cell>
          <cell r="E3361" t="str">
            <v>tiers</v>
          </cell>
          <cell r="F3361"/>
          <cell r="G3361"/>
          <cell r="H3361"/>
          <cell r="I3361"/>
        </row>
        <row r="3362">
          <cell r="C3362" t="str">
            <v>postal</v>
          </cell>
          <cell r="D3362" t="str">
            <v>du</v>
          </cell>
          <cell r="E3362" t="str">
            <v>tiers</v>
          </cell>
          <cell r="F3362"/>
          <cell r="G3362"/>
          <cell r="H3362"/>
          <cell r="I3362"/>
        </row>
        <row r="3363">
          <cell r="C3363" t="str">
            <v>sous marché</v>
          </cell>
          <cell r="D3363" t="str">
            <v>du</v>
          </cell>
          <cell r="E3363" t="str">
            <v>tiers</v>
          </cell>
          <cell r="F3363"/>
          <cell r="G3363"/>
          <cell r="H3363"/>
          <cell r="I3363"/>
        </row>
        <row r="3364">
          <cell r="C3364" t="str">
            <v>commune</v>
          </cell>
          <cell r="D3364" t="str">
            <v>du</v>
          </cell>
          <cell r="E3364" t="str">
            <v>tiers</v>
          </cell>
          <cell r="F3364"/>
          <cell r="G3364"/>
          <cell r="H3364"/>
          <cell r="I3364"/>
        </row>
        <row r="3365">
          <cell r="C3365" t="str">
            <v>établissement</v>
          </cell>
          <cell r="D3365" t="str">
            <v>du</v>
          </cell>
          <cell r="E3365" t="str">
            <v>tiers personne morale</v>
          </cell>
          <cell r="F3365"/>
          <cell r="G3365"/>
          <cell r="H3365"/>
          <cell r="I3365"/>
        </row>
        <row r="3366">
          <cell r="C3366" t="str">
            <v>établissement</v>
          </cell>
          <cell r="D3366" t="str">
            <v>du</v>
          </cell>
          <cell r="E3366" t="str">
            <v>tiers personne morale</v>
          </cell>
          <cell r="F3366"/>
          <cell r="G3366"/>
          <cell r="H3366"/>
          <cell r="I3366"/>
        </row>
        <row r="3367">
          <cell r="C3367" t="str">
            <v>connaissance</v>
          </cell>
          <cell r="D3367" t="str">
            <v>du</v>
          </cell>
          <cell r="E3367" t="str">
            <v>téléphone portable</v>
          </cell>
          <cell r="F3367"/>
          <cell r="G3367"/>
          <cell r="H3367"/>
          <cell r="I3367"/>
        </row>
        <row r="3368">
          <cell r="C3368" t="str">
            <v>siège</v>
          </cell>
          <cell r="D3368" t="str">
            <v>du</v>
          </cell>
          <cell r="E3368" t="str">
            <v>tiers personne morale</v>
          </cell>
          <cell r="F3368"/>
          <cell r="G3368"/>
          <cell r="H3368"/>
          <cell r="I3368"/>
        </row>
        <row r="3369">
          <cell r="C3369" t="str">
            <v>siège</v>
          </cell>
          <cell r="D3369" t="str">
            <v>du</v>
          </cell>
          <cell r="E3369" t="str">
            <v>tiers personne morale</v>
          </cell>
          <cell r="F3369"/>
          <cell r="G3369"/>
          <cell r="H3369"/>
          <cell r="I3369"/>
        </row>
        <row r="3370">
          <cell r="C3370" t="str">
            <v>NACE</v>
          </cell>
          <cell r="D3370" t="str">
            <v>du</v>
          </cell>
          <cell r="E3370" t="str">
            <v>tiers personne morale</v>
          </cell>
          <cell r="F3370"/>
          <cell r="G3370"/>
          <cell r="H3370"/>
          <cell r="I3370"/>
        </row>
        <row r="3371">
          <cell r="C3371"/>
          <cell r="D3371" t="str">
            <v>du</v>
          </cell>
          <cell r="E3371" t="str">
            <v>tiers</v>
          </cell>
          <cell r="F3371"/>
          <cell r="G3371"/>
          <cell r="H3371"/>
          <cell r="I3371"/>
        </row>
        <row r="3372">
          <cell r="C3372"/>
          <cell r="D3372" t="str">
            <v>du</v>
          </cell>
          <cell r="E3372" t="str">
            <v>tiers</v>
          </cell>
          <cell r="F3372"/>
          <cell r="G3372"/>
          <cell r="H3372"/>
          <cell r="I3372"/>
        </row>
        <row r="3373">
          <cell r="C3373"/>
          <cell r="D3373" t="str">
            <v>du</v>
          </cell>
          <cell r="E3373" t="str">
            <v>tiers</v>
          </cell>
          <cell r="F3373"/>
          <cell r="G3373"/>
          <cell r="H3373"/>
          <cell r="I3373"/>
        </row>
        <row r="3374">
          <cell r="C3374"/>
          <cell r="D3374" t="str">
            <v>du</v>
          </cell>
          <cell r="E3374" t="str">
            <v>tiers</v>
          </cell>
          <cell r="F3374"/>
          <cell r="G3374"/>
          <cell r="H3374"/>
          <cell r="I3374"/>
        </row>
        <row r="3375">
          <cell r="C3375" t="str">
            <v>patronymique</v>
          </cell>
          <cell r="D3375" t="str">
            <v>du</v>
          </cell>
          <cell r="E3375" t="str">
            <v>tiers personne physique</v>
          </cell>
          <cell r="F3375"/>
          <cell r="G3375"/>
          <cell r="H3375"/>
          <cell r="I3375"/>
        </row>
        <row r="3376">
          <cell r="C3376" t="str">
            <v>secondaire</v>
          </cell>
          <cell r="D3376" t="str">
            <v>du</v>
          </cell>
          <cell r="E3376" t="str">
            <v>tiers personne physique</v>
          </cell>
          <cell r="F3376"/>
          <cell r="G3376"/>
          <cell r="H3376"/>
          <cell r="I3376"/>
        </row>
        <row r="3377">
          <cell r="C3377"/>
          <cell r="D3377" t="str">
            <v>du</v>
          </cell>
          <cell r="E3377" t="str">
            <v>tiers</v>
          </cell>
          <cell r="F3377"/>
          <cell r="G3377"/>
          <cell r="H3377"/>
          <cell r="I3377"/>
        </row>
        <row r="3378">
          <cell r="C3378"/>
          <cell r="D3378" t="str">
            <v>du</v>
          </cell>
          <cell r="E3378" t="str">
            <v>tiers</v>
          </cell>
          <cell r="F3378"/>
          <cell r="G3378"/>
          <cell r="H3378"/>
          <cell r="I3378"/>
        </row>
        <row r="3379">
          <cell r="C3379" t="str">
            <v>option</v>
          </cell>
          <cell r="D3379" t="str">
            <v>de</v>
          </cell>
          <cell r="E3379" t="str">
            <v>télévente</v>
          </cell>
          <cell r="F3379"/>
          <cell r="G3379"/>
          <cell r="H3379"/>
          <cell r="I3379"/>
        </row>
        <row r="3380">
          <cell r="C3380" t="str">
            <v>option</v>
          </cell>
          <cell r="D3380" t="str">
            <v>de</v>
          </cell>
          <cell r="E3380" t="str">
            <v>télévente</v>
          </cell>
          <cell r="F3380"/>
          <cell r="G3380"/>
          <cell r="H3380"/>
          <cell r="I3380"/>
        </row>
        <row r="3381">
          <cell r="C3381"/>
          <cell r="D3381" t="str">
            <v>du</v>
          </cell>
          <cell r="E3381" t="str">
            <v>tiers</v>
          </cell>
          <cell r="F3381"/>
          <cell r="G3381"/>
          <cell r="H3381"/>
          <cell r="I3381"/>
        </row>
        <row r="3382">
          <cell r="C3382"/>
          <cell r="D3382" t="str">
            <v>du</v>
          </cell>
          <cell r="E3382" t="str">
            <v>tiers</v>
          </cell>
          <cell r="F3382"/>
          <cell r="G3382"/>
          <cell r="H3382"/>
          <cell r="I3382"/>
        </row>
        <row r="3383">
          <cell r="C3383"/>
          <cell r="D3383" t="str">
            <v>du</v>
          </cell>
          <cell r="E3383" t="str">
            <v>tiers</v>
          </cell>
          <cell r="F3383"/>
          <cell r="G3383"/>
          <cell r="H3383"/>
          <cell r="I3383"/>
        </row>
        <row r="3384">
          <cell r="C3384" t="str">
            <v>statut</v>
          </cell>
          <cell r="D3384" t="str">
            <v>du</v>
          </cell>
          <cell r="E3384" t="str">
            <v>pli non distribuable</v>
          </cell>
          <cell r="F3384"/>
          <cell r="G3384"/>
          <cell r="H3384"/>
          <cell r="I3384"/>
        </row>
        <row r="3385">
          <cell r="C3385"/>
          <cell r="D3385" t="str">
            <v>du</v>
          </cell>
          <cell r="E3385" t="str">
            <v>tiers personne morale</v>
          </cell>
          <cell r="F3385"/>
          <cell r="G3385"/>
          <cell r="H3385"/>
          <cell r="I3385"/>
        </row>
        <row r="3386">
          <cell r="C3386"/>
          <cell r="D3386" t="str">
            <v>du</v>
          </cell>
          <cell r="E3386" t="str">
            <v>tiers représentant légal principal</v>
          </cell>
          <cell r="F3386"/>
          <cell r="G3386"/>
          <cell r="H3386"/>
          <cell r="I3386"/>
        </row>
        <row r="3387">
          <cell r="C3387"/>
          <cell r="D3387" t="str">
            <v>du</v>
          </cell>
          <cell r="E3387" t="str">
            <v>tiers personne physique</v>
          </cell>
          <cell r="F3387"/>
          <cell r="G3387"/>
          <cell r="H3387"/>
          <cell r="I3387"/>
        </row>
        <row r="3388">
          <cell r="C3388"/>
          <cell r="D3388" t="str">
            <v>du</v>
          </cell>
          <cell r="E3388" t="str">
            <v>tiers personne physique</v>
          </cell>
          <cell r="F3388"/>
          <cell r="G3388"/>
          <cell r="H3388"/>
          <cell r="I3388"/>
        </row>
        <row r="3389">
          <cell r="C3389" t="str">
            <v>classification MIF</v>
          </cell>
          <cell r="D3389" t="str">
            <v>du</v>
          </cell>
          <cell r="E3389" t="str">
            <v>tiers</v>
          </cell>
          <cell r="F3389"/>
          <cell r="G3389"/>
          <cell r="H3389"/>
          <cell r="I3389"/>
        </row>
        <row r="3390">
          <cell r="C3390" t="str">
            <v>pays ISO</v>
          </cell>
          <cell r="D3390" t="str">
            <v>du</v>
          </cell>
          <cell r="E3390" t="str">
            <v>tiers</v>
          </cell>
          <cell r="F3390"/>
          <cell r="G3390"/>
          <cell r="H3390"/>
          <cell r="I3390"/>
        </row>
        <row r="3391">
          <cell r="C3391" t="str">
            <v>marché</v>
          </cell>
          <cell r="D3391" t="str">
            <v>du</v>
          </cell>
          <cell r="E3391" t="str">
            <v>tiers</v>
          </cell>
          <cell r="F3391"/>
          <cell r="G3391"/>
          <cell r="H3391"/>
          <cell r="I3391"/>
        </row>
        <row r="3392">
          <cell r="C3392" t="str">
            <v>sous marché</v>
          </cell>
          <cell r="D3392" t="str">
            <v>du</v>
          </cell>
          <cell r="E3392" t="str">
            <v>tiers</v>
          </cell>
          <cell r="F3392"/>
          <cell r="G3392"/>
          <cell r="H3392"/>
          <cell r="I3392"/>
        </row>
        <row r="3393">
          <cell r="C3393" t="str">
            <v>commune</v>
          </cell>
          <cell r="D3393" t="str">
            <v>du</v>
          </cell>
          <cell r="E3393" t="str">
            <v>tiers</v>
          </cell>
          <cell r="F3393"/>
          <cell r="G3393"/>
          <cell r="H3393"/>
          <cell r="I3393"/>
        </row>
        <row r="3394">
          <cell r="C3394" t="str">
            <v>statut</v>
          </cell>
          <cell r="D3394" t="str">
            <v>du</v>
          </cell>
          <cell r="E3394" t="str">
            <v>pli non distribuable</v>
          </cell>
          <cell r="F3394"/>
          <cell r="G3394"/>
          <cell r="H3394"/>
          <cell r="I3394"/>
        </row>
        <row r="3395">
          <cell r="C3395" t="str">
            <v>Dernière image</v>
          </cell>
          <cell r="D3395"/>
          <cell r="E3395"/>
          <cell r="F3395"/>
          <cell r="G3395"/>
          <cell r="H3395"/>
          <cell r="I3395"/>
        </row>
        <row r="3396">
          <cell r="C3396"/>
          <cell r="D3396" t="str">
            <v>de</v>
          </cell>
          <cell r="E3396" t="str">
            <v>Bornes date</v>
          </cell>
          <cell r="F3396"/>
          <cell r="G3396"/>
          <cell r="H3396"/>
          <cell r="I3396"/>
        </row>
        <row r="3397">
          <cell r="C3397"/>
          <cell r="D3397" t="str">
            <v>de</v>
          </cell>
          <cell r="E3397" t="str">
            <v>Bornes date</v>
          </cell>
          <cell r="F3397"/>
          <cell r="G3397"/>
          <cell r="H3397"/>
          <cell r="I3397"/>
        </row>
        <row r="3398">
          <cell r="C3398"/>
          <cell r="D3398"/>
          <cell r="E3398"/>
          <cell r="F3398"/>
          <cell r="G3398"/>
          <cell r="H3398"/>
          <cell r="I3398"/>
        </row>
        <row r="3399">
          <cell r="C3399" t="str">
            <v>ordre</v>
          </cell>
          <cell r="D3399" t="str">
            <v>de la</v>
          </cell>
          <cell r="E3399" t="str">
            <v>requête du contrôle</v>
          </cell>
          <cell r="F3399"/>
          <cell r="G3399"/>
          <cell r="H3399"/>
          <cell r="I3399"/>
        </row>
        <row r="3400">
          <cell r="C3400" t="str">
            <v>ordre</v>
          </cell>
          <cell r="D3400" t="str">
            <v>dans la</v>
          </cell>
          <cell r="E3400" t="str">
            <v>session</v>
          </cell>
          <cell r="F3400" t="str">
            <v>de la</v>
          </cell>
          <cell r="G3400" t="str">
            <v>requête du contrôle</v>
          </cell>
          <cell r="H3400"/>
          <cell r="I3400"/>
        </row>
        <row r="3401">
          <cell r="C3401" t="str">
            <v>sévérité</v>
          </cell>
          <cell r="D3401" t="str">
            <v>de la</v>
          </cell>
          <cell r="E3401" t="str">
            <v>requête du contrôle</v>
          </cell>
          <cell r="F3401"/>
          <cell r="G3401"/>
          <cell r="H3401"/>
          <cell r="I3401"/>
        </row>
        <row r="3402">
          <cell r="C3402" t="str">
            <v>référence</v>
          </cell>
          <cell r="D3402" t="str">
            <v>de la</v>
          </cell>
          <cell r="E3402" t="str">
            <v>requête du contrôle</v>
          </cell>
          <cell r="F3402"/>
          <cell r="G3402"/>
          <cell r="H3402"/>
          <cell r="I3402"/>
        </row>
        <row r="3403">
          <cell r="C3403" t="str">
            <v>référent</v>
          </cell>
          <cell r="D3403" t="str">
            <v>du</v>
          </cell>
          <cell r="E3403" t="str">
            <v>groupe de contrôles</v>
          </cell>
          <cell r="F3403"/>
          <cell r="G3403"/>
          <cell r="H3403"/>
          <cell r="I3403"/>
        </row>
        <row r="3404">
          <cell r="C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cell r="F3405"/>
          <cell r="G3405"/>
          <cell r="H3405"/>
          <cell r="I3405"/>
        </row>
        <row r="3406">
          <cell r="C3406" t="str">
            <v>fin</v>
          </cell>
          <cell r="D3406" t="str">
            <v>du</v>
          </cell>
          <cell r="E3406" t="str">
            <v>mois</v>
          </cell>
          <cell r="F3406" t="str">
            <v>de la</v>
          </cell>
          <cell r="G3406" t="str">
            <v>planification du contrôle</v>
          </cell>
          <cell r="H3406"/>
          <cell r="I3406"/>
        </row>
        <row r="3407">
          <cell r="C3407" t="str">
            <v>début</v>
          </cell>
          <cell r="D3407" t="str">
            <v>du</v>
          </cell>
          <cell r="E3407" t="str">
            <v>mois</v>
          </cell>
          <cell r="F3407" t="str">
            <v>de la</v>
          </cell>
          <cell r="G3407" t="str">
            <v>planification du contrôle</v>
          </cell>
          <cell r="H3407"/>
          <cell r="I3407"/>
        </row>
        <row r="3408">
          <cell r="C3408" t="str">
            <v>fin</v>
          </cell>
          <cell r="D3408" t="str">
            <v>du</v>
          </cell>
          <cell r="E3408" t="str">
            <v>trimestre</v>
          </cell>
          <cell r="F3408" t="str">
            <v>de la</v>
          </cell>
          <cell r="G3408" t="str">
            <v>planification du contrôle</v>
          </cell>
          <cell r="H3408"/>
          <cell r="I3408"/>
        </row>
        <row r="3409">
          <cell r="C3409" t="str">
            <v>début</v>
          </cell>
          <cell r="D3409" t="str">
            <v>du</v>
          </cell>
          <cell r="E3409" t="str">
            <v>trimestre</v>
          </cell>
          <cell r="F3409" t="str">
            <v>de la</v>
          </cell>
          <cell r="G3409" t="str">
            <v>planification du contrôle</v>
          </cell>
          <cell r="H3409"/>
          <cell r="I3409"/>
        </row>
        <row r="3410">
          <cell r="C3410" t="str">
            <v>fin</v>
          </cell>
          <cell r="D3410" t="str">
            <v>du</v>
          </cell>
          <cell r="E3410" t="str">
            <v>semestre</v>
          </cell>
          <cell r="F3410" t="str">
            <v>de la</v>
          </cell>
          <cell r="G3410" t="str">
            <v>planification du contrôle</v>
          </cell>
          <cell r="H3410"/>
          <cell r="I3410"/>
        </row>
        <row r="3411">
          <cell r="C3411" t="str">
            <v>début</v>
          </cell>
          <cell r="D3411" t="str">
            <v>du</v>
          </cell>
          <cell r="E3411" t="str">
            <v>semestre</v>
          </cell>
          <cell r="F3411" t="str">
            <v>de la</v>
          </cell>
          <cell r="G3411" t="str">
            <v>planification du contrôle</v>
          </cell>
          <cell r="H3411"/>
          <cell r="I3411"/>
        </row>
        <row r="3412">
          <cell r="C3412" t="str">
            <v>fin</v>
          </cell>
          <cell r="D3412" t="str">
            <v>de la</v>
          </cell>
          <cell r="E3412" t="str">
            <v>semaine</v>
          </cell>
          <cell r="F3412" t="str">
            <v>de la</v>
          </cell>
          <cell r="G3412" t="str">
            <v>planification du contrôle</v>
          </cell>
          <cell r="H3412"/>
          <cell r="I3412"/>
        </row>
        <row r="3413">
          <cell r="C3413" t="str">
            <v>début</v>
          </cell>
          <cell r="D3413" t="str">
            <v>de la</v>
          </cell>
          <cell r="E3413" t="str">
            <v>semaine</v>
          </cell>
          <cell r="F3413" t="str">
            <v>de la</v>
          </cell>
          <cell r="G3413" t="str">
            <v>planification du contrôle</v>
          </cell>
          <cell r="H3413"/>
          <cell r="I3413"/>
        </row>
        <row r="3414">
          <cell r="C3414" t="str">
            <v>fin</v>
          </cell>
          <cell r="D3414" t="str">
            <v>de l'</v>
          </cell>
          <cell r="E3414" t="str">
            <v>année</v>
          </cell>
          <cell r="F3414" t="str">
            <v>de la</v>
          </cell>
          <cell r="G3414" t="str">
            <v>planification du contrôle</v>
          </cell>
          <cell r="H3414"/>
          <cell r="I3414"/>
        </row>
        <row r="3415">
          <cell r="C3415" t="str">
            <v>début</v>
          </cell>
          <cell r="D3415" t="str">
            <v>de l'</v>
          </cell>
          <cell r="E3415" t="str">
            <v>année</v>
          </cell>
          <cell r="F3415" t="str">
            <v>de la</v>
          </cell>
          <cell r="G3415" t="str">
            <v>planification du contrôle</v>
          </cell>
          <cell r="H3415"/>
          <cell r="I3415"/>
        </row>
        <row r="3416">
          <cell r="C3416"/>
          <cell r="D3416" t="str">
            <v>du</v>
          </cell>
          <cell r="E3416" t="str">
            <v>message de retour</v>
          </cell>
          <cell r="F3416" t="str">
            <v>de la</v>
          </cell>
          <cell r="G3416" t="str">
            <v>création</v>
          </cell>
          <cell r="H3416" t="str">
            <v>du</v>
          </cell>
          <cell r="I3416" t="str">
            <v>SARA</v>
          </cell>
        </row>
        <row r="3417">
          <cell r="C3417"/>
          <cell r="D3417" t="str">
            <v>du</v>
          </cell>
          <cell r="E3417" t="str">
            <v>créateur</v>
          </cell>
          <cell r="F3417" t="str">
            <v>du</v>
          </cell>
          <cell r="G3417" t="str">
            <v>modèle de contrôle</v>
          </cell>
          <cell r="H3417"/>
          <cell r="I3417"/>
        </row>
        <row r="3418">
          <cell r="C3418"/>
          <cell r="D3418" t="str">
            <v>du</v>
          </cell>
          <cell r="E3418" t="str">
            <v>jour</v>
          </cell>
          <cell r="F3418" t="str">
            <v>du</v>
          </cell>
          <cell r="G3418" t="str">
            <v>mois</v>
          </cell>
          <cell r="H3418" t="str">
            <v>de la</v>
          </cell>
          <cell r="I3418" t="str">
            <v>planification du contrôle</v>
          </cell>
        </row>
        <row r="3419">
          <cell r="C3419"/>
          <cell r="D3419" t="str">
            <v>du</v>
          </cell>
          <cell r="E3419" t="str">
            <v>créateur</v>
          </cell>
          <cell r="F3419" t="str">
            <v>de la</v>
          </cell>
          <cell r="G3419" t="str">
            <v>planification du contrôle</v>
          </cell>
          <cell r="H3419"/>
          <cell r="I3419"/>
        </row>
        <row r="3420">
          <cell r="C3420"/>
          <cell r="D3420" t="str">
            <v>de la</v>
          </cell>
          <cell r="E3420" t="str">
            <v>requête du contrôle</v>
          </cell>
          <cell r="F3420" t="str">
            <v>du</v>
          </cell>
          <cell r="G3420" t="str">
            <v>prédécesseur</v>
          </cell>
          <cell r="H3420"/>
          <cell r="I3420"/>
        </row>
        <row r="3421">
          <cell r="C3421"/>
          <cell r="D3421" t="str">
            <v>d'</v>
          </cell>
          <cell r="E3421" t="str">
            <v>exécution</v>
          </cell>
          <cell r="F3421" t="str">
            <v>de la</v>
          </cell>
          <cell r="G3421" t="str">
            <v>requête du contrôle</v>
          </cell>
          <cell r="H3421"/>
          <cell r="I3421"/>
        </row>
        <row r="3422">
          <cell r="C3422"/>
          <cell r="D3422" t="str">
            <v>d'</v>
          </cell>
          <cell r="E3422" t="str">
            <v>exécution</v>
          </cell>
          <cell r="F3422" t="str">
            <v>de la</v>
          </cell>
          <cell r="G3422" t="str">
            <v>requête du contrôle</v>
          </cell>
          <cell r="H3422"/>
          <cell r="I3422"/>
        </row>
        <row r="3423">
          <cell r="C3423"/>
          <cell r="D3423" t="str">
            <v>d'</v>
          </cell>
          <cell r="E3423" t="str">
            <v>exécution</v>
          </cell>
          <cell r="F3423" t="str">
            <v>de la</v>
          </cell>
          <cell r="G3423" t="str">
            <v>requête du contrôle</v>
          </cell>
          <cell r="H3423"/>
          <cell r="I3423"/>
        </row>
        <row r="3424">
          <cell r="C3424"/>
          <cell r="D3424" t="str">
            <v>du</v>
          </cell>
          <cell r="E3424" t="str">
            <v>projet décisionnel</v>
          </cell>
          <cell r="F3424" t="str">
            <v>de la</v>
          </cell>
          <cell r="G3424" t="str">
            <v>requête du contrôle</v>
          </cell>
          <cell r="H3424"/>
          <cell r="I3424"/>
        </row>
        <row r="3425">
          <cell r="C3425"/>
          <cell r="D3425" t="str">
            <v>du</v>
          </cell>
          <cell r="E3425" t="str">
            <v>créateur</v>
          </cell>
          <cell r="F3425" t="str">
            <v>de la</v>
          </cell>
          <cell r="G3425" t="str">
            <v>requête du contrôle</v>
          </cell>
          <cell r="H3425"/>
          <cell r="I3425"/>
        </row>
        <row r="3426">
          <cell r="C3426"/>
          <cell r="D3426" t="str">
            <v>du</v>
          </cell>
          <cell r="E3426" t="str">
            <v>SARA</v>
          </cell>
          <cell r="F3426" t="str">
            <v>ou</v>
          </cell>
          <cell r="G3426" t="str">
            <v>RUBIS</v>
          </cell>
          <cell r="H3426" t="str">
            <v>de la</v>
          </cell>
          <cell r="I3426" t="str">
            <v>requête du contrôle</v>
          </cell>
        </row>
        <row r="3427">
          <cell r="C3427"/>
          <cell r="D3427" t="str">
            <v>de la</v>
          </cell>
          <cell r="E3427" t="str">
            <v>culture application</v>
          </cell>
          <cell r="F3427" t="str">
            <v>du</v>
          </cell>
          <cell r="G3427" t="str">
            <v>SARA</v>
          </cell>
          <cell r="H3427"/>
          <cell r="I3427"/>
        </row>
        <row r="3428">
          <cell r="C3428"/>
          <cell r="D3428" t="str">
            <v>de l'</v>
          </cell>
          <cell r="E3428" t="str">
            <v>automate</v>
          </cell>
          <cell r="F3428" t="str">
            <v>du</v>
          </cell>
          <cell r="G3428" t="str">
            <v>SARA</v>
          </cell>
          <cell r="H3428"/>
          <cell r="I3428"/>
        </row>
        <row r="3429">
          <cell r="C3429"/>
          <cell r="D3429" t="str">
            <v>de l'</v>
          </cell>
          <cell r="E3429" t="str">
            <v>Application informatique</v>
          </cell>
          <cell r="F3429" t="str">
            <v>du</v>
          </cell>
          <cell r="G3429" t="str">
            <v>SARA</v>
          </cell>
          <cell r="H3429"/>
          <cell r="I3429"/>
        </row>
        <row r="3430">
          <cell r="C3430"/>
          <cell r="D3430" t="str">
            <v>de l'</v>
          </cell>
          <cell r="E3430" t="str">
            <v>environnement informatique</v>
          </cell>
          <cell r="F3430" t="str">
            <v>du</v>
          </cell>
          <cell r="G3430" t="str">
            <v>SARA</v>
          </cell>
          <cell r="H3430"/>
          <cell r="I3430"/>
        </row>
        <row r="3431">
          <cell r="C3431"/>
          <cell r="D3431" t="str">
            <v>de l'</v>
          </cell>
          <cell r="E3431" t="str">
            <v>action suivante</v>
          </cell>
          <cell r="F3431" t="str">
            <v>sur le</v>
          </cell>
          <cell r="G3431" t="str">
            <v>SARA</v>
          </cell>
          <cell r="H3431"/>
          <cell r="I3431"/>
        </row>
        <row r="3432">
          <cell r="C3432"/>
          <cell r="D3432" t="str">
            <v>de l'</v>
          </cell>
          <cell r="E3432" t="str">
            <v>equipe cible</v>
          </cell>
          <cell r="F3432" t="str">
            <v>du</v>
          </cell>
          <cell r="G3432" t="str">
            <v>SARA</v>
          </cell>
          <cell r="H3432"/>
          <cell r="I3432"/>
        </row>
        <row r="3433">
          <cell r="C3433"/>
          <cell r="D3433" t="str">
            <v>de l'</v>
          </cell>
          <cell r="E3433" t="str">
            <v>equipe émettrice</v>
          </cell>
          <cell r="F3433" t="str">
            <v>du</v>
          </cell>
          <cell r="G3433" t="str">
            <v>SARA</v>
          </cell>
          <cell r="H3433"/>
          <cell r="I3433"/>
        </row>
        <row r="3434">
          <cell r="C3434"/>
          <cell r="D3434" t="str">
            <v>du</v>
          </cell>
          <cell r="E3434" t="str">
            <v>jour</v>
          </cell>
          <cell r="F3434" t="str">
            <v>de la</v>
          </cell>
          <cell r="G3434" t="str">
            <v>semaine</v>
          </cell>
          <cell r="H3434" t="str">
            <v>de la</v>
          </cell>
          <cell r="I3434" t="str">
            <v>planification du contrôle</v>
          </cell>
        </row>
        <row r="3435">
          <cell r="C3435"/>
          <cell r="D3435" t="str">
            <v>d'</v>
          </cell>
          <cell r="E3435" t="str">
            <v>exécution</v>
          </cell>
          <cell r="F3435" t="str">
            <v>de la</v>
          </cell>
          <cell r="G3435" t="str">
            <v>session</v>
          </cell>
          <cell r="H3435"/>
          <cell r="I3435"/>
        </row>
        <row r="3436">
          <cell r="C3436"/>
          <cell r="D3436" t="str">
            <v>de la</v>
          </cell>
          <cell r="E3436" t="str">
            <v>requête du contrôle</v>
          </cell>
          <cell r="F3436" t="str">
            <v>du</v>
          </cell>
          <cell r="G3436" t="str">
            <v>successeur</v>
          </cell>
          <cell r="H3436"/>
          <cell r="I3436"/>
        </row>
        <row r="3437">
          <cell r="C3437"/>
          <cell r="D3437" t="str">
            <v>du</v>
          </cell>
          <cell r="E3437" t="str">
            <v>résultat du contrôle</v>
          </cell>
          <cell r="F3437"/>
          <cell r="G3437"/>
          <cell r="H3437"/>
          <cell r="I3437"/>
        </row>
        <row r="3438">
          <cell r="C3438"/>
          <cell r="D3438" t="str">
            <v>du</v>
          </cell>
          <cell r="E3438" t="str">
            <v>résultat du contrôle</v>
          </cell>
          <cell r="F3438"/>
          <cell r="G3438"/>
          <cell r="H3438"/>
          <cell r="I3438"/>
        </row>
        <row r="3439">
          <cell r="C3439"/>
          <cell r="D3439" t="str">
            <v>du</v>
          </cell>
          <cell r="E3439" t="str">
            <v>SARA</v>
          </cell>
          <cell r="F3439"/>
          <cell r="G3439"/>
          <cell r="H3439"/>
          <cell r="I3439"/>
        </row>
        <row r="3440">
          <cell r="C3440"/>
          <cell r="D3440" t="str">
            <v>du</v>
          </cell>
          <cell r="E3440" t="str">
            <v>groupe de contrôles</v>
          </cell>
          <cell r="F3440"/>
          <cell r="G3440"/>
          <cell r="H3440"/>
          <cell r="I3440"/>
        </row>
        <row r="3441">
          <cell r="C3441"/>
          <cell r="D3441" t="str">
            <v>de la</v>
          </cell>
          <cell r="E3441" t="str">
            <v>planification du contrôle</v>
          </cell>
          <cell r="F3441"/>
          <cell r="G3441"/>
          <cell r="H3441"/>
          <cell r="I3441"/>
        </row>
        <row r="3442">
          <cell r="C3442"/>
          <cell r="D3442" t="str">
            <v>de la</v>
          </cell>
          <cell r="E3442" t="str">
            <v>requête du contrôle</v>
          </cell>
          <cell r="F3442"/>
          <cell r="G3442"/>
          <cell r="H3442"/>
          <cell r="I3442"/>
        </row>
        <row r="3443">
          <cell r="C3443"/>
          <cell r="D3443" t="str">
            <v>du</v>
          </cell>
          <cell r="E3443" t="str">
            <v>résultat du contrôle</v>
          </cell>
          <cell r="F3443"/>
          <cell r="G3443"/>
          <cell r="H3443"/>
          <cell r="I3443"/>
        </row>
        <row r="3444">
          <cell r="C3444"/>
          <cell r="D3444" t="str">
            <v>du</v>
          </cell>
          <cell r="E3444" t="str">
            <v>modèle de contrôle</v>
          </cell>
          <cell r="F3444"/>
          <cell r="G3444"/>
          <cell r="H3444"/>
          <cell r="I3444"/>
        </row>
        <row r="3445">
          <cell r="C3445"/>
          <cell r="D3445" t="str">
            <v>de la</v>
          </cell>
          <cell r="E3445" t="str">
            <v>variable de contrôle</v>
          </cell>
          <cell r="F3445"/>
          <cell r="G3445"/>
          <cell r="H3445"/>
          <cell r="I3445"/>
        </row>
        <row r="3446">
          <cell r="C3446"/>
          <cell r="D3446" t="str">
            <v>du</v>
          </cell>
          <cell r="E3446" t="str">
            <v>lien entre contrôles</v>
          </cell>
          <cell r="F3446"/>
          <cell r="G3446"/>
          <cell r="H3446"/>
          <cell r="I3446"/>
        </row>
        <row r="3447">
          <cell r="C3447"/>
          <cell r="D3447" t="str">
            <v>du</v>
          </cell>
          <cell r="E3447" t="str">
            <v>SARA</v>
          </cell>
          <cell r="F3447"/>
          <cell r="G3447"/>
          <cell r="H3447"/>
          <cell r="I3447"/>
        </row>
        <row r="3448">
          <cell r="C3448"/>
          <cell r="D3448" t="str">
            <v>de la</v>
          </cell>
          <cell r="E3448" t="str">
            <v>planification du contrôle</v>
          </cell>
          <cell r="F3448"/>
          <cell r="G3448"/>
          <cell r="H3448"/>
          <cell r="I3448"/>
        </row>
        <row r="3449">
          <cell r="C3449"/>
          <cell r="D3449" t="str">
            <v>de la</v>
          </cell>
          <cell r="E3449" t="str">
            <v>planification du contrôle</v>
          </cell>
          <cell r="F3449"/>
          <cell r="G3449"/>
          <cell r="H3449"/>
          <cell r="I3449"/>
        </row>
        <row r="3450">
          <cell r="C3450"/>
          <cell r="D3450" t="str">
            <v>de la</v>
          </cell>
          <cell r="E3450" t="str">
            <v>requête du contrôle</v>
          </cell>
          <cell r="F3450"/>
          <cell r="G3450"/>
          <cell r="H3450"/>
          <cell r="I3450"/>
        </row>
        <row r="3451">
          <cell r="C3451"/>
          <cell r="D3451" t="str">
            <v>du</v>
          </cell>
          <cell r="E3451" t="str">
            <v>SARA</v>
          </cell>
          <cell r="F3451"/>
          <cell r="G3451"/>
          <cell r="H3451"/>
          <cell r="I3451"/>
        </row>
        <row r="3452">
          <cell r="C3452"/>
          <cell r="D3452" t="str">
            <v>du</v>
          </cell>
          <cell r="E3452" t="str">
            <v>projet décisionnel</v>
          </cell>
          <cell r="F3452"/>
          <cell r="G3452"/>
          <cell r="H3452"/>
          <cell r="I3452"/>
        </row>
        <row r="3453">
          <cell r="C3453"/>
          <cell r="D3453" t="str">
            <v>du</v>
          </cell>
          <cell r="E3453" t="str">
            <v>SID</v>
          </cell>
          <cell r="F3453"/>
          <cell r="G3453"/>
          <cell r="H3453"/>
          <cell r="I3453"/>
        </row>
        <row r="3454">
          <cell r="C3454"/>
          <cell r="D3454" t="str">
            <v>du</v>
          </cell>
          <cell r="E3454" t="str">
            <v>groupe de contrôles</v>
          </cell>
          <cell r="F3454"/>
          <cell r="G3454"/>
          <cell r="H3454"/>
          <cell r="I3454"/>
        </row>
        <row r="3455">
          <cell r="C3455"/>
          <cell r="D3455" t="str">
            <v>du</v>
          </cell>
          <cell r="E3455" t="str">
            <v>groupe de contrôles</v>
          </cell>
          <cell r="F3455"/>
          <cell r="G3455"/>
          <cell r="H3455"/>
          <cell r="I3455"/>
        </row>
        <row r="3456">
          <cell r="C3456"/>
          <cell r="D3456" t="str">
            <v>de la</v>
          </cell>
          <cell r="E3456" t="str">
            <v>requête du contrôle</v>
          </cell>
          <cell r="F3456"/>
          <cell r="G3456"/>
          <cell r="H3456"/>
          <cell r="I3456"/>
        </row>
        <row r="3457">
          <cell r="C3457"/>
          <cell r="D3457" t="str">
            <v>de la</v>
          </cell>
          <cell r="E3457" t="str">
            <v>requête du contrôle</v>
          </cell>
          <cell r="F3457"/>
          <cell r="G3457"/>
          <cell r="H3457"/>
          <cell r="I3457"/>
        </row>
        <row r="3458">
          <cell r="C3458"/>
          <cell r="D3458" t="str">
            <v>de la</v>
          </cell>
          <cell r="E3458" t="str">
            <v>requête du contrôle</v>
          </cell>
          <cell r="F3458"/>
          <cell r="G3458"/>
          <cell r="H3458"/>
          <cell r="I3458"/>
        </row>
        <row r="3459">
          <cell r="C3459"/>
          <cell r="D3459" t="str">
            <v>de la</v>
          </cell>
          <cell r="E3459" t="str">
            <v>requête du contrôle</v>
          </cell>
          <cell r="F3459"/>
          <cell r="G3459"/>
          <cell r="H3459"/>
          <cell r="I3459"/>
        </row>
        <row r="3460">
          <cell r="C3460"/>
          <cell r="D3460" t="str">
            <v>du</v>
          </cell>
          <cell r="E3460" t="str">
            <v>modèle de contrôle</v>
          </cell>
          <cell r="F3460"/>
          <cell r="G3460"/>
          <cell r="H3460"/>
          <cell r="I3460"/>
        </row>
        <row r="3461">
          <cell r="C3461"/>
          <cell r="D3461" t="str">
            <v>du</v>
          </cell>
          <cell r="E3461" t="str">
            <v>modèle de contrôle</v>
          </cell>
          <cell r="F3461"/>
          <cell r="G3461"/>
          <cell r="H3461"/>
          <cell r="I3461"/>
        </row>
        <row r="3462">
          <cell r="C3462"/>
          <cell r="D3462" t="str">
            <v>de la</v>
          </cell>
          <cell r="E3462" t="str">
            <v>variable de contrôle</v>
          </cell>
          <cell r="F3462"/>
          <cell r="G3462"/>
          <cell r="H3462"/>
          <cell r="I3462"/>
        </row>
        <row r="3463">
          <cell r="C3463"/>
          <cell r="D3463" t="str">
            <v>de la</v>
          </cell>
          <cell r="E3463" t="str">
            <v>variable de contrôle</v>
          </cell>
          <cell r="F3463"/>
          <cell r="G3463"/>
          <cell r="H3463"/>
          <cell r="I3463"/>
        </row>
        <row r="3464">
          <cell r="C3464"/>
          <cell r="D3464" t="str">
            <v>du</v>
          </cell>
          <cell r="E3464" t="str">
            <v>lien entre contrôles</v>
          </cell>
          <cell r="F3464"/>
          <cell r="G3464"/>
          <cell r="H3464"/>
          <cell r="I3464"/>
        </row>
        <row r="3465">
          <cell r="C3465"/>
          <cell r="D3465" t="str">
            <v>du</v>
          </cell>
          <cell r="E3465" t="str">
            <v>MOA</v>
          </cell>
          <cell r="F3465"/>
          <cell r="G3465"/>
          <cell r="H3465"/>
          <cell r="I3465"/>
        </row>
        <row r="3466">
          <cell r="C3466"/>
          <cell r="D3466" t="str">
            <v>du</v>
          </cell>
          <cell r="E3466" t="str">
            <v>MOE</v>
          </cell>
          <cell r="F3466"/>
          <cell r="G3466"/>
          <cell r="H3466"/>
          <cell r="I3466"/>
        </row>
        <row r="3467">
          <cell r="C3467" t="str">
            <v>ROBIN</v>
          </cell>
          <cell r="D3467" t="str">
            <v>du</v>
          </cell>
          <cell r="E3467" t="str">
            <v>SARA</v>
          </cell>
          <cell r="F3467"/>
          <cell r="G3467"/>
          <cell r="H3467"/>
          <cell r="I3467"/>
        </row>
        <row r="3468">
          <cell r="C3468"/>
          <cell r="D3468" t="str">
            <v>du</v>
          </cell>
          <cell r="E3468" t="str">
            <v>SARA</v>
          </cell>
          <cell r="F3468"/>
          <cell r="G3468"/>
          <cell r="H3468"/>
          <cell r="I3468"/>
        </row>
        <row r="3469">
          <cell r="C3469"/>
          <cell r="D3469" t="str">
            <v>pour le</v>
          </cell>
          <cell r="E3469" t="str">
            <v>SARA</v>
          </cell>
          <cell r="F3469"/>
          <cell r="G3469"/>
          <cell r="H3469"/>
          <cell r="I3469"/>
        </row>
        <row r="3470">
          <cell r="C3470"/>
          <cell r="D3470" t="str">
            <v>du</v>
          </cell>
          <cell r="E3470" t="str">
            <v>SARA</v>
          </cell>
          <cell r="F3470"/>
          <cell r="G3470"/>
          <cell r="H3470"/>
          <cell r="I3470"/>
        </row>
        <row r="3471">
          <cell r="C3471"/>
          <cell r="D3471" t="str">
            <v>de</v>
          </cell>
          <cell r="E3471" t="str">
            <v>SARA</v>
          </cell>
          <cell r="F3471"/>
          <cell r="G3471"/>
          <cell r="H3471"/>
          <cell r="I3471"/>
        </row>
        <row r="3472">
          <cell r="C3472"/>
          <cell r="D3472" t="str">
            <v>du</v>
          </cell>
          <cell r="E3472" t="str">
            <v>valideur socle technique</v>
          </cell>
          <cell r="F3472"/>
          <cell r="G3472"/>
          <cell r="H3472"/>
          <cell r="I3472"/>
        </row>
        <row r="3473">
          <cell r="C3473"/>
          <cell r="D3473" t="str">
            <v>à qui</v>
          </cell>
          <cell r="E3473" t="str">
            <v>affecter le SARA</v>
          </cell>
          <cell r="F3473"/>
          <cell r="G3473"/>
          <cell r="H3473"/>
          <cell r="I3473"/>
        </row>
        <row r="3474">
          <cell r="C3474"/>
          <cell r="D3474" t="str">
            <v>de l'</v>
          </cell>
          <cell r="E3474" t="str">
            <v>équipe MOE</v>
          </cell>
          <cell r="F3474"/>
          <cell r="G3474"/>
          <cell r="H3474"/>
          <cell r="I3474"/>
        </row>
        <row r="3475">
          <cell r="C3475"/>
          <cell r="D3475" t="str">
            <v>des</v>
          </cell>
          <cell r="E3475" t="str">
            <v>PERSOID à informer</v>
          </cell>
          <cell r="F3475"/>
          <cell r="G3475"/>
          <cell r="H3475"/>
          <cell r="I3475"/>
        </row>
        <row r="3476">
          <cell r="C3476"/>
          <cell r="D3476" t="str">
            <v>du</v>
          </cell>
          <cell r="E3476" t="str">
            <v>rejet RTL</v>
          </cell>
          <cell r="F3476"/>
          <cell r="G3476"/>
          <cell r="H3476"/>
          <cell r="I3476"/>
        </row>
        <row r="3477">
          <cell r="C3477"/>
          <cell r="D3477" t="str">
            <v>du</v>
          </cell>
          <cell r="E3477" t="str">
            <v>schéma</v>
          </cell>
          <cell r="F3477"/>
          <cell r="G3477"/>
          <cell r="H3477"/>
          <cell r="I3477"/>
        </row>
        <row r="3478">
          <cell r="C3478"/>
          <cell r="D3478" t="str">
            <v>de la</v>
          </cell>
          <cell r="E3478" t="str">
            <v>table</v>
          </cell>
          <cell r="F3478"/>
          <cell r="G3478"/>
          <cell r="H3478"/>
          <cell r="I3478"/>
        </row>
        <row r="3479">
          <cell r="C3479"/>
          <cell r="D3479" t="str">
            <v>du</v>
          </cell>
          <cell r="E3479" t="str">
            <v>rejet RTL</v>
          </cell>
          <cell r="F3479"/>
          <cell r="G3479"/>
          <cell r="H3479"/>
          <cell r="I3479"/>
        </row>
        <row r="3480">
          <cell r="C3480"/>
          <cell r="D3480" t="str">
            <v>du</v>
          </cell>
          <cell r="E3480" t="str">
            <v>job</v>
          </cell>
          <cell r="F3480"/>
          <cell r="G3480"/>
          <cell r="H3480"/>
          <cell r="I3480"/>
        </row>
        <row r="3481">
          <cell r="C3481"/>
          <cell r="D3481" t="str">
            <v>du</v>
          </cell>
          <cell r="E3481" t="str">
            <v>rejet RTL</v>
          </cell>
          <cell r="F3481"/>
          <cell r="G3481"/>
          <cell r="H3481"/>
          <cell r="I3481"/>
        </row>
        <row r="3482">
          <cell r="C3482"/>
          <cell r="D3482" t="str">
            <v>du</v>
          </cell>
          <cell r="E3482" t="str">
            <v>rejet RTL</v>
          </cell>
          <cell r="F3482"/>
          <cell r="G3482"/>
          <cell r="H3482"/>
          <cell r="I3482"/>
        </row>
        <row r="3483">
          <cell r="C3483" t="str">
            <v>ligne</v>
          </cell>
          <cell r="D3483" t="str">
            <v>du</v>
          </cell>
          <cell r="E3483" t="str">
            <v>rejet RTL</v>
          </cell>
          <cell r="F3483"/>
          <cell r="G3483"/>
          <cell r="H3483"/>
          <cell r="I3483"/>
        </row>
        <row r="3484">
          <cell r="C3484" t="str">
            <v>origine</v>
          </cell>
          <cell r="D3484" t="str">
            <v>de la</v>
          </cell>
          <cell r="E3484" t="str">
            <v>donnée</v>
          </cell>
          <cell r="F3484" t="str">
            <v>du</v>
          </cell>
          <cell r="G3484" t="str">
            <v>rejet RTL</v>
          </cell>
          <cell r="H3484"/>
          <cell r="I3484"/>
        </row>
        <row r="3485">
          <cell r="C3485"/>
          <cell r="D3485" t="str">
            <v>du</v>
          </cell>
          <cell r="E3485" t="str">
            <v>nœud Vertica</v>
          </cell>
          <cell r="F3485"/>
          <cell r="G3485"/>
          <cell r="H3485"/>
          <cell r="I3485"/>
        </row>
        <row r="3486">
          <cell r="C3486"/>
          <cell r="D3486" t="str">
            <v>du</v>
          </cell>
          <cell r="E3486" t="str">
            <v>fichier</v>
          </cell>
          <cell r="F3486"/>
          <cell r="G3486"/>
          <cell r="H3486"/>
          <cell r="I3486"/>
        </row>
        <row r="3487">
          <cell r="C3487"/>
          <cell r="D3487" t="str">
            <v>de la</v>
          </cell>
          <cell r="E3487" t="str">
            <v>session</v>
          </cell>
          <cell r="F3487"/>
          <cell r="G3487"/>
          <cell r="H3487"/>
          <cell r="I3487"/>
        </row>
        <row r="3488">
          <cell r="C3488"/>
          <cell r="D3488" t="str">
            <v>de la</v>
          </cell>
          <cell r="E3488" t="str">
            <v>transaction</v>
          </cell>
          <cell r="F3488"/>
          <cell r="G3488"/>
          <cell r="H3488"/>
          <cell r="I3488"/>
        </row>
        <row r="3489">
          <cell r="C3489"/>
          <cell r="D3489" t="str">
            <v>du</v>
          </cell>
          <cell r="E3489" t="str">
            <v>statement</v>
          </cell>
          <cell r="F3489"/>
          <cell r="G3489"/>
          <cell r="H3489"/>
          <cell r="I3489"/>
        </row>
        <row r="3490">
          <cell r="C3490"/>
          <cell r="D3490" t="str">
            <v>du</v>
          </cell>
          <cell r="E3490" t="str">
            <v>batch</v>
          </cell>
          <cell r="F3490"/>
          <cell r="G3490"/>
          <cell r="H3490"/>
          <cell r="I3490"/>
        </row>
        <row r="3491">
          <cell r="C3491"/>
          <cell r="D3491" t="str">
            <v>du</v>
          </cell>
          <cell r="E3491" t="str">
            <v>tiers</v>
          </cell>
          <cell r="F3491"/>
          <cell r="G3491"/>
          <cell r="H3491"/>
          <cell r="I3491"/>
        </row>
        <row r="3492">
          <cell r="C3492"/>
          <cell r="D3492" t="str">
            <v>du</v>
          </cell>
          <cell r="E3492" t="str">
            <v>tiers</v>
          </cell>
          <cell r="F3492"/>
          <cell r="G3492"/>
          <cell r="H3492"/>
          <cell r="I3492"/>
        </row>
        <row r="3493">
          <cell r="C3493"/>
          <cell r="D3493" t="str">
            <v>du</v>
          </cell>
          <cell r="E3493" t="str">
            <v>domaine assurance</v>
          </cell>
          <cell r="F3493"/>
          <cell r="G3493"/>
          <cell r="H3493"/>
          <cell r="I3493"/>
        </row>
        <row r="3494">
          <cell r="C3494"/>
          <cell r="D3494" t="str">
            <v>du</v>
          </cell>
          <cell r="E3494" t="str">
            <v>sinistre prévoyance</v>
          </cell>
          <cell r="F3494"/>
          <cell r="G3494"/>
          <cell r="H3494"/>
          <cell r="I3494"/>
        </row>
        <row r="3495">
          <cell r="C3495"/>
          <cell r="D3495" t="str">
            <v>de la</v>
          </cell>
          <cell r="E3495" t="str">
            <v>prestation</v>
          </cell>
          <cell r="F3495"/>
          <cell r="G3495"/>
          <cell r="H3495"/>
          <cell r="I3495"/>
        </row>
        <row r="3496">
          <cell r="C3496" t="str">
            <v>relation</v>
          </cell>
          <cell r="D3496" t="str">
            <v>entre</v>
          </cell>
          <cell r="E3496" t="str">
            <v>prestation</v>
          </cell>
          <cell r="F3496" t="str">
            <v>et</v>
          </cell>
          <cell r="G3496" t="str">
            <v>règlement</v>
          </cell>
          <cell r="H3496"/>
          <cell r="I3496"/>
        </row>
        <row r="3497">
          <cell r="C3497"/>
          <cell r="D3497" t="str">
            <v>du</v>
          </cell>
          <cell r="E3497" t="str">
            <v>règlement</v>
          </cell>
          <cell r="F3497"/>
          <cell r="G3497"/>
          <cell r="H3497"/>
          <cell r="I3497"/>
        </row>
        <row r="3498">
          <cell r="C3498"/>
          <cell r="D3498" t="str">
            <v>du</v>
          </cell>
          <cell r="E3498" t="str">
            <v>bénéficiaire du règlement</v>
          </cell>
          <cell r="F3498"/>
          <cell r="G3498"/>
          <cell r="H3498"/>
          <cell r="I3498"/>
        </row>
        <row r="3499">
          <cell r="C3499"/>
          <cell r="D3499" t="str">
            <v>du</v>
          </cell>
          <cell r="E3499" t="str">
            <v>bénéficiaire du règlement prévoyance</v>
          </cell>
          <cell r="F3499"/>
          <cell r="G3499"/>
          <cell r="H3499"/>
          <cell r="I3499"/>
        </row>
        <row r="3500">
          <cell r="C3500"/>
          <cell r="D3500" t="str">
            <v>de l'</v>
          </cell>
          <cell r="E3500" t="str">
            <v>objet sinistré</v>
          </cell>
          <cell r="F3500"/>
          <cell r="G3500"/>
          <cell r="H3500"/>
          <cell r="I3500"/>
        </row>
        <row r="3501">
          <cell r="C3501"/>
          <cell r="D3501" t="str">
            <v>de la</v>
          </cell>
          <cell r="E3501" t="str">
            <v>personne sinistrée</v>
          </cell>
          <cell r="F3501" t="str">
            <v xml:space="preserve"> </v>
          </cell>
          <cell r="G3501" t="str">
            <v>non référencé</v>
          </cell>
          <cell r="H3501"/>
          <cell r="I3501"/>
        </row>
        <row r="3502">
          <cell r="C3502"/>
          <cell r="D3502" t="str">
            <v>du</v>
          </cell>
          <cell r="E3502" t="str">
            <v>sinistre prévoyance</v>
          </cell>
          <cell r="F3502"/>
          <cell r="G3502"/>
          <cell r="H3502"/>
          <cell r="I3502"/>
        </row>
        <row r="3503">
          <cell r="C3503"/>
          <cell r="D3503" t="str">
            <v>de la</v>
          </cell>
          <cell r="E3503" t="str">
            <v>prestation</v>
          </cell>
          <cell r="F3503"/>
          <cell r="G3503"/>
          <cell r="H3503"/>
          <cell r="I3503"/>
        </row>
        <row r="3504">
          <cell r="C3504"/>
          <cell r="D3504" t="str">
            <v>de la</v>
          </cell>
          <cell r="E3504" t="str">
            <v>prestation prévoyance</v>
          </cell>
          <cell r="F3504"/>
          <cell r="G3504"/>
          <cell r="H3504"/>
          <cell r="I3504"/>
        </row>
        <row r="3505">
          <cell r="C3505"/>
          <cell r="D3505" t="str">
            <v>du</v>
          </cell>
          <cell r="E3505" t="str">
            <v>règlement</v>
          </cell>
          <cell r="F3505"/>
          <cell r="G3505"/>
          <cell r="H3505"/>
          <cell r="I3505"/>
        </row>
        <row r="3506">
          <cell r="C3506"/>
          <cell r="D3506" t="str">
            <v>du</v>
          </cell>
          <cell r="E3506" t="str">
            <v>règlement prévoyance</v>
          </cell>
          <cell r="F3506"/>
          <cell r="G3506"/>
          <cell r="H3506"/>
          <cell r="I3506"/>
        </row>
        <row r="3507">
          <cell r="C3507"/>
          <cell r="D3507" t="str">
            <v>du</v>
          </cell>
          <cell r="E3507" t="str">
            <v>bénéficiaire du règlement</v>
          </cell>
          <cell r="F3507"/>
          <cell r="G3507"/>
          <cell r="H3507"/>
          <cell r="I3507"/>
        </row>
        <row r="3508">
          <cell r="C3508"/>
          <cell r="D3508" t="str">
            <v>du</v>
          </cell>
          <cell r="E3508" t="str">
            <v>bénéficiaire du règlement prévoyance</v>
          </cell>
          <cell r="F3508"/>
          <cell r="G3508"/>
          <cell r="H3508"/>
          <cell r="I3508"/>
        </row>
        <row r="3509">
          <cell r="C3509"/>
          <cell r="D3509" t="str">
            <v>de l'</v>
          </cell>
          <cell r="E3509" t="str">
            <v>objet sinistré</v>
          </cell>
          <cell r="F3509"/>
          <cell r="G3509"/>
          <cell r="H3509"/>
          <cell r="I3509"/>
        </row>
        <row r="3510">
          <cell r="C3510"/>
          <cell r="D3510" t="str">
            <v>de la</v>
          </cell>
          <cell r="E3510" t="str">
            <v>personne sinistrée</v>
          </cell>
          <cell r="F3510" t="str">
            <v xml:space="preserve"> </v>
          </cell>
          <cell r="G3510" t="str">
            <v>non référencé</v>
          </cell>
          <cell r="H3510"/>
          <cell r="I3510"/>
        </row>
        <row r="3511">
          <cell r="C3511"/>
          <cell r="D3511" t="str">
            <v>du</v>
          </cell>
          <cell r="E3511" t="str">
            <v>sinistre</v>
          </cell>
          <cell r="F3511"/>
          <cell r="G3511"/>
          <cell r="H3511"/>
          <cell r="I3511"/>
        </row>
        <row r="3512">
          <cell r="C3512"/>
          <cell r="D3512" t="str">
            <v>de la</v>
          </cell>
          <cell r="E3512" t="str">
            <v>fédération</v>
          </cell>
          <cell r="F3512" t="str">
            <v>du</v>
          </cell>
          <cell r="G3512" t="str">
            <v>sinistre</v>
          </cell>
          <cell r="H3512"/>
          <cell r="I3512"/>
        </row>
        <row r="3513">
          <cell r="C3513"/>
          <cell r="D3513" t="str">
            <v>du</v>
          </cell>
          <cell r="E3513" t="str">
            <v>règlement</v>
          </cell>
          <cell r="F3513"/>
          <cell r="G3513"/>
          <cell r="H3513"/>
          <cell r="I3513"/>
        </row>
        <row r="3514">
          <cell r="C3514"/>
          <cell r="D3514" t="str">
            <v>du</v>
          </cell>
          <cell r="E3514" t="str">
            <v>sinistre</v>
          </cell>
          <cell r="F3514"/>
          <cell r="G3514"/>
          <cell r="H3514"/>
          <cell r="I3514"/>
        </row>
        <row r="3515">
          <cell r="C3515"/>
          <cell r="D3515" t="str">
            <v>du</v>
          </cell>
          <cell r="E3515" t="str">
            <v>sinistre</v>
          </cell>
          <cell r="F3515"/>
          <cell r="G3515"/>
          <cell r="H3515"/>
          <cell r="I3515"/>
        </row>
        <row r="3516">
          <cell r="C3516"/>
          <cell r="D3516" t="str">
            <v>du</v>
          </cell>
          <cell r="E3516" t="str">
            <v>rédacteur</v>
          </cell>
          <cell r="F3516" t="str">
            <v>du</v>
          </cell>
          <cell r="G3516" t="str">
            <v>sinistre</v>
          </cell>
          <cell r="H3516"/>
          <cell r="I3516"/>
        </row>
        <row r="3517">
          <cell r="C3517"/>
          <cell r="D3517" t="str">
            <v>du</v>
          </cell>
          <cell r="E3517" t="str">
            <v>sinistre</v>
          </cell>
          <cell r="F3517"/>
          <cell r="G3517"/>
          <cell r="H3517"/>
          <cell r="I3517"/>
        </row>
        <row r="3518">
          <cell r="C3518"/>
          <cell r="D3518" t="str">
            <v>de la</v>
          </cell>
          <cell r="E3518" t="str">
            <v>base de règlement</v>
          </cell>
          <cell r="F3518" t="str">
            <v>du</v>
          </cell>
          <cell r="G3518" t="str">
            <v>sinistre</v>
          </cell>
          <cell r="H3518"/>
          <cell r="I3518"/>
        </row>
        <row r="3519">
          <cell r="C3519"/>
          <cell r="D3519" t="str">
            <v>du</v>
          </cell>
          <cell r="E3519" t="str">
            <v>sinistre</v>
          </cell>
          <cell r="F3519"/>
          <cell r="G3519"/>
          <cell r="H3519"/>
          <cell r="I3519"/>
        </row>
        <row r="3520">
          <cell r="C3520"/>
          <cell r="D3520" t="str">
            <v>du</v>
          </cell>
          <cell r="E3520" t="str">
            <v>type</v>
          </cell>
          <cell r="F3520" t="str">
            <v>de</v>
          </cell>
          <cell r="G3520" t="str">
            <v>dossier sinistre</v>
          </cell>
          <cell r="H3520"/>
          <cell r="I3520"/>
        </row>
        <row r="3521">
          <cell r="C3521"/>
          <cell r="D3521" t="str">
            <v>du</v>
          </cell>
          <cell r="E3521" t="str">
            <v>dossier sinistre</v>
          </cell>
          <cell r="F3521"/>
          <cell r="G3521"/>
          <cell r="H3521"/>
          <cell r="I3521"/>
        </row>
        <row r="3522">
          <cell r="C3522"/>
          <cell r="D3522" t="str">
            <v>de l'</v>
          </cell>
          <cell r="E3522" t="str">
            <v>affectation</v>
          </cell>
          <cell r="F3522" t="str">
            <v>du</v>
          </cell>
          <cell r="G3522" t="str">
            <v>sinistre prévoyance</v>
          </cell>
          <cell r="H3522"/>
          <cell r="I3522"/>
        </row>
        <row r="3523">
          <cell r="C3523"/>
          <cell r="D3523" t="str">
            <v>de l'</v>
          </cell>
          <cell r="E3523" t="str">
            <v>affectation</v>
          </cell>
          <cell r="F3523" t="str">
            <v>du</v>
          </cell>
          <cell r="G3523" t="str">
            <v>sinistre prévoyance</v>
          </cell>
          <cell r="H3523"/>
          <cell r="I3523"/>
        </row>
        <row r="3524">
          <cell r="C3524"/>
          <cell r="D3524" t="str">
            <v>de l'</v>
          </cell>
          <cell r="E3524" t="str">
            <v>hospitalisation</v>
          </cell>
          <cell r="F3524" t="str">
            <v>de la</v>
          </cell>
          <cell r="G3524" t="str">
            <v>tiers personne physique</v>
          </cell>
          <cell r="H3524"/>
          <cell r="I3524"/>
        </row>
        <row r="3525">
          <cell r="C3525"/>
          <cell r="D3525" t="str">
            <v>de l'</v>
          </cell>
          <cell r="E3525" t="str">
            <v>activité à temps partiel thérapeutique</v>
          </cell>
          <cell r="F3525" t="str">
            <v>de la</v>
          </cell>
          <cell r="G3525" t="str">
            <v>tiers personne physique</v>
          </cell>
          <cell r="H3525"/>
          <cell r="I3525"/>
        </row>
        <row r="3526">
          <cell r="C3526"/>
          <cell r="D3526" t="str">
            <v>de l'</v>
          </cell>
          <cell r="E3526" t="str">
            <v>activité à temps partiel</v>
          </cell>
          <cell r="F3526" t="str">
            <v>du</v>
          </cell>
          <cell r="G3526" t="str">
            <v>tiers personne physique</v>
          </cell>
          <cell r="H3526"/>
          <cell r="I3526"/>
        </row>
        <row r="3527">
          <cell r="C3527"/>
          <cell r="D3527" t="str">
            <v>du</v>
          </cell>
          <cell r="E3527" t="str">
            <v>type</v>
          </cell>
          <cell r="F3527" t="str">
            <v>d'</v>
          </cell>
          <cell r="G3527" t="str">
            <v>accident</v>
          </cell>
          <cell r="H3527" t="str">
            <v>de la</v>
          </cell>
          <cell r="I3527" t="str">
            <v>tiers personne physique</v>
          </cell>
        </row>
        <row r="3528">
          <cell r="C3528"/>
          <cell r="D3528" t="str">
            <v>d'</v>
          </cell>
          <cell r="E3528" t="str">
            <v>accouchement</v>
          </cell>
          <cell r="F3528" t="str">
            <v>de la</v>
          </cell>
          <cell r="G3528" t="str">
            <v>tiers personne physique</v>
          </cell>
          <cell r="H3528"/>
          <cell r="I3528"/>
        </row>
        <row r="3529">
          <cell r="C3529"/>
          <cell r="D3529" t="str">
            <v>du</v>
          </cell>
          <cell r="E3529" t="str">
            <v>décès</v>
          </cell>
          <cell r="F3529" t="str">
            <v>du</v>
          </cell>
          <cell r="G3529" t="str">
            <v>tiers personne physique</v>
          </cell>
          <cell r="H3529"/>
          <cell r="I3529"/>
        </row>
        <row r="3530">
          <cell r="C3530"/>
          <cell r="D3530" t="str">
            <v>du</v>
          </cell>
          <cell r="E3530" t="str">
            <v>décès</v>
          </cell>
          <cell r="F3530" t="str">
            <v>du</v>
          </cell>
          <cell r="G3530" t="str">
            <v>tiers personne physique</v>
          </cell>
          <cell r="H3530"/>
          <cell r="I3530"/>
        </row>
        <row r="3531">
          <cell r="C3531"/>
          <cell r="D3531" t="str">
            <v>du</v>
          </cell>
          <cell r="E3531" t="str">
            <v>Type d'hospitalisation</v>
          </cell>
          <cell r="F3531"/>
          <cell r="G3531"/>
          <cell r="H3531"/>
          <cell r="I3531"/>
        </row>
        <row r="3532">
          <cell r="C3532"/>
          <cell r="D3532" t="str">
            <v>de l'</v>
          </cell>
          <cell r="E3532" t="str">
            <v>origine</v>
          </cell>
          <cell r="F3532" t="str">
            <v>de la</v>
          </cell>
          <cell r="G3532" t="str">
            <v>déclaration</v>
          </cell>
          <cell r="H3532" t="str">
            <v>du</v>
          </cell>
          <cell r="I3532" t="str">
            <v>sinistre prévoyance</v>
          </cell>
        </row>
        <row r="3533">
          <cell r="C3533"/>
          <cell r="D3533" t="str">
            <v>de la</v>
          </cell>
          <cell r="E3533" t="str">
            <v>personne sinistrée</v>
          </cell>
          <cell r="F3533"/>
          <cell r="G3533"/>
          <cell r="H3533"/>
          <cell r="I3533"/>
        </row>
        <row r="3534">
          <cell r="C3534"/>
          <cell r="D3534" t="str">
            <v>du</v>
          </cell>
          <cell r="E3534" t="str">
            <v>Type de référence interne</v>
          </cell>
          <cell r="F3534" t="str">
            <v>du</v>
          </cell>
          <cell r="G3534" t="str">
            <v>contrat</v>
          </cell>
          <cell r="H3534"/>
          <cell r="I3534"/>
        </row>
        <row r="3535">
          <cell r="C3535" t="str">
            <v>interne</v>
          </cell>
          <cell r="D3535" t="str">
            <v>du</v>
          </cell>
          <cell r="E3535" t="str">
            <v>contrat</v>
          </cell>
          <cell r="F3535"/>
          <cell r="G3535"/>
          <cell r="H3535"/>
          <cell r="I3535"/>
        </row>
        <row r="3536">
          <cell r="C3536"/>
          <cell r="D3536" t="str">
            <v>du</v>
          </cell>
          <cell r="E3536" t="str">
            <v>Type de référence externe</v>
          </cell>
          <cell r="F3536" t="str">
            <v>du</v>
          </cell>
          <cell r="G3536" t="str">
            <v>contrat</v>
          </cell>
          <cell r="H3536"/>
          <cell r="I3536"/>
        </row>
        <row r="3537">
          <cell r="C3537" t="str">
            <v>externe</v>
          </cell>
          <cell r="D3537" t="str">
            <v>du</v>
          </cell>
          <cell r="E3537" t="str">
            <v>contrat</v>
          </cell>
          <cell r="F3537"/>
          <cell r="G3537"/>
          <cell r="H3537"/>
          <cell r="I3537"/>
        </row>
        <row r="3538">
          <cell r="C3538"/>
          <cell r="D3538" t="str">
            <v>du</v>
          </cell>
          <cell r="E3538" t="str">
            <v>bénéficiaire</v>
          </cell>
          <cell r="F3538" t="str">
            <v>de la</v>
          </cell>
          <cell r="G3538" t="str">
            <v>prestation</v>
          </cell>
          <cell r="H3538"/>
          <cell r="I3538"/>
        </row>
        <row r="3539">
          <cell r="C3539"/>
          <cell r="D3539" t="str">
            <v>du</v>
          </cell>
          <cell r="E3539" t="str">
            <v>prêt</v>
          </cell>
          <cell r="F3539"/>
          <cell r="G3539"/>
          <cell r="H3539"/>
          <cell r="I3539"/>
        </row>
        <row r="3540">
          <cell r="C3540"/>
          <cell r="D3540" t="str">
            <v>de la</v>
          </cell>
          <cell r="E3540" t="str">
            <v>prestation</v>
          </cell>
          <cell r="F3540"/>
          <cell r="G3540"/>
          <cell r="H3540"/>
          <cell r="I3540"/>
        </row>
        <row r="3541">
          <cell r="C3541"/>
          <cell r="D3541" t="str">
            <v>de la</v>
          </cell>
          <cell r="E3541" t="str">
            <v>prestation</v>
          </cell>
          <cell r="F3541"/>
          <cell r="G3541"/>
          <cell r="H3541"/>
          <cell r="I3541"/>
        </row>
        <row r="3542">
          <cell r="C3542"/>
          <cell r="D3542" t="str">
            <v>de la</v>
          </cell>
          <cell r="E3542" t="str">
            <v>Branche assurance</v>
          </cell>
          <cell r="F3542"/>
          <cell r="G3542"/>
          <cell r="H3542"/>
          <cell r="I3542"/>
        </row>
        <row r="3543">
          <cell r="C3543"/>
          <cell r="D3543" t="str">
            <v>du</v>
          </cell>
          <cell r="E3543" t="str">
            <v>type de prestation</v>
          </cell>
          <cell r="F3543"/>
          <cell r="G3543"/>
          <cell r="H3543"/>
          <cell r="I3543"/>
        </row>
        <row r="3544">
          <cell r="C3544"/>
          <cell r="D3544" t="str">
            <v>de la</v>
          </cell>
          <cell r="E3544" t="str">
            <v>situation de la prestation</v>
          </cell>
          <cell r="F3544"/>
          <cell r="G3544"/>
          <cell r="H3544"/>
          <cell r="I3544"/>
        </row>
        <row r="3545">
          <cell r="C3545"/>
          <cell r="D3545" t="str">
            <v>du</v>
          </cell>
          <cell r="E3545" t="str">
            <v>motif de situation</v>
          </cell>
          <cell r="F3545" t="str">
            <v>de la</v>
          </cell>
          <cell r="G3545" t="str">
            <v>prestation</v>
          </cell>
          <cell r="H3545"/>
          <cell r="I3545"/>
        </row>
        <row r="3546">
          <cell r="C3546"/>
          <cell r="D3546" t="str">
            <v>de la</v>
          </cell>
          <cell r="E3546" t="str">
            <v>situation</v>
          </cell>
          <cell r="F3546" t="str">
            <v>de la</v>
          </cell>
          <cell r="G3546" t="str">
            <v>prestation</v>
          </cell>
          <cell r="H3546"/>
          <cell r="I3546"/>
        </row>
        <row r="3547">
          <cell r="C3547"/>
          <cell r="D3547" t="str">
            <v>de la</v>
          </cell>
          <cell r="E3547" t="str">
            <v>prestation</v>
          </cell>
          <cell r="F3547"/>
          <cell r="G3547"/>
          <cell r="H3547"/>
          <cell r="I3547"/>
        </row>
        <row r="3548">
          <cell r="C3548"/>
          <cell r="D3548" t="str">
            <v>du</v>
          </cell>
          <cell r="E3548" t="str">
            <v>produit d'assurance</v>
          </cell>
          <cell r="F3548"/>
          <cell r="G3548"/>
          <cell r="H3548"/>
          <cell r="I3548"/>
        </row>
        <row r="3549">
          <cell r="C3549" t="str">
            <v xml:space="preserve">tête </v>
          </cell>
          <cell r="D3549" t="str">
            <v>du</v>
          </cell>
          <cell r="E3549" t="str">
            <v>tiers assurance</v>
          </cell>
          <cell r="F3549"/>
          <cell r="G3549"/>
          <cell r="H3549"/>
          <cell r="I3549"/>
        </row>
        <row r="3550">
          <cell r="C3550"/>
          <cell r="D3550" t="str">
            <v>de l'</v>
          </cell>
          <cell r="E3550" t="str">
            <v>indemnisation</v>
          </cell>
          <cell r="F3550" t="str">
            <v>du</v>
          </cell>
          <cell r="G3550" t="str">
            <v>tiers personne physique</v>
          </cell>
          <cell r="H3550"/>
          <cell r="I3550"/>
        </row>
        <row r="3551">
          <cell r="C3551"/>
          <cell r="D3551" t="str">
            <v>de l'</v>
          </cell>
          <cell r="E3551" t="str">
            <v>indemnisation</v>
          </cell>
          <cell r="F3551" t="str">
            <v>du</v>
          </cell>
          <cell r="G3551" t="str">
            <v>tiers personne physique</v>
          </cell>
          <cell r="H3551"/>
          <cell r="I3551"/>
        </row>
        <row r="3552">
          <cell r="C3552" t="str">
            <v>jour</v>
          </cell>
          <cell r="D3552" t="str">
            <v>de l'</v>
          </cell>
          <cell r="E3552" t="str">
            <v>indemnisation</v>
          </cell>
          <cell r="F3552" t="str">
            <v>du</v>
          </cell>
          <cell r="G3552" t="str">
            <v>tiers personne physique</v>
          </cell>
          <cell r="H3552"/>
          <cell r="I3552"/>
        </row>
        <row r="3553">
          <cell r="C3553"/>
          <cell r="D3553" t="str">
            <v>de la</v>
          </cell>
          <cell r="E3553" t="str">
            <v>prestation origine</v>
          </cell>
          <cell r="F3553"/>
          <cell r="G3553"/>
          <cell r="H3553"/>
          <cell r="I3553"/>
        </row>
        <row r="3554">
          <cell r="C3554"/>
          <cell r="D3554" t="str">
            <v>du</v>
          </cell>
          <cell r="E3554" t="str">
            <v>tiers titulaire</v>
          </cell>
          <cell r="F3554" t="str">
            <v>du</v>
          </cell>
          <cell r="G3554" t="str">
            <v>contrat</v>
          </cell>
          <cell r="H3554"/>
          <cell r="I3554"/>
        </row>
        <row r="3555">
          <cell r="C3555"/>
          <cell r="D3555" t="str">
            <v>de la</v>
          </cell>
          <cell r="E3555" t="str">
            <v>période d'indémnisation</v>
          </cell>
          <cell r="F3555" t="str">
            <v>du</v>
          </cell>
          <cell r="G3555" t="str">
            <v>tiers personne physique</v>
          </cell>
          <cell r="H3555"/>
          <cell r="I3555"/>
        </row>
        <row r="3556">
          <cell r="C3556"/>
          <cell r="D3556" t="str">
            <v>de la</v>
          </cell>
          <cell r="E3556" t="str">
            <v>période d'indémnisation</v>
          </cell>
          <cell r="F3556" t="str">
            <v>du</v>
          </cell>
          <cell r="G3556" t="str">
            <v>tiers personne physique</v>
          </cell>
          <cell r="H3556"/>
          <cell r="I3556"/>
        </row>
        <row r="3557">
          <cell r="C3557"/>
          <cell r="D3557" t="str">
            <v>de</v>
          </cell>
          <cell r="E3557" t="str">
            <v>jour indemnisé</v>
          </cell>
          <cell r="F3557" t="str">
            <v>du</v>
          </cell>
          <cell r="G3557" t="str">
            <v>tiers personne physique</v>
          </cell>
          <cell r="H3557"/>
          <cell r="I3557"/>
        </row>
        <row r="3558">
          <cell r="C3558"/>
          <cell r="D3558" t="str">
            <v>de la</v>
          </cell>
          <cell r="E3558" t="str">
            <v>garantie</v>
          </cell>
          <cell r="F3558"/>
          <cell r="G3558"/>
          <cell r="H3558"/>
          <cell r="I3558"/>
        </row>
        <row r="3559">
          <cell r="C3559"/>
          <cell r="D3559" t="str">
            <v>de la</v>
          </cell>
          <cell r="E3559" t="str">
            <v>décision</v>
          </cell>
          <cell r="F3559" t="str">
            <v>de la</v>
          </cell>
          <cell r="G3559" t="str">
            <v>prestation</v>
          </cell>
          <cell r="H3559"/>
          <cell r="I3559"/>
        </row>
        <row r="3560">
          <cell r="C3560"/>
          <cell r="D3560" t="str">
            <v>de la</v>
          </cell>
          <cell r="E3560" t="str">
            <v>prestation précédante</v>
          </cell>
          <cell r="F3560"/>
          <cell r="G3560"/>
          <cell r="H3560"/>
          <cell r="I3560"/>
        </row>
        <row r="3561">
          <cell r="C3561" t="str">
            <v>maximum</v>
          </cell>
          <cell r="D3561" t="str">
            <v>de la</v>
          </cell>
          <cell r="E3561" t="str">
            <v>prise en charge</v>
          </cell>
          <cell r="F3561" t="str">
            <v>de la</v>
          </cell>
          <cell r="G3561" t="str">
            <v>prestation</v>
          </cell>
          <cell r="H3561"/>
          <cell r="I3561"/>
        </row>
        <row r="3562">
          <cell r="C3562"/>
          <cell r="D3562" t="str">
            <v>de la</v>
          </cell>
          <cell r="E3562" t="str">
            <v>Société d'assurance</v>
          </cell>
          <cell r="F3562"/>
          <cell r="G3562"/>
          <cell r="H3562"/>
          <cell r="I3562"/>
        </row>
        <row r="3563">
          <cell r="C3563"/>
          <cell r="D3563" t="str">
            <v>de la</v>
          </cell>
          <cell r="E3563" t="str">
            <v>prestation prévoyance</v>
          </cell>
          <cell r="F3563"/>
          <cell r="G3563"/>
          <cell r="H3563"/>
          <cell r="I3563"/>
        </row>
        <row r="3564">
          <cell r="C3564"/>
          <cell r="D3564" t="str">
            <v>du</v>
          </cell>
          <cell r="E3564" t="str">
            <v>règlement</v>
          </cell>
          <cell r="F3564" t="str">
            <v>de la</v>
          </cell>
          <cell r="G3564" t="str">
            <v>prestation</v>
          </cell>
          <cell r="H3564"/>
          <cell r="I3564"/>
        </row>
        <row r="3565">
          <cell r="C3565"/>
          <cell r="D3565" t="str">
            <v>de l'</v>
          </cell>
          <cell r="E3565" t="str">
            <v>objet sinistré</v>
          </cell>
          <cell r="F3565"/>
          <cell r="G3565"/>
          <cell r="H3565"/>
          <cell r="I3565"/>
        </row>
        <row r="3566">
          <cell r="C3566"/>
          <cell r="D3566" t="str">
            <v>du</v>
          </cell>
          <cell r="E3566" t="str">
            <v>rédacteur</v>
          </cell>
          <cell r="F3566" t="str">
            <v xml:space="preserve"> </v>
          </cell>
          <cell r="G3566" t="str">
            <v>ayant saisi</v>
          </cell>
          <cell r="H3566" t="str">
            <v>de la</v>
          </cell>
          <cell r="I3566" t="str">
            <v>prestation</v>
          </cell>
        </row>
        <row r="3567">
          <cell r="C3567"/>
          <cell r="D3567" t="str">
            <v>du</v>
          </cell>
          <cell r="E3567" t="str">
            <v>rédacteur</v>
          </cell>
          <cell r="F3567" t="str">
            <v>de la</v>
          </cell>
          <cell r="G3567" t="str">
            <v>décision</v>
          </cell>
          <cell r="H3567" t="str">
            <v>de la</v>
          </cell>
          <cell r="I3567" t="str">
            <v>prestation</v>
          </cell>
        </row>
        <row r="3568">
          <cell r="C3568"/>
          <cell r="D3568" t="str">
            <v>du</v>
          </cell>
          <cell r="E3568" t="str">
            <v>contrat</v>
          </cell>
          <cell r="F3568"/>
          <cell r="G3568"/>
          <cell r="H3568"/>
          <cell r="I3568"/>
        </row>
        <row r="3569">
          <cell r="C3569"/>
          <cell r="D3569" t="str">
            <v>de l'</v>
          </cell>
          <cell r="E3569" t="str">
            <v>avenant du contrat</v>
          </cell>
          <cell r="F3569"/>
          <cell r="G3569"/>
          <cell r="H3569"/>
          <cell r="I3569"/>
        </row>
        <row r="3570">
          <cell r="C3570"/>
          <cell r="D3570" t="str">
            <v>de la</v>
          </cell>
          <cell r="E3570" t="str">
            <v>couverture</v>
          </cell>
          <cell r="F3570" t="str">
            <v>de la</v>
          </cell>
          <cell r="G3570" t="str">
            <v>prestation</v>
          </cell>
          <cell r="H3570"/>
          <cell r="I3570"/>
        </row>
        <row r="3571">
          <cell r="C3571"/>
          <cell r="D3571" t="str">
            <v>du</v>
          </cell>
          <cell r="E3571" t="str">
            <v>motif</v>
          </cell>
          <cell r="F3571" t="str">
            <v>du</v>
          </cell>
          <cell r="G3571" t="str">
            <v>sinistre</v>
          </cell>
          <cell r="H3571"/>
          <cell r="I3571"/>
        </row>
        <row r="3572">
          <cell r="C3572"/>
          <cell r="D3572" t="str">
            <v>de la</v>
          </cell>
          <cell r="E3572" t="str">
            <v>base de règlement</v>
          </cell>
          <cell r="F3572" t="str">
            <v>du</v>
          </cell>
          <cell r="G3572" t="str">
            <v>sinistre</v>
          </cell>
          <cell r="H3572"/>
          <cell r="I3572"/>
        </row>
        <row r="3573">
          <cell r="C3573"/>
          <cell r="D3573" t="str">
            <v>de l'</v>
          </cell>
          <cell r="E3573" t="str">
            <v>Entité gestionnaire</v>
          </cell>
          <cell r="F3573"/>
          <cell r="G3573"/>
          <cell r="H3573"/>
          <cell r="I3573"/>
        </row>
        <row r="3574">
          <cell r="C3574"/>
          <cell r="D3574" t="str">
            <v>de la</v>
          </cell>
          <cell r="E3574" t="str">
            <v>cause du sinistre</v>
          </cell>
          <cell r="F3574"/>
          <cell r="G3574"/>
          <cell r="H3574"/>
          <cell r="I3574"/>
        </row>
        <row r="3575">
          <cell r="C3575"/>
          <cell r="D3575" t="str">
            <v>du</v>
          </cell>
          <cell r="E3575" t="str">
            <v>dossier sinistre</v>
          </cell>
          <cell r="F3575"/>
          <cell r="G3575"/>
          <cell r="H3575"/>
          <cell r="I3575"/>
        </row>
        <row r="3576">
          <cell r="C3576" t="str">
            <v>détail</v>
          </cell>
          <cell r="D3576" t="str">
            <v>de l'</v>
          </cell>
          <cell r="E3576" t="str">
            <v>accident de circulation</v>
          </cell>
          <cell r="F3576"/>
          <cell r="G3576"/>
          <cell r="H3576"/>
          <cell r="I3576"/>
        </row>
        <row r="3577">
          <cell r="C3577" t="str">
            <v>finess</v>
          </cell>
          <cell r="D3577" t="str">
            <v>de l'</v>
          </cell>
          <cell r="E3577" t="str">
            <v>établissement de santé</v>
          </cell>
          <cell r="F3577"/>
          <cell r="G3577"/>
          <cell r="H3577"/>
          <cell r="I3577"/>
        </row>
        <row r="3578">
          <cell r="C3578" t="str">
            <v>finess</v>
          </cell>
          <cell r="D3578" t="str">
            <v>de l'</v>
          </cell>
          <cell r="E3578" t="str">
            <v>établissement de santé</v>
          </cell>
          <cell r="F3578"/>
          <cell r="G3578"/>
          <cell r="H3578"/>
          <cell r="I3578"/>
        </row>
        <row r="3579">
          <cell r="C3579"/>
          <cell r="D3579" t="str">
            <v>de l'</v>
          </cell>
          <cell r="E3579" t="str">
            <v>application origine</v>
          </cell>
          <cell r="F3579"/>
          <cell r="G3579"/>
          <cell r="H3579"/>
          <cell r="I3579"/>
        </row>
        <row r="3580">
          <cell r="C3580"/>
          <cell r="D3580" t="str">
            <v>du</v>
          </cell>
          <cell r="E3580" t="str">
            <v>tiers</v>
          </cell>
          <cell r="F3580" t="str">
            <v>de type</v>
          </cell>
          <cell r="G3580" t="str">
            <v>assuré sinistré</v>
          </cell>
          <cell r="H3580"/>
          <cell r="I3580"/>
        </row>
        <row r="3581">
          <cell r="C3581"/>
          <cell r="D3581" t="str">
            <v>du</v>
          </cell>
          <cell r="E3581" t="str">
            <v>risque</v>
          </cell>
          <cell r="F3581" t="str">
            <v>de la</v>
          </cell>
          <cell r="G3581" t="str">
            <v>prestation</v>
          </cell>
          <cell r="H3581"/>
          <cell r="I3581"/>
        </row>
        <row r="3582">
          <cell r="C3582"/>
          <cell r="D3582" t="str">
            <v>de la</v>
          </cell>
          <cell r="E3582" t="str">
            <v>cause de la prestation</v>
          </cell>
          <cell r="F3582"/>
          <cell r="G3582"/>
          <cell r="H3582"/>
          <cell r="I3582"/>
        </row>
        <row r="3583">
          <cell r="C3583"/>
          <cell r="D3583" t="str">
            <v>de l'</v>
          </cell>
          <cell r="E3583" t="str">
            <v>affection</v>
          </cell>
          <cell r="F3583"/>
          <cell r="G3583"/>
          <cell r="H3583"/>
          <cell r="I3583"/>
        </row>
        <row r="3584">
          <cell r="C3584" t="str">
            <v>motif</v>
          </cell>
          <cell r="D3584" t="str">
            <v>de la</v>
          </cell>
          <cell r="E3584" t="str">
            <v>prestation</v>
          </cell>
          <cell r="F3584"/>
          <cell r="G3584"/>
          <cell r="H3584"/>
          <cell r="I3584"/>
        </row>
        <row r="3585">
          <cell r="C3585" t="str">
            <v>état</v>
          </cell>
          <cell r="D3585" t="str">
            <v>de la</v>
          </cell>
          <cell r="E3585" t="str">
            <v>relation</v>
          </cell>
          <cell r="F3585" t="str">
            <v>entre</v>
          </cell>
          <cell r="G3585" t="str">
            <v>prestation</v>
          </cell>
          <cell r="H3585" t="str">
            <v>et</v>
          </cell>
          <cell r="I3585" t="str">
            <v>contrat</v>
          </cell>
        </row>
        <row r="3586">
          <cell r="C3586"/>
          <cell r="D3586" t="str">
            <v>de la</v>
          </cell>
          <cell r="E3586" t="str">
            <v>sortie</v>
          </cell>
          <cell r="F3586" t="str">
            <v>de la</v>
          </cell>
          <cell r="G3586" t="str">
            <v>loi madelin</v>
          </cell>
          <cell r="H3586"/>
          <cell r="I3586"/>
        </row>
        <row r="3587">
          <cell r="C3587"/>
          <cell r="D3587" t="str">
            <v>de la</v>
          </cell>
          <cell r="E3587" t="str">
            <v>classement maitre</v>
          </cell>
          <cell r="F3587" t="str">
            <v>de la</v>
          </cell>
          <cell r="G3587" t="str">
            <v>prestation prévoyance</v>
          </cell>
          <cell r="H3587"/>
          <cell r="I3587"/>
        </row>
        <row r="3588">
          <cell r="C3588"/>
          <cell r="D3588" t="str">
            <v>de</v>
          </cell>
          <cell r="E3588" t="str">
            <v>réduction</v>
          </cell>
          <cell r="F3588" t="str">
            <v>des</v>
          </cell>
          <cell r="G3588" t="str">
            <v>indemnité journalière</v>
          </cell>
          <cell r="H3588"/>
          <cell r="I3588"/>
        </row>
        <row r="3589">
          <cell r="C3589"/>
          <cell r="D3589" t="str">
            <v>de la</v>
          </cell>
          <cell r="E3589" t="str">
            <v>ligne détail</v>
          </cell>
          <cell r="F3589" t="str">
            <v>de la</v>
          </cell>
          <cell r="G3589" t="str">
            <v>prestation prévoyance</v>
          </cell>
          <cell r="H3589"/>
          <cell r="I3589"/>
        </row>
        <row r="3590">
          <cell r="C3590"/>
          <cell r="D3590" t="str">
            <v>de la</v>
          </cell>
          <cell r="E3590" t="str">
            <v>ligne détail</v>
          </cell>
          <cell r="F3590" t="str">
            <v>de la</v>
          </cell>
          <cell r="G3590" t="str">
            <v>prestation prévoyance</v>
          </cell>
          <cell r="H3590"/>
          <cell r="I3590"/>
        </row>
        <row r="3591">
          <cell r="C3591"/>
          <cell r="D3591" t="str">
            <v>du</v>
          </cell>
          <cell r="E3591" t="str">
            <v>décès</v>
          </cell>
          <cell r="F3591" t="str">
            <v>du</v>
          </cell>
          <cell r="G3591" t="str">
            <v>tiers personne physique</v>
          </cell>
          <cell r="H3591"/>
          <cell r="I3591"/>
        </row>
        <row r="3592">
          <cell r="C3592"/>
          <cell r="D3592" t="str">
            <v>de la</v>
          </cell>
          <cell r="E3592" t="str">
            <v>période d'invalidité</v>
          </cell>
          <cell r="F3592" t="str">
            <v>du</v>
          </cell>
          <cell r="G3592" t="str">
            <v>tiers personne physique</v>
          </cell>
          <cell r="H3592"/>
          <cell r="I3592"/>
        </row>
        <row r="3593">
          <cell r="C3593"/>
          <cell r="D3593" t="str">
            <v>du</v>
          </cell>
          <cell r="E3593" t="str">
            <v>Type de risque</v>
          </cell>
          <cell r="F3593" t="str">
            <v>de la</v>
          </cell>
          <cell r="G3593" t="str">
            <v>prestation prévoyance</v>
          </cell>
          <cell r="H3593"/>
          <cell r="I3593"/>
        </row>
        <row r="3594">
          <cell r="C3594"/>
          <cell r="D3594" t="str">
            <v>d'</v>
          </cell>
          <cell r="E3594" t="str">
            <v>hospitalisation</v>
          </cell>
          <cell r="F3594" t="str">
            <v>du</v>
          </cell>
          <cell r="G3594" t="str">
            <v>tiers personne physique</v>
          </cell>
          <cell r="H3594"/>
          <cell r="I3594"/>
        </row>
        <row r="3595">
          <cell r="C3595"/>
          <cell r="D3595" t="str">
            <v>d'</v>
          </cell>
          <cell r="E3595" t="str">
            <v>hospitalisation</v>
          </cell>
          <cell r="F3595" t="str">
            <v>du</v>
          </cell>
          <cell r="G3595" t="str">
            <v>tiers personne physique</v>
          </cell>
          <cell r="H3595"/>
          <cell r="I3595"/>
        </row>
        <row r="3596">
          <cell r="C3596"/>
          <cell r="D3596" t="str">
            <v>d'</v>
          </cell>
          <cell r="E3596" t="str">
            <v>hospitalisation</v>
          </cell>
          <cell r="F3596" t="str">
            <v>du</v>
          </cell>
          <cell r="G3596" t="str">
            <v>tiers personne physique</v>
          </cell>
          <cell r="H3596"/>
          <cell r="I3596"/>
        </row>
        <row r="3597">
          <cell r="C3597"/>
          <cell r="D3597" t="str">
            <v>de</v>
          </cell>
          <cell r="E3597" t="str">
            <v>Jour</v>
          </cell>
          <cell r="F3597" t="str">
            <v>d'</v>
          </cell>
          <cell r="G3597" t="str">
            <v>hospitalisation</v>
          </cell>
          <cell r="H3597"/>
          <cell r="I3597"/>
        </row>
        <row r="3598">
          <cell r="C3598"/>
          <cell r="D3598" t="str">
            <v>du</v>
          </cell>
          <cell r="E3598" t="str">
            <v>finess</v>
          </cell>
          <cell r="F3598"/>
          <cell r="G3598"/>
          <cell r="H3598"/>
          <cell r="I3598"/>
        </row>
        <row r="3599">
          <cell r="C3599"/>
          <cell r="D3599" t="str">
            <v>de l'</v>
          </cell>
          <cell r="E3599" t="str">
            <v>établissement de santé</v>
          </cell>
          <cell r="F3599"/>
          <cell r="G3599"/>
          <cell r="H3599"/>
          <cell r="I3599"/>
        </row>
        <row r="3600">
          <cell r="C3600"/>
          <cell r="D3600" t="str">
            <v>de</v>
          </cell>
          <cell r="E3600" t="str">
            <v>prise en charge</v>
          </cell>
          <cell r="F3600" t="str">
            <v>de la</v>
          </cell>
          <cell r="G3600" t="str">
            <v>prestation prévoyance</v>
          </cell>
          <cell r="H3600"/>
          <cell r="I3600"/>
        </row>
        <row r="3601">
          <cell r="C3601" t="str">
            <v>limite</v>
          </cell>
          <cell r="D3601" t="str">
            <v>de</v>
          </cell>
          <cell r="E3601" t="str">
            <v>prise en charge</v>
          </cell>
          <cell r="F3601" t="str">
            <v>de la</v>
          </cell>
          <cell r="G3601" t="str">
            <v>prestation prévoyance</v>
          </cell>
          <cell r="H3601"/>
          <cell r="I3601"/>
        </row>
        <row r="3602">
          <cell r="C3602"/>
          <cell r="D3602" t="str">
            <v>de</v>
          </cell>
          <cell r="E3602" t="str">
            <v>rechute</v>
          </cell>
          <cell r="F3602" t="str">
            <v>du</v>
          </cell>
          <cell r="G3602" t="str">
            <v>tiers personne physique</v>
          </cell>
          <cell r="H3602"/>
          <cell r="I3602"/>
        </row>
        <row r="3603">
          <cell r="C3603"/>
          <cell r="D3603" t="str">
            <v>du</v>
          </cell>
          <cell r="E3603" t="str">
            <v>document de base</v>
          </cell>
          <cell r="F3603" t="str">
            <v>de la</v>
          </cell>
          <cell r="G3603" t="str">
            <v>prestation prévoyance</v>
          </cell>
          <cell r="H3603"/>
          <cell r="I3603"/>
        </row>
        <row r="3604">
          <cell r="C3604"/>
          <cell r="D3604" t="str">
            <v>de</v>
          </cell>
          <cell r="E3604" t="str">
            <v>renseignement complémentaire</v>
          </cell>
          <cell r="F3604" t="str">
            <v>de la</v>
          </cell>
          <cell r="G3604" t="str">
            <v>prestation prévoyance</v>
          </cell>
          <cell r="H3604"/>
          <cell r="I3604"/>
        </row>
        <row r="3605">
          <cell r="C3605"/>
          <cell r="D3605" t="str">
            <v>de</v>
          </cell>
          <cell r="E3605" t="str">
            <v>reprise du travail</v>
          </cell>
          <cell r="F3605" t="str">
            <v>du</v>
          </cell>
          <cell r="G3605" t="str">
            <v>tiers personne physique</v>
          </cell>
          <cell r="H3605"/>
          <cell r="I3605"/>
        </row>
        <row r="3606">
          <cell r="C3606"/>
          <cell r="D3606" t="str">
            <v>de</v>
          </cell>
          <cell r="E3606" t="str">
            <v>reprise du travail</v>
          </cell>
          <cell r="F3606" t="str">
            <v>du</v>
          </cell>
          <cell r="G3606" t="str">
            <v>tiers personne physique</v>
          </cell>
          <cell r="H3606"/>
          <cell r="I3606"/>
        </row>
        <row r="3607">
          <cell r="C3607"/>
          <cell r="D3607" t="str">
            <v>du</v>
          </cell>
          <cell r="E3607" t="str">
            <v>produit bancaire</v>
          </cell>
          <cell r="F3607"/>
          <cell r="G3607"/>
          <cell r="H3607"/>
          <cell r="I3607"/>
        </row>
        <row r="3608">
          <cell r="C3608"/>
          <cell r="D3608" t="str">
            <v>du</v>
          </cell>
          <cell r="E3608" t="str">
            <v>tiers</v>
          </cell>
          <cell r="F3608" t="str">
            <v>de type</v>
          </cell>
          <cell r="G3608" t="str">
            <v>assuré sinistré</v>
          </cell>
          <cell r="H3608"/>
          <cell r="I3608"/>
        </row>
        <row r="3609">
          <cell r="C3609"/>
          <cell r="D3609" t="str">
            <v>d'</v>
          </cell>
          <cell r="E3609" t="str">
            <v>APL</v>
          </cell>
          <cell r="F3609"/>
          <cell r="G3609"/>
          <cell r="H3609"/>
          <cell r="I3609"/>
        </row>
        <row r="3610">
          <cell r="C3610"/>
          <cell r="D3610" t="str">
            <v>d'</v>
          </cell>
          <cell r="E3610" t="str">
            <v>activité à mi-temps</v>
          </cell>
          <cell r="F3610" t="str">
            <v>du</v>
          </cell>
          <cell r="G3610" t="str">
            <v>tiers personne physique</v>
          </cell>
          <cell r="H3610"/>
          <cell r="I3610"/>
        </row>
        <row r="3611">
          <cell r="C3611"/>
          <cell r="D3611" t="str">
            <v>de la</v>
          </cell>
          <cell r="E3611" t="str">
            <v>prise en charge</v>
          </cell>
          <cell r="F3611" t="str">
            <v>de la</v>
          </cell>
          <cell r="G3611" t="str">
            <v>prestation prévoyance</v>
          </cell>
          <cell r="H3611"/>
          <cell r="I3611"/>
        </row>
        <row r="3612">
          <cell r="C3612"/>
          <cell r="D3612" t="str">
            <v>de</v>
          </cell>
          <cell r="E3612" t="str">
            <v>règlement immédiat</v>
          </cell>
          <cell r="F3612"/>
          <cell r="G3612"/>
          <cell r="H3612"/>
          <cell r="I3612"/>
        </row>
        <row r="3613">
          <cell r="C3613"/>
          <cell r="D3613" t="str">
            <v>du</v>
          </cell>
          <cell r="E3613" t="str">
            <v>type</v>
          </cell>
          <cell r="F3613" t="str">
            <v>de</v>
          </cell>
          <cell r="G3613" t="str">
            <v>règlement</v>
          </cell>
          <cell r="H3613"/>
          <cell r="I3613"/>
        </row>
        <row r="3614">
          <cell r="C3614"/>
          <cell r="D3614" t="str">
            <v>du</v>
          </cell>
          <cell r="E3614" t="str">
            <v>EXTASE</v>
          </cell>
          <cell r="F3614" t="str">
            <v>de la</v>
          </cell>
          <cell r="G3614" t="str">
            <v>prestation prévoyance</v>
          </cell>
          <cell r="H3614"/>
          <cell r="I3614"/>
        </row>
        <row r="3615">
          <cell r="C3615"/>
          <cell r="D3615" t="str">
            <v>de la</v>
          </cell>
          <cell r="E3615" t="str">
            <v>période de chômage</v>
          </cell>
          <cell r="F3615" t="str">
            <v>du</v>
          </cell>
          <cell r="G3615" t="str">
            <v>tiers personne physique</v>
          </cell>
          <cell r="H3615"/>
          <cell r="I3615"/>
        </row>
        <row r="3616">
          <cell r="C3616"/>
          <cell r="D3616" t="str">
            <v>d'</v>
          </cell>
          <cell r="E3616" t="str">
            <v>échéance</v>
          </cell>
          <cell r="F3616" t="str">
            <v>de la</v>
          </cell>
          <cell r="G3616" t="str">
            <v>prestation prévoyance</v>
          </cell>
          <cell r="H3616"/>
          <cell r="I3616"/>
        </row>
        <row r="3617">
          <cell r="C3617"/>
          <cell r="D3617" t="str">
            <v>du</v>
          </cell>
          <cell r="E3617" t="str">
            <v>type</v>
          </cell>
          <cell r="F3617" t="str">
            <v>d'</v>
          </cell>
          <cell r="G3617" t="str">
            <v>échéance</v>
          </cell>
          <cell r="H3617" t="str">
            <v>de la</v>
          </cell>
          <cell r="I3617" t="str">
            <v>prestation prévoyance</v>
          </cell>
        </row>
        <row r="3618">
          <cell r="C3618"/>
          <cell r="D3618" t="str">
            <v>du</v>
          </cell>
          <cell r="E3618" t="str">
            <v>décès</v>
          </cell>
          <cell r="F3618" t="str">
            <v>du</v>
          </cell>
          <cell r="G3618" t="str">
            <v>tiers personne physique</v>
          </cell>
          <cell r="H3618"/>
          <cell r="I3618"/>
        </row>
        <row r="3619">
          <cell r="C3619"/>
          <cell r="D3619" t="str">
            <v>du</v>
          </cell>
          <cell r="E3619" t="str">
            <v>remboursement</v>
          </cell>
          <cell r="F3619"/>
          <cell r="G3619"/>
          <cell r="H3619"/>
          <cell r="I3619"/>
        </row>
        <row r="3620">
          <cell r="C3620"/>
          <cell r="D3620" t="str">
            <v>de</v>
          </cell>
          <cell r="E3620" t="str">
            <v>condition particulière</v>
          </cell>
          <cell r="F3620" t="str">
            <v>d'</v>
          </cell>
          <cell r="G3620" t="str">
            <v>adhésion</v>
          </cell>
          <cell r="H3620"/>
          <cell r="I3620"/>
        </row>
        <row r="3621">
          <cell r="C3621"/>
          <cell r="D3621" t="str">
            <v>d'</v>
          </cell>
          <cell r="E3621" t="str">
            <v>événement identique</v>
          </cell>
          <cell r="F3621"/>
          <cell r="G3621"/>
          <cell r="H3621"/>
          <cell r="I3621"/>
        </row>
        <row r="3622">
          <cell r="C3622"/>
          <cell r="D3622" t="str">
            <v>de la</v>
          </cell>
          <cell r="E3622" t="str">
            <v>prestation prévoyance</v>
          </cell>
          <cell r="F3622"/>
          <cell r="G3622"/>
          <cell r="H3622"/>
          <cell r="I3622"/>
        </row>
        <row r="3623">
          <cell r="C3623"/>
          <cell r="D3623" t="str">
            <v>de</v>
          </cell>
          <cell r="E3623" t="str">
            <v>questionnaire de santé</v>
          </cell>
          <cell r="F3623"/>
          <cell r="G3623"/>
          <cell r="H3623"/>
          <cell r="I3623"/>
        </row>
        <row r="3624">
          <cell r="C3624" t="str">
            <v>maximum</v>
          </cell>
          <cell r="D3624" t="str">
            <v>de la</v>
          </cell>
          <cell r="E3624" t="str">
            <v>prise en charge</v>
          </cell>
          <cell r="F3624"/>
          <cell r="G3624"/>
          <cell r="H3624"/>
          <cell r="I3624"/>
        </row>
        <row r="3625">
          <cell r="C3625" t="str">
            <v>premier jour</v>
          </cell>
          <cell r="D3625" t="str">
            <v>de</v>
          </cell>
          <cell r="E3625" t="str">
            <v>prise en charge</v>
          </cell>
          <cell r="F3625"/>
          <cell r="G3625"/>
          <cell r="H3625"/>
          <cell r="I3625"/>
        </row>
        <row r="3626">
          <cell r="C3626"/>
          <cell r="D3626" t="str">
            <v>du</v>
          </cell>
          <cell r="E3626" t="str">
            <v>type de carence</v>
          </cell>
          <cell r="F3626"/>
          <cell r="G3626"/>
          <cell r="H3626"/>
          <cell r="I3626"/>
        </row>
        <row r="3627">
          <cell r="C3627"/>
          <cell r="D3627" t="str">
            <v>de</v>
          </cell>
          <cell r="E3627" t="str">
            <v>questionnaire de santé</v>
          </cell>
          <cell r="F3627"/>
          <cell r="G3627"/>
          <cell r="H3627"/>
          <cell r="I3627"/>
        </row>
        <row r="3628">
          <cell r="C3628"/>
          <cell r="D3628" t="str">
            <v>de la</v>
          </cell>
          <cell r="E3628" t="str">
            <v>base de règlement</v>
          </cell>
          <cell r="F3628" t="str">
            <v>de la</v>
          </cell>
          <cell r="G3628" t="str">
            <v>prestation prévoyance</v>
          </cell>
          <cell r="H3628"/>
          <cell r="I3628"/>
        </row>
        <row r="3629">
          <cell r="C3629"/>
          <cell r="D3629" t="str">
            <v>de</v>
          </cell>
          <cell r="E3629" t="str">
            <v>jour indemnisé</v>
          </cell>
          <cell r="F3629" t="str">
            <v>du</v>
          </cell>
          <cell r="G3629" t="str">
            <v>tiers personne physique</v>
          </cell>
          <cell r="H3629"/>
          <cell r="I3629"/>
        </row>
        <row r="3630">
          <cell r="C3630"/>
          <cell r="D3630" t="str">
            <v>de</v>
          </cell>
          <cell r="E3630" t="str">
            <v>Jour</v>
          </cell>
          <cell r="F3630" t="str">
            <v>d'</v>
          </cell>
          <cell r="G3630" t="str">
            <v>indemnisation</v>
          </cell>
          <cell r="H3630" t="str">
            <v>du</v>
          </cell>
          <cell r="I3630" t="str">
            <v>tiers personne physique</v>
          </cell>
        </row>
        <row r="3631">
          <cell r="C3631"/>
          <cell r="D3631" t="str">
            <v>d'</v>
          </cell>
          <cell r="E3631" t="str">
            <v>indemnité journalière</v>
          </cell>
          <cell r="F3631" t="str">
            <v>d'</v>
          </cell>
          <cell r="G3631" t="str">
            <v>activité à mi-temps</v>
          </cell>
          <cell r="H3631"/>
          <cell r="I3631"/>
        </row>
        <row r="3632">
          <cell r="C3632"/>
          <cell r="D3632" t="str">
            <v>de l'</v>
          </cell>
          <cell r="E3632" t="str">
            <v>arrêt de travail</v>
          </cell>
          <cell r="F3632" t="str">
            <v>du</v>
          </cell>
          <cell r="G3632" t="str">
            <v>tiers personne physique</v>
          </cell>
          <cell r="H3632"/>
          <cell r="I3632"/>
        </row>
        <row r="3633">
          <cell r="C3633"/>
          <cell r="D3633" t="str">
            <v>de la</v>
          </cell>
          <cell r="E3633" t="str">
            <v>prestation prévoyance</v>
          </cell>
          <cell r="F3633"/>
          <cell r="G3633"/>
          <cell r="H3633"/>
          <cell r="I3633"/>
        </row>
        <row r="3634">
          <cell r="C3634" t="str">
            <v>maximum</v>
          </cell>
          <cell r="D3634" t="str">
            <v>de la</v>
          </cell>
          <cell r="E3634" t="str">
            <v>prise en charge</v>
          </cell>
          <cell r="F3634"/>
          <cell r="G3634"/>
          <cell r="H3634"/>
          <cell r="I3634"/>
        </row>
        <row r="3635">
          <cell r="C3635" t="str">
            <v>maximum</v>
          </cell>
          <cell r="D3635" t="str">
            <v>de la</v>
          </cell>
          <cell r="E3635" t="str">
            <v>prise en charge</v>
          </cell>
          <cell r="F3635" t="str">
            <v>des</v>
          </cell>
          <cell r="G3635" t="str">
            <v>frais généraux</v>
          </cell>
          <cell r="H3635"/>
          <cell r="I3635"/>
        </row>
        <row r="3636">
          <cell r="C3636" t="str">
            <v>maximum</v>
          </cell>
          <cell r="D3636" t="str">
            <v>de la</v>
          </cell>
          <cell r="E3636" t="str">
            <v>prise en charge</v>
          </cell>
          <cell r="F3636" t="str">
            <v>des</v>
          </cell>
          <cell r="G3636" t="str">
            <v>frais généraux</v>
          </cell>
          <cell r="H3636"/>
          <cell r="I3636"/>
        </row>
        <row r="3637">
          <cell r="C3637"/>
          <cell r="D3637" t="str">
            <v>des</v>
          </cell>
          <cell r="E3637" t="str">
            <v>indemnité journalière</v>
          </cell>
          <cell r="F3637"/>
          <cell r="G3637"/>
          <cell r="H3637"/>
          <cell r="I3637"/>
        </row>
        <row r="3638">
          <cell r="C3638"/>
          <cell r="D3638" t="str">
            <v>de la</v>
          </cell>
          <cell r="E3638" t="str">
            <v>garantie</v>
          </cell>
          <cell r="F3638"/>
          <cell r="G3638"/>
          <cell r="H3638"/>
          <cell r="I3638"/>
        </row>
        <row r="3639">
          <cell r="C3639"/>
          <cell r="D3639" t="str">
            <v>de la</v>
          </cell>
          <cell r="E3639" t="str">
            <v>décision</v>
          </cell>
          <cell r="F3639" t="str">
            <v>de la</v>
          </cell>
          <cell r="G3639" t="str">
            <v>prestation prévoyance</v>
          </cell>
          <cell r="H3639"/>
          <cell r="I3639"/>
        </row>
        <row r="3640">
          <cell r="C3640" t="str">
            <v>maximum</v>
          </cell>
          <cell r="D3640" t="str">
            <v>du</v>
          </cell>
          <cell r="E3640" t="str">
            <v>règlement</v>
          </cell>
          <cell r="F3640"/>
          <cell r="G3640"/>
          <cell r="H3640"/>
          <cell r="I3640"/>
        </row>
        <row r="3641">
          <cell r="C3641"/>
          <cell r="D3641" t="str">
            <v>de la</v>
          </cell>
          <cell r="E3641" t="str">
            <v>garantie</v>
          </cell>
          <cell r="F3641"/>
          <cell r="G3641" t="str">
            <v>extase</v>
          </cell>
          <cell r="H3641"/>
          <cell r="I3641"/>
        </row>
        <row r="3642">
          <cell r="C3642"/>
          <cell r="D3642" t="str">
            <v>de la</v>
          </cell>
          <cell r="E3642" t="str">
            <v>revalorisation</v>
          </cell>
          <cell r="F3642" t="str">
            <v>de la</v>
          </cell>
          <cell r="G3642" t="str">
            <v>prestation prévoyance</v>
          </cell>
          <cell r="H3642"/>
          <cell r="I3642"/>
        </row>
        <row r="3643">
          <cell r="C3643"/>
          <cell r="D3643" t="str">
            <v>de la</v>
          </cell>
          <cell r="E3643" t="str">
            <v>revalorisation</v>
          </cell>
          <cell r="F3643" t="str">
            <v>de la</v>
          </cell>
          <cell r="G3643" t="str">
            <v>prestation prévoyance</v>
          </cell>
          <cell r="H3643"/>
          <cell r="I3643"/>
        </row>
        <row r="3644">
          <cell r="C3644"/>
          <cell r="D3644" t="str">
            <v>de la</v>
          </cell>
          <cell r="E3644" t="str">
            <v>revalorisation</v>
          </cell>
          <cell r="F3644" t="str">
            <v>de la</v>
          </cell>
          <cell r="G3644" t="str">
            <v>prestation prévoyance</v>
          </cell>
          <cell r="H3644"/>
          <cell r="I3644"/>
        </row>
        <row r="3645">
          <cell r="C3645"/>
          <cell r="D3645" t="str">
            <v>du</v>
          </cell>
          <cell r="E3645" t="str">
            <v>contrat</v>
          </cell>
          <cell r="F3645"/>
          <cell r="G3645"/>
          <cell r="H3645"/>
          <cell r="I3645"/>
        </row>
        <row r="3646">
          <cell r="C3646"/>
          <cell r="D3646" t="str">
            <v>du</v>
          </cell>
          <cell r="E3646" t="str">
            <v>type de prêt</v>
          </cell>
          <cell r="F3646"/>
          <cell r="G3646"/>
          <cell r="H3646"/>
          <cell r="I3646"/>
        </row>
        <row r="3647">
          <cell r="C3647"/>
          <cell r="D3647" t="str">
            <v>de</v>
          </cell>
          <cell r="E3647" t="str">
            <v>franchise maladie</v>
          </cell>
          <cell r="F3647" t="str">
            <v>de la</v>
          </cell>
          <cell r="G3647" t="str">
            <v xml:space="preserve">tête de pont </v>
          </cell>
          <cell r="H3647"/>
          <cell r="I3647"/>
        </row>
        <row r="3648">
          <cell r="C3648"/>
          <cell r="D3648" t="str">
            <v>de la</v>
          </cell>
          <cell r="E3648" t="str">
            <v>garantie incapacité de travail</v>
          </cell>
          <cell r="F3648" t="str">
            <v>de la</v>
          </cell>
          <cell r="G3648" t="str">
            <v xml:space="preserve">tête de pont </v>
          </cell>
          <cell r="H3648"/>
          <cell r="I3648"/>
        </row>
        <row r="3649">
          <cell r="C3649"/>
          <cell r="D3649" t="str">
            <v>de l'</v>
          </cell>
          <cell r="E3649" t="str">
            <v>objet sinistré</v>
          </cell>
          <cell r="F3649"/>
          <cell r="G3649"/>
          <cell r="H3649"/>
          <cell r="I3649"/>
        </row>
        <row r="3650">
          <cell r="C3650"/>
          <cell r="D3650" t="str">
            <v>de</v>
          </cell>
          <cell r="E3650" t="str">
            <v>sécurité sociale</v>
          </cell>
          <cell r="F3650" t="str">
            <v>d'un</v>
          </cell>
          <cell r="G3650" t="str">
            <v>travailleur étranger</v>
          </cell>
          <cell r="H3650"/>
          <cell r="I3650"/>
        </row>
        <row r="3651">
          <cell r="C3651"/>
          <cell r="D3651" t="str">
            <v>du</v>
          </cell>
          <cell r="E3651" t="str">
            <v>régime fiscal de base</v>
          </cell>
          <cell r="F3651" t="str">
            <v>de la</v>
          </cell>
          <cell r="G3651" t="str">
            <v>prestation prévoyance</v>
          </cell>
          <cell r="H3651"/>
          <cell r="I3651"/>
        </row>
        <row r="3652">
          <cell r="C3652"/>
          <cell r="D3652" t="str">
            <v>de</v>
          </cell>
          <cell r="E3652" t="str">
            <v>personne à charge</v>
          </cell>
          <cell r="F3652"/>
          <cell r="G3652"/>
          <cell r="H3652"/>
          <cell r="I3652"/>
        </row>
        <row r="3653">
          <cell r="C3653"/>
          <cell r="D3653" t="str">
            <v>de la</v>
          </cell>
          <cell r="E3653" t="str">
            <v>situation maritale</v>
          </cell>
          <cell r="F3653" t="str">
            <v>du</v>
          </cell>
          <cell r="G3653" t="str">
            <v>tiers personne physique</v>
          </cell>
          <cell r="H3653"/>
          <cell r="I3653"/>
        </row>
        <row r="3654">
          <cell r="C3654"/>
          <cell r="D3654" t="str">
            <v>de la</v>
          </cell>
          <cell r="E3654" t="str">
            <v>personne décédée</v>
          </cell>
          <cell r="F3654"/>
          <cell r="G3654"/>
          <cell r="H3654"/>
          <cell r="I3654"/>
        </row>
        <row r="3655">
          <cell r="C3655"/>
          <cell r="D3655" t="str">
            <v>des</v>
          </cell>
          <cell r="E3655" t="str">
            <v>frais réels</v>
          </cell>
          <cell r="F3655"/>
          <cell r="G3655"/>
          <cell r="H3655"/>
          <cell r="I3655"/>
        </row>
        <row r="3656">
          <cell r="C3656"/>
          <cell r="D3656" t="str">
            <v>de l'</v>
          </cell>
          <cell r="E3656" t="str">
            <v>indemnisation</v>
          </cell>
          <cell r="F3656" t="str">
            <v>du</v>
          </cell>
          <cell r="G3656" t="str">
            <v>tiers personne physique</v>
          </cell>
          <cell r="H3656"/>
          <cell r="I3656"/>
        </row>
        <row r="3657">
          <cell r="C3657"/>
          <cell r="D3657" t="str">
            <v>de l'</v>
          </cell>
          <cell r="E3657" t="str">
            <v>indemnisation</v>
          </cell>
          <cell r="F3657" t="str">
            <v>du</v>
          </cell>
          <cell r="G3657" t="str">
            <v>tiers personne physique</v>
          </cell>
          <cell r="H3657"/>
          <cell r="I3657"/>
        </row>
        <row r="3658">
          <cell r="C3658"/>
          <cell r="D3658" t="str">
            <v>de la</v>
          </cell>
          <cell r="E3658" t="str">
            <v>base de règlement</v>
          </cell>
          <cell r="F3658" t="str">
            <v>de la</v>
          </cell>
          <cell r="G3658" t="str">
            <v>prestation prévoyance</v>
          </cell>
          <cell r="H3658"/>
          <cell r="I3658"/>
        </row>
        <row r="3659">
          <cell r="C3659"/>
          <cell r="D3659" t="str">
            <v>des</v>
          </cell>
          <cell r="E3659" t="str">
            <v>condition particulière</v>
          </cell>
          <cell r="F3659" t="str">
            <v>de l'</v>
          </cell>
          <cell r="G3659" t="str">
            <v>adhésion</v>
          </cell>
          <cell r="H3659" t="str">
            <v>de la</v>
          </cell>
          <cell r="I3659" t="str">
            <v>prestation prévoyance</v>
          </cell>
        </row>
        <row r="3660">
          <cell r="C3660"/>
          <cell r="D3660" t="str">
            <v>de la</v>
          </cell>
          <cell r="E3660" t="str">
            <v>période</v>
          </cell>
          <cell r="F3660" t="str">
            <v>de la</v>
          </cell>
          <cell r="G3660" t="str">
            <v>dernière prolongation</v>
          </cell>
          <cell r="H3660"/>
          <cell r="I3660"/>
        </row>
        <row r="3661">
          <cell r="C3661"/>
          <cell r="D3661" t="str">
            <v>de la</v>
          </cell>
          <cell r="E3661" t="str">
            <v>périodicité</v>
          </cell>
          <cell r="F3661" t="str">
            <v>de la</v>
          </cell>
          <cell r="G3661" t="str">
            <v>dernière prolongation</v>
          </cell>
          <cell r="H3661"/>
          <cell r="I3661"/>
        </row>
        <row r="3662">
          <cell r="C3662"/>
          <cell r="D3662" t="str">
            <v>de la</v>
          </cell>
          <cell r="E3662" t="str">
            <v>situation</v>
          </cell>
          <cell r="F3662" t="str">
            <v>du</v>
          </cell>
          <cell r="G3662" t="str">
            <v>règlement</v>
          </cell>
          <cell r="H3662"/>
          <cell r="I3662"/>
        </row>
        <row r="3663">
          <cell r="C3663"/>
          <cell r="D3663" t="str">
            <v>de la</v>
          </cell>
          <cell r="E3663" t="str">
            <v>situation</v>
          </cell>
          <cell r="F3663" t="str">
            <v>du</v>
          </cell>
          <cell r="G3663" t="str">
            <v>règlement</v>
          </cell>
          <cell r="H3663"/>
          <cell r="I3663"/>
        </row>
        <row r="3664">
          <cell r="C3664"/>
          <cell r="D3664" t="str">
            <v>de la</v>
          </cell>
          <cell r="E3664" t="str">
            <v>devise</v>
          </cell>
          <cell r="F3664"/>
          <cell r="G3664"/>
          <cell r="H3664"/>
          <cell r="I3664"/>
        </row>
        <row r="3665">
          <cell r="C3665"/>
          <cell r="D3665" t="str">
            <v>du</v>
          </cell>
          <cell r="E3665" t="str">
            <v>règlement précédant</v>
          </cell>
          <cell r="F3665"/>
          <cell r="G3665"/>
          <cell r="H3665"/>
          <cell r="I3665"/>
        </row>
        <row r="3666">
          <cell r="C3666"/>
          <cell r="D3666" t="str">
            <v>du</v>
          </cell>
          <cell r="E3666" t="str">
            <v>type</v>
          </cell>
          <cell r="F3666" t="str">
            <v>de la</v>
          </cell>
          <cell r="G3666" t="str">
            <v>modification</v>
          </cell>
          <cell r="H3666"/>
          <cell r="I3666"/>
        </row>
        <row r="3667">
          <cell r="C3667"/>
          <cell r="D3667" t="str">
            <v>de l'</v>
          </cell>
          <cell r="E3667" t="str">
            <v>état</v>
          </cell>
          <cell r="F3667" t="str">
            <v>du</v>
          </cell>
          <cell r="G3667" t="str">
            <v>règlement</v>
          </cell>
          <cell r="H3667"/>
          <cell r="I3667"/>
        </row>
        <row r="3668">
          <cell r="C3668"/>
          <cell r="D3668" t="str">
            <v>de l'</v>
          </cell>
          <cell r="E3668" t="str">
            <v>état</v>
          </cell>
          <cell r="F3668" t="str">
            <v>du</v>
          </cell>
          <cell r="G3668" t="str">
            <v>règlement</v>
          </cell>
          <cell r="H3668"/>
          <cell r="I3668"/>
        </row>
        <row r="3669">
          <cell r="C3669"/>
          <cell r="D3669" t="str">
            <v>du</v>
          </cell>
          <cell r="E3669" t="str">
            <v>règlement</v>
          </cell>
          <cell r="F3669"/>
          <cell r="G3669"/>
          <cell r="H3669"/>
          <cell r="I3669"/>
        </row>
        <row r="3670">
          <cell r="C3670"/>
          <cell r="D3670" t="str">
            <v>du</v>
          </cell>
          <cell r="E3670" t="str">
            <v>règlement</v>
          </cell>
          <cell r="F3670"/>
          <cell r="G3670"/>
          <cell r="H3670"/>
          <cell r="I3670"/>
        </row>
        <row r="3671">
          <cell r="C3671"/>
          <cell r="D3671" t="str">
            <v>de l'</v>
          </cell>
          <cell r="E3671" t="str">
            <v>intermédiaire de gestion</v>
          </cell>
          <cell r="F3671" t="str">
            <v>du</v>
          </cell>
          <cell r="G3671" t="str">
            <v>règlement</v>
          </cell>
          <cell r="H3671"/>
          <cell r="I3671"/>
        </row>
        <row r="3672">
          <cell r="C3672"/>
          <cell r="D3672" t="str">
            <v>du</v>
          </cell>
          <cell r="E3672" t="str">
            <v>Bureau du guichet</v>
          </cell>
          <cell r="F3672" t="str">
            <v>du</v>
          </cell>
          <cell r="G3672" t="str">
            <v>règlement</v>
          </cell>
          <cell r="H3672"/>
          <cell r="I3672"/>
        </row>
        <row r="3673">
          <cell r="C3673"/>
          <cell r="D3673" t="str">
            <v>du</v>
          </cell>
          <cell r="E3673" t="str">
            <v>tiers personne physique</v>
          </cell>
          <cell r="F3673"/>
          <cell r="G3673"/>
          <cell r="H3673"/>
          <cell r="I3673"/>
        </row>
        <row r="3674">
          <cell r="C3674" t="str">
            <v>motif</v>
          </cell>
          <cell r="D3674" t="str">
            <v>de la</v>
          </cell>
          <cell r="E3674" t="str">
            <v>prestation</v>
          </cell>
          <cell r="F3674"/>
          <cell r="G3674"/>
          <cell r="H3674"/>
          <cell r="I3674"/>
        </row>
        <row r="3675">
          <cell r="C3675"/>
          <cell r="D3675" t="str">
            <v>de la</v>
          </cell>
          <cell r="E3675" t="str">
            <v>ligne détail</v>
          </cell>
          <cell r="F3675" t="str">
            <v>de la</v>
          </cell>
          <cell r="G3675" t="str">
            <v>prestation</v>
          </cell>
          <cell r="H3675"/>
          <cell r="I3675"/>
        </row>
        <row r="3676">
          <cell r="C3676"/>
          <cell r="D3676" t="str">
            <v>de</v>
          </cell>
          <cell r="E3676" t="str">
            <v>reprise du travail</v>
          </cell>
          <cell r="F3676" t="str">
            <v>de la</v>
          </cell>
          <cell r="G3676" t="str">
            <v>tiers personne physique</v>
          </cell>
          <cell r="H3676"/>
          <cell r="I3676"/>
        </row>
        <row r="3677">
          <cell r="C3677"/>
          <cell r="D3677" t="str">
            <v>de</v>
          </cell>
          <cell r="E3677" t="str">
            <v>fractionnement</v>
          </cell>
          <cell r="F3677" t="str">
            <v>de la</v>
          </cell>
          <cell r="G3677" t="str">
            <v>prestation prévoyance</v>
          </cell>
          <cell r="H3677"/>
          <cell r="I3677"/>
        </row>
        <row r="3678">
          <cell r="C3678"/>
          <cell r="D3678" t="str">
            <v>de</v>
          </cell>
          <cell r="E3678" t="str">
            <v>premier arrêt de travail</v>
          </cell>
          <cell r="F3678" t="str">
            <v>de la</v>
          </cell>
          <cell r="G3678" t="str">
            <v>tiers personne physique</v>
          </cell>
          <cell r="H3678"/>
          <cell r="I3678"/>
        </row>
        <row r="3679">
          <cell r="C3679"/>
          <cell r="D3679" t="str">
            <v>de la</v>
          </cell>
          <cell r="E3679" t="str">
            <v>période</v>
          </cell>
          <cell r="F3679" t="str">
            <v>de la</v>
          </cell>
          <cell r="G3679" t="str">
            <v>prestation</v>
          </cell>
          <cell r="H3679"/>
          <cell r="I3679"/>
        </row>
        <row r="3680">
          <cell r="C3680"/>
          <cell r="D3680" t="str">
            <v>de la</v>
          </cell>
          <cell r="E3680" t="str">
            <v>période</v>
          </cell>
          <cell r="F3680" t="str">
            <v>de la</v>
          </cell>
          <cell r="G3680" t="str">
            <v>prestation</v>
          </cell>
          <cell r="H3680"/>
          <cell r="I3680"/>
        </row>
        <row r="3681">
          <cell r="C3681" t="str">
            <v>jour</v>
          </cell>
          <cell r="D3681" t="str">
            <v>de</v>
          </cell>
          <cell r="E3681" t="str">
            <v>franchise</v>
          </cell>
          <cell r="F3681"/>
          <cell r="G3681"/>
          <cell r="H3681"/>
          <cell r="I3681"/>
        </row>
        <row r="3682">
          <cell r="C3682" t="str">
            <v>option</v>
          </cell>
          <cell r="D3682" t="str">
            <v>de la</v>
          </cell>
          <cell r="E3682" t="str">
            <v>garantie incapacité de travail</v>
          </cell>
          <cell r="F3682"/>
          <cell r="G3682"/>
          <cell r="H3682"/>
          <cell r="I3682"/>
        </row>
        <row r="3683">
          <cell r="C3683"/>
          <cell r="D3683" t="str">
            <v>de la</v>
          </cell>
          <cell r="E3683" t="str">
            <v>prolongation</v>
          </cell>
          <cell r="F3683" t="str">
            <v>de la</v>
          </cell>
          <cell r="G3683" t="str">
            <v>prestation prévoyance</v>
          </cell>
          <cell r="H3683"/>
          <cell r="I3683"/>
        </row>
        <row r="3684">
          <cell r="C3684"/>
          <cell r="D3684" t="str">
            <v>du</v>
          </cell>
          <cell r="E3684" t="str">
            <v>type</v>
          </cell>
          <cell r="F3684" t="str">
            <v>d'</v>
          </cell>
          <cell r="G3684" t="str">
            <v>assuré sinistré</v>
          </cell>
          <cell r="H3684"/>
          <cell r="I3684"/>
        </row>
        <row r="3685">
          <cell r="C3685"/>
          <cell r="D3685" t="str">
            <v>du</v>
          </cell>
          <cell r="E3685" t="str">
            <v>revenu de référence</v>
          </cell>
          <cell r="F3685" t="str">
            <v>du</v>
          </cell>
          <cell r="G3685" t="str">
            <v>tiers personne physique</v>
          </cell>
          <cell r="H3685"/>
          <cell r="I3685"/>
        </row>
        <row r="3686">
          <cell r="C3686"/>
          <cell r="D3686" t="str">
            <v>de la</v>
          </cell>
          <cell r="E3686" t="str">
            <v>majoration</v>
          </cell>
          <cell r="F3686" t="str">
            <v>de la</v>
          </cell>
          <cell r="G3686" t="str">
            <v>prestation prévoyance</v>
          </cell>
          <cell r="H3686"/>
          <cell r="I3686"/>
        </row>
        <row r="3687">
          <cell r="C3687"/>
          <cell r="D3687" t="str">
            <v>de la</v>
          </cell>
          <cell r="E3687" t="str">
            <v>garantie accident</v>
          </cell>
          <cell r="F3687"/>
          <cell r="G3687"/>
          <cell r="H3687"/>
          <cell r="I3687"/>
        </row>
        <row r="3688">
          <cell r="C3688"/>
          <cell r="D3688" t="str">
            <v>de la</v>
          </cell>
          <cell r="E3688" t="str">
            <v>garantie capital</v>
          </cell>
          <cell r="F3688"/>
          <cell r="G3688"/>
          <cell r="H3688"/>
          <cell r="I3688"/>
        </row>
        <row r="3689">
          <cell r="C3689"/>
          <cell r="D3689" t="str">
            <v>de la</v>
          </cell>
          <cell r="E3689" t="str">
            <v>garantie iard</v>
          </cell>
          <cell r="F3689"/>
          <cell r="G3689"/>
          <cell r="H3689"/>
          <cell r="I3689"/>
        </row>
        <row r="3690">
          <cell r="C3690"/>
          <cell r="D3690" t="str">
            <v>de la</v>
          </cell>
          <cell r="E3690" t="str">
            <v>garantie vie</v>
          </cell>
          <cell r="F3690"/>
          <cell r="G3690"/>
          <cell r="H3690"/>
          <cell r="I3690"/>
        </row>
        <row r="3691">
          <cell r="C3691"/>
          <cell r="D3691" t="str">
            <v>de la</v>
          </cell>
          <cell r="E3691" t="str">
            <v>fédération</v>
          </cell>
          <cell r="F3691" t="str">
            <v>du</v>
          </cell>
          <cell r="G3691" t="str">
            <v>règlement</v>
          </cell>
          <cell r="H3691"/>
          <cell r="I3691"/>
        </row>
        <row r="3692">
          <cell r="C3692"/>
          <cell r="D3692" t="str">
            <v>de l'</v>
          </cell>
          <cell r="E3692" t="str">
            <v>Entité gestionnaire</v>
          </cell>
          <cell r="F3692" t="str">
            <v>du</v>
          </cell>
          <cell r="G3692" t="str">
            <v>règlement</v>
          </cell>
          <cell r="H3692"/>
          <cell r="I3692"/>
        </row>
        <row r="3693">
          <cell r="C3693"/>
          <cell r="D3693" t="str">
            <v>du</v>
          </cell>
          <cell r="E3693" t="str">
            <v>règlement</v>
          </cell>
          <cell r="F3693"/>
          <cell r="G3693"/>
          <cell r="H3693"/>
          <cell r="I3693"/>
        </row>
        <row r="3694">
          <cell r="C3694"/>
          <cell r="D3694" t="str">
            <v>de la</v>
          </cell>
          <cell r="E3694" t="str">
            <v>valeur</v>
          </cell>
          <cell r="F3694" t="str">
            <v>du</v>
          </cell>
          <cell r="G3694" t="str">
            <v>règlement</v>
          </cell>
          <cell r="H3694"/>
          <cell r="I3694"/>
        </row>
        <row r="3695">
          <cell r="C3695"/>
          <cell r="D3695" t="str">
            <v>du</v>
          </cell>
          <cell r="E3695" t="str">
            <v>mode de règlement</v>
          </cell>
          <cell r="F3695"/>
          <cell r="G3695"/>
          <cell r="H3695"/>
          <cell r="I3695"/>
        </row>
        <row r="3696">
          <cell r="C3696"/>
          <cell r="D3696" t="str">
            <v>du</v>
          </cell>
          <cell r="E3696" t="str">
            <v>mode de règlement</v>
          </cell>
          <cell r="F3696"/>
          <cell r="G3696"/>
          <cell r="H3696"/>
          <cell r="I3696"/>
        </row>
        <row r="3697">
          <cell r="C3697"/>
          <cell r="D3697" t="str">
            <v>du</v>
          </cell>
          <cell r="E3697" t="str">
            <v>BBAN</v>
          </cell>
          <cell r="F3697" t="str">
            <v>du</v>
          </cell>
          <cell r="G3697" t="str">
            <v>règlement</v>
          </cell>
          <cell r="H3697"/>
          <cell r="I3697"/>
        </row>
        <row r="3698">
          <cell r="C3698" t="str">
            <v>motif</v>
          </cell>
          <cell r="D3698" t="str">
            <v>de l'</v>
          </cell>
          <cell r="E3698" t="str">
            <v>état</v>
          </cell>
          <cell r="F3698" t="str">
            <v>du</v>
          </cell>
          <cell r="G3698" t="str">
            <v>règlement</v>
          </cell>
          <cell r="H3698"/>
          <cell r="I3698"/>
        </row>
        <row r="3699">
          <cell r="C3699"/>
          <cell r="D3699" t="str">
            <v>de l'</v>
          </cell>
          <cell r="E3699" t="str">
            <v>bénéficiaire du règlement</v>
          </cell>
          <cell r="F3699" t="str">
            <v>du</v>
          </cell>
          <cell r="G3699" t="str">
            <v>règlement</v>
          </cell>
          <cell r="H3699"/>
          <cell r="I3699"/>
        </row>
        <row r="3700">
          <cell r="C3700"/>
          <cell r="D3700" t="str">
            <v>du</v>
          </cell>
          <cell r="E3700" t="str">
            <v>motif</v>
          </cell>
          <cell r="F3700" t="str">
            <v>du</v>
          </cell>
          <cell r="G3700" t="str">
            <v>règlement</v>
          </cell>
          <cell r="H3700"/>
          <cell r="I3700"/>
        </row>
        <row r="3701">
          <cell r="C3701"/>
          <cell r="D3701" t="str">
            <v>du</v>
          </cell>
          <cell r="E3701" t="str">
            <v>règlement</v>
          </cell>
          <cell r="F3701"/>
          <cell r="G3701"/>
          <cell r="H3701"/>
          <cell r="I3701"/>
        </row>
        <row r="3702">
          <cell r="C3702"/>
          <cell r="D3702" t="str">
            <v>du</v>
          </cell>
          <cell r="E3702" t="str">
            <v>prélèvement fiscal</v>
          </cell>
          <cell r="F3702" t="str">
            <v>du</v>
          </cell>
          <cell r="G3702" t="str">
            <v>règlement</v>
          </cell>
          <cell r="H3702"/>
          <cell r="I3702"/>
        </row>
        <row r="3703">
          <cell r="C3703"/>
          <cell r="D3703" t="str">
            <v>du</v>
          </cell>
          <cell r="E3703" t="str">
            <v>rachat</v>
          </cell>
          <cell r="F3703" t="str">
            <v>du</v>
          </cell>
          <cell r="G3703" t="str">
            <v>contrat</v>
          </cell>
          <cell r="H3703"/>
          <cell r="I3703"/>
        </row>
        <row r="3704">
          <cell r="C3704"/>
          <cell r="D3704" t="str">
            <v>du</v>
          </cell>
          <cell r="E3704" t="str">
            <v>rachat</v>
          </cell>
          <cell r="F3704" t="str">
            <v>du</v>
          </cell>
          <cell r="G3704" t="str">
            <v>contrat</v>
          </cell>
          <cell r="H3704"/>
          <cell r="I3704"/>
        </row>
        <row r="3705">
          <cell r="C3705"/>
          <cell r="D3705" t="str">
            <v>du</v>
          </cell>
          <cell r="E3705" t="str">
            <v>rachat</v>
          </cell>
          <cell r="F3705" t="str">
            <v>du</v>
          </cell>
          <cell r="G3705" t="str">
            <v>contrat</v>
          </cell>
          <cell r="H3705"/>
          <cell r="I3705"/>
        </row>
        <row r="3706">
          <cell r="C3706"/>
          <cell r="D3706" t="str">
            <v>de l'</v>
          </cell>
          <cell r="E3706" t="str">
            <v>avance</v>
          </cell>
          <cell r="F3706" t="str">
            <v>du</v>
          </cell>
          <cell r="G3706" t="str">
            <v>rachat</v>
          </cell>
          <cell r="H3706" t="str">
            <v>du</v>
          </cell>
          <cell r="I3706" t="str">
            <v>contrat</v>
          </cell>
        </row>
        <row r="3707">
          <cell r="C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cell r="F3708"/>
          <cell r="G3708"/>
          <cell r="H3708"/>
          <cell r="I3708"/>
        </row>
        <row r="3709">
          <cell r="C3709" t="str">
            <v>comptable</v>
          </cell>
          <cell r="D3709" t="str">
            <v>de la</v>
          </cell>
          <cell r="E3709" t="str">
            <v>garantie accident</v>
          </cell>
          <cell r="F3709"/>
          <cell r="G3709"/>
          <cell r="H3709"/>
          <cell r="I3709"/>
        </row>
        <row r="3710">
          <cell r="C3710" t="str">
            <v>comptable</v>
          </cell>
          <cell r="D3710" t="str">
            <v>de la</v>
          </cell>
          <cell r="E3710" t="str">
            <v>garantie vie</v>
          </cell>
          <cell r="F3710"/>
          <cell r="G3710"/>
          <cell r="H3710"/>
          <cell r="I3710"/>
        </row>
        <row r="3711">
          <cell r="C3711"/>
          <cell r="D3711" t="str">
            <v>de</v>
          </cell>
          <cell r="E3711" t="str">
            <v>réduction</v>
          </cell>
          <cell r="F3711" t="str">
            <v>des</v>
          </cell>
          <cell r="G3711" t="str">
            <v>indemnité journalière</v>
          </cell>
          <cell r="H3711"/>
          <cell r="I3711"/>
        </row>
        <row r="3712">
          <cell r="C3712"/>
          <cell r="D3712" t="str">
            <v>des</v>
          </cell>
          <cell r="E3712" t="str">
            <v>intérêt à déclarer</v>
          </cell>
          <cell r="F3712" t="str">
            <v>du</v>
          </cell>
          <cell r="G3712" t="str">
            <v>rachat</v>
          </cell>
          <cell r="H3712" t="str">
            <v>du</v>
          </cell>
          <cell r="I3712" t="str">
            <v>contrat</v>
          </cell>
        </row>
        <row r="3713">
          <cell r="C3713"/>
          <cell r="D3713" t="str">
            <v>des</v>
          </cell>
          <cell r="E3713" t="str">
            <v>prélèvement fiscal</v>
          </cell>
          <cell r="F3713" t="str">
            <v>du</v>
          </cell>
          <cell r="G3713" t="str">
            <v>rachat</v>
          </cell>
          <cell r="H3713" t="str">
            <v>du</v>
          </cell>
          <cell r="I3713" t="str">
            <v>contrat</v>
          </cell>
        </row>
        <row r="3714">
          <cell r="C3714"/>
          <cell r="D3714" t="str">
            <v>du</v>
          </cell>
          <cell r="E3714" t="str">
            <v>motif complémentaire</v>
          </cell>
          <cell r="F3714" t="str">
            <v>du</v>
          </cell>
          <cell r="G3714" t="str">
            <v>règlement</v>
          </cell>
          <cell r="H3714"/>
          <cell r="I3714"/>
        </row>
        <row r="3715">
          <cell r="C3715" t="str">
            <v>dernière reception</v>
          </cell>
          <cell r="D3715" t="str">
            <v>de la</v>
          </cell>
          <cell r="E3715" t="str">
            <v>dernière pièce</v>
          </cell>
          <cell r="F3715" t="str">
            <v>du</v>
          </cell>
          <cell r="G3715" t="str">
            <v>règlement</v>
          </cell>
          <cell r="H3715"/>
          <cell r="I3715"/>
        </row>
        <row r="3716">
          <cell r="C3716"/>
          <cell r="D3716" t="str">
            <v>des</v>
          </cell>
          <cell r="E3716" t="str">
            <v>indemnité de retard</v>
          </cell>
          <cell r="F3716" t="str">
            <v>du</v>
          </cell>
          <cell r="G3716" t="str">
            <v>règlement</v>
          </cell>
          <cell r="H3716"/>
          <cell r="I3716"/>
        </row>
        <row r="3717">
          <cell r="C3717"/>
          <cell r="D3717" t="str">
            <v>des</v>
          </cell>
          <cell r="E3717" t="str">
            <v>ligne détail</v>
          </cell>
          <cell r="F3717" t="str">
            <v>du</v>
          </cell>
          <cell r="G3717" t="str">
            <v>règlement prévoyance</v>
          </cell>
          <cell r="H3717"/>
          <cell r="I3717"/>
        </row>
        <row r="3718">
          <cell r="C3718"/>
          <cell r="D3718" t="str">
            <v>de l'</v>
          </cell>
          <cell r="E3718" t="str">
            <v>indemnisation</v>
          </cell>
          <cell r="F3718" t="str">
            <v>pour le</v>
          </cell>
          <cell r="G3718" t="str">
            <v>décès</v>
          </cell>
          <cell r="H3718"/>
          <cell r="I3718"/>
        </row>
        <row r="3719">
          <cell r="C3719"/>
          <cell r="D3719" t="str">
            <v>de l'</v>
          </cell>
          <cell r="E3719" t="str">
            <v>indemnisation</v>
          </cell>
          <cell r="F3719" t="str">
            <v>pour l'</v>
          </cell>
          <cell r="G3719" t="str">
            <v>accident</v>
          </cell>
          <cell r="H3719"/>
          <cell r="I3719"/>
        </row>
        <row r="3720">
          <cell r="C3720"/>
          <cell r="D3720" t="str">
            <v>des</v>
          </cell>
          <cell r="E3720" t="str">
            <v>indemnité journalière</v>
          </cell>
          <cell r="F3720"/>
          <cell r="G3720"/>
          <cell r="H3720"/>
          <cell r="I3720"/>
        </row>
        <row r="3721">
          <cell r="C3721" t="str">
            <v>maximum</v>
          </cell>
          <cell r="D3721" t="str">
            <v>des</v>
          </cell>
          <cell r="E3721" t="str">
            <v>indemnité journalière</v>
          </cell>
          <cell r="F3721"/>
          <cell r="G3721"/>
          <cell r="H3721"/>
          <cell r="I3721"/>
        </row>
        <row r="3722">
          <cell r="C3722"/>
          <cell r="D3722" t="str">
            <v>d'</v>
          </cell>
          <cell r="E3722" t="str">
            <v>invalidité permanente partielle</v>
          </cell>
          <cell r="F3722" t="str">
            <v>du</v>
          </cell>
          <cell r="G3722" t="str">
            <v>tiers personne physique</v>
          </cell>
          <cell r="H3722"/>
          <cell r="I3722"/>
        </row>
        <row r="3723">
          <cell r="C3723"/>
          <cell r="D3723" t="str">
            <v>de l'</v>
          </cell>
          <cell r="E3723" t="str">
            <v>invalidité permanente partielle</v>
          </cell>
          <cell r="F3723" t="str">
            <v>du</v>
          </cell>
          <cell r="G3723" t="str">
            <v>tiers personne physique</v>
          </cell>
          <cell r="H3723"/>
          <cell r="I3723"/>
        </row>
        <row r="3724">
          <cell r="C3724"/>
          <cell r="D3724" t="str">
            <v>de l'</v>
          </cell>
          <cell r="E3724" t="str">
            <v>indemnité journalière</v>
          </cell>
          <cell r="F3724" t="str">
            <v>du</v>
          </cell>
          <cell r="G3724" t="str">
            <v>contrat</v>
          </cell>
          <cell r="H3724"/>
          <cell r="I3724"/>
        </row>
        <row r="3725">
          <cell r="C3725"/>
          <cell r="D3725" t="str">
            <v>du</v>
          </cell>
          <cell r="E3725" t="str">
            <v>domaine assurance</v>
          </cell>
          <cell r="F3725"/>
          <cell r="G3725" t="str">
            <v>prévoyance</v>
          </cell>
          <cell r="H3725"/>
          <cell r="I3725"/>
        </row>
        <row r="3726">
          <cell r="C3726" t="str">
            <v>divers</v>
          </cell>
          <cell r="D3726" t="str">
            <v>de</v>
          </cell>
          <cell r="E3726" t="str">
            <v>garantie</v>
          </cell>
          <cell r="F3726"/>
          <cell r="G3726"/>
          <cell r="H3726"/>
          <cell r="I3726"/>
        </row>
        <row r="3727">
          <cell r="C3727"/>
          <cell r="D3727" t="str">
            <v>du</v>
          </cell>
          <cell r="E3727" t="str">
            <v>lieu d'édition</v>
          </cell>
          <cell r="F3727" t="str">
            <v>du</v>
          </cell>
          <cell r="G3727" t="str">
            <v>règlement prévoyance</v>
          </cell>
          <cell r="H3727"/>
          <cell r="I3727"/>
        </row>
        <row r="3728">
          <cell r="C3728" t="str">
            <v>divers</v>
          </cell>
          <cell r="D3728" t="str">
            <v>de la</v>
          </cell>
          <cell r="E3728" t="str">
            <v>période de chômage</v>
          </cell>
          <cell r="F3728" t="str">
            <v>du</v>
          </cell>
          <cell r="G3728" t="str">
            <v>tiers personne physique</v>
          </cell>
          <cell r="H3728"/>
          <cell r="I3728"/>
        </row>
        <row r="3729">
          <cell r="C3729" t="str">
            <v>garanti</v>
          </cell>
          <cell r="D3729" t="str">
            <v>du</v>
          </cell>
          <cell r="E3729" t="str">
            <v>montant</v>
          </cell>
          <cell r="F3729" t="str">
            <v>de l'</v>
          </cell>
          <cell r="G3729" t="str">
            <v>échéance</v>
          </cell>
          <cell r="H3729" t="str">
            <v>du</v>
          </cell>
          <cell r="I3729" t="str">
            <v>règlement prévoyance</v>
          </cell>
        </row>
        <row r="3730">
          <cell r="C3730"/>
          <cell r="D3730" t="str">
            <v>de l'</v>
          </cell>
          <cell r="E3730" t="str">
            <v>échéance</v>
          </cell>
          <cell r="F3730" t="str">
            <v>du</v>
          </cell>
          <cell r="G3730" t="str">
            <v>règlement prévoyance</v>
          </cell>
          <cell r="H3730"/>
          <cell r="I3730"/>
        </row>
        <row r="3731">
          <cell r="C3731"/>
          <cell r="D3731" t="str">
            <v>du</v>
          </cell>
          <cell r="E3731" t="str">
            <v>capital décès</v>
          </cell>
          <cell r="F3731"/>
          <cell r="G3731"/>
          <cell r="H3731"/>
          <cell r="I3731"/>
        </row>
        <row r="3732">
          <cell r="C3732" t="str">
            <v>comptable</v>
          </cell>
          <cell r="D3732" t="str">
            <v>de la</v>
          </cell>
          <cell r="E3732" t="str">
            <v>garantie capital</v>
          </cell>
          <cell r="F3732"/>
          <cell r="G3732"/>
          <cell r="H3732"/>
          <cell r="I3732"/>
        </row>
        <row r="3733">
          <cell r="C3733" t="str">
            <v>comptable</v>
          </cell>
          <cell r="D3733" t="str">
            <v>de la</v>
          </cell>
          <cell r="E3733" t="str">
            <v>garantie IARD</v>
          </cell>
          <cell r="F3733"/>
          <cell r="G3733"/>
          <cell r="H3733"/>
          <cell r="I3733"/>
        </row>
        <row r="3734">
          <cell r="C3734"/>
          <cell r="D3734" t="str">
            <v>de la</v>
          </cell>
          <cell r="E3734" t="str">
            <v>revalorisation post-mortem</v>
          </cell>
          <cell r="F3734" t="str">
            <v>du</v>
          </cell>
          <cell r="G3734" t="str">
            <v>règlement prévoyance</v>
          </cell>
          <cell r="H3734"/>
          <cell r="I3734"/>
        </row>
        <row r="3735">
          <cell r="C3735" t="str">
            <v>limite</v>
          </cell>
          <cell r="D3735" t="str">
            <v>du</v>
          </cell>
          <cell r="E3735" t="str">
            <v>revenu de référence</v>
          </cell>
          <cell r="F3735" t="str">
            <v>du</v>
          </cell>
          <cell r="G3735" t="str">
            <v>tiers personne physique</v>
          </cell>
          <cell r="H3735"/>
          <cell r="I3735"/>
        </row>
        <row r="3736">
          <cell r="C3736" t="str">
            <v>limite</v>
          </cell>
          <cell r="D3736" t="str">
            <v>du</v>
          </cell>
          <cell r="E3736" t="str">
            <v>revenu de remplacement</v>
          </cell>
          <cell r="F3736" t="str">
            <v>du</v>
          </cell>
          <cell r="G3736" t="str">
            <v>tiers personne physique</v>
          </cell>
          <cell r="H3736"/>
          <cell r="I3736"/>
        </row>
        <row r="3737">
          <cell r="C3737" t="str">
            <v>comptable</v>
          </cell>
          <cell r="D3737" t="str">
            <v>du</v>
          </cell>
          <cell r="E3737" t="str">
            <v>règlement prévoyance</v>
          </cell>
          <cell r="F3737"/>
          <cell r="G3737"/>
          <cell r="H3737"/>
          <cell r="I3737"/>
        </row>
        <row r="3738">
          <cell r="C3738"/>
          <cell r="D3738" t="str">
            <v>de la</v>
          </cell>
          <cell r="E3738" t="str">
            <v>garantie</v>
          </cell>
          <cell r="F3738"/>
          <cell r="G3738"/>
          <cell r="H3738"/>
          <cell r="I3738"/>
        </row>
        <row r="3739">
          <cell r="C3739" t="str">
            <v>comptable</v>
          </cell>
          <cell r="D3739" t="str">
            <v>de la</v>
          </cell>
          <cell r="E3739" t="str">
            <v>garantie</v>
          </cell>
          <cell r="F3739"/>
          <cell r="G3739"/>
          <cell r="H3739"/>
          <cell r="I3739"/>
        </row>
        <row r="3740">
          <cell r="C3740"/>
          <cell r="D3740" t="str">
            <v>de l'</v>
          </cell>
          <cell r="E3740" t="str">
            <v>option fiscale</v>
          </cell>
          <cell r="F3740"/>
          <cell r="G3740"/>
          <cell r="H3740"/>
          <cell r="I3740"/>
        </row>
        <row r="3741">
          <cell r="C3741"/>
          <cell r="D3741" t="str">
            <v>de la</v>
          </cell>
          <cell r="E3741" t="str">
            <v>participation aux bénéfices</v>
          </cell>
          <cell r="F3741"/>
          <cell r="G3741" t="str">
            <v>règlement prévoyance</v>
          </cell>
          <cell r="H3741"/>
          <cell r="I3741"/>
        </row>
        <row r="3742">
          <cell r="C3742"/>
          <cell r="D3742" t="str">
            <v>de la</v>
          </cell>
          <cell r="E3742" t="str">
            <v>participation aux bénéfices</v>
          </cell>
          <cell r="F3742"/>
          <cell r="G3742"/>
          <cell r="H3742"/>
          <cell r="I3742"/>
        </row>
        <row r="3743">
          <cell r="C3743" t="str">
            <v>divers</v>
          </cell>
          <cell r="D3743" t="str">
            <v>de l'</v>
          </cell>
          <cell r="E3743" t="str">
            <v>exonération cotisation</v>
          </cell>
          <cell r="F3743"/>
          <cell r="G3743" t="str">
            <v>règlement prévoyance</v>
          </cell>
          <cell r="H3743"/>
          <cell r="I3743"/>
        </row>
        <row r="3744">
          <cell r="C3744" t="str">
            <v>divers</v>
          </cell>
          <cell r="D3744" t="str">
            <v>du</v>
          </cell>
          <cell r="E3744" t="str">
            <v>règlement prévoyance</v>
          </cell>
          <cell r="F3744"/>
          <cell r="G3744"/>
          <cell r="H3744"/>
          <cell r="I3744"/>
        </row>
        <row r="3745">
          <cell r="C3745"/>
          <cell r="D3745" t="str">
            <v>de</v>
          </cell>
          <cell r="E3745" t="str">
            <v>prélèvement fiscal</v>
          </cell>
          <cell r="F3745"/>
          <cell r="G3745"/>
          <cell r="H3745"/>
          <cell r="I3745"/>
        </row>
        <row r="3746">
          <cell r="C3746"/>
          <cell r="D3746" t="str">
            <v>du</v>
          </cell>
          <cell r="E3746" t="str">
            <v>règlement précédant</v>
          </cell>
          <cell r="F3746"/>
          <cell r="G3746"/>
          <cell r="H3746"/>
          <cell r="I3746"/>
        </row>
        <row r="3747">
          <cell r="C3747"/>
          <cell r="D3747" t="str">
            <v>des</v>
          </cell>
          <cell r="E3747" t="str">
            <v>indemnité journalière</v>
          </cell>
          <cell r="F3747" t="str">
            <v>du</v>
          </cell>
          <cell r="G3747" t="str">
            <v>régime sécurité sociale</v>
          </cell>
          <cell r="H3747"/>
          <cell r="I3747"/>
        </row>
        <row r="3748">
          <cell r="C3748"/>
          <cell r="D3748" t="str">
            <v>des</v>
          </cell>
          <cell r="E3748" t="str">
            <v>indemnité journalière</v>
          </cell>
          <cell r="F3748" t="str">
            <v>de l'</v>
          </cell>
          <cell r="G3748" t="str">
            <v>employeur</v>
          </cell>
          <cell r="H3748"/>
          <cell r="I3748"/>
        </row>
        <row r="3749">
          <cell r="C3749"/>
          <cell r="D3749" t="str">
            <v>du</v>
          </cell>
          <cell r="E3749" t="str">
            <v>tiers assurance</v>
          </cell>
          <cell r="F3749" t="str">
            <v>du</v>
          </cell>
          <cell r="G3749" t="str">
            <v>bénéficiaire du règlement</v>
          </cell>
          <cell r="H3749"/>
          <cell r="I3749"/>
        </row>
        <row r="3750">
          <cell r="C3750"/>
          <cell r="D3750" t="str">
            <v>du</v>
          </cell>
          <cell r="E3750" t="str">
            <v>type</v>
          </cell>
          <cell r="F3750" t="str">
            <v>d'</v>
          </cell>
          <cell r="G3750" t="str">
            <v>objet sinistré</v>
          </cell>
          <cell r="H3750"/>
          <cell r="I3750"/>
        </row>
        <row r="3751">
          <cell r="C3751"/>
          <cell r="D3751" t="str">
            <v>du</v>
          </cell>
          <cell r="E3751" t="str">
            <v>type</v>
          </cell>
          <cell r="F3751" t="str">
            <v>de</v>
          </cell>
          <cell r="G3751" t="str">
            <v>bénéficiaire du règlement</v>
          </cell>
          <cell r="H3751"/>
          <cell r="I3751"/>
        </row>
        <row r="3752">
          <cell r="C3752"/>
          <cell r="D3752" t="str">
            <v>du</v>
          </cell>
          <cell r="E3752" t="str">
            <v>bénéficiaire du règlement</v>
          </cell>
          <cell r="F3752"/>
          <cell r="G3752"/>
          <cell r="H3752"/>
          <cell r="I3752"/>
        </row>
        <row r="3753">
          <cell r="C3753"/>
          <cell r="D3753" t="str">
            <v>du</v>
          </cell>
          <cell r="E3753" t="str">
            <v>règlement prévoyance</v>
          </cell>
          <cell r="F3753"/>
          <cell r="G3753"/>
          <cell r="H3753"/>
          <cell r="I3753"/>
        </row>
        <row r="3754">
          <cell r="C3754"/>
          <cell r="D3754" t="str">
            <v>du</v>
          </cell>
          <cell r="E3754" t="str">
            <v>bénéficiaire du règlement</v>
          </cell>
          <cell r="F3754"/>
          <cell r="G3754"/>
          <cell r="H3754"/>
          <cell r="I3754"/>
        </row>
        <row r="3755">
          <cell r="C3755"/>
          <cell r="D3755" t="str">
            <v>du</v>
          </cell>
          <cell r="E3755" t="str">
            <v>bénéficiaire du règlement</v>
          </cell>
          <cell r="F3755"/>
          <cell r="G3755"/>
          <cell r="H3755"/>
          <cell r="I3755"/>
        </row>
        <row r="3756">
          <cell r="C3756"/>
          <cell r="D3756" t="str">
            <v>du</v>
          </cell>
          <cell r="E3756" t="str">
            <v>bénéficiaire du règlement</v>
          </cell>
          <cell r="F3756"/>
          <cell r="G3756"/>
          <cell r="H3756"/>
          <cell r="I3756"/>
        </row>
        <row r="3757">
          <cell r="C3757" t="str">
            <v>naissance</v>
          </cell>
          <cell r="D3757" t="str">
            <v>du</v>
          </cell>
          <cell r="E3757" t="str">
            <v>bénéficiaire du règlement</v>
          </cell>
          <cell r="F3757"/>
          <cell r="G3757"/>
          <cell r="H3757"/>
          <cell r="I3757"/>
        </row>
        <row r="3758">
          <cell r="C3758" t="str">
            <v>naissance</v>
          </cell>
          <cell r="D3758" t="str">
            <v>du</v>
          </cell>
          <cell r="E3758" t="str">
            <v>bénéficiaire du règlement</v>
          </cell>
          <cell r="F3758"/>
          <cell r="G3758"/>
          <cell r="H3758"/>
          <cell r="I3758"/>
        </row>
        <row r="3759">
          <cell r="C3759"/>
          <cell r="D3759" t="str">
            <v>de la</v>
          </cell>
          <cell r="E3759" t="str">
            <v>ville de naissance</v>
          </cell>
          <cell r="F3759" t="str">
            <v>du</v>
          </cell>
          <cell r="G3759" t="str">
            <v>bénéficiaire du règlement</v>
          </cell>
          <cell r="H3759"/>
          <cell r="I3759"/>
        </row>
        <row r="3760">
          <cell r="C3760" t="str">
            <v>numéro</v>
          </cell>
          <cell r="D3760" t="str">
            <v>de</v>
          </cell>
          <cell r="E3760" t="str">
            <v>bénéficiaire du règlement</v>
          </cell>
          <cell r="F3760"/>
          <cell r="G3760"/>
          <cell r="H3760"/>
          <cell r="I3760"/>
        </row>
        <row r="3761">
          <cell r="C3761"/>
          <cell r="D3761" t="str">
            <v>de la</v>
          </cell>
          <cell r="E3761" t="str">
            <v>garantie accident</v>
          </cell>
          <cell r="F3761"/>
          <cell r="G3761"/>
          <cell r="H3761"/>
          <cell r="I3761"/>
        </row>
        <row r="3762">
          <cell r="C3762" t="str">
            <v>état</v>
          </cell>
          <cell r="D3762" t="str">
            <v>de l'</v>
          </cell>
          <cell r="E3762" t="str">
            <v>accident</v>
          </cell>
          <cell r="F3762"/>
          <cell r="G3762"/>
          <cell r="H3762"/>
          <cell r="I3762"/>
        </row>
        <row r="3763">
          <cell r="C3763"/>
          <cell r="D3763" t="str">
            <v>de la</v>
          </cell>
          <cell r="E3763" t="str">
            <v>garantie accident</v>
          </cell>
          <cell r="F3763"/>
          <cell r="G3763"/>
          <cell r="H3763"/>
          <cell r="I3763"/>
        </row>
        <row r="3764">
          <cell r="C3764"/>
          <cell r="D3764" t="str">
            <v>de la</v>
          </cell>
          <cell r="E3764"/>
          <cell r="F3764"/>
          <cell r="G3764"/>
          <cell r="H3764"/>
          <cell r="I3764"/>
        </row>
        <row r="3765">
          <cell r="C3765" t="str">
            <v>état</v>
          </cell>
          <cell r="D3765" t="str">
            <v>du</v>
          </cell>
          <cell r="E3765" t="str">
            <v>décès</v>
          </cell>
          <cell r="F3765"/>
          <cell r="G3765"/>
          <cell r="H3765"/>
          <cell r="I3765"/>
        </row>
        <row r="3766">
          <cell r="C3766" t="str">
            <v>état</v>
          </cell>
          <cell r="D3766" t="str">
            <v>du</v>
          </cell>
          <cell r="E3766" t="str">
            <v>décès accidentel</v>
          </cell>
          <cell r="F3766"/>
          <cell r="G3766"/>
          <cell r="H3766"/>
          <cell r="I3766"/>
        </row>
        <row r="3767">
          <cell r="C3767"/>
          <cell r="D3767" t="str">
            <v>de la</v>
          </cell>
          <cell r="E3767" t="str">
            <v>garantie capital</v>
          </cell>
          <cell r="F3767"/>
          <cell r="G3767"/>
          <cell r="H3767"/>
          <cell r="I3767"/>
        </row>
        <row r="3768">
          <cell r="C3768"/>
          <cell r="D3768" t="str">
            <v>de la</v>
          </cell>
          <cell r="E3768" t="str">
            <v>garantie capital</v>
          </cell>
          <cell r="F3768"/>
          <cell r="G3768"/>
          <cell r="H3768"/>
          <cell r="I3768"/>
        </row>
        <row r="3769">
          <cell r="C3769"/>
          <cell r="D3769" t="str">
            <v>de la</v>
          </cell>
          <cell r="E3769" t="str">
            <v>garantie vie</v>
          </cell>
          <cell r="F3769"/>
          <cell r="G3769"/>
          <cell r="H3769"/>
          <cell r="I3769"/>
        </row>
        <row r="3770">
          <cell r="C3770" t="str">
            <v>état</v>
          </cell>
          <cell r="D3770" t="str">
            <v>de la</v>
          </cell>
          <cell r="E3770" t="str">
            <v>garantie vie</v>
          </cell>
          <cell r="F3770"/>
          <cell r="G3770"/>
          <cell r="H3770"/>
          <cell r="I3770"/>
        </row>
        <row r="3771">
          <cell r="C3771"/>
          <cell r="D3771" t="str">
            <v>de la</v>
          </cell>
          <cell r="E3771" t="str">
            <v>garantie vie</v>
          </cell>
          <cell r="F3771"/>
          <cell r="G3771"/>
          <cell r="H3771"/>
          <cell r="I3771"/>
        </row>
        <row r="3772">
          <cell r="C3772"/>
          <cell r="D3772" t="str">
            <v>de la</v>
          </cell>
          <cell r="E3772" t="str">
            <v>garantie IARD</v>
          </cell>
          <cell r="F3772"/>
          <cell r="G3772"/>
          <cell r="H3772"/>
          <cell r="I3772"/>
        </row>
        <row r="3773">
          <cell r="C3773" t="str">
            <v>état</v>
          </cell>
          <cell r="D3773" t="str">
            <v>de la</v>
          </cell>
          <cell r="E3773" t="str">
            <v>garantie IARD</v>
          </cell>
          <cell r="F3773"/>
          <cell r="G3773"/>
          <cell r="H3773"/>
          <cell r="I3773"/>
        </row>
        <row r="3774">
          <cell r="C3774"/>
          <cell r="D3774" t="str">
            <v>du</v>
          </cell>
          <cell r="E3774" t="str">
            <v>type</v>
          </cell>
          <cell r="F3774" t="str">
            <v>de</v>
          </cell>
          <cell r="G3774" t="str">
            <v>garantie IARD</v>
          </cell>
          <cell r="H3774"/>
          <cell r="I3774"/>
        </row>
        <row r="3775">
          <cell r="C3775" t="str">
            <v>état</v>
          </cell>
          <cell r="D3775" t="str">
            <v>de la</v>
          </cell>
          <cell r="E3775" t="str">
            <v>garantie divers IARD</v>
          </cell>
          <cell r="F3775"/>
          <cell r="G3775"/>
          <cell r="H3775"/>
          <cell r="I3775"/>
        </row>
        <row r="3776">
          <cell r="C3776" t="str">
            <v>état</v>
          </cell>
          <cell r="D3776" t="str">
            <v>de la</v>
          </cell>
          <cell r="E3776" t="str">
            <v>garantie divers Vie</v>
          </cell>
          <cell r="F3776"/>
          <cell r="G3776"/>
          <cell r="H3776"/>
          <cell r="I3776"/>
        </row>
        <row r="3777">
          <cell r="C3777" t="str">
            <v>état</v>
          </cell>
          <cell r="D3777" t="str">
            <v>de la</v>
          </cell>
          <cell r="E3777" t="str">
            <v>garantie capital</v>
          </cell>
          <cell r="F3777"/>
          <cell r="G3777"/>
          <cell r="H3777"/>
          <cell r="I3777"/>
        </row>
        <row r="3778">
          <cell r="C3778"/>
          <cell r="D3778" t="str">
            <v>de la</v>
          </cell>
          <cell r="E3778" t="str">
            <v>garantie divers IARD</v>
          </cell>
          <cell r="F3778"/>
          <cell r="G3778"/>
          <cell r="H3778"/>
          <cell r="I3778"/>
        </row>
        <row r="3779">
          <cell r="C3779"/>
          <cell r="D3779" t="str">
            <v>de la</v>
          </cell>
          <cell r="E3779" t="str">
            <v>garantie divers Vie</v>
          </cell>
          <cell r="F3779"/>
          <cell r="G3779"/>
          <cell r="H3779"/>
          <cell r="I3779"/>
        </row>
        <row r="3780">
          <cell r="C3780"/>
          <cell r="D3780" t="str">
            <v>de la</v>
          </cell>
          <cell r="E3780" t="str">
            <v>garantie divers IARD</v>
          </cell>
          <cell r="F3780"/>
          <cell r="G3780"/>
          <cell r="H3780"/>
          <cell r="I3780"/>
        </row>
        <row r="3781">
          <cell r="C3781"/>
          <cell r="D3781" t="str">
            <v>de la</v>
          </cell>
          <cell r="E3781" t="str">
            <v>garantie divers Vie</v>
          </cell>
          <cell r="F3781"/>
          <cell r="G3781"/>
          <cell r="H3781"/>
          <cell r="I3781"/>
        </row>
        <row r="3782">
          <cell r="C3782"/>
          <cell r="D3782" t="str">
            <v>du</v>
          </cell>
          <cell r="E3782" t="str">
            <v>type</v>
          </cell>
          <cell r="F3782" t="str">
            <v>de la</v>
          </cell>
          <cell r="G3782" t="str">
            <v>garantie divers IARD</v>
          </cell>
          <cell r="H3782"/>
          <cell r="I3782"/>
        </row>
        <row r="3783">
          <cell r="C3783"/>
          <cell r="D3783" t="str">
            <v>du</v>
          </cell>
          <cell r="E3783" t="str">
            <v>type</v>
          </cell>
          <cell r="F3783" t="str">
            <v>de la</v>
          </cell>
          <cell r="G3783" t="str">
            <v>garantie divers Vie</v>
          </cell>
          <cell r="H3783"/>
          <cell r="I3783"/>
        </row>
        <row r="3784">
          <cell r="C3784"/>
          <cell r="D3784" t="str">
            <v>de l'</v>
          </cell>
          <cell r="E3784" t="str">
            <v>objet sinistré</v>
          </cell>
          <cell r="F3784"/>
          <cell r="G3784"/>
          <cell r="H3784"/>
          <cell r="I3784"/>
        </row>
        <row r="3785">
          <cell r="C3785"/>
          <cell r="D3785" t="str">
            <v>du</v>
          </cell>
          <cell r="E3785" t="str">
            <v>tiers assurance</v>
          </cell>
          <cell r="F3785"/>
          <cell r="G3785"/>
          <cell r="H3785"/>
          <cell r="I3785"/>
        </row>
        <row r="3786">
          <cell r="C3786"/>
          <cell r="D3786" t="str">
            <v>du</v>
          </cell>
          <cell r="E3786" t="str">
            <v>type</v>
          </cell>
          <cell r="F3786" t="str">
            <v>de</v>
          </cell>
          <cell r="G3786" t="str">
            <v>tiers assurance</v>
          </cell>
          <cell r="H3786"/>
          <cell r="I3786"/>
        </row>
        <row r="3787">
          <cell r="C3787"/>
          <cell r="D3787" t="str">
            <v>de la</v>
          </cell>
          <cell r="E3787" t="str">
            <v>personne sinistrée</v>
          </cell>
          <cell r="F3787"/>
          <cell r="G3787" t="str">
            <v>non référencé</v>
          </cell>
          <cell r="H3787"/>
          <cell r="I3787"/>
        </row>
        <row r="3788">
          <cell r="C3788"/>
          <cell r="D3788" t="str">
            <v>de la</v>
          </cell>
          <cell r="E3788" t="str">
            <v>personne sinistrée</v>
          </cell>
          <cell r="F3788"/>
          <cell r="G3788" t="str">
            <v>non référencé</v>
          </cell>
          <cell r="H3788"/>
          <cell r="I3788"/>
        </row>
        <row r="3789">
          <cell r="C3789" t="str">
            <v>naissance</v>
          </cell>
          <cell r="D3789" t="str">
            <v>de la</v>
          </cell>
          <cell r="E3789" t="str">
            <v>personne sinistrée</v>
          </cell>
          <cell r="F3789"/>
          <cell r="G3789" t="str">
            <v>non référencé</v>
          </cell>
          <cell r="H3789"/>
          <cell r="I3789"/>
        </row>
        <row r="3790">
          <cell r="C3790"/>
          <cell r="D3790" t="str">
            <v>de la</v>
          </cell>
          <cell r="E3790" t="str">
            <v>personne sinistrée</v>
          </cell>
          <cell r="F3790"/>
          <cell r="G3790" t="str">
            <v>non référencé</v>
          </cell>
          <cell r="H3790"/>
          <cell r="I3790"/>
        </row>
        <row r="3791">
          <cell r="C3791" t="str">
            <v>sexe</v>
          </cell>
          <cell r="D3791" t="str">
            <v>de la</v>
          </cell>
          <cell r="E3791" t="str">
            <v>personne sinistrée</v>
          </cell>
          <cell r="F3791"/>
          <cell r="G3791" t="str">
            <v>non référencé</v>
          </cell>
          <cell r="H3791"/>
          <cell r="I3791"/>
        </row>
        <row r="3792">
          <cell r="C3792"/>
          <cell r="D3792" t="str">
            <v>de la</v>
          </cell>
          <cell r="E3792" t="str">
            <v>personne sinistrée</v>
          </cell>
          <cell r="F3792"/>
          <cell r="G3792" t="str">
            <v>non référencé</v>
          </cell>
          <cell r="H3792"/>
          <cell r="I3792"/>
        </row>
        <row r="3793">
          <cell r="C3793"/>
          <cell r="D3793" t="str">
            <v>de la</v>
          </cell>
          <cell r="E3793" t="str">
            <v>catégorie socio-professionnelle</v>
          </cell>
          <cell r="F3793" t="str">
            <v>de la</v>
          </cell>
          <cell r="G3793" t="str">
            <v>personne sinistrée</v>
          </cell>
          <cell r="H3793" t="str">
            <v>de type</v>
          </cell>
          <cell r="I3793" t="str">
            <v>non référencé</v>
          </cell>
        </row>
        <row r="3794">
          <cell r="C3794"/>
          <cell r="D3794" t="str">
            <v>de</v>
          </cell>
          <cell r="E3794" t="str">
            <v>travailleur à l'étranger</v>
          </cell>
          <cell r="F3794" t="str">
            <v>de type</v>
          </cell>
          <cell r="G3794" t="str">
            <v>sans sécurité sociale</v>
          </cell>
          <cell r="H3794" t="str">
            <v>de la</v>
          </cell>
          <cell r="I3794" t="str">
            <v>personne sinistrée</v>
          </cell>
        </row>
        <row r="3795">
          <cell r="C3795"/>
          <cell r="D3795" t="str">
            <v>d'</v>
          </cell>
          <cell r="E3795" t="str">
            <v>envoi multiple</v>
          </cell>
          <cell r="F3795" t="str">
            <v>de la</v>
          </cell>
          <cell r="G3795" t="str">
            <v>personne sinistrée</v>
          </cell>
          <cell r="H3795" t="str">
            <v>de type</v>
          </cell>
          <cell r="I3795" t="str">
            <v>non référencé</v>
          </cell>
        </row>
        <row r="3796">
          <cell r="C3796"/>
          <cell r="D3796" t="str">
            <v>du</v>
          </cell>
          <cell r="E3796" t="str">
            <v>type</v>
          </cell>
          <cell r="F3796" t="str">
            <v>de</v>
          </cell>
          <cell r="G3796" t="str">
            <v>tiers assurance</v>
          </cell>
          <cell r="H3796" t="str">
            <v>de la</v>
          </cell>
          <cell r="I3796" t="str">
            <v>personne sinistrée</v>
          </cell>
        </row>
        <row r="3797">
          <cell r="C3797"/>
          <cell r="D3797" t="str">
            <v>de la</v>
          </cell>
          <cell r="E3797" t="str">
            <v>personne sinistrée</v>
          </cell>
          <cell r="F3797" t="str">
            <v>de type</v>
          </cell>
          <cell r="G3797" t="str">
            <v>non référencé</v>
          </cell>
          <cell r="H3797"/>
          <cell r="I3797"/>
        </row>
        <row r="3798">
          <cell r="C3798"/>
          <cell r="D3798" t="str">
            <v>du</v>
          </cell>
          <cell r="E3798" t="str">
            <v>groupe sinistre</v>
          </cell>
          <cell r="F3798"/>
          <cell r="G3798"/>
          <cell r="H3798"/>
          <cell r="I3798"/>
        </row>
        <row r="3799">
          <cell r="C3799"/>
          <cell r="D3799" t="str">
            <v>de la</v>
          </cell>
          <cell r="E3799" t="str">
            <v>relation</v>
          </cell>
          <cell r="F3799" t="str">
            <v>entre</v>
          </cell>
          <cell r="G3799" t="str">
            <v>objet assuré</v>
          </cell>
          <cell r="H3799" t="str">
            <v>et</v>
          </cell>
          <cell r="I3799" t="str">
            <v>personne sinistrée</v>
          </cell>
        </row>
        <row r="3800">
          <cell r="C3800"/>
          <cell r="D3800" t="str">
            <v>de l'</v>
          </cell>
          <cell r="E3800" t="str">
            <v>échéancier automatique</v>
          </cell>
          <cell r="F3800" t="str">
            <v>de</v>
          </cell>
          <cell r="G3800" t="str">
            <v>remboursement de sinistre</v>
          </cell>
          <cell r="H3800"/>
          <cell r="I3800"/>
        </row>
        <row r="3801">
          <cell r="C3801"/>
          <cell r="D3801" t="str">
            <v>de l'</v>
          </cell>
          <cell r="E3801" t="str">
            <v>échéancier automatique</v>
          </cell>
          <cell r="F3801" t="str">
            <v>de</v>
          </cell>
          <cell r="G3801" t="str">
            <v>remboursement de sinistre</v>
          </cell>
          <cell r="H3801"/>
          <cell r="I3801"/>
        </row>
        <row r="3802">
          <cell r="C3802"/>
          <cell r="D3802" t="str">
            <v>du</v>
          </cell>
          <cell r="E3802" t="str">
            <v>dossier sinistre</v>
          </cell>
          <cell r="F3802"/>
          <cell r="G3802"/>
          <cell r="H3802"/>
          <cell r="I3802"/>
        </row>
        <row r="3803">
          <cell r="C3803"/>
          <cell r="D3803" t="str">
            <v>de</v>
          </cell>
          <cell r="E3803" t="str">
            <v>référence interne</v>
          </cell>
          <cell r="F3803" t="str">
            <v>du</v>
          </cell>
          <cell r="G3803" t="str">
            <v>contrat</v>
          </cell>
          <cell r="H3803"/>
          <cell r="I3803"/>
        </row>
        <row r="3804">
          <cell r="C3804" t="str">
            <v>interne</v>
          </cell>
          <cell r="D3804" t="str">
            <v>du</v>
          </cell>
          <cell r="E3804" t="str">
            <v>contrat</v>
          </cell>
          <cell r="F3804"/>
          <cell r="G3804"/>
          <cell r="H3804"/>
          <cell r="I3804"/>
        </row>
        <row r="3805">
          <cell r="C3805"/>
          <cell r="D3805" t="str">
            <v>de</v>
          </cell>
          <cell r="E3805" t="str">
            <v>référence externe</v>
          </cell>
          <cell r="F3805" t="str">
            <v>du</v>
          </cell>
          <cell r="G3805" t="str">
            <v>contrat</v>
          </cell>
          <cell r="H3805"/>
          <cell r="I3805"/>
        </row>
        <row r="3806">
          <cell r="C3806" t="str">
            <v>externe</v>
          </cell>
          <cell r="D3806" t="str">
            <v>du</v>
          </cell>
          <cell r="E3806" t="str">
            <v>contrat</v>
          </cell>
          <cell r="F3806"/>
          <cell r="G3806"/>
          <cell r="H3806"/>
          <cell r="I3806"/>
        </row>
        <row r="3807">
          <cell r="C3807"/>
          <cell r="D3807" t="str">
            <v>de l'</v>
          </cell>
          <cell r="E3807" t="str">
            <v>unité de crédit</v>
          </cell>
          <cell r="F3807"/>
          <cell r="G3807"/>
          <cell r="H3807"/>
          <cell r="I3807"/>
        </row>
        <row r="3808">
          <cell r="C3808"/>
          <cell r="D3808" t="str">
            <v>de l'</v>
          </cell>
          <cell r="E3808" t="str">
            <v>échéance</v>
          </cell>
          <cell r="F3808" t="str">
            <v>du</v>
          </cell>
          <cell r="G3808" t="str">
            <v>crédit</v>
          </cell>
          <cell r="H3808"/>
          <cell r="I3808"/>
        </row>
        <row r="3809">
          <cell r="C3809"/>
          <cell r="D3809" t="str">
            <v>d'</v>
          </cell>
          <cell r="E3809" t="str">
            <v>unité de crédit</v>
          </cell>
          <cell r="F3809"/>
          <cell r="G3809"/>
          <cell r="H3809"/>
          <cell r="I3809"/>
        </row>
        <row r="3810">
          <cell r="C3810"/>
          <cell r="D3810" t="str">
            <v>de</v>
          </cell>
          <cell r="E3810" t="str">
            <v>donnée</v>
          </cell>
          <cell r="F3810"/>
          <cell r="G3810"/>
          <cell r="H3810"/>
          <cell r="I3810"/>
        </row>
        <row r="3811">
          <cell r="C3811"/>
          <cell r="D3811" t="str">
            <v>de l'</v>
          </cell>
          <cell r="E3811" t="str">
            <v>enseigne entreprise individuelle</v>
          </cell>
          <cell r="F3811"/>
          <cell r="G3811"/>
          <cell r="H3811"/>
          <cell r="I3811"/>
        </row>
        <row r="3812">
          <cell r="C3812" t="str">
            <v>interne</v>
          </cell>
          <cell r="D3812" t="str">
            <v>du</v>
          </cell>
          <cell r="E3812" t="str">
            <v>crédit</v>
          </cell>
          <cell r="F3812"/>
          <cell r="G3812"/>
          <cell r="H3812"/>
          <cell r="I3812"/>
        </row>
        <row r="3813">
          <cell r="C3813"/>
          <cell r="D3813" t="str">
            <v>de la</v>
          </cell>
          <cell r="E3813" t="str">
            <v>devise</v>
          </cell>
          <cell r="F3813" t="str">
            <v>du</v>
          </cell>
          <cell r="G3813" t="str">
            <v>crédit</v>
          </cell>
          <cell r="H3813"/>
          <cell r="I3813"/>
        </row>
        <row r="3814">
          <cell r="C3814" t="str">
            <v>précédant</v>
          </cell>
          <cell r="D3814" t="str">
            <v>de l'</v>
          </cell>
          <cell r="E3814" t="str">
            <v>échéancier automatique</v>
          </cell>
          <cell r="F3814"/>
          <cell r="G3814"/>
          <cell r="H3814"/>
          <cell r="I3814"/>
        </row>
        <row r="3815">
          <cell r="C3815"/>
          <cell r="D3815" t="str">
            <v>de la</v>
          </cell>
          <cell r="E3815" t="str">
            <v>dernière échéance</v>
          </cell>
          <cell r="F3815" t="str">
            <v>du</v>
          </cell>
          <cell r="G3815" t="str">
            <v>crédit</v>
          </cell>
          <cell r="H3815"/>
          <cell r="I3815"/>
        </row>
        <row r="3816">
          <cell r="C3816"/>
          <cell r="D3816" t="str">
            <v>de la</v>
          </cell>
          <cell r="E3816" t="str">
            <v>dette</v>
          </cell>
          <cell r="F3816"/>
          <cell r="G3816"/>
          <cell r="H3816"/>
          <cell r="I3816"/>
        </row>
        <row r="3817">
          <cell r="C3817"/>
          <cell r="D3817" t="str">
            <v>du</v>
          </cell>
          <cell r="E3817" t="str">
            <v>capital restant dû</v>
          </cell>
          <cell r="F3817"/>
          <cell r="G3817"/>
          <cell r="H3817"/>
          <cell r="I3817"/>
        </row>
        <row r="3818">
          <cell r="C3818" t="str">
            <v>différé</v>
          </cell>
          <cell r="D3818"/>
          <cell r="E3818"/>
          <cell r="F3818"/>
          <cell r="G3818"/>
          <cell r="H3818"/>
          <cell r="I3818"/>
        </row>
        <row r="3819">
          <cell r="C3819"/>
          <cell r="D3819" t="str">
            <v>des</v>
          </cell>
          <cell r="E3819" t="str">
            <v xml:space="preserve">intérêt couru </v>
          </cell>
          <cell r="F3819"/>
          <cell r="G3819"/>
          <cell r="H3819"/>
          <cell r="I3819"/>
        </row>
        <row r="3820">
          <cell r="C3820"/>
          <cell r="D3820" t="str">
            <v>de l'</v>
          </cell>
          <cell r="E3820" t="str">
            <v>assurance courue</v>
          </cell>
          <cell r="F3820"/>
          <cell r="G3820"/>
          <cell r="H3820"/>
          <cell r="I3820"/>
        </row>
        <row r="3821">
          <cell r="C3821" t="str">
            <v>impayés</v>
          </cell>
          <cell r="D3821" t="str">
            <v>de</v>
          </cell>
          <cell r="E3821" t="str">
            <v>crédit</v>
          </cell>
          <cell r="F3821"/>
          <cell r="G3821"/>
          <cell r="H3821"/>
          <cell r="I3821"/>
        </row>
        <row r="3822">
          <cell r="C3822" t="str">
            <v>simulation</v>
          </cell>
          <cell r="D3822" t="str">
            <v>de l'</v>
          </cell>
          <cell r="E3822" t="str">
            <v>échéancier automatique</v>
          </cell>
          <cell r="F3822"/>
          <cell r="G3822"/>
          <cell r="H3822"/>
          <cell r="I3822"/>
        </row>
        <row r="3823">
          <cell r="C3823"/>
          <cell r="D3823" t="str">
            <v>du</v>
          </cell>
          <cell r="E3823" t="str">
            <v>barème de terme</v>
          </cell>
          <cell r="F3823"/>
          <cell r="G3823"/>
          <cell r="H3823"/>
          <cell r="I3823"/>
        </row>
        <row r="3824">
          <cell r="C3824"/>
          <cell r="D3824" t="str">
            <v>du</v>
          </cell>
          <cell r="E3824" t="str">
            <v>barème de taux</v>
          </cell>
          <cell r="F3824"/>
          <cell r="G3824"/>
          <cell r="H3824"/>
          <cell r="I3824"/>
        </row>
        <row r="3825">
          <cell r="C3825" t="str">
            <v>périodicité</v>
          </cell>
          <cell r="D3825" t="str">
            <v>de l'</v>
          </cell>
          <cell r="E3825" t="str">
            <v>échéance</v>
          </cell>
          <cell r="F3825" t="str">
            <v>du</v>
          </cell>
          <cell r="G3825" t="str">
            <v>crédit</v>
          </cell>
          <cell r="H3825"/>
          <cell r="I3825"/>
        </row>
        <row r="3826">
          <cell r="C3826" t="str">
            <v>total</v>
          </cell>
          <cell r="D3826" t="str">
            <v>d'</v>
          </cell>
          <cell r="E3826" t="str">
            <v>échéance</v>
          </cell>
          <cell r="F3826" t="str">
            <v>du</v>
          </cell>
          <cell r="G3826" t="str">
            <v>crédit</v>
          </cell>
          <cell r="H3826"/>
          <cell r="I3826"/>
        </row>
        <row r="3827">
          <cell r="C3827"/>
          <cell r="D3827" t="str">
            <v>de l'</v>
          </cell>
          <cell r="E3827" t="str">
            <v>échéance</v>
          </cell>
          <cell r="F3827" t="str">
            <v>du</v>
          </cell>
          <cell r="G3827" t="str">
            <v>crédit</v>
          </cell>
          <cell r="H3827"/>
          <cell r="I3827"/>
        </row>
        <row r="3828">
          <cell r="C3828" t="str">
            <v>retour</v>
          </cell>
          <cell r="D3828" t="str">
            <v>du</v>
          </cell>
          <cell r="E3828" t="str">
            <v>calcul de la dette</v>
          </cell>
          <cell r="F3828" t="str">
            <v>ou</v>
          </cell>
          <cell r="G3828" t="str">
            <v>calcul de l'échéance</v>
          </cell>
          <cell r="H3828"/>
          <cell r="I3828"/>
        </row>
        <row r="3829">
          <cell r="C3829"/>
          <cell r="D3829" t="str">
            <v>du</v>
          </cell>
          <cell r="E3829" t="str">
            <v>crédit</v>
          </cell>
          <cell r="F3829"/>
          <cell r="G3829"/>
          <cell r="H3829"/>
          <cell r="I3829"/>
        </row>
        <row r="3830">
          <cell r="C3830"/>
          <cell r="D3830" t="str">
            <v>de</v>
          </cell>
          <cell r="E3830" t="str">
            <v>canal de communication</v>
          </cell>
          <cell r="F3830" t="str">
            <v>de l'</v>
          </cell>
          <cell r="G3830" t="str">
            <v>intéraction</v>
          </cell>
          <cell r="H3830"/>
          <cell r="I3830"/>
        </row>
        <row r="3831">
          <cell r="C3831"/>
          <cell r="D3831" t="str">
            <v>de l'</v>
          </cell>
          <cell r="E3831" t="str">
            <v>intéraction</v>
          </cell>
          <cell r="F3831"/>
          <cell r="G3831"/>
          <cell r="H3831"/>
          <cell r="I3831"/>
        </row>
        <row r="3832">
          <cell r="C3832"/>
          <cell r="D3832" t="str">
            <v>de la</v>
          </cell>
          <cell r="E3832" t="str">
            <v>source applicative</v>
          </cell>
          <cell r="F3832" t="str">
            <v>de l'</v>
          </cell>
          <cell r="G3832" t="str">
            <v>intéraction</v>
          </cell>
          <cell r="H3832"/>
          <cell r="I3832"/>
        </row>
        <row r="3833">
          <cell r="C3833"/>
          <cell r="D3833" t="str">
            <v>de l'</v>
          </cell>
          <cell r="E3833" t="str">
            <v>intéraction</v>
          </cell>
          <cell r="F3833"/>
          <cell r="G3833"/>
          <cell r="H3833"/>
          <cell r="I3833"/>
        </row>
        <row r="3834">
          <cell r="C3834"/>
          <cell r="D3834" t="str">
            <v>de la</v>
          </cell>
          <cell r="E3834" t="str">
            <v>source</v>
          </cell>
          <cell r="F3834" t="str">
            <v>de l'</v>
          </cell>
          <cell r="G3834" t="str">
            <v>intéraction</v>
          </cell>
          <cell r="H3834"/>
          <cell r="I3834"/>
        </row>
        <row r="3835">
          <cell r="C3835"/>
          <cell r="D3835" t="str">
            <v>de la</v>
          </cell>
          <cell r="E3835" t="str">
            <v>cible</v>
          </cell>
          <cell r="F3835" t="str">
            <v>de l'</v>
          </cell>
          <cell r="G3835" t="str">
            <v>intéraction</v>
          </cell>
          <cell r="H3835"/>
          <cell r="I3835"/>
        </row>
        <row r="3836">
          <cell r="C3836"/>
          <cell r="D3836" t="str">
            <v xml:space="preserve"> </v>
          </cell>
          <cell r="E3836" t="str">
            <v>communication interne</v>
          </cell>
          <cell r="F3836"/>
          <cell r="G3836"/>
          <cell r="H3836"/>
          <cell r="I3836"/>
        </row>
        <row r="3837">
          <cell r="C3837"/>
          <cell r="D3837" t="str">
            <v xml:space="preserve"> </v>
          </cell>
          <cell r="E3837" t="str">
            <v>communication externe</v>
          </cell>
          <cell r="F3837"/>
          <cell r="G3837"/>
          <cell r="H3837"/>
          <cell r="I3837"/>
        </row>
        <row r="3838">
          <cell r="C3838"/>
          <cell r="D3838" t="str">
            <v xml:space="preserve"> </v>
          </cell>
          <cell r="E3838" t="str">
            <v>communication liée</v>
          </cell>
          <cell r="F3838"/>
          <cell r="G3838"/>
          <cell r="H3838"/>
          <cell r="I3838"/>
        </row>
        <row r="3839">
          <cell r="C3839"/>
          <cell r="D3839" t="str">
            <v>de l'</v>
          </cell>
          <cell r="E3839" t="str">
            <v>intéraction liée</v>
          </cell>
          <cell r="F3839"/>
          <cell r="G3839"/>
          <cell r="H3839"/>
          <cell r="I3839"/>
        </row>
        <row r="3840">
          <cell r="C3840"/>
          <cell r="D3840" t="str">
            <v xml:space="preserve"> </v>
          </cell>
          <cell r="E3840" t="str">
            <v>communication confidentielle</v>
          </cell>
          <cell r="F3840"/>
          <cell r="G3840"/>
          <cell r="H3840"/>
          <cell r="I3840"/>
        </row>
        <row r="3841">
          <cell r="C3841"/>
          <cell r="D3841" t="str">
            <v>de</v>
          </cell>
          <cell r="E3841" t="str">
            <v>confidentialité</v>
          </cell>
          <cell r="F3841"/>
          <cell r="G3841"/>
          <cell r="H3841"/>
          <cell r="I3841"/>
        </row>
        <row r="3842">
          <cell r="C3842"/>
          <cell r="D3842" t="str">
            <v>de l'</v>
          </cell>
          <cell r="E3842" t="str">
            <v>intéraction</v>
          </cell>
          <cell r="F3842"/>
          <cell r="G3842"/>
          <cell r="H3842"/>
          <cell r="I3842"/>
        </row>
        <row r="3843">
          <cell r="C3843"/>
          <cell r="D3843" t="str">
            <v>de l'</v>
          </cell>
          <cell r="E3843" t="str">
            <v>intéraction</v>
          </cell>
          <cell r="F3843"/>
          <cell r="G3843"/>
          <cell r="H3843"/>
          <cell r="I3843"/>
        </row>
        <row r="3844">
          <cell r="C3844"/>
          <cell r="D3844" t="str">
            <v>de l'</v>
          </cell>
          <cell r="E3844" t="str">
            <v>enregistrement</v>
          </cell>
          <cell r="F3844"/>
          <cell r="G3844"/>
          <cell r="H3844"/>
          <cell r="I3844"/>
        </row>
        <row r="3845">
          <cell r="C3845"/>
          <cell r="D3845" t="str">
            <v>de l'</v>
          </cell>
          <cell r="E3845" t="str">
            <v>enregistrement</v>
          </cell>
          <cell r="F3845"/>
          <cell r="G3845"/>
          <cell r="H3845"/>
          <cell r="I3845"/>
        </row>
        <row r="3846">
          <cell r="C3846" t="str">
            <v>dernière image</v>
          </cell>
          <cell r="D3846" t="str">
            <v>de l'</v>
          </cell>
          <cell r="E3846" t="str">
            <v>intéraction</v>
          </cell>
          <cell r="F3846"/>
          <cell r="G3846"/>
          <cell r="H3846"/>
          <cell r="I3846"/>
        </row>
        <row r="3847">
          <cell r="C3847"/>
          <cell r="D3847" t="str">
            <v>de l'</v>
          </cell>
          <cell r="E3847" t="str">
            <v>information liée</v>
          </cell>
          <cell r="F3847"/>
          <cell r="G3847"/>
          <cell r="H3847"/>
          <cell r="I3847"/>
        </row>
        <row r="3848">
          <cell r="C3848"/>
          <cell r="D3848" t="str">
            <v>de la</v>
          </cell>
          <cell r="E3848" t="str">
            <v>source applicative</v>
          </cell>
          <cell r="F3848" t="str">
            <v>de l'</v>
          </cell>
          <cell r="G3848" t="str">
            <v>information liée</v>
          </cell>
          <cell r="H3848"/>
          <cell r="I3848"/>
        </row>
        <row r="3849">
          <cell r="C3849"/>
          <cell r="D3849" t="str">
            <v>du</v>
          </cell>
          <cell r="E3849" t="str">
            <v>document</v>
          </cell>
          <cell r="F3849"/>
          <cell r="G3849"/>
          <cell r="H3849"/>
          <cell r="I3849"/>
        </row>
        <row r="3850">
          <cell r="C3850"/>
          <cell r="D3850" t="str">
            <v>d'</v>
          </cell>
          <cell r="E3850" t="str">
            <v>index du SIO</v>
          </cell>
          <cell r="F3850"/>
          <cell r="G3850"/>
          <cell r="H3850"/>
          <cell r="I3850"/>
        </row>
        <row r="3851">
          <cell r="C3851"/>
          <cell r="D3851" t="str">
            <v>d'</v>
          </cell>
          <cell r="E3851" t="str">
            <v>index du SID</v>
          </cell>
          <cell r="F3851"/>
          <cell r="G3851"/>
          <cell r="H3851"/>
          <cell r="I3851"/>
        </row>
        <row r="3852">
          <cell r="C3852"/>
          <cell r="D3852" t="str">
            <v>de la</v>
          </cell>
          <cell r="E3852" t="str">
            <v>donnée SIO</v>
          </cell>
          <cell r="F3852"/>
          <cell r="G3852"/>
          <cell r="H3852"/>
          <cell r="I3852"/>
        </row>
        <row r="3853">
          <cell r="C3853"/>
          <cell r="D3853" t="str">
            <v>de la</v>
          </cell>
          <cell r="E3853" t="str">
            <v>donnée SID</v>
          </cell>
          <cell r="F3853"/>
          <cell r="G3853"/>
          <cell r="H3853"/>
          <cell r="I3853"/>
        </row>
        <row r="3854">
          <cell r="C3854"/>
          <cell r="D3854" t="str">
            <v>de l'</v>
          </cell>
          <cell r="E3854" t="str">
            <v>index</v>
          </cell>
          <cell r="F3854"/>
          <cell r="G3854"/>
          <cell r="H3854"/>
          <cell r="I3854"/>
        </row>
        <row r="3855">
          <cell r="C3855"/>
          <cell r="D3855" t="str">
            <v>de l'</v>
          </cell>
          <cell r="E3855" t="str">
            <v>index</v>
          </cell>
          <cell r="F3855"/>
          <cell r="G3855"/>
          <cell r="H3855"/>
          <cell r="I3855"/>
        </row>
        <row r="3856">
          <cell r="C3856"/>
          <cell r="D3856" t="str">
            <v>de l'</v>
          </cell>
          <cell r="E3856" t="str">
            <v>enregistrement</v>
          </cell>
          <cell r="F3856"/>
          <cell r="G3856"/>
          <cell r="H3856"/>
          <cell r="I3856"/>
        </row>
        <row r="3857">
          <cell r="C3857"/>
          <cell r="D3857" t="str">
            <v>de l'</v>
          </cell>
          <cell r="E3857" t="str">
            <v>enregistrement</v>
          </cell>
          <cell r="F3857"/>
          <cell r="G3857"/>
          <cell r="H3857"/>
          <cell r="I3857"/>
        </row>
        <row r="3858">
          <cell r="C3858" t="str">
            <v>dernière image</v>
          </cell>
          <cell r="D3858" t="str">
            <v>de l'</v>
          </cell>
          <cell r="E3858" t="str">
            <v>information liée</v>
          </cell>
          <cell r="F3858"/>
          <cell r="G3858"/>
          <cell r="H3858"/>
          <cell r="I3858"/>
        </row>
        <row r="3859">
          <cell r="C3859"/>
          <cell r="D3859" t="str">
            <v>du</v>
          </cell>
          <cell r="E3859" t="str">
            <v>document</v>
          </cell>
          <cell r="F3859"/>
          <cell r="G3859"/>
          <cell r="H3859"/>
          <cell r="I3859"/>
        </row>
        <row r="3860">
          <cell r="C3860"/>
          <cell r="D3860" t="str">
            <v>de la</v>
          </cell>
          <cell r="E3860" t="str">
            <v>source applicative</v>
          </cell>
          <cell r="F3860" t="str">
            <v>du</v>
          </cell>
          <cell r="G3860" t="str">
            <v>document</v>
          </cell>
          <cell r="H3860"/>
          <cell r="I3860"/>
        </row>
        <row r="3861">
          <cell r="C3861"/>
          <cell r="D3861" t="str">
            <v>du</v>
          </cell>
          <cell r="E3861" t="str">
            <v>document</v>
          </cell>
          <cell r="F3861"/>
          <cell r="G3861"/>
          <cell r="H3861"/>
          <cell r="I3861"/>
        </row>
        <row r="3862">
          <cell r="C3862"/>
          <cell r="D3862" t="str">
            <v>du</v>
          </cell>
          <cell r="E3862" t="str">
            <v>document</v>
          </cell>
          <cell r="F3862"/>
          <cell r="G3862"/>
          <cell r="H3862"/>
          <cell r="I3862"/>
        </row>
        <row r="3863">
          <cell r="C3863"/>
          <cell r="D3863" t="str">
            <v>de la</v>
          </cell>
          <cell r="E3863" t="str">
            <v>référence de documents</v>
          </cell>
          <cell r="F3863"/>
          <cell r="G3863"/>
          <cell r="H3863"/>
          <cell r="I3863"/>
        </row>
        <row r="3864">
          <cell r="C3864"/>
          <cell r="D3864" t="str">
            <v>du</v>
          </cell>
          <cell r="E3864" t="str">
            <v>document</v>
          </cell>
          <cell r="F3864"/>
          <cell r="G3864"/>
          <cell r="H3864"/>
          <cell r="I3864"/>
        </row>
        <row r="3865">
          <cell r="C3865"/>
          <cell r="D3865" t="str">
            <v>du</v>
          </cell>
          <cell r="E3865" t="str">
            <v>document</v>
          </cell>
          <cell r="F3865"/>
          <cell r="G3865"/>
          <cell r="H3865"/>
          <cell r="I3865"/>
        </row>
        <row r="3866">
          <cell r="C3866"/>
          <cell r="D3866" t="str">
            <v>du</v>
          </cell>
          <cell r="E3866" t="str">
            <v>document</v>
          </cell>
          <cell r="F3866"/>
          <cell r="G3866"/>
          <cell r="H3866"/>
          <cell r="I3866"/>
        </row>
        <row r="3867">
          <cell r="C3867"/>
          <cell r="D3867" t="str">
            <v>de l'</v>
          </cell>
          <cell r="E3867" t="str">
            <v>établissement</v>
          </cell>
          <cell r="F3867"/>
          <cell r="G3867"/>
          <cell r="H3867"/>
          <cell r="I3867"/>
        </row>
        <row r="3868">
          <cell r="C3868"/>
          <cell r="D3868" t="str">
            <v>du</v>
          </cell>
          <cell r="E3868" t="str">
            <v>guichet de l'établissement</v>
          </cell>
          <cell r="F3868"/>
          <cell r="G3868"/>
          <cell r="H3868"/>
          <cell r="I3868"/>
        </row>
        <row r="3869">
          <cell r="C3869"/>
          <cell r="D3869" t="str">
            <v>du</v>
          </cell>
          <cell r="E3869" t="str">
            <v>document</v>
          </cell>
          <cell r="F3869" t="str">
            <v>dans la</v>
          </cell>
          <cell r="G3869" t="str">
            <v>GED</v>
          </cell>
          <cell r="H3869"/>
          <cell r="I3869"/>
        </row>
        <row r="3870">
          <cell r="C3870"/>
          <cell r="D3870" t="str">
            <v>de l'</v>
          </cell>
          <cell r="E3870" t="str">
            <v>application</v>
          </cell>
          <cell r="F3870" t="str">
            <v>dans la</v>
          </cell>
          <cell r="G3870" t="str">
            <v>GED</v>
          </cell>
          <cell r="H3870"/>
          <cell r="I3870"/>
        </row>
        <row r="3871">
          <cell r="C3871"/>
          <cell r="D3871" t="str">
            <v>du</v>
          </cell>
          <cell r="E3871" t="str">
            <v>site de stockage</v>
          </cell>
          <cell r="F3871" t="str">
            <v>dans la</v>
          </cell>
          <cell r="G3871" t="str">
            <v>GED</v>
          </cell>
          <cell r="H3871"/>
          <cell r="I3871"/>
        </row>
        <row r="3872">
          <cell r="C3872"/>
          <cell r="D3872" t="str">
            <v>du</v>
          </cell>
          <cell r="E3872" t="str">
            <v>document</v>
          </cell>
          <cell r="F3872"/>
          <cell r="G3872"/>
          <cell r="H3872"/>
          <cell r="I3872"/>
        </row>
        <row r="3873">
          <cell r="C3873" t="str">
            <v>pages</v>
          </cell>
          <cell r="D3873" t="str">
            <v>du</v>
          </cell>
          <cell r="E3873" t="str">
            <v>document</v>
          </cell>
          <cell r="F3873"/>
          <cell r="G3873"/>
          <cell r="H3873"/>
          <cell r="I3873"/>
        </row>
        <row r="3874">
          <cell r="C3874"/>
          <cell r="D3874" t="str">
            <v>de l'</v>
          </cell>
          <cell r="E3874" t="str">
            <v>origine de la numérisation</v>
          </cell>
          <cell r="F3874"/>
          <cell r="G3874"/>
          <cell r="H3874"/>
          <cell r="I3874"/>
        </row>
        <row r="3875">
          <cell r="C3875"/>
          <cell r="D3875" t="str">
            <v>de l'</v>
          </cell>
          <cell r="E3875" t="str">
            <v>état</v>
          </cell>
          <cell r="F3875" t="str">
            <v>du</v>
          </cell>
          <cell r="G3875" t="str">
            <v>document</v>
          </cell>
          <cell r="H3875"/>
          <cell r="I3875"/>
        </row>
        <row r="3876">
          <cell r="C3876"/>
          <cell r="D3876" t="str">
            <v xml:space="preserve"> </v>
          </cell>
          <cell r="E3876" t="str">
            <v>DVI</v>
          </cell>
          <cell r="F3876" t="str">
            <v>du</v>
          </cell>
          <cell r="G3876" t="str">
            <v>document</v>
          </cell>
          <cell r="H3876"/>
          <cell r="I3876"/>
        </row>
        <row r="3877">
          <cell r="C3877"/>
          <cell r="D3877" t="str">
            <v xml:space="preserve"> </v>
          </cell>
          <cell r="E3877" t="str">
            <v>archivage automatique</v>
          </cell>
          <cell r="F3877" t="str">
            <v>du</v>
          </cell>
          <cell r="G3877" t="str">
            <v>document</v>
          </cell>
          <cell r="H3877"/>
          <cell r="I3877"/>
        </row>
        <row r="3878">
          <cell r="C3878"/>
          <cell r="D3878" t="str">
            <v xml:space="preserve"> </v>
          </cell>
          <cell r="E3878" t="str">
            <v>exportation</v>
          </cell>
          <cell r="F3878" t="str">
            <v>du</v>
          </cell>
          <cell r="G3878" t="str">
            <v>document</v>
          </cell>
          <cell r="H3878"/>
          <cell r="I3878"/>
        </row>
        <row r="3879">
          <cell r="C3879"/>
          <cell r="D3879" t="str">
            <v>du</v>
          </cell>
          <cell r="E3879" t="str">
            <v>site maître</v>
          </cell>
          <cell r="F3879" t="str">
            <v>du</v>
          </cell>
          <cell r="G3879" t="str">
            <v>document</v>
          </cell>
        </row>
        <row r="3880">
          <cell r="C3880" t="str">
            <v>rattachement</v>
          </cell>
          <cell r="D3880" t="str">
            <v>du</v>
          </cell>
          <cell r="E3880" t="str">
            <v>document</v>
          </cell>
          <cell r="F3880"/>
          <cell r="G3880"/>
        </row>
        <row r="3881">
          <cell r="C3881"/>
          <cell r="D3881" t="str">
            <v>du</v>
          </cell>
          <cell r="E3881" t="str">
            <v>document</v>
          </cell>
          <cell r="F3881"/>
          <cell r="G3881"/>
        </row>
        <row r="3882">
          <cell r="C3882"/>
          <cell r="D3882" t="str">
            <v>de</v>
          </cell>
          <cell r="E3882" t="str">
            <v>confidentialité</v>
          </cell>
          <cell r="F3882"/>
          <cell r="G3882"/>
        </row>
        <row r="3883">
          <cell r="C3883"/>
          <cell r="D3883" t="str">
            <v>de l'</v>
          </cell>
          <cell r="E3883" t="str">
            <v>enregistrement</v>
          </cell>
          <cell r="F3883"/>
          <cell r="G3883"/>
        </row>
        <row r="3884">
          <cell r="C3884"/>
          <cell r="D3884" t="str">
            <v>de l'</v>
          </cell>
          <cell r="E3884" t="str">
            <v>enregistrement</v>
          </cell>
          <cell r="F3884"/>
          <cell r="G3884"/>
        </row>
        <row r="3885">
          <cell r="C3885" t="str">
            <v>dernière image</v>
          </cell>
          <cell r="D3885" t="str">
            <v>du</v>
          </cell>
          <cell r="E3885" t="str">
            <v>document</v>
          </cell>
          <cell r="F3885"/>
          <cell r="G3885"/>
        </row>
        <row r="3886">
          <cell r="C3886"/>
          <cell r="D3886" t="str">
            <v>de la</v>
          </cell>
          <cell r="E3886" t="str">
            <v>référence de documents</v>
          </cell>
          <cell r="F3886"/>
          <cell r="G3886"/>
        </row>
        <row r="3887">
          <cell r="C3887"/>
          <cell r="D3887" t="str">
            <v>de la</v>
          </cell>
          <cell r="E3887" t="str">
            <v>source applicative</v>
          </cell>
          <cell r="F3887" t="str">
            <v>de la</v>
          </cell>
          <cell r="G3887" t="str">
            <v>référence de documents</v>
          </cell>
        </row>
        <row r="3888">
          <cell r="C3888"/>
          <cell r="D3888" t="str">
            <v>de la</v>
          </cell>
          <cell r="E3888" t="str">
            <v>référence de documents</v>
          </cell>
          <cell r="F3888"/>
          <cell r="G3888"/>
        </row>
        <row r="3889">
          <cell r="C3889"/>
          <cell r="D3889" t="str">
            <v>d'</v>
          </cell>
          <cell r="E3889" t="str">
            <v>enregistrement</v>
          </cell>
          <cell r="F3889"/>
          <cell r="G3889"/>
        </row>
        <row r="3890">
          <cell r="C3890"/>
          <cell r="D3890" t="str">
            <v>de la</v>
          </cell>
          <cell r="E3890" t="str">
            <v>clé de référencement</v>
          </cell>
          <cell r="F3890"/>
          <cell r="G3890"/>
        </row>
        <row r="3891">
          <cell r="C3891"/>
          <cell r="D3891" t="str">
            <v>de la</v>
          </cell>
          <cell r="E3891" t="str">
            <v>famille</v>
          </cell>
          <cell r="F3891"/>
          <cell r="G3891"/>
        </row>
        <row r="3892">
          <cell r="C3892"/>
          <cell r="D3892" t="str">
            <v>de la</v>
          </cell>
          <cell r="E3892" t="str">
            <v>sous-famille</v>
          </cell>
          <cell r="F3892"/>
          <cell r="G3892"/>
        </row>
        <row r="3893">
          <cell r="C3893"/>
          <cell r="D3893" t="str">
            <v>de la</v>
          </cell>
          <cell r="E3893" t="str">
            <v>rubrique</v>
          </cell>
          <cell r="F3893"/>
          <cell r="G3893"/>
        </row>
        <row r="3894">
          <cell r="C3894"/>
          <cell r="D3894" t="str">
            <v>de la</v>
          </cell>
          <cell r="E3894" t="str">
            <v>séquence</v>
          </cell>
          <cell r="F3894"/>
          <cell r="G3894"/>
        </row>
        <row r="3895">
          <cell r="C3895"/>
          <cell r="D3895" t="str">
            <v>de l'</v>
          </cell>
          <cell r="E3895" t="str">
            <v>application source</v>
          </cell>
          <cell r="F3895" t="str">
            <v>des</v>
          </cell>
          <cell r="G3895" t="str">
            <v>donnée</v>
          </cell>
        </row>
        <row r="3896">
          <cell r="C3896"/>
          <cell r="D3896" t="str">
            <v>de la</v>
          </cell>
          <cell r="E3896" t="str">
            <v>référence de documents</v>
          </cell>
          <cell r="F3896"/>
          <cell r="G3896"/>
        </row>
        <row r="3897">
          <cell r="C3897"/>
          <cell r="D3897" t="str">
            <v>de la</v>
          </cell>
          <cell r="E3897" t="str">
            <v>référence de documents</v>
          </cell>
          <cell r="F3897"/>
          <cell r="G3897"/>
        </row>
        <row r="3898">
          <cell r="C3898"/>
          <cell r="D3898" t="str">
            <v>de l'</v>
          </cell>
          <cell r="E3898" t="str">
            <v>application origine</v>
          </cell>
          <cell r="F3898" t="str">
            <v>de la</v>
          </cell>
          <cell r="G3898" t="str">
            <v>demande</v>
          </cell>
        </row>
        <row r="3899">
          <cell r="C3899"/>
          <cell r="D3899" t="str">
            <v>de la</v>
          </cell>
          <cell r="E3899" t="str">
            <v>transaction</v>
          </cell>
          <cell r="F3899"/>
          <cell r="G3899"/>
        </row>
        <row r="3900">
          <cell r="C3900"/>
          <cell r="D3900" t="str">
            <v>de la</v>
          </cell>
          <cell r="E3900" t="str">
            <v>référence de documents</v>
          </cell>
          <cell r="F3900"/>
          <cell r="G3900"/>
        </row>
        <row r="3901">
          <cell r="C3901"/>
          <cell r="D3901" t="str">
            <v xml:space="preserve"> </v>
          </cell>
          <cell r="E3901" t="str">
            <v>contractuel</v>
          </cell>
          <cell r="F3901"/>
          <cell r="G3901"/>
        </row>
        <row r="3902">
          <cell r="C3902"/>
          <cell r="D3902" t="str">
            <v xml:space="preserve"> </v>
          </cell>
          <cell r="E3902" t="str">
            <v>accès confidentiel</v>
          </cell>
          <cell r="F3902"/>
          <cell r="G3902"/>
        </row>
        <row r="3903">
          <cell r="C3903"/>
          <cell r="D3903" t="str">
            <v>de la</v>
          </cell>
          <cell r="E3903" t="str">
            <v>ressource SAS</v>
          </cell>
          <cell r="F3903" t="str">
            <v>pour</v>
          </cell>
          <cell r="G3903" t="str">
            <v>accès</v>
          </cell>
        </row>
        <row r="3904">
          <cell r="C3904"/>
          <cell r="D3904" t="str">
            <v>de la</v>
          </cell>
          <cell r="E3904" t="str">
            <v>valorisation confidentiel</v>
          </cell>
          <cell r="F3904"/>
          <cell r="G3904"/>
        </row>
        <row r="3905">
          <cell r="C3905"/>
          <cell r="D3905" t="str">
            <v>de l'</v>
          </cell>
          <cell r="E3905" t="str">
            <v>équipe demandeuse</v>
          </cell>
          <cell r="F3905"/>
          <cell r="G3905"/>
        </row>
        <row r="3906">
          <cell r="C3906"/>
          <cell r="D3906" t="str">
            <v>du</v>
          </cell>
          <cell r="E3906" t="str">
            <v>demandeur</v>
          </cell>
          <cell r="F3906"/>
          <cell r="G3906"/>
        </row>
        <row r="3907">
          <cell r="C3907"/>
          <cell r="D3907" t="str">
            <v>de l'</v>
          </cell>
          <cell r="E3907" t="str">
            <v>état</v>
          </cell>
          <cell r="F3907" t="str">
            <v>de la</v>
          </cell>
          <cell r="G3907" t="str">
            <v>référence de documents</v>
          </cell>
        </row>
        <row r="3908">
          <cell r="C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cell r="F3909"/>
          <cell r="G3909"/>
        </row>
        <row r="3910">
          <cell r="C3910"/>
          <cell r="D3910" t="str">
            <v>de la</v>
          </cell>
          <cell r="E3910" t="str">
            <v>langue d'utilisation</v>
          </cell>
          <cell r="F3910"/>
          <cell r="G3910"/>
        </row>
        <row r="3911">
          <cell r="C3911"/>
          <cell r="D3911" t="str">
            <v>du</v>
          </cell>
          <cell r="E3911" t="str">
            <v>pays</v>
          </cell>
          <cell r="F3911"/>
          <cell r="G3911"/>
        </row>
        <row r="3912">
          <cell r="C3912"/>
          <cell r="D3912" t="str">
            <v>de la</v>
          </cell>
          <cell r="E3912" t="str">
            <v>référence de documents</v>
          </cell>
          <cell r="F3912"/>
          <cell r="G3912"/>
        </row>
        <row r="3913">
          <cell r="C3913"/>
          <cell r="D3913" t="str">
            <v>de la</v>
          </cell>
          <cell r="E3913" t="str">
            <v>référence de documents</v>
          </cell>
          <cell r="F3913"/>
          <cell r="G3913"/>
        </row>
        <row r="3914">
          <cell r="C3914"/>
          <cell r="D3914" t="str">
            <v xml:space="preserve"> </v>
          </cell>
          <cell r="E3914" t="str">
            <v>édition autorisée</v>
          </cell>
          <cell r="F3914"/>
          <cell r="G3914"/>
        </row>
        <row r="3915">
          <cell r="C3915"/>
          <cell r="D3915" t="str">
            <v>de l'</v>
          </cell>
          <cell r="E3915" t="str">
            <v>enregistrement</v>
          </cell>
          <cell r="F3915"/>
          <cell r="G3915"/>
        </row>
        <row r="3916">
          <cell r="C3916"/>
          <cell r="D3916" t="str">
            <v>de l'</v>
          </cell>
          <cell r="E3916" t="str">
            <v>enregistrement</v>
          </cell>
          <cell r="F3916"/>
          <cell r="G3916"/>
        </row>
        <row r="3917">
          <cell r="C3917" t="str">
            <v>dernière image</v>
          </cell>
          <cell r="D3917" t="str">
            <v>de la</v>
          </cell>
          <cell r="E3917" t="str">
            <v>référence de documents</v>
          </cell>
          <cell r="F3917"/>
          <cell r="G3917"/>
        </row>
        <row r="3918">
          <cell r="C3918"/>
          <cell r="D3918" t="str">
            <v>du</v>
          </cell>
          <cell r="E3918" t="str">
            <v>courrier</v>
          </cell>
          <cell r="F3918"/>
          <cell r="G3918"/>
        </row>
        <row r="3919">
          <cell r="C3919"/>
          <cell r="D3919" t="str">
            <v>de la</v>
          </cell>
          <cell r="E3919" t="str">
            <v>source applicative</v>
          </cell>
          <cell r="F3919" t="str">
            <v>du</v>
          </cell>
          <cell r="G3919" t="str">
            <v>courrier</v>
          </cell>
        </row>
        <row r="3920">
          <cell r="C3920"/>
          <cell r="D3920" t="str">
            <v>du</v>
          </cell>
          <cell r="E3920" t="str">
            <v>document</v>
          </cell>
          <cell r="F3920"/>
          <cell r="G3920"/>
        </row>
        <row r="3921">
          <cell r="C3921"/>
          <cell r="D3921" t="str">
            <v>du</v>
          </cell>
          <cell r="E3921" t="str">
            <v>document</v>
          </cell>
          <cell r="F3921"/>
          <cell r="G3921"/>
        </row>
        <row r="3922">
          <cell r="C3922"/>
          <cell r="D3922" t="str">
            <v>de l'</v>
          </cell>
          <cell r="E3922" t="str">
            <v>intéraction</v>
          </cell>
          <cell r="F3922"/>
          <cell r="G3922"/>
        </row>
        <row r="3923">
          <cell r="C3923"/>
          <cell r="D3923" t="str">
            <v>du</v>
          </cell>
          <cell r="E3923" t="str">
            <v>modèle de courriers</v>
          </cell>
          <cell r="F3923"/>
          <cell r="G3923"/>
        </row>
        <row r="3924">
          <cell r="C3924"/>
          <cell r="D3924" t="str">
            <v>du</v>
          </cell>
          <cell r="E3924" t="str">
            <v>modèle de courriers</v>
          </cell>
          <cell r="F3924"/>
          <cell r="G3924"/>
        </row>
        <row r="3925">
          <cell r="C3925"/>
          <cell r="D3925" t="str">
            <v>de</v>
          </cell>
          <cell r="E3925" t="str">
            <v>catalogue de courriers</v>
          </cell>
          <cell r="F3925"/>
          <cell r="G3925"/>
        </row>
        <row r="3926">
          <cell r="C3926"/>
          <cell r="D3926" t="str">
            <v>d'</v>
          </cell>
          <cell r="E3926" t="str">
            <v>édition courrier</v>
          </cell>
          <cell r="F3926"/>
          <cell r="G3926"/>
        </row>
        <row r="3927">
          <cell r="C3927"/>
          <cell r="D3927" t="str">
            <v>de la</v>
          </cell>
          <cell r="E3927" t="str">
            <v>modification post fusion</v>
          </cell>
          <cell r="F3927"/>
          <cell r="G3927"/>
        </row>
        <row r="3928">
          <cell r="C3928"/>
          <cell r="D3928" t="str">
            <v>de l'</v>
          </cell>
          <cell r="E3928" t="str">
            <v>état</v>
          </cell>
          <cell r="F3928" t="str">
            <v>du</v>
          </cell>
          <cell r="G3928" t="str">
            <v>courrier</v>
          </cell>
        </row>
        <row r="3929">
          <cell r="C3929"/>
          <cell r="D3929" t="str">
            <v>du</v>
          </cell>
          <cell r="E3929" t="str">
            <v>canal de sortie</v>
          </cell>
          <cell r="F3929"/>
          <cell r="G3929"/>
        </row>
        <row r="3930">
          <cell r="C3930"/>
          <cell r="D3930" t="str">
            <v>du</v>
          </cell>
          <cell r="E3930" t="str">
            <v>courrier</v>
          </cell>
          <cell r="F3930"/>
          <cell r="G3930"/>
        </row>
        <row r="3931">
          <cell r="C3931" t="str">
            <v>validation</v>
          </cell>
          <cell r="D3931" t="str">
            <v>du</v>
          </cell>
          <cell r="E3931" t="str">
            <v>courrier</v>
          </cell>
          <cell r="F3931"/>
          <cell r="G3931"/>
        </row>
        <row r="3932">
          <cell r="C3932"/>
          <cell r="D3932" t="str">
            <v>du</v>
          </cell>
          <cell r="E3932" t="str">
            <v>courrier</v>
          </cell>
          <cell r="F3932"/>
          <cell r="G3932"/>
        </row>
        <row r="3933">
          <cell r="C3933" t="str">
            <v>annulation</v>
          </cell>
          <cell r="D3933" t="str">
            <v>du</v>
          </cell>
          <cell r="E3933" t="str">
            <v>courrier</v>
          </cell>
          <cell r="F3933"/>
          <cell r="G3933"/>
        </row>
        <row r="3934">
          <cell r="C3934"/>
          <cell r="D3934" t="str">
            <v>de</v>
          </cell>
          <cell r="E3934" t="str">
            <v>confidentialité</v>
          </cell>
          <cell r="F3934"/>
          <cell r="G3934"/>
        </row>
        <row r="3935">
          <cell r="C3935"/>
          <cell r="D3935" t="str">
            <v>de l'</v>
          </cell>
          <cell r="E3935" t="str">
            <v>importance</v>
          </cell>
          <cell r="F3935"/>
          <cell r="G3935"/>
        </row>
        <row r="3936">
          <cell r="C3936"/>
          <cell r="D3936" t="str">
            <v>du</v>
          </cell>
          <cell r="E3936" t="str">
            <v>courrier</v>
          </cell>
          <cell r="F3936"/>
          <cell r="G3936"/>
        </row>
        <row r="3937">
          <cell r="C3937"/>
          <cell r="D3937" t="str">
            <v>du</v>
          </cell>
          <cell r="E3937" t="str">
            <v>courrier</v>
          </cell>
          <cell r="F3937"/>
          <cell r="G3937"/>
        </row>
        <row r="3938">
          <cell r="C3938"/>
          <cell r="D3938" t="str">
            <v>de l'</v>
          </cell>
          <cell r="E3938" t="str">
            <v>enregistrement</v>
          </cell>
          <cell r="F3938"/>
          <cell r="G3938"/>
        </row>
        <row r="3939">
          <cell r="C3939"/>
          <cell r="D3939" t="str">
            <v>de l'</v>
          </cell>
          <cell r="E3939" t="str">
            <v>enregistrement</v>
          </cell>
          <cell r="F3939"/>
          <cell r="G3939"/>
        </row>
        <row r="3940">
          <cell r="C3940" t="str">
            <v>dernière image</v>
          </cell>
          <cell r="D3940" t="str">
            <v>du</v>
          </cell>
          <cell r="E3940" t="str">
            <v>courrier</v>
          </cell>
          <cell r="F3940"/>
          <cell r="G3940"/>
        </row>
        <row r="3941">
          <cell r="C3941"/>
          <cell r="D3941" t="str">
            <v>du</v>
          </cell>
          <cell r="E3941" t="str">
            <v>modèle de courriers</v>
          </cell>
          <cell r="F3941"/>
          <cell r="G3941"/>
        </row>
        <row r="3942">
          <cell r="C3942"/>
          <cell r="D3942" t="str">
            <v>du</v>
          </cell>
          <cell r="E3942" t="str">
            <v>document</v>
          </cell>
          <cell r="F3942"/>
          <cell r="G3942"/>
        </row>
        <row r="3943">
          <cell r="C3943"/>
          <cell r="D3943" t="str">
            <v>de la</v>
          </cell>
          <cell r="E3943" t="str">
            <v>source applicative</v>
          </cell>
          <cell r="F3943" t="str">
            <v>du</v>
          </cell>
          <cell r="G3943" t="str">
            <v>modèle de courriers</v>
          </cell>
        </row>
        <row r="3944">
          <cell r="C3944"/>
          <cell r="D3944" t="str">
            <v>du</v>
          </cell>
          <cell r="E3944" t="str">
            <v>modèle de courriers</v>
          </cell>
          <cell r="F3944"/>
          <cell r="G3944"/>
        </row>
        <row r="3945">
          <cell r="C3945"/>
          <cell r="D3945" t="str">
            <v>du</v>
          </cell>
          <cell r="E3945" t="str">
            <v>modèle de courriers</v>
          </cell>
          <cell r="F3945"/>
          <cell r="G3945"/>
        </row>
        <row r="3946">
          <cell r="C3946"/>
          <cell r="D3946" t="str">
            <v>du</v>
          </cell>
          <cell r="E3946" t="str">
            <v>modèle de courriers</v>
          </cell>
          <cell r="F3946"/>
          <cell r="G3946"/>
        </row>
        <row r="3947">
          <cell r="C3947"/>
          <cell r="D3947" t="str">
            <v>du</v>
          </cell>
          <cell r="E3947" t="str">
            <v>pays</v>
          </cell>
          <cell r="F3947"/>
          <cell r="G3947"/>
        </row>
        <row r="3948">
          <cell r="C3948"/>
          <cell r="D3948" t="str">
            <v>de la</v>
          </cell>
          <cell r="E3948" t="str">
            <v>langue d'utilisation</v>
          </cell>
          <cell r="F3948"/>
          <cell r="G3948"/>
        </row>
        <row r="3949">
          <cell r="C3949"/>
          <cell r="D3949" t="str">
            <v>du</v>
          </cell>
          <cell r="E3949" t="str">
            <v>modèle de courriers</v>
          </cell>
          <cell r="F3949"/>
          <cell r="G3949"/>
        </row>
        <row r="3950">
          <cell r="C3950"/>
          <cell r="D3950" t="str">
            <v>de</v>
          </cell>
          <cell r="E3950" t="str">
            <v>modèle de courriers</v>
          </cell>
          <cell r="F3950"/>
          <cell r="G3950"/>
        </row>
        <row r="3951">
          <cell r="C3951"/>
          <cell r="D3951" t="str">
            <v>de la</v>
          </cell>
          <cell r="E3951" t="str">
            <v>fédération de rattachement</v>
          </cell>
          <cell r="F3951"/>
          <cell r="G3951"/>
        </row>
        <row r="3952">
          <cell r="C3952"/>
          <cell r="D3952" t="str">
            <v>de l'</v>
          </cell>
          <cell r="E3952" t="str">
            <v>état</v>
          </cell>
          <cell r="F3952" t="str">
            <v>du</v>
          </cell>
          <cell r="G3952" t="str">
            <v>modèle de courriers</v>
          </cell>
        </row>
        <row r="3953">
          <cell r="C3953"/>
          <cell r="D3953" t="str">
            <v>du</v>
          </cell>
          <cell r="E3953" t="str">
            <v>modèle de courriers</v>
          </cell>
          <cell r="F3953"/>
          <cell r="G3953"/>
        </row>
        <row r="3954">
          <cell r="C3954"/>
          <cell r="D3954" t="str">
            <v>du</v>
          </cell>
          <cell r="E3954" t="str">
            <v>modèle de courriers</v>
          </cell>
          <cell r="F3954"/>
          <cell r="G3954"/>
        </row>
        <row r="3955">
          <cell r="C3955"/>
          <cell r="D3955" t="str">
            <v>du</v>
          </cell>
          <cell r="E3955" t="str">
            <v>modèle de courriers</v>
          </cell>
          <cell r="F3955"/>
          <cell r="G3955"/>
        </row>
        <row r="3956">
          <cell r="C3956" t="str">
            <v>création</v>
          </cell>
          <cell r="D3956" t="str">
            <v>du</v>
          </cell>
          <cell r="E3956" t="str">
            <v>modèle de courriers</v>
          </cell>
          <cell r="F3956"/>
          <cell r="G3956"/>
        </row>
        <row r="3957">
          <cell r="C3957"/>
          <cell r="D3957" t="str">
            <v>du</v>
          </cell>
          <cell r="E3957" t="str">
            <v>modèle de courriers</v>
          </cell>
          <cell r="F3957"/>
          <cell r="G3957"/>
        </row>
        <row r="3958">
          <cell r="C3958" t="str">
            <v>publication</v>
          </cell>
          <cell r="D3958" t="str">
            <v>du</v>
          </cell>
          <cell r="E3958" t="str">
            <v>modèle de courriers</v>
          </cell>
          <cell r="F3958"/>
          <cell r="G3958"/>
        </row>
        <row r="3959">
          <cell r="C3959"/>
          <cell r="D3959" t="str">
            <v>du</v>
          </cell>
          <cell r="E3959" t="str">
            <v>modèle de courriers</v>
          </cell>
          <cell r="F3959"/>
          <cell r="G3959"/>
        </row>
        <row r="3960">
          <cell r="C3960" t="str">
            <v>mise à jour</v>
          </cell>
          <cell r="D3960" t="str">
            <v>du</v>
          </cell>
          <cell r="E3960" t="str">
            <v>modèle de courriers</v>
          </cell>
          <cell r="F3960"/>
          <cell r="G3960"/>
        </row>
        <row r="3961">
          <cell r="C3961"/>
          <cell r="D3961" t="str">
            <v>du</v>
          </cell>
          <cell r="E3961" t="str">
            <v>modèle de courriers</v>
          </cell>
          <cell r="F3961"/>
          <cell r="G3961"/>
        </row>
        <row r="3962">
          <cell r="C3962"/>
          <cell r="D3962" t="str">
            <v>de</v>
          </cell>
          <cell r="E3962" t="str">
            <v>ressource</v>
          </cell>
          <cell r="F3962"/>
          <cell r="G3962"/>
        </row>
        <row r="3963">
          <cell r="C3963"/>
          <cell r="D3963" t="str">
            <v>de</v>
          </cell>
          <cell r="E3963" t="str">
            <v>type de papier</v>
          </cell>
          <cell r="F3963"/>
          <cell r="G3963"/>
        </row>
        <row r="3964">
          <cell r="C3964"/>
          <cell r="D3964" t="str">
            <v xml:space="preserve"> </v>
          </cell>
          <cell r="E3964" t="str">
            <v>local</v>
          </cell>
          <cell r="F3964"/>
          <cell r="G3964"/>
        </row>
        <row r="3965">
          <cell r="C3965"/>
          <cell r="D3965" t="str">
            <v xml:space="preserve"> </v>
          </cell>
          <cell r="E3965" t="str">
            <v>central</v>
          </cell>
          <cell r="F3965"/>
          <cell r="G3965"/>
        </row>
        <row r="3966">
          <cell r="C3966"/>
          <cell r="D3966" t="str">
            <v xml:space="preserve"> </v>
          </cell>
          <cell r="E3966" t="str">
            <v>mail</v>
          </cell>
          <cell r="F3966"/>
          <cell r="G3966"/>
        </row>
        <row r="3967">
          <cell r="C3967"/>
          <cell r="D3967" t="str">
            <v xml:space="preserve"> </v>
          </cell>
          <cell r="E3967" t="str">
            <v>fax</v>
          </cell>
          <cell r="F3967"/>
          <cell r="G3967"/>
        </row>
        <row r="3968">
          <cell r="C3968"/>
          <cell r="D3968" t="str">
            <v xml:space="preserve"> </v>
          </cell>
          <cell r="E3968" t="str">
            <v>préférentiel</v>
          </cell>
          <cell r="F3968"/>
          <cell r="G3968"/>
        </row>
        <row r="3969">
          <cell r="C3969"/>
          <cell r="D3969" t="str">
            <v xml:space="preserve"> </v>
          </cell>
          <cell r="E3969" t="str">
            <v>utilisation de recommandé</v>
          </cell>
          <cell r="F3969"/>
          <cell r="G3969"/>
        </row>
        <row r="3970">
          <cell r="C3970"/>
          <cell r="D3970" t="str">
            <v xml:space="preserve"> </v>
          </cell>
          <cell r="E3970" t="str">
            <v>SMS</v>
          </cell>
          <cell r="F3970"/>
          <cell r="G3970"/>
        </row>
        <row r="3971">
          <cell r="C3971"/>
          <cell r="D3971" t="str">
            <v xml:space="preserve"> </v>
          </cell>
          <cell r="E3971" t="str">
            <v>souscription</v>
          </cell>
          <cell r="F3971"/>
          <cell r="G3971"/>
        </row>
        <row r="3972">
          <cell r="C3972"/>
          <cell r="D3972" t="str">
            <v xml:space="preserve"> </v>
          </cell>
          <cell r="E3972" t="str">
            <v>transaction</v>
          </cell>
          <cell r="F3972"/>
          <cell r="G3972"/>
        </row>
        <row r="3973">
          <cell r="C3973"/>
          <cell r="D3973" t="str">
            <v xml:space="preserve"> </v>
          </cell>
          <cell r="E3973" t="str">
            <v>éligibilité BATCH</v>
          </cell>
          <cell r="F3973"/>
          <cell r="G3973"/>
        </row>
        <row r="3974">
          <cell r="C3974"/>
          <cell r="D3974" t="str">
            <v xml:space="preserve"> </v>
          </cell>
          <cell r="E3974" t="str">
            <v>recommandé</v>
          </cell>
          <cell r="F3974"/>
          <cell r="G3974"/>
        </row>
        <row r="3975">
          <cell r="C3975"/>
          <cell r="D3975" t="str">
            <v>du</v>
          </cell>
          <cell r="E3975" t="str">
            <v>document</v>
          </cell>
          <cell r="F3975"/>
          <cell r="G3975"/>
        </row>
        <row r="3976">
          <cell r="C3976"/>
          <cell r="D3976" t="str">
            <v>du</v>
          </cell>
          <cell r="E3976" t="str">
            <v>catalogue de courriers</v>
          </cell>
          <cell r="F3976"/>
          <cell r="G3976"/>
        </row>
        <row r="3977">
          <cell r="C3977"/>
          <cell r="D3977" t="str">
            <v>de l'</v>
          </cell>
          <cell r="E3977" t="str">
            <v>enregistrement</v>
          </cell>
          <cell r="F3977"/>
          <cell r="G3977"/>
        </row>
        <row r="3978">
          <cell r="C3978"/>
          <cell r="D3978" t="str">
            <v>de l'</v>
          </cell>
          <cell r="E3978" t="str">
            <v>enregistrement</v>
          </cell>
          <cell r="F3978"/>
          <cell r="G3978"/>
        </row>
        <row r="3979">
          <cell r="C3979" t="str">
            <v>dernière image</v>
          </cell>
          <cell r="D3979" t="str">
            <v>du</v>
          </cell>
          <cell r="E3979" t="str">
            <v>modèle de courriers</v>
          </cell>
          <cell r="F3979"/>
          <cell r="G3979"/>
        </row>
        <row r="3980">
          <cell r="C3980"/>
          <cell r="D3980" t="str">
            <v>du</v>
          </cell>
          <cell r="E3980" t="str">
            <v>catalogue de courriers</v>
          </cell>
          <cell r="F3980"/>
          <cell r="G3980"/>
        </row>
        <row r="3981">
          <cell r="C3981"/>
          <cell r="D3981" t="str">
            <v>du</v>
          </cell>
          <cell r="E3981" t="str">
            <v>catalogue de courriers</v>
          </cell>
          <cell r="F3981"/>
          <cell r="G3981"/>
        </row>
        <row r="3982">
          <cell r="C3982"/>
          <cell r="D3982" t="str">
            <v>de la</v>
          </cell>
          <cell r="E3982" t="str">
            <v>source applicative</v>
          </cell>
          <cell r="F3982" t="str">
            <v>du</v>
          </cell>
          <cell r="G3982" t="str">
            <v>catalogue de courriers</v>
          </cell>
        </row>
        <row r="3983">
          <cell r="C3983"/>
          <cell r="D3983" t="str">
            <v>du</v>
          </cell>
          <cell r="E3983" t="str">
            <v>document</v>
          </cell>
          <cell r="F3983"/>
          <cell r="G3983"/>
        </row>
        <row r="3984">
          <cell r="C3984"/>
          <cell r="D3984" t="str">
            <v>du</v>
          </cell>
          <cell r="E3984" t="str">
            <v>modèle de courriers</v>
          </cell>
          <cell r="F3984"/>
          <cell r="G3984"/>
        </row>
        <row r="3985">
          <cell r="C3985"/>
          <cell r="D3985" t="str">
            <v>de</v>
          </cell>
          <cell r="E3985" t="str">
            <v>catalogue de courriers</v>
          </cell>
          <cell r="F3985"/>
          <cell r="G3985"/>
        </row>
        <row r="3986">
          <cell r="C3986"/>
          <cell r="D3986" t="str">
            <v xml:space="preserve"> </v>
          </cell>
          <cell r="E3986" t="str">
            <v>CIT</v>
          </cell>
          <cell r="F3986"/>
          <cell r="G3986"/>
        </row>
        <row r="3987">
          <cell r="C3987"/>
          <cell r="D3987" t="str">
            <v xml:space="preserve"> </v>
          </cell>
          <cell r="E3987" t="str">
            <v>INTBAD</v>
          </cell>
          <cell r="F3987"/>
          <cell r="G3987"/>
        </row>
        <row r="3988">
          <cell r="C3988"/>
          <cell r="D3988" t="str">
            <v xml:space="preserve"> </v>
          </cell>
          <cell r="E3988" t="str">
            <v>EXTLNG</v>
          </cell>
          <cell r="F3988"/>
          <cell r="G3988"/>
        </row>
        <row r="3989">
          <cell r="C3989"/>
          <cell r="D3989" t="str">
            <v xml:space="preserve"> </v>
          </cell>
          <cell r="E3989" t="str">
            <v>EXTCRT</v>
          </cell>
          <cell r="F3989"/>
          <cell r="G3989"/>
        </row>
        <row r="3990">
          <cell r="C3990"/>
          <cell r="D3990" t="str">
            <v xml:space="preserve"> </v>
          </cell>
          <cell r="E3990" t="str">
            <v>DVI</v>
          </cell>
          <cell r="F3990"/>
          <cell r="G3990"/>
        </row>
        <row r="3991">
          <cell r="C3991"/>
          <cell r="D3991" t="str">
            <v>du</v>
          </cell>
          <cell r="E3991" t="str">
            <v>DVI</v>
          </cell>
          <cell r="F3991"/>
          <cell r="G3991"/>
        </row>
        <row r="3992">
          <cell r="C3992"/>
          <cell r="D3992" t="str">
            <v xml:space="preserve"> </v>
          </cell>
          <cell r="E3992" t="str">
            <v>SMOD</v>
          </cell>
          <cell r="F3992"/>
          <cell r="G3992"/>
        </row>
        <row r="3993">
          <cell r="C3993"/>
          <cell r="D3993" t="str">
            <v>du</v>
          </cell>
          <cell r="E3993" t="str">
            <v>catalogue de courriers</v>
          </cell>
          <cell r="F3993"/>
          <cell r="G3993"/>
        </row>
        <row r="3994">
          <cell r="C3994"/>
          <cell r="D3994" t="str">
            <v>du</v>
          </cell>
          <cell r="E3994" t="str">
            <v>catalogue de courriers</v>
          </cell>
          <cell r="F3994"/>
          <cell r="G3994"/>
        </row>
        <row r="3995">
          <cell r="C3995"/>
          <cell r="D3995" t="str">
            <v>du</v>
          </cell>
          <cell r="E3995" t="str">
            <v>catalogue de courriers</v>
          </cell>
          <cell r="F3995"/>
          <cell r="G3995"/>
        </row>
        <row r="3996">
          <cell r="C3996"/>
          <cell r="D3996" t="str">
            <v>de l'</v>
          </cell>
          <cell r="E3996" t="str">
            <v>enregistrement</v>
          </cell>
          <cell r="F3996"/>
          <cell r="G3996"/>
        </row>
        <row r="3997">
          <cell r="C3997"/>
          <cell r="D3997" t="str">
            <v>de l'</v>
          </cell>
          <cell r="E3997" t="str">
            <v>enregistrement</v>
          </cell>
          <cell r="F3997"/>
          <cell r="G3997"/>
        </row>
        <row r="3998">
          <cell r="C3998" t="str">
            <v>dernière image</v>
          </cell>
          <cell r="D3998" t="str">
            <v>du</v>
          </cell>
          <cell r="E3998" t="str">
            <v>catalogue de courriers</v>
          </cell>
          <cell r="F3998"/>
          <cell r="G3998"/>
        </row>
        <row r="3999">
          <cell r="C3999" t="str">
            <v>différé</v>
          </cell>
          <cell r="D3999" t="str">
            <v>de</v>
          </cell>
          <cell r="E3999" t="str">
            <v>crédit</v>
          </cell>
          <cell r="F3999"/>
          <cell r="G3999"/>
          <cell r="H3999"/>
          <cell r="I3999"/>
        </row>
        <row r="4000">
          <cell r="C4000" t="str">
            <v>différé</v>
          </cell>
          <cell r="D4000" t="str">
            <v>de la</v>
          </cell>
          <cell r="E4000" t="str">
            <v>commande</v>
          </cell>
          <cell r="F4000"/>
          <cell r="G4000"/>
          <cell r="H4000"/>
          <cell r="I4000"/>
        </row>
        <row r="4001">
          <cell r="C4001" t="str">
            <v>création</v>
          </cell>
          <cell r="D4001" t="str">
            <v>de la</v>
          </cell>
          <cell r="E4001" t="str">
            <v>TADSDEC</v>
          </cell>
          <cell r="F4001"/>
          <cell r="G4001"/>
          <cell r="H4001"/>
          <cell r="I4001"/>
        </row>
        <row r="4002">
          <cell r="C4002"/>
          <cell r="D4002" t="str">
            <v>de la</v>
          </cell>
          <cell r="E4002" t="str">
            <v>TADSDEC</v>
          </cell>
          <cell r="F4002"/>
          <cell r="G4002"/>
          <cell r="H4002"/>
          <cell r="I4002"/>
        </row>
        <row r="4003">
          <cell r="C4003" t="str">
            <v>mise à jour</v>
          </cell>
          <cell r="D4003" t="str">
            <v>de la</v>
          </cell>
          <cell r="E4003" t="str">
            <v>TADSDEC</v>
          </cell>
          <cell r="F4003"/>
          <cell r="G4003"/>
          <cell r="H4003"/>
          <cell r="I4003"/>
        </row>
        <row r="4004">
          <cell r="C4004"/>
          <cell r="D4004" t="str">
            <v>de la</v>
          </cell>
          <cell r="E4004" t="str">
            <v>TADSDEC</v>
          </cell>
          <cell r="F4004"/>
          <cell r="G4004"/>
          <cell r="H4004"/>
          <cell r="I4004"/>
        </row>
        <row r="4005">
          <cell r="C4005" t="str">
            <v>création</v>
          </cell>
          <cell r="D4005" t="str">
            <v>de la</v>
          </cell>
          <cell r="E4005" t="str">
            <v>TADSECH</v>
          </cell>
          <cell r="F4005"/>
          <cell r="G4005"/>
          <cell r="H4005"/>
          <cell r="I4005"/>
        </row>
        <row r="4006">
          <cell r="C4006"/>
          <cell r="D4006" t="str">
            <v>de la</v>
          </cell>
          <cell r="E4006" t="str">
            <v>TADSECH</v>
          </cell>
          <cell r="F4006"/>
          <cell r="G4006"/>
          <cell r="H4006"/>
          <cell r="I4006"/>
        </row>
        <row r="4007">
          <cell r="C4007" t="str">
            <v>mise à jour</v>
          </cell>
          <cell r="D4007" t="str">
            <v>de la</v>
          </cell>
          <cell r="E4007" t="str">
            <v>TADSECH</v>
          </cell>
          <cell r="F4007"/>
          <cell r="G4007"/>
          <cell r="H4007"/>
          <cell r="I4007"/>
        </row>
        <row r="4008">
          <cell r="C4008"/>
          <cell r="D4008" t="str">
            <v>de la</v>
          </cell>
          <cell r="E4008" t="str">
            <v>TADSECH</v>
          </cell>
          <cell r="F4008"/>
          <cell r="G4008"/>
          <cell r="H4008"/>
          <cell r="I4008"/>
        </row>
        <row r="4009">
          <cell r="C4009" t="str">
            <v>création</v>
          </cell>
          <cell r="D4009" t="str">
            <v>de la</v>
          </cell>
          <cell r="E4009" t="str">
            <v>TADSECD</v>
          </cell>
          <cell r="F4009"/>
          <cell r="G4009"/>
          <cell r="H4009"/>
          <cell r="I4009"/>
        </row>
        <row r="4010">
          <cell r="C4010"/>
          <cell r="D4010" t="str">
            <v>de la</v>
          </cell>
          <cell r="E4010" t="str">
            <v>TADSECD</v>
          </cell>
          <cell r="F4010"/>
          <cell r="G4010"/>
          <cell r="H4010"/>
          <cell r="I4010"/>
        </row>
        <row r="4011">
          <cell r="C4011" t="str">
            <v>mise à jour</v>
          </cell>
          <cell r="D4011" t="str">
            <v>de la</v>
          </cell>
          <cell r="E4011" t="str">
            <v>TADSECD</v>
          </cell>
          <cell r="F4011"/>
          <cell r="G4011"/>
          <cell r="H4011"/>
          <cell r="I4011"/>
        </row>
        <row r="4012">
          <cell r="C4012"/>
          <cell r="D4012" t="str">
            <v>de la</v>
          </cell>
          <cell r="E4012" t="str">
            <v>TADSECD</v>
          </cell>
          <cell r="F4012"/>
          <cell r="G4012"/>
          <cell r="H4012"/>
          <cell r="I4012"/>
        </row>
        <row r="4013">
          <cell r="C4013"/>
          <cell r="D4013" t="str">
            <v>de la</v>
          </cell>
          <cell r="E4013" t="str">
            <v>provision</v>
          </cell>
          <cell r="F4013"/>
          <cell r="G4013"/>
          <cell r="H4013"/>
          <cell r="I4013"/>
        </row>
        <row r="4014">
          <cell r="C4014"/>
          <cell r="D4014" t="str">
            <v>du</v>
          </cell>
          <cell r="E4014" t="str">
            <v>Produit d'Assurance</v>
          </cell>
          <cell r="F4014"/>
          <cell r="G4014"/>
          <cell r="H4014"/>
          <cell r="I4014"/>
        </row>
        <row r="4015">
          <cell r="C4015"/>
          <cell r="D4015" t="str">
            <v>du</v>
          </cell>
          <cell r="E4015" t="str">
            <v>Sous-produit d'assurance</v>
          </cell>
          <cell r="F4015"/>
          <cell r="G4015"/>
          <cell r="H4015"/>
          <cell r="I4015"/>
        </row>
        <row r="4016">
          <cell r="C4016"/>
          <cell r="D4016" t="str">
            <v>de</v>
          </cell>
          <cell r="E4016" t="str">
            <v>Sinistre</v>
          </cell>
          <cell r="F4016"/>
          <cell r="G4016"/>
          <cell r="H4016"/>
          <cell r="I4016"/>
        </row>
        <row r="4017">
          <cell r="C4017"/>
          <cell r="D4017" t="str">
            <v>de</v>
          </cell>
          <cell r="E4017" t="str">
            <v>Dossier sinistre</v>
          </cell>
          <cell r="F4017"/>
          <cell r="G4017"/>
          <cell r="H4017"/>
          <cell r="I4017"/>
        </row>
        <row r="4018">
          <cell r="C4018"/>
          <cell r="D4018" t="str">
            <v>du</v>
          </cell>
          <cell r="E4018" t="str">
            <v>Sinistre</v>
          </cell>
          <cell r="F4018" t="str">
            <v>d'</v>
          </cell>
          <cell r="G4018" t="str">
            <v>Origine</v>
          </cell>
          <cell r="H4018"/>
          <cell r="I4018"/>
        </row>
        <row r="4019">
          <cell r="C4019" t="str">
            <v>interne</v>
          </cell>
          <cell r="D4019" t="str">
            <v>du</v>
          </cell>
          <cell r="E4019" t="str">
            <v>contrat</v>
          </cell>
          <cell r="F4019"/>
          <cell r="G4019"/>
          <cell r="H4019"/>
          <cell r="I4019"/>
        </row>
        <row r="4020">
          <cell r="C4020" t="str">
            <v>externe</v>
          </cell>
          <cell r="D4020" t="str">
            <v>du</v>
          </cell>
          <cell r="E4020" t="str">
            <v>Contrat</v>
          </cell>
          <cell r="F4020"/>
          <cell r="G4020"/>
          <cell r="H4020"/>
          <cell r="I4020"/>
        </row>
        <row r="4021">
          <cell r="C4021"/>
          <cell r="D4021" t="str">
            <v>du</v>
          </cell>
          <cell r="E4021" t="str">
            <v>contrat migré</v>
          </cell>
          <cell r="F4021"/>
          <cell r="G4021"/>
          <cell r="H4021"/>
          <cell r="I4021"/>
        </row>
        <row r="4022">
          <cell r="C4022"/>
          <cell r="D4022" t="str">
            <v>de</v>
          </cell>
          <cell r="E4022" t="str">
            <v>tête</v>
          </cell>
          <cell r="F4022" t="str">
            <v>de l'</v>
          </cell>
          <cell r="G4022" t="str">
            <v>objet assuré</v>
          </cell>
          <cell r="H4022"/>
          <cell r="I4022"/>
        </row>
        <row r="4023">
          <cell r="C4023"/>
          <cell r="D4023" t="str">
            <v>de</v>
          </cell>
          <cell r="E4023" t="str">
            <v>Sinistre</v>
          </cell>
          <cell r="F4023"/>
          <cell r="G4023"/>
          <cell r="H4023"/>
          <cell r="I4023"/>
        </row>
        <row r="4024">
          <cell r="C4024"/>
          <cell r="D4024" t="str">
            <v>du</v>
          </cell>
          <cell r="E4024" t="str">
            <v>risque</v>
          </cell>
          <cell r="F4024" t="str">
            <v>du</v>
          </cell>
          <cell r="G4024" t="str">
            <v>sinistre</v>
          </cell>
          <cell r="H4024"/>
          <cell r="I4024"/>
        </row>
        <row r="4025">
          <cell r="C4025"/>
          <cell r="D4025" t="str">
            <v>de la</v>
          </cell>
          <cell r="E4025" t="str">
            <v>Garantie</v>
          </cell>
          <cell r="F4025"/>
          <cell r="G4025" t="str">
            <v>SIO</v>
          </cell>
          <cell r="H4025"/>
          <cell r="I4025"/>
        </row>
        <row r="4026">
          <cell r="C4026"/>
          <cell r="D4026" t="str">
            <v>de la</v>
          </cell>
          <cell r="E4026" t="str">
            <v>Garantie</v>
          </cell>
          <cell r="F4026"/>
          <cell r="G4026" t="str">
            <v>IDW</v>
          </cell>
          <cell r="H4026"/>
          <cell r="I4026"/>
        </row>
        <row r="4027">
          <cell r="C4027"/>
          <cell r="D4027" t="str">
            <v>de la</v>
          </cell>
          <cell r="E4027" t="str">
            <v>situation</v>
          </cell>
          <cell r="F4027" t="str">
            <v>du</v>
          </cell>
          <cell r="G4027" t="str">
            <v>sinistre</v>
          </cell>
          <cell r="H4027"/>
          <cell r="I4027"/>
        </row>
        <row r="4028">
          <cell r="C4028"/>
          <cell r="D4028" t="str">
            <v>du</v>
          </cell>
          <cell r="E4028" t="str">
            <v>sinistre</v>
          </cell>
          <cell r="F4028"/>
          <cell r="G4028"/>
          <cell r="H4028"/>
          <cell r="I4028"/>
        </row>
        <row r="4029">
          <cell r="C4029"/>
          <cell r="D4029"/>
          <cell r="E4029"/>
          <cell r="F4029"/>
          <cell r="G4029"/>
          <cell r="H4029"/>
          <cell r="I4029"/>
        </row>
        <row r="4030">
          <cell r="C4030"/>
          <cell r="D4030"/>
          <cell r="E4030"/>
          <cell r="F4030"/>
          <cell r="G4030"/>
          <cell r="H4030"/>
          <cell r="I4030"/>
        </row>
        <row r="4031">
          <cell r="C4031"/>
          <cell r="D4031"/>
          <cell r="E4031"/>
          <cell r="F4031"/>
          <cell r="G4031"/>
          <cell r="H4031"/>
          <cell r="I4031"/>
        </row>
        <row r="4032">
          <cell r="C4032"/>
          <cell r="D4032"/>
          <cell r="E4032"/>
          <cell r="F4032"/>
          <cell r="G4032"/>
          <cell r="H4032"/>
          <cell r="I4032"/>
        </row>
        <row r="4033">
          <cell r="C4033"/>
          <cell r="D4033"/>
          <cell r="E4033"/>
          <cell r="F4033"/>
          <cell r="G4033"/>
          <cell r="H4033"/>
          <cell r="I4033"/>
        </row>
        <row r="4034">
          <cell r="C4034"/>
          <cell r="D4034"/>
          <cell r="E4034"/>
          <cell r="F4034"/>
          <cell r="G4034"/>
          <cell r="H4034"/>
          <cell r="I4034"/>
        </row>
        <row r="4035">
          <cell r="C4035"/>
          <cell r="D4035"/>
          <cell r="E4035"/>
          <cell r="F4035"/>
          <cell r="G4035"/>
          <cell r="H4035"/>
          <cell r="I4035"/>
        </row>
        <row r="4036">
          <cell r="C4036"/>
          <cell r="D4036"/>
          <cell r="E4036"/>
          <cell r="F4036"/>
          <cell r="G4036"/>
          <cell r="H4036"/>
          <cell r="I4036"/>
        </row>
        <row r="4037">
          <cell r="C4037"/>
          <cell r="D4037"/>
          <cell r="E4037"/>
          <cell r="F4037"/>
          <cell r="G4037"/>
          <cell r="H4037"/>
          <cell r="I4037"/>
        </row>
        <row r="4038">
          <cell r="C4038"/>
          <cell r="D4038"/>
          <cell r="E4038"/>
          <cell r="F4038"/>
          <cell r="G4038"/>
          <cell r="H4038"/>
          <cell r="I4038"/>
        </row>
        <row r="4039">
          <cell r="C4039"/>
          <cell r="D4039"/>
          <cell r="E4039"/>
          <cell r="F4039"/>
          <cell r="G4039"/>
          <cell r="H4039"/>
          <cell r="I4039"/>
        </row>
        <row r="4040">
          <cell r="C4040"/>
          <cell r="D4040"/>
          <cell r="E4040"/>
          <cell r="F4040"/>
          <cell r="G4040"/>
          <cell r="H4040"/>
          <cell r="I4040"/>
        </row>
        <row r="4041">
          <cell r="C4041"/>
          <cell r="D4041"/>
          <cell r="E4041"/>
          <cell r="F4041"/>
          <cell r="G4041"/>
          <cell r="H4041"/>
          <cell r="I4041"/>
        </row>
        <row r="4042">
          <cell r="C4042"/>
          <cell r="D4042"/>
          <cell r="E4042"/>
          <cell r="F4042"/>
          <cell r="G4042"/>
          <cell r="H4042"/>
          <cell r="I4042"/>
        </row>
        <row r="4043">
          <cell r="C4043"/>
          <cell r="D4043"/>
          <cell r="E4043"/>
          <cell r="F4043"/>
          <cell r="G4043"/>
          <cell r="H4043"/>
          <cell r="I4043"/>
        </row>
        <row r="4044">
          <cell r="C4044"/>
          <cell r="D4044"/>
          <cell r="E4044"/>
          <cell r="F4044"/>
          <cell r="G4044"/>
          <cell r="H4044"/>
          <cell r="I4044"/>
        </row>
        <row r="4045">
          <cell r="C4045"/>
          <cell r="D4045" t="str">
            <v>du</v>
          </cell>
          <cell r="E4045" t="str">
            <v>planning</v>
          </cell>
          <cell r="F4045"/>
          <cell r="G4045"/>
          <cell r="H4045"/>
          <cell r="I4045"/>
        </row>
        <row r="4046">
          <cell r="C4046"/>
          <cell r="D4046" t="str">
            <v>du</v>
          </cell>
          <cell r="E4046" t="str">
            <v>type</v>
          </cell>
          <cell r="F4046" t="str">
            <v>de l'</v>
          </cell>
          <cell r="G4046" t="str">
            <v>objet</v>
          </cell>
          <cell r="H4046"/>
          <cell r="I4046"/>
        </row>
        <row r="4047">
          <cell r="C4047"/>
          <cell r="D4047" t="str">
            <v>du</v>
          </cell>
          <cell r="E4047" t="str">
            <v>type</v>
          </cell>
          <cell r="F4047" t="str">
            <v>de</v>
          </cell>
          <cell r="G4047" t="str">
            <v>planning</v>
          </cell>
          <cell r="H4047"/>
          <cell r="I4047"/>
        </row>
        <row r="4048">
          <cell r="C4048"/>
          <cell r="D4048" t="str">
            <v>de l'</v>
          </cell>
          <cell r="E4048" t="str">
            <v>objet</v>
          </cell>
          <cell r="F4048"/>
          <cell r="G4048"/>
          <cell r="H4048"/>
          <cell r="I4048"/>
        </row>
        <row r="4049">
          <cell r="C4049"/>
          <cell r="D4049" t="str">
            <v>du</v>
          </cell>
          <cell r="E4049" t="str">
            <v>jour</v>
          </cell>
          <cell r="F4049" t="str">
            <v>de la</v>
          </cell>
          <cell r="G4049" t="str">
            <v>semaine</v>
          </cell>
          <cell r="H4049"/>
          <cell r="I4049"/>
        </row>
        <row r="4050">
          <cell r="C4050"/>
          <cell r="D4050" t="str">
            <v>du</v>
          </cell>
          <cell r="E4050" t="str">
            <v>jour</v>
          </cell>
          <cell r="F4050" t="str">
            <v>du</v>
          </cell>
          <cell r="G4050" t="str">
            <v>mois</v>
          </cell>
          <cell r="H4050"/>
          <cell r="I4050"/>
        </row>
        <row r="4051">
          <cell r="C4051"/>
          <cell r="D4051" t="str">
            <v>du</v>
          </cell>
          <cell r="E4051" t="str">
            <v>jour</v>
          </cell>
          <cell r="F4051" t="str">
            <v>de l'</v>
          </cell>
          <cell r="G4051" t="str">
            <v>année</v>
          </cell>
          <cell r="H4051"/>
          <cell r="I4051"/>
        </row>
        <row r="4052">
          <cell r="C4052"/>
          <cell r="D4052" t="str">
            <v>du</v>
          </cell>
          <cell r="E4052" t="str">
            <v>jour</v>
          </cell>
          <cell r="F4052"/>
          <cell r="G4052"/>
          <cell r="H4052"/>
          <cell r="I4052"/>
        </row>
        <row r="4053">
          <cell r="C4053"/>
          <cell r="D4053" t="str">
            <v>du</v>
          </cell>
          <cell r="E4053" t="str">
            <v>jour ouvré</v>
          </cell>
          <cell r="F4053"/>
          <cell r="G4053"/>
          <cell r="H4053"/>
          <cell r="I4053"/>
        </row>
        <row r="4054">
          <cell r="C4054"/>
          <cell r="D4054" t="str">
            <v>de</v>
          </cell>
          <cell r="E4054" t="str">
            <v>début</v>
          </cell>
          <cell r="F4054" t="str">
            <v>de</v>
          </cell>
          <cell r="G4054" t="str">
            <v>semaine</v>
          </cell>
          <cell r="H4054"/>
          <cell r="I4054"/>
        </row>
        <row r="4055">
          <cell r="C4055"/>
          <cell r="D4055" t="str">
            <v>de</v>
          </cell>
          <cell r="E4055" t="str">
            <v>fin</v>
          </cell>
          <cell r="F4055" t="str">
            <v>de</v>
          </cell>
          <cell r="G4055" t="str">
            <v>semaine</v>
          </cell>
          <cell r="H4055"/>
          <cell r="I4055"/>
        </row>
        <row r="4056">
          <cell r="C4056"/>
          <cell r="D4056" t="str">
            <v>de</v>
          </cell>
          <cell r="E4056" t="str">
            <v>début</v>
          </cell>
          <cell r="F4056" t="str">
            <v>du</v>
          </cell>
          <cell r="G4056" t="str">
            <v>jour ouvré</v>
          </cell>
          <cell r="H4056" t="str">
            <v>de</v>
          </cell>
          <cell r="I4056" t="str">
            <v>semaine</v>
          </cell>
        </row>
        <row r="4057">
          <cell r="C4057"/>
          <cell r="D4057" t="str">
            <v>de</v>
          </cell>
          <cell r="E4057" t="str">
            <v>fin</v>
          </cell>
          <cell r="F4057" t="str">
            <v>du</v>
          </cell>
          <cell r="G4057" t="str">
            <v>jour ouvré</v>
          </cell>
          <cell r="H4057" t="str">
            <v>de</v>
          </cell>
          <cell r="I4057" t="str">
            <v>semaine</v>
          </cell>
        </row>
        <row r="4058">
          <cell r="C4058"/>
          <cell r="D4058" t="str">
            <v>de</v>
          </cell>
          <cell r="E4058" t="str">
            <v>début</v>
          </cell>
          <cell r="F4058" t="str">
            <v>de</v>
          </cell>
          <cell r="G4058" t="str">
            <v>mois</v>
          </cell>
          <cell r="H4058"/>
          <cell r="I4058"/>
        </row>
        <row r="4059">
          <cell r="C4059"/>
          <cell r="D4059" t="str">
            <v>de</v>
          </cell>
          <cell r="E4059" t="str">
            <v>fin</v>
          </cell>
          <cell r="F4059" t="str">
            <v>de</v>
          </cell>
          <cell r="G4059" t="str">
            <v>mois</v>
          </cell>
          <cell r="H4059"/>
          <cell r="I4059"/>
        </row>
        <row r="4060">
          <cell r="C4060"/>
          <cell r="D4060" t="str">
            <v>de</v>
          </cell>
          <cell r="E4060" t="str">
            <v>début</v>
          </cell>
          <cell r="F4060" t="str">
            <v>du</v>
          </cell>
          <cell r="G4060" t="str">
            <v>jour ouvré</v>
          </cell>
          <cell r="H4060" t="str">
            <v>de</v>
          </cell>
          <cell r="I4060" t="str">
            <v>mois</v>
          </cell>
        </row>
        <row r="4061">
          <cell r="C4061"/>
          <cell r="D4061" t="str">
            <v>de</v>
          </cell>
          <cell r="E4061" t="str">
            <v>fin</v>
          </cell>
          <cell r="F4061" t="str">
            <v>du</v>
          </cell>
          <cell r="G4061" t="str">
            <v>jour ouvré</v>
          </cell>
          <cell r="H4061" t="str">
            <v>de</v>
          </cell>
          <cell r="I4061" t="str">
            <v>mois</v>
          </cell>
        </row>
        <row r="4062">
          <cell r="C4062"/>
          <cell r="D4062" t="str">
            <v>de</v>
          </cell>
          <cell r="E4062" t="str">
            <v>début</v>
          </cell>
          <cell r="F4062" t="str">
            <v>d'</v>
          </cell>
          <cell r="G4062" t="str">
            <v>année</v>
          </cell>
          <cell r="H4062"/>
          <cell r="I4062"/>
        </row>
        <row r="4063">
          <cell r="C4063"/>
          <cell r="D4063" t="str">
            <v>de</v>
          </cell>
          <cell r="E4063" t="str">
            <v>fin</v>
          </cell>
          <cell r="F4063" t="str">
            <v>d'</v>
          </cell>
          <cell r="G4063" t="str">
            <v>année</v>
          </cell>
          <cell r="H4063"/>
          <cell r="I4063"/>
        </row>
        <row r="4064">
          <cell r="C4064"/>
          <cell r="D4064" t="str">
            <v>de</v>
          </cell>
          <cell r="E4064" t="str">
            <v>début</v>
          </cell>
          <cell r="F4064" t="str">
            <v>du</v>
          </cell>
          <cell r="G4064" t="str">
            <v>jour ouvré</v>
          </cell>
          <cell r="H4064" t="str">
            <v>d'</v>
          </cell>
          <cell r="I4064" t="str">
            <v>année</v>
          </cell>
        </row>
        <row r="4065">
          <cell r="C4065"/>
          <cell r="D4065" t="str">
            <v>de</v>
          </cell>
          <cell r="E4065" t="str">
            <v>fin</v>
          </cell>
          <cell r="F4065" t="str">
            <v>du</v>
          </cell>
          <cell r="G4065" t="str">
            <v>jour ouvré</v>
          </cell>
          <cell r="H4065" t="str">
            <v>d'</v>
          </cell>
          <cell r="I4065" t="str">
            <v>année</v>
          </cell>
        </row>
        <row r="4066">
          <cell r="C4066"/>
          <cell r="D4066" t="str">
            <v>du</v>
          </cell>
          <cell r="E4066" t="str">
            <v>planning</v>
          </cell>
          <cell r="F4066"/>
          <cell r="G4066"/>
          <cell r="H4066"/>
          <cell r="I4066"/>
        </row>
        <row r="4067">
          <cell r="C4067"/>
          <cell r="D4067" t="str">
            <v>du</v>
          </cell>
          <cell r="E4067" t="str">
            <v>planning</v>
          </cell>
          <cell r="F4067"/>
          <cell r="G4067"/>
          <cell r="H4067"/>
          <cell r="I4067"/>
        </row>
        <row r="4068">
          <cell r="C4068"/>
          <cell r="D4068" t="str">
            <v>du</v>
          </cell>
          <cell r="E4068" t="str">
            <v>planning</v>
          </cell>
          <cell r="F4068"/>
          <cell r="G4068"/>
          <cell r="H4068"/>
          <cell r="I4068"/>
        </row>
        <row r="4069">
          <cell r="C4069"/>
          <cell r="D4069" t="str">
            <v>du</v>
          </cell>
          <cell r="E4069" t="str">
            <v>planning</v>
          </cell>
          <cell r="F4069"/>
          <cell r="G4069"/>
          <cell r="H4069"/>
          <cell r="I4069"/>
        </row>
        <row r="4070">
          <cell r="C4070"/>
          <cell r="D4070" t="str">
            <v>du</v>
          </cell>
          <cell r="E4070" t="str">
            <v>groupe</v>
          </cell>
          <cell r="F4070" t="str">
            <v>de</v>
          </cell>
          <cell r="G4070" t="str">
            <v>suivi des chargements</v>
          </cell>
          <cell r="H4070"/>
          <cell r="I4070"/>
        </row>
        <row r="4071">
          <cell r="C4071"/>
          <cell r="D4071" t="str">
            <v>du</v>
          </cell>
          <cell r="E4071" t="str">
            <v>chargement</v>
          </cell>
          <cell r="F4071"/>
          <cell r="G4071"/>
          <cell r="H4071"/>
          <cell r="I4071"/>
        </row>
        <row r="4072">
          <cell r="C4072"/>
          <cell r="D4072" t="str">
            <v>de</v>
          </cell>
          <cell r="E4072" t="str">
            <v>vue</v>
          </cell>
          <cell r="F4072" t="str">
            <v>de</v>
          </cell>
          <cell r="G4072" t="str">
            <v>bilan</v>
          </cell>
          <cell r="H4072"/>
          <cell r="I4072"/>
        </row>
        <row r="4073">
          <cell r="C4073"/>
          <cell r="D4073" t="str">
            <v>du</v>
          </cell>
          <cell r="E4073" t="str">
            <v>niveau</v>
          </cell>
          <cell r="F4073" t="str">
            <v>de</v>
          </cell>
          <cell r="G4073" t="str">
            <v>vigilance</v>
          </cell>
          <cell r="H4073"/>
          <cell r="I4073"/>
        </row>
        <row r="4074">
          <cell r="C4074"/>
          <cell r="D4074" t="str">
            <v>du</v>
          </cell>
          <cell r="E4074" t="str">
            <v>calendrier</v>
          </cell>
          <cell r="F4074" t="str">
            <v>des</v>
          </cell>
          <cell r="G4074" t="str">
            <v>jour ouvrable</v>
          </cell>
          <cell r="H4074"/>
          <cell r="I4074"/>
        </row>
        <row r="4075">
          <cell r="C4075"/>
          <cell r="D4075"/>
          <cell r="E4075"/>
          <cell r="F4075"/>
          <cell r="G4075"/>
          <cell r="H4075"/>
          <cell r="I4075"/>
        </row>
        <row r="4076">
          <cell r="C4076"/>
          <cell r="D4076" t="str">
            <v>de la</v>
          </cell>
          <cell r="E4076" t="str">
            <v>période de chômage</v>
          </cell>
          <cell r="F4076"/>
          <cell r="G4076"/>
          <cell r="H4076"/>
          <cell r="I4076"/>
        </row>
        <row r="4077">
          <cell r="C4077"/>
          <cell r="D4077" t="str">
            <v>de la</v>
          </cell>
          <cell r="E4077" t="str">
            <v>base de règlement</v>
          </cell>
          <cell r="F4077" t="str">
            <v>des</v>
          </cell>
          <cell r="G4077" t="str">
            <v>indemnité journalière</v>
          </cell>
          <cell r="H4077"/>
          <cell r="I4077"/>
        </row>
        <row r="4078">
          <cell r="C4078"/>
          <cell r="D4078" t="str">
            <v>du</v>
          </cell>
          <cell r="E4078" t="str">
            <v>dossier sinistre</v>
          </cell>
          <cell r="F4078" t="str">
            <v>de l'</v>
          </cell>
          <cell r="G4078" t="str">
            <v>garantie incapacité de travail</v>
          </cell>
          <cell r="H4078"/>
          <cell r="I4078"/>
        </row>
        <row r="4079">
          <cell r="C4079"/>
          <cell r="D4079" t="str">
            <v>de la</v>
          </cell>
          <cell r="E4079" t="str">
            <v>revalorisation</v>
          </cell>
          <cell r="F4079" t="str">
            <v>de la</v>
          </cell>
          <cell r="G4079" t="str">
            <v>prestation</v>
          </cell>
          <cell r="H4079"/>
          <cell r="I4079"/>
        </row>
        <row r="4080">
          <cell r="C4080" t="str">
            <v>base</v>
          </cell>
          <cell r="D4080" t="str">
            <v>de la</v>
          </cell>
          <cell r="E4080" t="str">
            <v>garantie</v>
          </cell>
          <cell r="F4080" t="str">
            <v>pour le</v>
          </cell>
          <cell r="G4080" t="str">
            <v>règlement</v>
          </cell>
          <cell r="H4080" t="str">
            <v>du</v>
          </cell>
          <cell r="I4080" t="str">
            <v>sinistre</v>
          </cell>
        </row>
        <row r="4081">
          <cell r="C4081"/>
          <cell r="D4081" t="str">
            <v>du</v>
          </cell>
          <cell r="E4081" t="str">
            <v>bénéficiaire du règlement</v>
          </cell>
          <cell r="F4081"/>
          <cell r="G4081"/>
          <cell r="H4081"/>
          <cell r="I4081"/>
        </row>
        <row r="4082">
          <cell r="C4082" t="str">
            <v>limite</v>
          </cell>
          <cell r="D4082" t="str">
            <v>de la</v>
          </cell>
          <cell r="E4082" t="str">
            <v>rémunération</v>
          </cell>
          <cell r="F4082"/>
          <cell r="G4082"/>
          <cell r="H4082"/>
          <cell r="I4082"/>
        </row>
        <row r="4083">
          <cell r="C4083"/>
          <cell r="D4083" t="str">
            <v>d'</v>
          </cell>
          <cell r="E4083" t="str">
            <v>activité à mi-temps</v>
          </cell>
          <cell r="F4083"/>
          <cell r="G4083"/>
          <cell r="H4083"/>
          <cell r="I4083"/>
        </row>
        <row r="4084">
          <cell r="C4084" t="str">
            <v>divers</v>
          </cell>
          <cell r="D4084" t="str">
            <v>de la</v>
          </cell>
          <cell r="E4084" t="str">
            <v>indemnisation</v>
          </cell>
          <cell r="F4084" t="str">
            <v>de la</v>
          </cell>
          <cell r="G4084" t="str">
            <v>période de chômage</v>
          </cell>
          <cell r="H4084"/>
          <cell r="I4084"/>
        </row>
        <row r="4085">
          <cell r="C4085"/>
          <cell r="D4085" t="str">
            <v>de l'</v>
          </cell>
          <cell r="E4085" t="str">
            <v>exonération cotisation</v>
          </cell>
          <cell r="F4085"/>
          <cell r="G4085"/>
          <cell r="H4085"/>
          <cell r="I4085"/>
        </row>
        <row r="4086">
          <cell r="C4086"/>
          <cell r="D4086" t="str">
            <v>du</v>
          </cell>
          <cell r="E4086" t="str">
            <v>Montant remboursé en assurance santé</v>
          </cell>
          <cell r="F4086" t="str">
            <v>de la</v>
          </cell>
          <cell r="G4086" t="str">
            <v>garantie</v>
          </cell>
          <cell r="H4086" t="str">
            <v>du</v>
          </cell>
          <cell r="I4086" t="str">
            <v>décès</v>
          </cell>
        </row>
        <row r="4087">
          <cell r="C4087"/>
          <cell r="D4087" t="str">
            <v>du</v>
          </cell>
          <cell r="E4087" t="str">
            <v>Montant remboursé en assurance santé</v>
          </cell>
          <cell r="F4087" t="str">
            <v>de la</v>
          </cell>
          <cell r="G4087" t="str">
            <v>garantie</v>
          </cell>
          <cell r="H4087" t="str">
            <v>du</v>
          </cell>
          <cell r="I4087" t="str">
            <v>décès accidentel</v>
          </cell>
        </row>
        <row r="4088">
          <cell r="C4088"/>
          <cell r="D4088" t="str">
            <v>du</v>
          </cell>
          <cell r="E4088" t="str">
            <v>remboursement</v>
          </cell>
          <cell r="F4088" t="str">
            <v>de la</v>
          </cell>
          <cell r="G4088" t="str">
            <v>garantie</v>
          </cell>
          <cell r="H4088" t="str">
            <v>du</v>
          </cell>
          <cell r="I4088" t="str">
            <v>décès</v>
          </cell>
        </row>
        <row r="4089">
          <cell r="C4089"/>
          <cell r="D4089" t="str">
            <v>de</v>
          </cell>
          <cell r="E4089" t="str">
            <v>congés longue durée</v>
          </cell>
          <cell r="F4089"/>
          <cell r="G4089"/>
          <cell r="H4089"/>
          <cell r="I4089"/>
        </row>
        <row r="4090">
          <cell r="C4090"/>
          <cell r="D4090" t="str">
            <v>de</v>
          </cell>
          <cell r="E4090" t="str">
            <v>tête de sinistre</v>
          </cell>
          <cell r="F4090"/>
          <cell r="G4090"/>
          <cell r="H4090"/>
          <cell r="I4090"/>
        </row>
        <row r="4091">
          <cell r="C4091"/>
          <cell r="D4091" t="str">
            <v>du</v>
          </cell>
          <cell r="E4091" t="str">
            <v>remboursement</v>
          </cell>
          <cell r="F4091" t="str">
            <v>de la</v>
          </cell>
          <cell r="G4091" t="str">
            <v>garantie</v>
          </cell>
          <cell r="H4091" t="str">
            <v>du</v>
          </cell>
          <cell r="I4091" t="str">
            <v>décès accidentel</v>
          </cell>
        </row>
        <row r="4092">
          <cell r="C4092"/>
          <cell r="D4092" t="str">
            <v>du</v>
          </cell>
          <cell r="E4092" t="str">
            <v>domaine fonctionnel</v>
          </cell>
          <cell r="F4092"/>
          <cell r="G4092"/>
          <cell r="H4092"/>
          <cell r="I4092"/>
        </row>
        <row r="4093">
          <cell r="C4093"/>
          <cell r="D4093" t="str">
            <v>du</v>
          </cell>
          <cell r="E4093" t="str">
            <v>rédacteur saisie</v>
          </cell>
          <cell r="F4093"/>
          <cell r="G4093"/>
          <cell r="H4093"/>
          <cell r="I4093"/>
        </row>
        <row r="4094">
          <cell r="C4094"/>
          <cell r="D4094" t="str">
            <v>du</v>
          </cell>
          <cell r="E4094" t="str">
            <v>Type</v>
          </cell>
          <cell r="F4094" t="str">
            <v>de la</v>
          </cell>
          <cell r="G4094" t="str">
            <v>garantie vie</v>
          </cell>
          <cell r="H4094"/>
          <cell r="I4094"/>
        </row>
        <row r="4095">
          <cell r="C4095"/>
          <cell r="D4095" t="str">
            <v>de l'</v>
          </cell>
          <cell r="E4095" t="str">
            <v>activité à mi-temps</v>
          </cell>
          <cell r="F4095"/>
          <cell r="G4095"/>
          <cell r="H4095"/>
          <cell r="I4095"/>
        </row>
        <row r="4096">
          <cell r="C4096"/>
          <cell r="D4096" t="str">
            <v>des</v>
          </cell>
          <cell r="E4096" t="str">
            <v>intérêt remboursé</v>
          </cell>
          <cell r="F4096" t="str">
            <v>du</v>
          </cell>
          <cell r="G4096" t="str">
            <v>prêt</v>
          </cell>
          <cell r="H4096"/>
          <cell r="I4096"/>
        </row>
        <row r="4097">
          <cell r="C4097"/>
          <cell r="D4097" t="str">
            <v>de</v>
          </cell>
          <cell r="E4097" t="str">
            <v>couverture</v>
          </cell>
          <cell r="F4097" t="str">
            <v>du</v>
          </cell>
          <cell r="G4097" t="str">
            <v>prêt</v>
          </cell>
          <cell r="H4097"/>
          <cell r="I4097"/>
        </row>
        <row r="4098">
          <cell r="C4098" t="str">
            <v>jour</v>
          </cell>
          <cell r="D4098" t="str">
            <v>de</v>
          </cell>
          <cell r="E4098" t="str">
            <v>franchise</v>
          </cell>
          <cell r="F4098" t="str">
            <v>du</v>
          </cell>
          <cell r="G4098" t="str">
            <v>régime sécurité sociale</v>
          </cell>
          <cell r="H4098"/>
          <cell r="I4098"/>
        </row>
        <row r="4099">
          <cell r="C4099"/>
          <cell r="D4099" t="str">
            <v>de la</v>
          </cell>
          <cell r="E4099" t="str">
            <v>règle de calcul limite</v>
          </cell>
          <cell r="F4099" t="str">
            <v>du</v>
          </cell>
          <cell r="G4099" t="str">
            <v>remboursement</v>
          </cell>
          <cell r="H4099"/>
          <cell r="I4099"/>
        </row>
        <row r="4100">
          <cell r="C4100"/>
          <cell r="D4100" t="str">
            <v>du</v>
          </cell>
          <cell r="E4100" t="str">
            <v>type</v>
          </cell>
          <cell r="F4100" t="str">
            <v>de</v>
          </cell>
          <cell r="G4100" t="str">
            <v>sinistre</v>
          </cell>
          <cell r="H4100"/>
          <cell r="I4100"/>
        </row>
        <row r="4101">
          <cell r="C4101"/>
          <cell r="D4101" t="str">
            <v>de la</v>
          </cell>
          <cell r="E4101" t="str">
            <v>devise étrangère</v>
          </cell>
          <cell r="F4101"/>
          <cell r="G4101"/>
          <cell r="H4101"/>
          <cell r="I4101"/>
        </row>
        <row r="4102">
          <cell r="C4102"/>
          <cell r="D4102" t="str">
            <v>de</v>
          </cell>
          <cell r="E4102" t="str">
            <v>contrat prévoyance</v>
          </cell>
          <cell r="F4102"/>
          <cell r="G4102"/>
          <cell r="H4102"/>
          <cell r="I4102"/>
        </row>
        <row r="4103">
          <cell r="C4103"/>
          <cell r="D4103" t="str">
            <v>du</v>
          </cell>
          <cell r="E4103" t="str">
            <v>remboursement</v>
          </cell>
          <cell r="F4103" t="str">
            <v>de la</v>
          </cell>
          <cell r="G4103" t="str">
            <v>cotisation</v>
          </cell>
          <cell r="H4103"/>
          <cell r="I4103"/>
        </row>
        <row r="4104">
          <cell r="C4104" t="str">
            <v>sio</v>
          </cell>
          <cell r="D4104" t="str">
            <v>de la</v>
          </cell>
          <cell r="E4104" t="str">
            <v>prévoyance</v>
          </cell>
          <cell r="F4104" t="str">
            <v>de la</v>
          </cell>
          <cell r="G4104" t="str">
            <v>personne sinistrée</v>
          </cell>
          <cell r="H4104"/>
          <cell r="I4104"/>
        </row>
        <row r="4105">
          <cell r="C4105"/>
          <cell r="D4105" t="str">
            <v>de</v>
          </cell>
          <cell r="E4105" t="str">
            <v>Jour</v>
          </cell>
          <cell r="F4105"/>
          <cell r="G4105"/>
          <cell r="H4105"/>
          <cell r="I4105"/>
        </row>
        <row r="4106">
          <cell r="C4106"/>
          <cell r="D4106" t="str">
            <v>d'</v>
          </cell>
          <cell r="E4106" t="str">
            <v>échéance</v>
          </cell>
          <cell r="F4106"/>
          <cell r="G4106"/>
          <cell r="H4106"/>
          <cell r="I4106"/>
        </row>
        <row r="4107">
          <cell r="C4107"/>
          <cell r="D4107" t="str">
            <v>de l'</v>
          </cell>
          <cell r="E4107" t="str">
            <v>application origine</v>
          </cell>
          <cell r="F4107"/>
          <cell r="G4107"/>
          <cell r="H4107"/>
          <cell r="I4107"/>
        </row>
        <row r="4108">
          <cell r="C4108" t="str">
            <v>dernière image</v>
          </cell>
          <cell r="D4108" t="str">
            <v>du</v>
          </cell>
          <cell r="E4108" t="str">
            <v>sinistre</v>
          </cell>
          <cell r="F4108"/>
          <cell r="G4108"/>
          <cell r="H4108"/>
          <cell r="I4108"/>
        </row>
        <row r="4109">
          <cell r="C4109" t="str">
            <v>dernière image</v>
          </cell>
          <cell r="D4109" t="str">
            <v>du</v>
          </cell>
          <cell r="E4109" t="str">
            <v>sinistre prévoyance</v>
          </cell>
          <cell r="F4109"/>
          <cell r="G4109"/>
          <cell r="H4109"/>
          <cell r="I4109"/>
        </row>
        <row r="4110">
          <cell r="C4110" t="str">
            <v>dernière image</v>
          </cell>
          <cell r="D4110" t="str">
            <v>de la</v>
          </cell>
          <cell r="E4110" t="str">
            <v>prestation</v>
          </cell>
          <cell r="F4110"/>
          <cell r="G4110"/>
          <cell r="H4110"/>
          <cell r="I4110"/>
        </row>
        <row r="4111">
          <cell r="C4111" t="str">
            <v>dernière image</v>
          </cell>
          <cell r="D4111" t="str">
            <v>de la</v>
          </cell>
          <cell r="E4111" t="str">
            <v>prestation prévoyance</v>
          </cell>
          <cell r="F4111"/>
          <cell r="G4111"/>
          <cell r="H4111"/>
          <cell r="I4111"/>
        </row>
        <row r="4112">
          <cell r="C4112" t="str">
            <v>dernière image</v>
          </cell>
          <cell r="D4112" t="str">
            <v>du</v>
          </cell>
          <cell r="E4112" t="str">
            <v>règlement</v>
          </cell>
          <cell r="F4112"/>
          <cell r="G4112"/>
          <cell r="H4112"/>
          <cell r="I4112"/>
        </row>
        <row r="4113">
          <cell r="C4113" t="str">
            <v>dernière image</v>
          </cell>
          <cell r="D4113" t="str">
            <v>du</v>
          </cell>
          <cell r="E4113" t="str">
            <v>règlement prévoyance</v>
          </cell>
          <cell r="F4113"/>
          <cell r="G4113"/>
          <cell r="H4113"/>
          <cell r="I4113"/>
        </row>
        <row r="4114">
          <cell r="C4114" t="str">
            <v>dernière image</v>
          </cell>
          <cell r="D4114" t="str">
            <v>du</v>
          </cell>
          <cell r="E4114" t="str">
            <v>bénéficiaire du règlement</v>
          </cell>
          <cell r="F4114"/>
          <cell r="G4114"/>
          <cell r="H4114"/>
          <cell r="I4114"/>
        </row>
        <row r="4115">
          <cell r="C4115" t="str">
            <v>dernière image</v>
          </cell>
          <cell r="D4115" t="str">
            <v>du</v>
          </cell>
          <cell r="E4115" t="str">
            <v>bénéficiaire du règlement prévoyance</v>
          </cell>
          <cell r="F4115"/>
          <cell r="G4115"/>
          <cell r="H4115"/>
          <cell r="I4115"/>
        </row>
        <row r="4116">
          <cell r="C4116" t="str">
            <v>dernière image</v>
          </cell>
          <cell r="D4116" t="str">
            <v>de l'</v>
          </cell>
          <cell r="E4116" t="str">
            <v>objet sinistré</v>
          </cell>
          <cell r="F4116"/>
          <cell r="G4116"/>
          <cell r="H4116"/>
          <cell r="I4116"/>
        </row>
        <row r="4117">
          <cell r="C4117" t="str">
            <v>dernière image</v>
          </cell>
          <cell r="D4117" t="str">
            <v>de la</v>
          </cell>
          <cell r="E4117" t="str">
            <v>personne sinistrée</v>
          </cell>
          <cell r="F4117"/>
          <cell r="G4117" t="str">
            <v>non référencé</v>
          </cell>
          <cell r="H4117"/>
          <cell r="I4117"/>
        </row>
        <row r="4118">
          <cell r="C4118"/>
          <cell r="D4118" t="str">
            <v>du</v>
          </cell>
          <cell r="E4118" t="str">
            <v>sinistre</v>
          </cell>
          <cell r="F4118"/>
          <cell r="G4118"/>
          <cell r="H4118"/>
          <cell r="I4118"/>
        </row>
        <row r="4119">
          <cell r="C4119"/>
          <cell r="D4119" t="str">
            <v>du</v>
          </cell>
          <cell r="E4119" t="str">
            <v>sinistre</v>
          </cell>
          <cell r="F4119"/>
          <cell r="G4119"/>
          <cell r="H4119"/>
          <cell r="I4119"/>
        </row>
        <row r="4120">
          <cell r="C4120"/>
          <cell r="D4120" t="str">
            <v>du</v>
          </cell>
          <cell r="E4120" t="str">
            <v>sinistre prévoyance</v>
          </cell>
          <cell r="F4120"/>
          <cell r="G4120"/>
          <cell r="H4120"/>
          <cell r="I4120"/>
        </row>
        <row r="4121">
          <cell r="C4121"/>
          <cell r="D4121" t="str">
            <v>du</v>
          </cell>
          <cell r="E4121" t="str">
            <v>sinistre prévoyance</v>
          </cell>
          <cell r="F4121"/>
          <cell r="G4121"/>
          <cell r="H4121"/>
          <cell r="I4121"/>
        </row>
        <row r="4122">
          <cell r="C4122"/>
          <cell r="D4122" t="str">
            <v>de la</v>
          </cell>
          <cell r="E4122" t="str">
            <v>prestation</v>
          </cell>
          <cell r="F4122"/>
          <cell r="G4122"/>
          <cell r="H4122"/>
          <cell r="I4122"/>
        </row>
        <row r="4123">
          <cell r="C4123"/>
          <cell r="D4123" t="str">
            <v>de la</v>
          </cell>
          <cell r="E4123" t="str">
            <v>prestation</v>
          </cell>
          <cell r="F4123"/>
          <cell r="G4123"/>
          <cell r="H4123"/>
          <cell r="I4123"/>
        </row>
        <row r="4124">
          <cell r="C4124"/>
          <cell r="D4124" t="str">
            <v>de la</v>
          </cell>
          <cell r="E4124" t="str">
            <v>prestation prévoyance</v>
          </cell>
          <cell r="F4124"/>
          <cell r="G4124"/>
          <cell r="H4124"/>
          <cell r="I4124"/>
        </row>
        <row r="4125">
          <cell r="C4125"/>
          <cell r="D4125" t="str">
            <v>de la</v>
          </cell>
          <cell r="E4125" t="str">
            <v>prestation prévoyance</v>
          </cell>
          <cell r="F4125"/>
          <cell r="G4125"/>
          <cell r="H4125"/>
          <cell r="I4125"/>
        </row>
        <row r="4126">
          <cell r="C4126"/>
          <cell r="D4126" t="str">
            <v>du</v>
          </cell>
          <cell r="E4126" t="str">
            <v>règlement</v>
          </cell>
          <cell r="F4126"/>
          <cell r="G4126"/>
          <cell r="H4126"/>
          <cell r="I4126"/>
        </row>
        <row r="4127">
          <cell r="C4127"/>
          <cell r="D4127" t="str">
            <v>du</v>
          </cell>
          <cell r="E4127" t="str">
            <v>règlement</v>
          </cell>
          <cell r="F4127"/>
          <cell r="G4127"/>
          <cell r="H4127"/>
          <cell r="I4127"/>
        </row>
        <row r="4128">
          <cell r="C4128"/>
          <cell r="D4128" t="str">
            <v>du</v>
          </cell>
          <cell r="E4128" t="str">
            <v>règlement prévoyance</v>
          </cell>
          <cell r="F4128"/>
          <cell r="G4128"/>
          <cell r="H4128"/>
          <cell r="I4128"/>
        </row>
        <row r="4129">
          <cell r="C4129"/>
          <cell r="D4129" t="str">
            <v>du</v>
          </cell>
          <cell r="E4129" t="str">
            <v>règlement prévoyance</v>
          </cell>
          <cell r="F4129"/>
          <cell r="G4129"/>
          <cell r="H4129"/>
          <cell r="I4129"/>
        </row>
        <row r="4130">
          <cell r="C4130"/>
          <cell r="D4130" t="str">
            <v>du</v>
          </cell>
          <cell r="E4130" t="str">
            <v>bénéficiaire du règlement</v>
          </cell>
          <cell r="F4130"/>
          <cell r="G4130"/>
          <cell r="H4130"/>
          <cell r="I4130"/>
        </row>
        <row r="4131">
          <cell r="C4131"/>
          <cell r="D4131" t="str">
            <v>du</v>
          </cell>
          <cell r="E4131" t="str">
            <v>bénéficiaire du règlement</v>
          </cell>
          <cell r="F4131"/>
          <cell r="G4131"/>
          <cell r="H4131"/>
          <cell r="I4131"/>
        </row>
        <row r="4132">
          <cell r="C4132"/>
          <cell r="D4132" t="str">
            <v>du</v>
          </cell>
          <cell r="E4132" t="str">
            <v>bénéficiaire du règlement prévoyance</v>
          </cell>
          <cell r="F4132"/>
          <cell r="G4132"/>
          <cell r="H4132"/>
          <cell r="I4132"/>
        </row>
        <row r="4133">
          <cell r="C4133"/>
          <cell r="D4133" t="str">
            <v>du</v>
          </cell>
          <cell r="E4133" t="str">
            <v>bénéficiaire du règlement prévoyance</v>
          </cell>
          <cell r="F4133"/>
          <cell r="G4133"/>
          <cell r="H4133"/>
          <cell r="I4133"/>
        </row>
        <row r="4134">
          <cell r="C4134"/>
          <cell r="D4134" t="str">
            <v>de l'</v>
          </cell>
          <cell r="E4134" t="str">
            <v>objet sinistré</v>
          </cell>
          <cell r="F4134"/>
          <cell r="G4134"/>
          <cell r="H4134"/>
          <cell r="I4134"/>
        </row>
        <row r="4135">
          <cell r="C4135"/>
          <cell r="D4135" t="str">
            <v>de l'</v>
          </cell>
          <cell r="E4135" t="str">
            <v>objet sinistré</v>
          </cell>
          <cell r="F4135"/>
          <cell r="G4135"/>
          <cell r="H4135"/>
          <cell r="I4135"/>
        </row>
        <row r="4136">
          <cell r="C4136"/>
          <cell r="D4136" t="str">
            <v>de la</v>
          </cell>
          <cell r="E4136" t="str">
            <v>personne sinistrée</v>
          </cell>
          <cell r="F4136"/>
          <cell r="G4136" t="str">
            <v>non référencé</v>
          </cell>
          <cell r="H4136"/>
          <cell r="I4136"/>
        </row>
        <row r="4137">
          <cell r="C4137"/>
          <cell r="D4137" t="str">
            <v>de la</v>
          </cell>
          <cell r="E4137" t="str">
            <v>personne sinistrée</v>
          </cell>
          <cell r="F4137"/>
          <cell r="G4137" t="str">
            <v>non référencé</v>
          </cell>
          <cell r="H4137"/>
          <cell r="I4137"/>
        </row>
        <row r="4138">
          <cell r="C4138"/>
          <cell r="D4138" t="str">
            <v>de</v>
          </cell>
          <cell r="E4138" t="str">
            <v>dernière modification</v>
          </cell>
          <cell r="F4138"/>
          <cell r="G4138"/>
          <cell r="H4138"/>
          <cell r="I4138"/>
        </row>
        <row r="4139">
          <cell r="C4139"/>
          <cell r="D4139" t="str">
            <v>de la</v>
          </cell>
          <cell r="E4139" t="str">
            <v>comptabilité assurance</v>
          </cell>
          <cell r="F4139"/>
          <cell r="G4139"/>
          <cell r="H4139"/>
          <cell r="I4139"/>
        </row>
        <row r="4140">
          <cell r="C4140"/>
          <cell r="D4140" t="str">
            <v>de la</v>
          </cell>
          <cell r="E4140" t="str">
            <v>comptabilité assurance</v>
          </cell>
          <cell r="F4140"/>
          <cell r="G4140"/>
          <cell r="H4140"/>
          <cell r="I4140"/>
        </row>
        <row r="4141">
          <cell r="C4141"/>
          <cell r="D4141" t="str">
            <v>de la</v>
          </cell>
          <cell r="E4141" t="str">
            <v>comptabilité assurance</v>
          </cell>
          <cell r="F4141"/>
          <cell r="G4141"/>
          <cell r="H4141"/>
          <cell r="I4141"/>
        </row>
        <row r="4142">
          <cell r="C4142" t="str">
            <v>dernière image</v>
          </cell>
          <cell r="D4142" t="str">
            <v>de la</v>
          </cell>
          <cell r="E4142" t="str">
            <v>comptabilité assurance</v>
          </cell>
          <cell r="F4142"/>
          <cell r="G4142"/>
          <cell r="H4142"/>
          <cell r="I4142"/>
        </row>
        <row r="4143">
          <cell r="C4143"/>
          <cell r="D4143" t="str">
            <v>de la</v>
          </cell>
          <cell r="E4143" t="str">
            <v>source applicative</v>
          </cell>
          <cell r="F4143" t="str">
            <v>de la</v>
          </cell>
          <cell r="G4143" t="str">
            <v>comptabilité assurance</v>
          </cell>
          <cell r="H4143"/>
          <cell r="I4143"/>
        </row>
        <row r="4144">
          <cell r="C4144"/>
          <cell r="D4144" t="str">
            <v>de la</v>
          </cell>
          <cell r="E4144" t="str">
            <v>comptabilité assurance</v>
          </cell>
          <cell r="F4144"/>
          <cell r="G4144"/>
          <cell r="H4144"/>
          <cell r="I4144"/>
        </row>
        <row r="4145">
          <cell r="C4145"/>
          <cell r="D4145" t="str">
            <v>du</v>
          </cell>
          <cell r="E4145" t="str">
            <v>plan de compte</v>
          </cell>
          <cell r="F4145"/>
          <cell r="G4145"/>
          <cell r="H4145"/>
          <cell r="I4145"/>
        </row>
        <row r="4146">
          <cell r="C4146"/>
          <cell r="D4146" t="str">
            <v>du</v>
          </cell>
          <cell r="E4146" t="str">
            <v>compte comptable</v>
          </cell>
          <cell r="F4146"/>
          <cell r="G4146"/>
          <cell r="H4146"/>
          <cell r="I4146"/>
        </row>
        <row r="4147">
          <cell r="C4147"/>
          <cell r="D4147" t="str">
            <v>de la</v>
          </cell>
          <cell r="E4147" t="str">
            <v>nature</v>
          </cell>
          <cell r="F4147" t="str">
            <v>du</v>
          </cell>
          <cell r="G4147" t="str">
            <v>compte</v>
          </cell>
          <cell r="H4147"/>
          <cell r="I4147"/>
        </row>
        <row r="4148">
          <cell r="C4148"/>
          <cell r="D4148" t="str">
            <v>du</v>
          </cell>
          <cell r="E4148" t="str">
            <v>compte</v>
          </cell>
          <cell r="F4148"/>
          <cell r="G4148"/>
          <cell r="H4148"/>
          <cell r="I4148"/>
        </row>
        <row r="4149">
          <cell r="C4149"/>
          <cell r="D4149" t="str">
            <v>du</v>
          </cell>
          <cell r="E4149" t="str">
            <v>service responsable</v>
          </cell>
          <cell r="F4149" t="str">
            <v>du</v>
          </cell>
          <cell r="G4149" t="str">
            <v>compte</v>
          </cell>
          <cell r="H4149"/>
          <cell r="I4149"/>
        </row>
        <row r="4150">
          <cell r="C4150"/>
          <cell r="D4150" t="str">
            <v>de</v>
          </cell>
          <cell r="E4150" t="str">
            <v>consolidation</v>
          </cell>
          <cell r="F4150"/>
          <cell r="G4150"/>
          <cell r="H4150"/>
          <cell r="I4150"/>
        </row>
        <row r="4151">
          <cell r="C4151"/>
          <cell r="D4151" t="str">
            <v>de</v>
          </cell>
          <cell r="E4151" t="str">
            <v>restitution</v>
          </cell>
          <cell r="F4151" t="str">
            <v>de la</v>
          </cell>
          <cell r="G4151" t="str">
            <v>consolidation bilan résultat</v>
          </cell>
          <cell r="H4151"/>
          <cell r="I4151"/>
        </row>
        <row r="4152">
          <cell r="C4152"/>
          <cell r="D4152" t="str">
            <v>de la</v>
          </cell>
          <cell r="E4152" t="str">
            <v>catégorie</v>
          </cell>
          <cell r="F4152" t="str">
            <v>du</v>
          </cell>
          <cell r="G4152" t="str">
            <v>compte</v>
          </cell>
          <cell r="H4152"/>
          <cell r="I4152"/>
        </row>
        <row r="4153">
          <cell r="C4153"/>
          <cell r="D4153" t="str">
            <v>du</v>
          </cell>
          <cell r="E4153" t="str">
            <v>regroupement de niveau 1</v>
          </cell>
          <cell r="F4153" t="str">
            <v>du</v>
          </cell>
          <cell r="G4153" t="str">
            <v>compte</v>
          </cell>
          <cell r="H4153"/>
          <cell r="I4153"/>
        </row>
        <row r="4154">
          <cell r="C4154"/>
          <cell r="D4154" t="str">
            <v>du</v>
          </cell>
          <cell r="E4154" t="str">
            <v>regroupement de niveau 2</v>
          </cell>
          <cell r="F4154" t="str">
            <v>du</v>
          </cell>
          <cell r="G4154" t="str">
            <v>compte</v>
          </cell>
          <cell r="H4154"/>
          <cell r="I4154"/>
        </row>
        <row r="4155">
          <cell r="C4155"/>
          <cell r="D4155" t="str">
            <v>du</v>
          </cell>
          <cell r="E4155" t="str">
            <v>regroupement de niveau 3</v>
          </cell>
          <cell r="F4155" t="str">
            <v>du</v>
          </cell>
          <cell r="G4155" t="str">
            <v>compte</v>
          </cell>
          <cell r="H4155"/>
          <cell r="I4155"/>
        </row>
        <row r="4156">
          <cell r="C4156"/>
          <cell r="D4156" t="str">
            <v>du</v>
          </cell>
          <cell r="E4156" t="str">
            <v>bilan résultat CTA</v>
          </cell>
          <cell r="F4156"/>
          <cell r="G4156"/>
          <cell r="H4156"/>
          <cell r="I4156"/>
        </row>
        <row r="4157">
          <cell r="C4157"/>
          <cell r="D4157" t="str">
            <v>du</v>
          </cell>
          <cell r="E4157" t="str">
            <v>regroupement rapprochement Epargne</v>
          </cell>
          <cell r="F4157"/>
          <cell r="G4157"/>
          <cell r="H4157"/>
          <cell r="I4157"/>
        </row>
        <row r="4158">
          <cell r="C4158"/>
          <cell r="D4158" t="str">
            <v>de la</v>
          </cell>
          <cell r="E4158" t="str">
            <v>classification RT CTA</v>
          </cell>
          <cell r="F4158"/>
          <cell r="G4158"/>
          <cell r="H4158"/>
          <cell r="I4158"/>
        </row>
        <row r="4159">
          <cell r="C4159"/>
          <cell r="D4159" t="str">
            <v>du</v>
          </cell>
          <cell r="E4159" t="str">
            <v>regroupement rapprochement Assuretat</v>
          </cell>
          <cell r="F4159"/>
          <cell r="G4159"/>
          <cell r="H4159"/>
          <cell r="I4159"/>
        </row>
        <row r="4160">
          <cell r="C4160"/>
          <cell r="D4160" t="str">
            <v>de la</v>
          </cell>
          <cell r="E4160" t="str">
            <v>classification marge RT CTA</v>
          </cell>
          <cell r="F4160"/>
          <cell r="G4160"/>
          <cell r="H4160"/>
          <cell r="I4160"/>
        </row>
        <row r="4161">
          <cell r="C4161"/>
          <cell r="D4161" t="str">
            <v>du</v>
          </cell>
          <cell r="E4161" t="str">
            <v>CDG FA réassurance 1</v>
          </cell>
          <cell r="F4161"/>
          <cell r="G4161"/>
          <cell r="H4161"/>
          <cell r="I4161"/>
        </row>
        <row r="4162">
          <cell r="C4162"/>
          <cell r="D4162" t="str">
            <v>du</v>
          </cell>
          <cell r="E4162" t="str">
            <v>CDG FA réassurance 2</v>
          </cell>
          <cell r="F4162"/>
          <cell r="G4162"/>
          <cell r="H4162"/>
          <cell r="I4162"/>
        </row>
        <row r="4163">
          <cell r="C4163"/>
          <cell r="D4163" t="str">
            <v xml:space="preserve"> </v>
          </cell>
          <cell r="E4163" t="str">
            <v>compte taxable</v>
          </cell>
          <cell r="F4163"/>
          <cell r="G4163"/>
          <cell r="H4163"/>
          <cell r="I4163"/>
        </row>
        <row r="4164">
          <cell r="C4164"/>
          <cell r="D4164" t="str">
            <v>de la</v>
          </cell>
          <cell r="E4164" t="str">
            <v>comptabilité CNC autorisée</v>
          </cell>
          <cell r="F4164"/>
          <cell r="G4164"/>
          <cell r="H4164"/>
          <cell r="I4164"/>
        </row>
        <row r="4165">
          <cell r="C4165"/>
          <cell r="D4165" t="str">
            <v>de la</v>
          </cell>
          <cell r="E4165" t="str">
            <v>comptabilité IFRS autorisée</v>
          </cell>
          <cell r="F4165"/>
          <cell r="G4165"/>
          <cell r="H4165"/>
          <cell r="I4165"/>
        </row>
        <row r="4166">
          <cell r="C4166"/>
          <cell r="D4166" t="str">
            <v xml:space="preserve"> </v>
          </cell>
          <cell r="E4166" t="str">
            <v>compte rapproché</v>
          </cell>
          <cell r="F4166"/>
          <cell r="G4166"/>
          <cell r="H4166"/>
          <cell r="I4166"/>
        </row>
        <row r="4167">
          <cell r="C4167"/>
          <cell r="D4167" t="str">
            <v>de</v>
          </cell>
          <cell r="E4167" t="str">
            <v>DAS2</v>
          </cell>
          <cell r="F4167"/>
          <cell r="G4167"/>
          <cell r="H4167"/>
          <cell r="I4167"/>
        </row>
        <row r="4168">
          <cell r="C4168"/>
          <cell r="D4168" t="str">
            <v>du</v>
          </cell>
          <cell r="E4168" t="str">
            <v>type auxiliaire</v>
          </cell>
          <cell r="F4168" t="str">
            <v>du</v>
          </cell>
          <cell r="G4168" t="str">
            <v>compte</v>
          </cell>
          <cell r="H4168"/>
          <cell r="I4168"/>
        </row>
        <row r="4169">
          <cell r="C4169"/>
          <cell r="D4169" t="str">
            <v>du</v>
          </cell>
          <cell r="E4169" t="str">
            <v>compte dédié interco</v>
          </cell>
          <cell r="F4169"/>
          <cell r="G4169"/>
          <cell r="H4169"/>
          <cell r="I4169"/>
        </row>
        <row r="4170">
          <cell r="C4170"/>
          <cell r="D4170" t="str">
            <v>de la</v>
          </cell>
          <cell r="E4170" t="str">
            <v>consolidation</v>
          </cell>
          <cell r="F4170" t="str">
            <v>au</v>
          </cell>
          <cell r="G4170" t="str">
            <v>débit</v>
          </cell>
          <cell r="H4170"/>
          <cell r="I4170"/>
        </row>
        <row r="4171">
          <cell r="C4171"/>
          <cell r="D4171" t="str">
            <v>de la</v>
          </cell>
          <cell r="E4171" t="str">
            <v>consolidation</v>
          </cell>
          <cell r="F4171" t="str">
            <v>au</v>
          </cell>
          <cell r="G4171" t="str">
            <v>crédit</v>
          </cell>
          <cell r="H4171"/>
          <cell r="I4171"/>
        </row>
        <row r="4172">
          <cell r="C4172" t="str">
            <v>présence</v>
          </cell>
          <cell r="D4172" t="str">
            <v xml:space="preserve"> </v>
          </cell>
          <cell r="E4172" t="str">
            <v>CNC</v>
          </cell>
          <cell r="F4172"/>
          <cell r="G4172"/>
          <cell r="H4172"/>
          <cell r="I4172"/>
        </row>
        <row r="4173">
          <cell r="C4173" t="str">
            <v>sio</v>
          </cell>
          <cell r="D4173" t="str">
            <v>de la</v>
          </cell>
          <cell r="E4173" t="str">
            <v>comptabilité assurance</v>
          </cell>
          <cell r="F4173"/>
          <cell r="G4173"/>
          <cell r="H4173"/>
          <cell r="I4173"/>
        </row>
        <row r="4174">
          <cell r="C4174"/>
          <cell r="D4174" t="str">
            <v>du</v>
          </cell>
          <cell r="E4174" t="str">
            <v>traitement</v>
          </cell>
          <cell r="F4174"/>
          <cell r="G4174" t="str">
            <v>IFRS</v>
          </cell>
          <cell r="H4174"/>
          <cell r="I4174"/>
        </row>
        <row r="4175">
          <cell r="C4175"/>
          <cell r="D4175" t="str">
            <v>de la</v>
          </cell>
          <cell r="E4175" t="str">
            <v>marge comptable</v>
          </cell>
          <cell r="F4175"/>
          <cell r="G4175"/>
          <cell r="H4175"/>
          <cell r="I4175"/>
        </row>
        <row r="4176">
          <cell r="C4176"/>
          <cell r="D4176" t="str">
            <v>de la</v>
          </cell>
          <cell r="E4176" t="str">
            <v>marge contrôle de gestion</v>
          </cell>
          <cell r="F4176"/>
          <cell r="G4176"/>
          <cell r="H4176"/>
          <cell r="I4176"/>
        </row>
        <row r="4177">
          <cell r="C4177"/>
          <cell r="D4177" t="str">
            <v>du</v>
          </cell>
          <cell r="E4177" t="str">
            <v>module actuarial</v>
          </cell>
          <cell r="F4177"/>
          <cell r="G4177"/>
          <cell r="H4177"/>
          <cell r="I4177"/>
        </row>
        <row r="4178">
          <cell r="C4178"/>
          <cell r="D4178" t="str">
            <v>du</v>
          </cell>
          <cell r="E4178" t="str">
            <v>reporting provision actuariale</v>
          </cell>
          <cell r="F4178"/>
          <cell r="G4178"/>
          <cell r="H4178"/>
          <cell r="I4178"/>
        </row>
        <row r="4179">
          <cell r="C4179"/>
          <cell r="D4179" t="str">
            <v>de la</v>
          </cell>
          <cell r="E4179" t="str">
            <v>catégorie</v>
          </cell>
          <cell r="F4179" t="str">
            <v>de</v>
          </cell>
          <cell r="G4179" t="str">
            <v>chiffre d'affaire</v>
          </cell>
          <cell r="H4179"/>
          <cell r="I4179"/>
        </row>
        <row r="4180">
          <cell r="C4180"/>
          <cell r="D4180" t="str">
            <v>des</v>
          </cell>
          <cell r="E4180" t="str">
            <v>frais généraux</v>
          </cell>
          <cell r="F4180"/>
          <cell r="G4180"/>
          <cell r="H4180"/>
          <cell r="I4180"/>
        </row>
        <row r="4181">
          <cell r="C4181"/>
          <cell r="D4181" t="str">
            <v>de la</v>
          </cell>
          <cell r="E4181" t="str">
            <v>commission</v>
          </cell>
          <cell r="F4181"/>
          <cell r="G4181"/>
          <cell r="H4181"/>
          <cell r="I4181"/>
        </row>
        <row r="4182">
          <cell r="C4182" t="str">
            <v>présence</v>
          </cell>
          <cell r="D4182" t="str">
            <v xml:space="preserve"> </v>
          </cell>
          <cell r="E4182" t="str">
            <v>IFRS</v>
          </cell>
          <cell r="F4182"/>
          <cell r="G4182"/>
          <cell r="H4182"/>
          <cell r="I4182"/>
        </row>
        <row r="4183">
          <cell r="C4183"/>
          <cell r="D4183" t="str">
            <v>du</v>
          </cell>
          <cell r="E4183" t="str">
            <v>type</v>
          </cell>
          <cell r="F4183" t="str">
            <v>de</v>
          </cell>
          <cell r="G4183" t="str">
            <v>compte auxiliaire</v>
          </cell>
          <cell r="H4183"/>
          <cell r="I4183"/>
        </row>
        <row r="4184">
          <cell r="C4184"/>
          <cell r="D4184" t="str">
            <v>de la</v>
          </cell>
          <cell r="E4184" t="str">
            <v>nature</v>
          </cell>
          <cell r="F4184" t="str">
            <v>de</v>
          </cell>
          <cell r="G4184" t="str">
            <v>compte auxiliaire</v>
          </cell>
          <cell r="H4184"/>
          <cell r="I4184"/>
        </row>
        <row r="4185">
          <cell r="C4185"/>
          <cell r="D4185" t="str">
            <v>du</v>
          </cell>
          <cell r="E4185" t="str">
            <v>compte auxiliaire</v>
          </cell>
          <cell r="F4185"/>
          <cell r="G4185"/>
          <cell r="H4185"/>
          <cell r="I4185"/>
        </row>
        <row r="4186">
          <cell r="C4186"/>
          <cell r="D4186" t="str">
            <v>de l'</v>
          </cell>
          <cell r="E4186" t="str">
            <v>établissement</v>
          </cell>
          <cell r="F4186"/>
          <cell r="G4186"/>
          <cell r="H4186"/>
          <cell r="I4186"/>
        </row>
        <row r="4187">
          <cell r="C4187"/>
          <cell r="D4187" t="str">
            <v>du</v>
          </cell>
          <cell r="E4187" t="str">
            <v>guichet</v>
          </cell>
          <cell r="F4187"/>
          <cell r="G4187"/>
          <cell r="H4187"/>
          <cell r="I4187"/>
        </row>
        <row r="4188">
          <cell r="C4188"/>
          <cell r="D4188" t="str">
            <v>de l'</v>
          </cell>
          <cell r="E4188" t="str">
            <v>opération</v>
          </cell>
          <cell r="F4188"/>
          <cell r="G4188"/>
          <cell r="H4188"/>
          <cell r="I4188"/>
        </row>
        <row r="4189">
          <cell r="C4189"/>
          <cell r="D4189" t="str">
            <v>de</v>
          </cell>
          <cell r="E4189" t="str">
            <v>journal des écritures individuelles</v>
          </cell>
          <cell r="F4189"/>
          <cell r="G4189"/>
          <cell r="H4189"/>
          <cell r="I4189"/>
        </row>
        <row r="4190">
          <cell r="C4190"/>
          <cell r="D4190" t="str">
            <v>de</v>
          </cell>
          <cell r="E4190" t="str">
            <v>pièce</v>
          </cell>
          <cell r="F4190" t="str">
            <v>dans le</v>
          </cell>
          <cell r="G4190" t="str">
            <v>journal des écritures individuelles</v>
          </cell>
          <cell r="H4190"/>
          <cell r="I4190"/>
        </row>
        <row r="4191">
          <cell r="C4191"/>
          <cell r="D4191" t="str">
            <v>de</v>
          </cell>
          <cell r="E4191" t="str">
            <v>journal</v>
          </cell>
          <cell r="F4191" t="str">
            <v>des</v>
          </cell>
          <cell r="G4191" t="str">
            <v>écritures condensées</v>
          </cell>
          <cell r="H4191" t="str">
            <v>à</v>
          </cell>
          <cell r="I4191" t="str">
            <v>exclure</v>
          </cell>
        </row>
        <row r="4192">
          <cell r="C4192"/>
          <cell r="D4192" t="str">
            <v>de</v>
          </cell>
          <cell r="E4192" t="str">
            <v>pièce</v>
          </cell>
          <cell r="F4192" t="str">
            <v>dans le</v>
          </cell>
          <cell r="G4192" t="str">
            <v>journal</v>
          </cell>
          <cell r="H4192" t="str">
            <v>des</v>
          </cell>
          <cell r="I4192" t="str">
            <v>écritures condensées</v>
          </cell>
        </row>
        <row r="4193">
          <cell r="C4193"/>
          <cell r="D4193" t="str">
            <v>de l'</v>
          </cell>
          <cell r="E4193" t="str">
            <v>intermédiaire de gestion</v>
          </cell>
          <cell r="F4193"/>
          <cell r="G4193"/>
          <cell r="H4193"/>
          <cell r="I4193"/>
        </row>
        <row r="4194">
          <cell r="C4194"/>
          <cell r="D4194" t="str">
            <v>de l'</v>
          </cell>
          <cell r="E4194" t="str">
            <v>écriture comptable</v>
          </cell>
          <cell r="F4194"/>
          <cell r="G4194"/>
          <cell r="H4194"/>
          <cell r="I4194"/>
        </row>
        <row r="4195">
          <cell r="C4195"/>
          <cell r="D4195" t="str">
            <v>du</v>
          </cell>
          <cell r="E4195" t="str">
            <v>sinistre</v>
          </cell>
          <cell r="F4195"/>
          <cell r="G4195"/>
          <cell r="H4195"/>
          <cell r="I4195"/>
        </row>
        <row r="4196">
          <cell r="C4196" t="str">
            <v>interne</v>
          </cell>
          <cell r="D4196" t="str">
            <v>du</v>
          </cell>
          <cell r="E4196" t="str">
            <v>contrat</v>
          </cell>
          <cell r="F4196"/>
          <cell r="G4196"/>
          <cell r="H4196"/>
          <cell r="I4196"/>
        </row>
        <row r="4197">
          <cell r="C4197" t="str">
            <v>interne</v>
          </cell>
          <cell r="D4197" t="str">
            <v>du</v>
          </cell>
          <cell r="E4197" t="str">
            <v>produit d'assurance</v>
          </cell>
          <cell r="F4197"/>
          <cell r="G4197"/>
          <cell r="H4197"/>
          <cell r="I4197"/>
        </row>
        <row r="4198">
          <cell r="C4198"/>
          <cell r="D4198" t="str">
            <v>du</v>
          </cell>
          <cell r="E4198" t="str">
            <v>Produit d'Assurance</v>
          </cell>
          <cell r="F4198"/>
          <cell r="G4198"/>
          <cell r="H4198"/>
          <cell r="I4198"/>
        </row>
        <row r="4199">
          <cell r="C4199"/>
          <cell r="D4199" t="str">
            <v>de la</v>
          </cell>
          <cell r="E4199" t="str">
            <v>taxe</v>
          </cell>
          <cell r="F4199"/>
          <cell r="G4199"/>
          <cell r="H4199"/>
          <cell r="I4199"/>
        </row>
        <row r="4200">
          <cell r="C4200"/>
          <cell r="D4200" t="str">
            <v>de la</v>
          </cell>
          <cell r="E4200" t="str">
            <v>destination analytique</v>
          </cell>
          <cell r="F4200"/>
          <cell r="G4200"/>
          <cell r="H4200"/>
          <cell r="I4200"/>
        </row>
        <row r="4201">
          <cell r="C4201"/>
          <cell r="D4201" t="str">
            <v>de l'</v>
          </cell>
          <cell r="E4201" t="str">
            <v>affaire</v>
          </cell>
          <cell r="F4201"/>
          <cell r="G4201"/>
          <cell r="H4201"/>
          <cell r="I4201"/>
        </row>
        <row r="4202">
          <cell r="C4202"/>
          <cell r="D4202" t="str">
            <v>de la</v>
          </cell>
          <cell r="E4202" t="str">
            <v>fonction</v>
          </cell>
          <cell r="F4202"/>
          <cell r="G4202"/>
          <cell r="H4202"/>
          <cell r="I4202"/>
        </row>
        <row r="4203">
          <cell r="C4203"/>
          <cell r="D4203" t="str">
            <v>de l'</v>
          </cell>
          <cell r="E4203" t="str">
            <v>écriture comptable</v>
          </cell>
          <cell r="F4203"/>
          <cell r="G4203"/>
          <cell r="H4203"/>
          <cell r="I4203"/>
        </row>
        <row r="4204">
          <cell r="C4204"/>
          <cell r="D4204" t="str">
            <v>de l'</v>
          </cell>
          <cell r="E4204" t="str">
            <v>écriture comptable</v>
          </cell>
          <cell r="F4204"/>
          <cell r="G4204"/>
          <cell r="H4204"/>
          <cell r="I4204"/>
        </row>
        <row r="4205">
          <cell r="C4205"/>
          <cell r="D4205" t="str">
            <v>de l'</v>
          </cell>
          <cell r="E4205" t="str">
            <v>opération</v>
          </cell>
          <cell r="F4205"/>
          <cell r="G4205"/>
          <cell r="H4205"/>
          <cell r="I4205"/>
        </row>
        <row r="4206">
          <cell r="C4206"/>
          <cell r="D4206" t="str">
            <v>de l'</v>
          </cell>
          <cell r="E4206" t="str">
            <v>écriture comptable</v>
          </cell>
          <cell r="F4206"/>
          <cell r="G4206"/>
          <cell r="H4206"/>
          <cell r="I4206"/>
        </row>
        <row r="4207">
          <cell r="C4207"/>
          <cell r="D4207" t="str">
            <v>du</v>
          </cell>
          <cell r="E4207" t="str">
            <v>lettrage</v>
          </cell>
          <cell r="F4207" t="str">
            <v>de l'</v>
          </cell>
          <cell r="G4207" t="str">
            <v>écriture comptable</v>
          </cell>
          <cell r="H4207"/>
          <cell r="I4207"/>
        </row>
        <row r="4208">
          <cell r="C4208"/>
          <cell r="D4208" t="str">
            <v>du</v>
          </cell>
          <cell r="E4208" t="str">
            <v>compte</v>
          </cell>
          <cell r="F4208" t="str">
            <v>de</v>
          </cell>
          <cell r="G4208" t="str">
            <v>comptabilité générale</v>
          </cell>
          <cell r="H4208"/>
          <cell r="I4208"/>
        </row>
        <row r="4209">
          <cell r="C4209"/>
          <cell r="D4209" t="str">
            <v>du</v>
          </cell>
          <cell r="E4209" t="str">
            <v>sens du montant</v>
          </cell>
          <cell r="F4209"/>
          <cell r="G4209"/>
          <cell r="H4209"/>
          <cell r="I4209"/>
        </row>
        <row r="4210">
          <cell r="C4210"/>
          <cell r="D4210" t="str">
            <v>de la</v>
          </cell>
          <cell r="E4210" t="str">
            <v>devise</v>
          </cell>
          <cell r="F4210" t="str">
            <v>de l'</v>
          </cell>
          <cell r="G4210" t="str">
            <v>écriture comptable</v>
          </cell>
          <cell r="H4210"/>
          <cell r="I4210"/>
        </row>
        <row r="4211">
          <cell r="C4211"/>
          <cell r="D4211" t="str">
            <v>de l'</v>
          </cell>
          <cell r="E4211" t="str">
            <v>écriture comptable</v>
          </cell>
          <cell r="F4211"/>
          <cell r="G4211"/>
          <cell r="H4211"/>
          <cell r="I4211"/>
        </row>
        <row r="4212">
          <cell r="C4212"/>
          <cell r="D4212" t="str">
            <v>de l'</v>
          </cell>
          <cell r="E4212" t="str">
            <v>attribut</v>
          </cell>
          <cell r="F4212" t="str">
            <v>du</v>
          </cell>
          <cell r="G4212" t="str">
            <v>compte</v>
          </cell>
          <cell r="H4212"/>
          <cell r="I4212"/>
        </row>
        <row r="4213">
          <cell r="C4213"/>
          <cell r="D4213" t="str">
            <v>de la</v>
          </cell>
          <cell r="E4213" t="str">
            <v>fédération</v>
          </cell>
          <cell r="F4213"/>
          <cell r="G4213"/>
          <cell r="H4213"/>
          <cell r="I4213"/>
        </row>
        <row r="4214">
          <cell r="C4214"/>
          <cell r="D4214"/>
          <cell r="E4214"/>
          <cell r="F4214"/>
          <cell r="G4214"/>
          <cell r="H4214"/>
          <cell r="I4214"/>
        </row>
        <row r="4215">
          <cell r="C4215"/>
          <cell r="D4215" t="str">
            <v>du</v>
          </cell>
          <cell r="E4215" t="str">
            <v>contentieux</v>
          </cell>
          <cell r="F4215"/>
          <cell r="G4215"/>
          <cell r="H4215"/>
          <cell r="I4215"/>
        </row>
        <row r="4216">
          <cell r="C4216"/>
          <cell r="D4216" t="str">
            <v>du</v>
          </cell>
          <cell r="E4216" t="str">
            <v>action du contentieux</v>
          </cell>
          <cell r="F4216"/>
          <cell r="G4216"/>
          <cell r="H4216"/>
          <cell r="I4216"/>
        </row>
        <row r="4217">
          <cell r="C4217"/>
          <cell r="D4217" t="str">
            <v>de l'</v>
          </cell>
          <cell r="E4217" t="str">
            <v>échéance du contentieux</v>
          </cell>
          <cell r="F4217"/>
          <cell r="G4217"/>
          <cell r="H4217"/>
          <cell r="I4217"/>
        </row>
        <row r="4218">
          <cell r="C4218"/>
          <cell r="D4218" t="str">
            <v>du</v>
          </cell>
          <cell r="E4218" t="str">
            <v>rejet de contentieux</v>
          </cell>
          <cell r="F4218"/>
          <cell r="G4218"/>
          <cell r="H4218"/>
          <cell r="I4218"/>
        </row>
        <row r="4219">
          <cell r="C4219"/>
          <cell r="D4219" t="str">
            <v>du</v>
          </cell>
          <cell r="E4219" t="str">
            <v>contentieux</v>
          </cell>
          <cell r="F4219"/>
          <cell r="G4219"/>
          <cell r="H4219"/>
          <cell r="I4219"/>
        </row>
        <row r="4220">
          <cell r="C4220"/>
          <cell r="D4220" t="str">
            <v>du</v>
          </cell>
          <cell r="E4220" t="str">
            <v>contentieux</v>
          </cell>
          <cell r="F4220"/>
          <cell r="G4220"/>
          <cell r="H4220"/>
          <cell r="I4220"/>
        </row>
        <row r="4221">
          <cell r="C4221"/>
          <cell r="D4221" t="str">
            <v>du</v>
          </cell>
          <cell r="E4221" t="str">
            <v>contentieux</v>
          </cell>
          <cell r="F4221"/>
          <cell r="G4221"/>
          <cell r="H4221"/>
          <cell r="I4221"/>
        </row>
        <row r="4222">
          <cell r="C4222" t="str">
            <v>dernière image</v>
          </cell>
          <cell r="D4222" t="str">
            <v>du</v>
          </cell>
          <cell r="E4222" t="str">
            <v>contentieux</v>
          </cell>
          <cell r="F4222"/>
          <cell r="G4222"/>
          <cell r="H4222"/>
          <cell r="I4222"/>
        </row>
        <row r="4223">
          <cell r="C4223" t="str">
            <v>simplifié</v>
          </cell>
          <cell r="D4223" t="str">
            <v>du</v>
          </cell>
          <cell r="E4223" t="str">
            <v>produit d'assurance</v>
          </cell>
          <cell r="F4223"/>
          <cell r="G4223"/>
          <cell r="H4223"/>
          <cell r="I4223"/>
        </row>
        <row r="4224">
          <cell r="C4224"/>
          <cell r="D4224" t="str">
            <v>de</v>
          </cell>
          <cell r="E4224" t="str">
            <v>référence interne</v>
          </cell>
          <cell r="F4224" t="str">
            <v>du</v>
          </cell>
          <cell r="G4224" t="str">
            <v>contrat</v>
          </cell>
          <cell r="H4224"/>
          <cell r="I4224"/>
        </row>
        <row r="4225">
          <cell r="C4225" t="str">
            <v>interne</v>
          </cell>
          <cell r="D4225" t="str">
            <v>du</v>
          </cell>
          <cell r="E4225" t="str">
            <v>contrat</v>
          </cell>
          <cell r="F4225"/>
          <cell r="G4225"/>
          <cell r="H4225"/>
          <cell r="I4225"/>
        </row>
        <row r="4226">
          <cell r="C4226"/>
          <cell r="D4226" t="str">
            <v>de</v>
          </cell>
          <cell r="E4226" t="str">
            <v>référence externe</v>
          </cell>
          <cell r="F4226" t="str">
            <v>du</v>
          </cell>
          <cell r="G4226" t="str">
            <v>contrat</v>
          </cell>
          <cell r="H4226"/>
          <cell r="I4226"/>
        </row>
        <row r="4227">
          <cell r="C4227" t="str">
            <v>externe</v>
          </cell>
          <cell r="D4227" t="str">
            <v>du</v>
          </cell>
          <cell r="E4227" t="str">
            <v>contrat</v>
          </cell>
          <cell r="F4227"/>
          <cell r="G4227"/>
          <cell r="H4227"/>
          <cell r="I4227"/>
        </row>
        <row r="4228">
          <cell r="C4228"/>
          <cell r="D4228" t="str">
            <v>de l'</v>
          </cell>
          <cell r="E4228" t="str">
            <v>origine</v>
          </cell>
          <cell r="F4228" t="str">
            <v>du</v>
          </cell>
          <cell r="G4228" t="str">
            <v>contentieux</v>
          </cell>
          <cell r="H4228"/>
          <cell r="I4228"/>
        </row>
        <row r="4229">
          <cell r="C4229" t="str">
            <v>sio</v>
          </cell>
          <cell r="D4229" t="str">
            <v>du</v>
          </cell>
          <cell r="E4229" t="str">
            <v>contentieux</v>
          </cell>
          <cell r="F4229"/>
          <cell r="G4229"/>
          <cell r="H4229"/>
          <cell r="I4229"/>
        </row>
        <row r="4230">
          <cell r="C4230" t="str">
            <v>sid</v>
          </cell>
          <cell r="D4230" t="str">
            <v>du</v>
          </cell>
          <cell r="E4230" t="str">
            <v>contentieux</v>
          </cell>
          <cell r="F4230"/>
          <cell r="G4230"/>
          <cell r="H4230"/>
          <cell r="I4230"/>
        </row>
        <row r="4231">
          <cell r="C4231"/>
          <cell r="D4231" t="str">
            <v>de l'</v>
          </cell>
          <cell r="E4231" t="str">
            <v>état</v>
          </cell>
          <cell r="F4231" t="str">
            <v>du</v>
          </cell>
          <cell r="G4231" t="str">
            <v>contentieux</v>
          </cell>
          <cell r="H4231"/>
          <cell r="I4231"/>
        </row>
        <row r="4232">
          <cell r="C4232"/>
          <cell r="D4232" t="str">
            <v>de l'</v>
          </cell>
          <cell r="E4232" t="str">
            <v>état</v>
          </cell>
          <cell r="F4232" t="str">
            <v>du</v>
          </cell>
          <cell r="G4232" t="str">
            <v>contentieux</v>
          </cell>
          <cell r="H4232"/>
          <cell r="I4232"/>
        </row>
        <row r="4233">
          <cell r="C4233"/>
          <cell r="D4233" t="str">
            <v>de l'</v>
          </cell>
          <cell r="E4233" t="str">
            <v>état</v>
          </cell>
          <cell r="F4233" t="str">
            <v>du</v>
          </cell>
          <cell r="G4233" t="str">
            <v>contentieux</v>
          </cell>
          <cell r="H4233"/>
          <cell r="I4233"/>
        </row>
        <row r="4234">
          <cell r="C4234"/>
          <cell r="D4234" t="str">
            <v>du</v>
          </cell>
          <cell r="E4234" t="str">
            <v>contentieux</v>
          </cell>
          <cell r="F4234"/>
          <cell r="G4234"/>
          <cell r="H4234"/>
          <cell r="I4234"/>
        </row>
        <row r="4235">
          <cell r="C4235"/>
          <cell r="D4235" t="str">
            <v>de</v>
          </cell>
          <cell r="E4235" t="str">
            <v>mise en demeure</v>
          </cell>
          <cell r="F4235"/>
          <cell r="G4235"/>
          <cell r="H4235"/>
          <cell r="I4235"/>
        </row>
        <row r="4236">
          <cell r="C4236"/>
          <cell r="D4236" t="str">
            <v>de</v>
          </cell>
          <cell r="E4236" t="str">
            <v>rappel</v>
          </cell>
          <cell r="F4236"/>
          <cell r="G4236"/>
          <cell r="H4236"/>
          <cell r="I4236"/>
        </row>
        <row r="4237">
          <cell r="C4237"/>
          <cell r="D4237" t="str">
            <v>du</v>
          </cell>
          <cell r="E4237" t="str">
            <v>contentieux</v>
          </cell>
          <cell r="F4237"/>
          <cell r="G4237"/>
          <cell r="H4237"/>
          <cell r="I4237"/>
        </row>
        <row r="4238">
          <cell r="C4238"/>
          <cell r="D4238" t="str">
            <v>des</v>
          </cell>
          <cell r="E4238" t="str">
            <v>garantie</v>
          </cell>
          <cell r="F4238"/>
          <cell r="G4238"/>
          <cell r="H4238"/>
          <cell r="I4238"/>
        </row>
        <row r="4239">
          <cell r="C4239"/>
          <cell r="D4239" t="str">
            <v>de</v>
          </cell>
          <cell r="E4239" t="str">
            <v>sommation</v>
          </cell>
          <cell r="F4239"/>
          <cell r="G4239"/>
          <cell r="H4239"/>
          <cell r="I4239"/>
        </row>
        <row r="4240">
          <cell r="C4240"/>
          <cell r="D4240" t="str">
            <v>d'</v>
          </cell>
          <cell r="E4240" t="str">
            <v>injonction</v>
          </cell>
          <cell r="F4240"/>
          <cell r="G4240"/>
          <cell r="H4240"/>
          <cell r="I4240"/>
        </row>
        <row r="4241">
          <cell r="C4241" t="str">
            <v>théorique</v>
          </cell>
          <cell r="D4241" t="str">
            <v>de</v>
          </cell>
          <cell r="E4241" t="str">
            <v>mise en demeure</v>
          </cell>
          <cell r="F4241"/>
          <cell r="G4241"/>
          <cell r="H4241"/>
          <cell r="I4241"/>
        </row>
        <row r="4242">
          <cell r="C4242" t="str">
            <v>théorique</v>
          </cell>
          <cell r="D4242" t="str">
            <v>de</v>
          </cell>
          <cell r="E4242" t="str">
            <v>rappel</v>
          </cell>
          <cell r="F4242"/>
          <cell r="G4242"/>
          <cell r="H4242"/>
          <cell r="I4242"/>
        </row>
        <row r="4243">
          <cell r="C4243" t="str">
            <v>théorique</v>
          </cell>
          <cell r="D4243" t="str">
            <v>de</v>
          </cell>
          <cell r="E4243" t="str">
            <v>sommation</v>
          </cell>
          <cell r="F4243"/>
          <cell r="G4243"/>
          <cell r="H4243"/>
          <cell r="I4243"/>
        </row>
        <row r="4244">
          <cell r="C4244" t="str">
            <v>théorique</v>
          </cell>
          <cell r="D4244" t="str">
            <v>d'</v>
          </cell>
          <cell r="E4244" t="str">
            <v>injonction</v>
          </cell>
          <cell r="F4244"/>
          <cell r="G4244"/>
          <cell r="H4244"/>
          <cell r="I4244"/>
        </row>
        <row r="4245">
          <cell r="C4245" t="str">
            <v>théorique</v>
          </cell>
          <cell r="D4245" t="str">
            <v>de</v>
          </cell>
          <cell r="E4245" t="str">
            <v>résiliation</v>
          </cell>
          <cell r="F4245" t="str">
            <v>du</v>
          </cell>
          <cell r="G4245" t="str">
            <v>contrat</v>
          </cell>
          <cell r="H4245"/>
          <cell r="I4245"/>
        </row>
        <row r="4246">
          <cell r="C4246"/>
          <cell r="D4246" t="str">
            <v>de l'</v>
          </cell>
          <cell r="E4246" t="str">
            <v>échéance démarrant</v>
          </cell>
          <cell r="F4246" t="str">
            <v>le</v>
          </cell>
          <cell r="G4246" t="str">
            <v>contentieux</v>
          </cell>
          <cell r="H4246"/>
          <cell r="I4246"/>
        </row>
        <row r="4247">
          <cell r="C4247"/>
          <cell r="D4247" t="str">
            <v>de l'</v>
          </cell>
          <cell r="E4247" t="str">
            <v>échéance impayée</v>
          </cell>
          <cell r="F4247"/>
          <cell r="G4247"/>
          <cell r="H4247"/>
          <cell r="I4247"/>
        </row>
        <row r="4248">
          <cell r="C4248"/>
          <cell r="D4248" t="str">
            <v>de l'</v>
          </cell>
          <cell r="E4248" t="str">
            <v>échéance exigible</v>
          </cell>
          <cell r="F4248"/>
          <cell r="G4248"/>
          <cell r="H4248"/>
          <cell r="I4248"/>
        </row>
        <row r="4249">
          <cell r="C4249"/>
          <cell r="D4249" t="str">
            <v>des</v>
          </cell>
          <cell r="E4249" t="str">
            <v>montant</v>
          </cell>
          <cell r="F4249"/>
          <cell r="G4249"/>
          <cell r="H4249"/>
          <cell r="I4249"/>
        </row>
        <row r="4250">
          <cell r="C4250"/>
          <cell r="D4250" t="str">
            <v>du</v>
          </cell>
          <cell r="E4250" t="str">
            <v>mode de règlement</v>
          </cell>
          <cell r="F4250"/>
          <cell r="G4250"/>
          <cell r="H4250"/>
          <cell r="I4250"/>
        </row>
        <row r="4251">
          <cell r="C4251"/>
          <cell r="D4251" t="str">
            <v>du</v>
          </cell>
          <cell r="E4251" t="str">
            <v>mode de règlement</v>
          </cell>
          <cell r="F4251"/>
          <cell r="G4251"/>
          <cell r="H4251"/>
          <cell r="I4251"/>
        </row>
        <row r="4252">
          <cell r="C4252"/>
          <cell r="D4252" t="str">
            <v>du</v>
          </cell>
          <cell r="E4252" t="str">
            <v>mode de règlement</v>
          </cell>
          <cell r="F4252"/>
          <cell r="G4252"/>
          <cell r="H4252"/>
          <cell r="I4252"/>
        </row>
        <row r="4253">
          <cell r="C4253"/>
          <cell r="D4253" t="str">
            <v>du</v>
          </cell>
          <cell r="E4253" t="str">
            <v>recommandé</v>
          </cell>
          <cell r="F4253" t="str">
            <v>de la</v>
          </cell>
          <cell r="G4253" t="str">
            <v>mise en demeure</v>
          </cell>
          <cell r="H4253"/>
          <cell r="I4253"/>
        </row>
        <row r="4254">
          <cell r="C4254"/>
          <cell r="D4254" t="str">
            <v>du</v>
          </cell>
          <cell r="E4254" t="str">
            <v>recommandé</v>
          </cell>
          <cell r="F4254" t="str">
            <v>de la</v>
          </cell>
          <cell r="G4254" t="str">
            <v>mise en demeure</v>
          </cell>
          <cell r="H4254"/>
          <cell r="I4254"/>
        </row>
        <row r="4255">
          <cell r="C4255"/>
          <cell r="D4255" t="str">
            <v>de l'</v>
          </cell>
          <cell r="E4255" t="str">
            <v>équipe</v>
          </cell>
          <cell r="F4255" t="str">
            <v>du</v>
          </cell>
          <cell r="G4255" t="str">
            <v>rédacteur</v>
          </cell>
          <cell r="H4255" t="str">
            <v>du</v>
          </cell>
          <cell r="I4255" t="str">
            <v>contentieux</v>
          </cell>
        </row>
        <row r="4256">
          <cell r="C4256"/>
          <cell r="D4256" t="str">
            <v>du</v>
          </cell>
          <cell r="E4256" t="str">
            <v>rédacteur</v>
          </cell>
          <cell r="F4256" t="str">
            <v>du</v>
          </cell>
          <cell r="G4256" t="str">
            <v>contentieux</v>
          </cell>
          <cell r="H4256"/>
          <cell r="I4256"/>
        </row>
        <row r="4257">
          <cell r="C4257"/>
          <cell r="D4257" t="str">
            <v>du</v>
          </cell>
          <cell r="E4257" t="str">
            <v>rédacteur</v>
          </cell>
          <cell r="F4257" t="str">
            <v>du</v>
          </cell>
          <cell r="G4257" t="str">
            <v>contentieux</v>
          </cell>
          <cell r="H4257"/>
          <cell r="I4257"/>
        </row>
        <row r="4258">
          <cell r="C4258"/>
          <cell r="D4258" t="str">
            <v>du</v>
          </cell>
          <cell r="E4258" t="str">
            <v>rédacteur</v>
          </cell>
          <cell r="F4258" t="str">
            <v>de la</v>
          </cell>
          <cell r="G4258" t="str">
            <v>liquidation</v>
          </cell>
          <cell r="H4258"/>
          <cell r="I4258"/>
        </row>
        <row r="4259">
          <cell r="C4259"/>
          <cell r="D4259" t="str">
            <v>du</v>
          </cell>
          <cell r="E4259" t="str">
            <v>correspondant</v>
          </cell>
          <cell r="F4259" t="str">
            <v>de la</v>
          </cell>
          <cell r="G4259" t="str">
            <v>sommation</v>
          </cell>
          <cell r="H4259"/>
          <cell r="I4259"/>
        </row>
        <row r="4260">
          <cell r="C4260"/>
          <cell r="D4260" t="str">
            <v>du</v>
          </cell>
          <cell r="E4260" t="str">
            <v>correspondant</v>
          </cell>
          <cell r="F4260" t="str">
            <v>de l'</v>
          </cell>
          <cell r="G4260" t="str">
            <v>injonction</v>
          </cell>
          <cell r="H4260"/>
          <cell r="I4260"/>
        </row>
        <row r="4261">
          <cell r="C4261"/>
          <cell r="D4261" t="str">
            <v>de la</v>
          </cell>
          <cell r="E4261" t="str">
            <v>société apéritrice</v>
          </cell>
          <cell r="F4261"/>
          <cell r="G4261"/>
          <cell r="H4261"/>
          <cell r="I4261"/>
        </row>
        <row r="4262">
          <cell r="C4262"/>
          <cell r="D4262" t="str">
            <v>de la</v>
          </cell>
          <cell r="E4262" t="str">
            <v>famille assurance</v>
          </cell>
          <cell r="F4262"/>
          <cell r="G4262"/>
          <cell r="H4262"/>
          <cell r="I4262"/>
        </row>
        <row r="4263">
          <cell r="C4263"/>
          <cell r="D4263" t="str">
            <v>de la</v>
          </cell>
          <cell r="E4263" t="str">
            <v>Branche assurance</v>
          </cell>
          <cell r="F4263"/>
          <cell r="G4263"/>
          <cell r="H4263"/>
          <cell r="I4263"/>
        </row>
        <row r="4264">
          <cell r="C4264"/>
          <cell r="D4264" t="str">
            <v>du</v>
          </cell>
          <cell r="E4264" t="str">
            <v>pays</v>
          </cell>
          <cell r="F4264" t="str">
            <v>du</v>
          </cell>
          <cell r="G4264" t="str">
            <v>contrat</v>
          </cell>
          <cell r="H4264"/>
          <cell r="I4264"/>
        </row>
        <row r="4265">
          <cell r="C4265"/>
          <cell r="D4265" t="str">
            <v>de l'</v>
          </cell>
          <cell r="E4265" t="str">
            <v>Entité gestionnaire</v>
          </cell>
          <cell r="F4265" t="str">
            <v>du</v>
          </cell>
          <cell r="G4265" t="str">
            <v>contrat</v>
          </cell>
          <cell r="H4265"/>
          <cell r="I4265"/>
        </row>
        <row r="4266">
          <cell r="C4266"/>
          <cell r="D4266" t="str">
            <v>de l'</v>
          </cell>
          <cell r="E4266" t="str">
            <v>intermédiaire de gestion</v>
          </cell>
          <cell r="F4266" t="str">
            <v>du</v>
          </cell>
          <cell r="G4266" t="str">
            <v>contrat</v>
          </cell>
          <cell r="H4266"/>
          <cell r="I4266"/>
        </row>
        <row r="4267">
          <cell r="C4267"/>
          <cell r="D4267" t="str">
            <v>de la</v>
          </cell>
          <cell r="E4267" t="str">
            <v>procédure judiciaire</v>
          </cell>
          <cell r="F4267"/>
          <cell r="G4267"/>
          <cell r="H4267"/>
          <cell r="I4267"/>
        </row>
        <row r="4268">
          <cell r="C4268"/>
          <cell r="D4268" t="str">
            <v>du</v>
          </cell>
          <cell r="E4268" t="str">
            <v>NPAI</v>
          </cell>
          <cell r="F4268"/>
          <cell r="G4268"/>
          <cell r="H4268"/>
          <cell r="I4268"/>
        </row>
        <row r="4269">
          <cell r="C4269"/>
          <cell r="D4269" t="str">
            <v>du</v>
          </cell>
          <cell r="E4269" t="str">
            <v>NPAI</v>
          </cell>
          <cell r="F4269"/>
          <cell r="G4269"/>
          <cell r="H4269"/>
          <cell r="I4269"/>
        </row>
        <row r="4270">
          <cell r="C4270"/>
          <cell r="D4270" t="str">
            <v>de la</v>
          </cell>
          <cell r="E4270" t="str">
            <v>référence bancaire</v>
          </cell>
          <cell r="F4270"/>
          <cell r="G4270"/>
          <cell r="H4270"/>
          <cell r="I4270"/>
        </row>
        <row r="4271">
          <cell r="C4271"/>
          <cell r="D4271" t="str">
            <v>du</v>
          </cell>
          <cell r="E4271" t="str">
            <v>format</v>
          </cell>
          <cell r="F4271" t="str">
            <v>de la</v>
          </cell>
          <cell r="G4271" t="str">
            <v>référence bancaire</v>
          </cell>
          <cell r="H4271"/>
          <cell r="I4271"/>
        </row>
        <row r="4272">
          <cell r="C4272"/>
          <cell r="D4272" t="str">
            <v>du</v>
          </cell>
          <cell r="E4272" t="str">
            <v>pays</v>
          </cell>
          <cell r="F4272" t="str">
            <v>de la</v>
          </cell>
          <cell r="G4272" t="str">
            <v>référence bancaire</v>
          </cell>
          <cell r="H4272"/>
          <cell r="I4272"/>
        </row>
        <row r="4273">
          <cell r="C4273"/>
          <cell r="D4273" t="str">
            <v>de la</v>
          </cell>
          <cell r="E4273" t="str">
            <v>référence bancaire</v>
          </cell>
          <cell r="F4273"/>
          <cell r="G4273"/>
          <cell r="H4273"/>
          <cell r="I4273"/>
        </row>
        <row r="4274">
          <cell r="C4274"/>
          <cell r="D4274" t="str">
            <v>de la</v>
          </cell>
          <cell r="E4274" t="str">
            <v>établissement</v>
          </cell>
          <cell r="F4274" t="str">
            <v>de la</v>
          </cell>
          <cell r="G4274" t="str">
            <v>référence bancaire</v>
          </cell>
          <cell r="H4274"/>
          <cell r="I4274"/>
        </row>
        <row r="4275">
          <cell r="C4275"/>
          <cell r="D4275" t="str">
            <v>de la</v>
          </cell>
          <cell r="E4275" t="str">
            <v>guichet de l'établissement</v>
          </cell>
          <cell r="F4275" t="str">
            <v>de la</v>
          </cell>
          <cell r="G4275" t="str">
            <v>référence bancaire</v>
          </cell>
          <cell r="H4275"/>
          <cell r="I4275"/>
        </row>
        <row r="4276">
          <cell r="C4276"/>
          <cell r="D4276" t="str">
            <v>de</v>
          </cell>
          <cell r="E4276" t="str">
            <v>compte</v>
          </cell>
          <cell r="F4276" t="str">
            <v>de la</v>
          </cell>
          <cell r="G4276" t="str">
            <v>référence bancaire</v>
          </cell>
          <cell r="H4276"/>
          <cell r="I4276"/>
        </row>
        <row r="4277">
          <cell r="C4277"/>
          <cell r="D4277" t="str">
            <v>du</v>
          </cell>
          <cell r="E4277" t="str">
            <v>mode de création</v>
          </cell>
          <cell r="F4277" t="str">
            <v>de l'</v>
          </cell>
          <cell r="G4277" t="str">
            <v>enregistrement</v>
          </cell>
          <cell r="H4277"/>
          <cell r="I4277"/>
        </row>
        <row r="4278">
          <cell r="C4278"/>
          <cell r="D4278" t="str">
            <v>de l'</v>
          </cell>
          <cell r="E4278" t="str">
            <v>enregistrement</v>
          </cell>
          <cell r="F4278"/>
          <cell r="G4278"/>
          <cell r="H4278"/>
          <cell r="I4278"/>
        </row>
        <row r="4279">
          <cell r="C4279" t="str">
            <v>création</v>
          </cell>
          <cell r="D4279" t="str">
            <v>de l'</v>
          </cell>
          <cell r="E4279" t="str">
            <v>enregistrement</v>
          </cell>
          <cell r="F4279"/>
          <cell r="G4279"/>
          <cell r="H4279"/>
          <cell r="I4279"/>
        </row>
        <row r="4280">
          <cell r="C4280"/>
          <cell r="D4280" t="str">
            <v>de l'</v>
          </cell>
          <cell r="E4280" t="str">
            <v>enregistrement</v>
          </cell>
          <cell r="F4280"/>
          <cell r="G4280"/>
          <cell r="H4280"/>
          <cell r="I4280"/>
        </row>
        <row r="4281">
          <cell r="C4281" t="str">
            <v>mise à jour</v>
          </cell>
          <cell r="D4281" t="str">
            <v>de l'</v>
          </cell>
          <cell r="E4281" t="str">
            <v>enregistrement</v>
          </cell>
          <cell r="F4281"/>
          <cell r="G4281"/>
          <cell r="H4281"/>
          <cell r="I4281"/>
        </row>
        <row r="4282">
          <cell r="C4282"/>
          <cell r="D4282" t="str">
            <v>de la</v>
          </cell>
          <cell r="E4282" t="str">
            <v>source applicative</v>
          </cell>
          <cell r="F4282" t="str">
            <v>du</v>
          </cell>
          <cell r="G4282" t="str">
            <v>contentieux</v>
          </cell>
          <cell r="H4282"/>
          <cell r="I4282"/>
        </row>
        <row r="4283">
          <cell r="C4283" t="str">
            <v>actif</v>
          </cell>
          <cell r="D4283" t="str">
            <v>du</v>
          </cell>
          <cell r="E4283" t="str">
            <v>contentieux</v>
          </cell>
          <cell r="F4283"/>
          <cell r="G4283"/>
          <cell r="H4283"/>
          <cell r="I4283"/>
        </row>
        <row r="4284">
          <cell r="C4284" t="str">
            <v>présence</v>
          </cell>
          <cell r="D4284" t="str">
            <v>de</v>
          </cell>
          <cell r="E4284" t="str">
            <v>recommandé</v>
          </cell>
          <cell r="F4284"/>
          <cell r="G4284"/>
          <cell r="H4284"/>
          <cell r="I4284"/>
        </row>
        <row r="4285">
          <cell r="C4285"/>
          <cell r="D4285" t="str">
            <v>de l'</v>
          </cell>
          <cell r="E4285" t="str">
            <v>action du contentieux</v>
          </cell>
          <cell r="F4285"/>
          <cell r="G4285"/>
          <cell r="H4285"/>
          <cell r="I4285"/>
        </row>
        <row r="4286">
          <cell r="C4286"/>
          <cell r="D4286" t="str">
            <v>de l'</v>
          </cell>
          <cell r="E4286" t="str">
            <v>action du contentieux</v>
          </cell>
          <cell r="F4286"/>
          <cell r="G4286"/>
          <cell r="H4286"/>
          <cell r="I4286"/>
        </row>
        <row r="4287">
          <cell r="C4287" t="str">
            <v>dernière image</v>
          </cell>
          <cell r="D4287" t="str">
            <v>de l'</v>
          </cell>
          <cell r="E4287" t="str">
            <v>action du contentieux</v>
          </cell>
          <cell r="F4287"/>
          <cell r="G4287"/>
          <cell r="H4287"/>
          <cell r="I4287"/>
        </row>
        <row r="4288">
          <cell r="C4288"/>
          <cell r="D4288" t="str">
            <v>de l'</v>
          </cell>
          <cell r="E4288" t="str">
            <v>origine</v>
          </cell>
          <cell r="F4288" t="str">
            <v>de l'</v>
          </cell>
          <cell r="G4288" t="str">
            <v>action du contentieux</v>
          </cell>
          <cell r="H4288"/>
          <cell r="I4288"/>
        </row>
        <row r="4289">
          <cell r="C4289"/>
          <cell r="D4289" t="str">
            <v>de l'</v>
          </cell>
          <cell r="E4289" t="str">
            <v>action</v>
          </cell>
          <cell r="F4289"/>
          <cell r="G4289"/>
          <cell r="H4289"/>
          <cell r="I4289"/>
        </row>
        <row r="4290">
          <cell r="C4290" t="str">
            <v>ordre</v>
          </cell>
          <cell r="D4290" t="str">
            <v>de l'</v>
          </cell>
          <cell r="E4290" t="str">
            <v>action</v>
          </cell>
          <cell r="F4290"/>
          <cell r="G4290"/>
          <cell r="H4290"/>
          <cell r="I4290"/>
        </row>
        <row r="4291">
          <cell r="C4291"/>
          <cell r="D4291" t="str">
            <v>de l'</v>
          </cell>
          <cell r="E4291" t="str">
            <v>action</v>
          </cell>
          <cell r="F4291"/>
          <cell r="G4291"/>
          <cell r="H4291"/>
          <cell r="I4291"/>
        </row>
        <row r="4292">
          <cell r="C4292"/>
          <cell r="D4292" t="str">
            <v>de l'</v>
          </cell>
          <cell r="E4292" t="str">
            <v>action</v>
          </cell>
          <cell r="F4292"/>
          <cell r="G4292"/>
          <cell r="H4292"/>
          <cell r="I4292"/>
        </row>
        <row r="4293">
          <cell r="C4293"/>
          <cell r="D4293" t="str">
            <v>de l'</v>
          </cell>
          <cell r="E4293" t="str">
            <v>action</v>
          </cell>
          <cell r="F4293"/>
          <cell r="G4293"/>
          <cell r="H4293"/>
          <cell r="I4293"/>
        </row>
        <row r="4294">
          <cell r="C4294"/>
          <cell r="D4294" t="str">
            <v>de l'</v>
          </cell>
          <cell r="E4294" t="str">
            <v>état</v>
          </cell>
          <cell r="F4294" t="str">
            <v>de l'</v>
          </cell>
          <cell r="G4294" t="str">
            <v>action</v>
          </cell>
          <cell r="H4294"/>
          <cell r="I4294"/>
        </row>
        <row r="4295">
          <cell r="C4295"/>
          <cell r="D4295" t="str">
            <v>de l'</v>
          </cell>
          <cell r="E4295" t="str">
            <v>état</v>
          </cell>
          <cell r="F4295" t="str">
            <v>de l'</v>
          </cell>
          <cell r="G4295" t="str">
            <v>action</v>
          </cell>
          <cell r="H4295"/>
          <cell r="I4295"/>
        </row>
        <row r="4296">
          <cell r="C4296"/>
          <cell r="D4296" t="str">
            <v>de l'</v>
          </cell>
          <cell r="E4296" t="str">
            <v>état</v>
          </cell>
          <cell r="F4296" t="str">
            <v>de l'</v>
          </cell>
          <cell r="G4296" t="str">
            <v>action</v>
          </cell>
          <cell r="H4296"/>
          <cell r="I4296"/>
        </row>
        <row r="4297">
          <cell r="C4297"/>
          <cell r="D4297" t="str">
            <v>de l'</v>
          </cell>
          <cell r="E4297" t="str">
            <v>état</v>
          </cell>
          <cell r="F4297"/>
          <cell r="G4297"/>
          <cell r="H4297"/>
          <cell r="I4297"/>
        </row>
        <row r="4298">
          <cell r="C4298"/>
          <cell r="D4298" t="str">
            <v>de l'</v>
          </cell>
          <cell r="E4298" t="str">
            <v>action</v>
          </cell>
          <cell r="F4298"/>
          <cell r="G4298"/>
          <cell r="H4298"/>
          <cell r="I4298"/>
        </row>
        <row r="4299">
          <cell r="C4299"/>
          <cell r="D4299" t="str">
            <v>de l'</v>
          </cell>
          <cell r="E4299" t="str">
            <v>action</v>
          </cell>
          <cell r="F4299"/>
          <cell r="G4299"/>
          <cell r="H4299"/>
          <cell r="I4299"/>
        </row>
        <row r="4300">
          <cell r="C4300"/>
          <cell r="D4300" t="str">
            <v>de l'</v>
          </cell>
          <cell r="E4300" t="str">
            <v>action</v>
          </cell>
          <cell r="F4300"/>
          <cell r="G4300"/>
          <cell r="H4300"/>
          <cell r="I4300"/>
        </row>
        <row r="4301">
          <cell r="C4301"/>
          <cell r="D4301" t="str">
            <v>du</v>
          </cell>
          <cell r="E4301" t="str">
            <v>complément d'information</v>
          </cell>
          <cell r="F4301"/>
          <cell r="G4301"/>
          <cell r="H4301"/>
          <cell r="I4301"/>
        </row>
        <row r="4302">
          <cell r="C4302"/>
          <cell r="D4302" t="str">
            <v>de l'</v>
          </cell>
          <cell r="E4302" t="str">
            <v>action</v>
          </cell>
          <cell r="F4302"/>
          <cell r="G4302"/>
          <cell r="H4302"/>
          <cell r="I4302"/>
        </row>
        <row r="4303">
          <cell r="C4303"/>
          <cell r="D4303" t="str">
            <v>du</v>
          </cell>
          <cell r="E4303" t="str">
            <v>rédacteur</v>
          </cell>
          <cell r="F4303"/>
          <cell r="G4303"/>
          <cell r="H4303"/>
          <cell r="I4303"/>
        </row>
        <row r="4304">
          <cell r="C4304"/>
          <cell r="D4304" t="str">
            <v>du</v>
          </cell>
          <cell r="E4304" t="str">
            <v>correspondant extérieur</v>
          </cell>
          <cell r="F4304"/>
          <cell r="G4304"/>
          <cell r="H4304"/>
          <cell r="I4304"/>
        </row>
        <row r="4305">
          <cell r="C4305"/>
          <cell r="D4305" t="str">
            <v>de la</v>
          </cell>
          <cell r="E4305" t="str">
            <v>source applicative</v>
          </cell>
          <cell r="F4305" t="str">
            <v>de l'</v>
          </cell>
          <cell r="G4305" t="str">
            <v>action du contentieux</v>
          </cell>
          <cell r="H4305"/>
          <cell r="I4305"/>
        </row>
        <row r="4306">
          <cell r="C4306"/>
          <cell r="D4306" t="str">
            <v>de l'</v>
          </cell>
          <cell r="E4306" t="str">
            <v>échéance du contentieux</v>
          </cell>
          <cell r="F4306"/>
          <cell r="G4306"/>
          <cell r="H4306"/>
          <cell r="I4306"/>
        </row>
        <row r="4307">
          <cell r="C4307"/>
          <cell r="D4307" t="str">
            <v>de l'</v>
          </cell>
          <cell r="E4307" t="str">
            <v>échéance du contentieux</v>
          </cell>
          <cell r="F4307"/>
          <cell r="G4307"/>
          <cell r="H4307"/>
          <cell r="I4307"/>
        </row>
        <row r="4308">
          <cell r="C4308" t="str">
            <v>dernière image</v>
          </cell>
          <cell r="D4308" t="str">
            <v>de l'</v>
          </cell>
          <cell r="E4308" t="str">
            <v>échéance du contentieux</v>
          </cell>
          <cell r="F4308"/>
          <cell r="G4308"/>
          <cell r="H4308"/>
          <cell r="I4308"/>
        </row>
        <row r="4309">
          <cell r="C4309"/>
          <cell r="D4309" t="str">
            <v>d'</v>
          </cell>
          <cell r="E4309" t="str">
            <v>échéance</v>
          </cell>
          <cell r="F4309"/>
          <cell r="G4309"/>
          <cell r="H4309"/>
          <cell r="I4309"/>
        </row>
        <row r="4310">
          <cell r="C4310"/>
          <cell r="D4310" t="str">
            <v>d'</v>
          </cell>
          <cell r="E4310" t="str">
            <v>échéance</v>
          </cell>
          <cell r="F4310"/>
          <cell r="G4310"/>
          <cell r="H4310"/>
          <cell r="I4310"/>
        </row>
        <row r="4311">
          <cell r="C4311"/>
          <cell r="D4311" t="str">
            <v>du</v>
          </cell>
          <cell r="E4311" t="str">
            <v>type</v>
          </cell>
          <cell r="F4311" t="str">
            <v>d'</v>
          </cell>
          <cell r="G4311" t="str">
            <v>échéance</v>
          </cell>
          <cell r="H4311"/>
          <cell r="I4311"/>
        </row>
        <row r="4312">
          <cell r="C4312"/>
          <cell r="D4312" t="str">
            <v>du</v>
          </cell>
          <cell r="E4312" t="str">
            <v>type</v>
          </cell>
          <cell r="F4312" t="str">
            <v>d'</v>
          </cell>
          <cell r="G4312" t="str">
            <v>échéance</v>
          </cell>
          <cell r="H4312"/>
          <cell r="I4312"/>
        </row>
        <row r="4313">
          <cell r="C4313"/>
          <cell r="D4313" t="str">
            <v>du</v>
          </cell>
          <cell r="E4313" t="str">
            <v>type</v>
          </cell>
          <cell r="F4313" t="str">
            <v>d'</v>
          </cell>
          <cell r="G4313" t="str">
            <v>échéance</v>
          </cell>
          <cell r="H4313"/>
          <cell r="I4313"/>
        </row>
        <row r="4314">
          <cell r="C4314"/>
          <cell r="D4314" t="str">
            <v>de l'</v>
          </cell>
          <cell r="E4314" t="str">
            <v>échéance</v>
          </cell>
          <cell r="F4314"/>
          <cell r="G4314"/>
          <cell r="H4314"/>
          <cell r="I4314"/>
        </row>
        <row r="4315">
          <cell r="C4315"/>
          <cell r="D4315" t="str">
            <v>de la</v>
          </cell>
          <cell r="E4315" t="str">
            <v>catégorie</v>
          </cell>
          <cell r="F4315" t="str">
            <v>de l'</v>
          </cell>
          <cell r="G4315" t="str">
            <v>échéance</v>
          </cell>
          <cell r="H4315"/>
          <cell r="I4315"/>
        </row>
        <row r="4316">
          <cell r="C4316"/>
          <cell r="D4316" t="str">
            <v>de la</v>
          </cell>
          <cell r="E4316" t="str">
            <v>catégorie</v>
          </cell>
          <cell r="F4316" t="str">
            <v>de l'</v>
          </cell>
          <cell r="G4316" t="str">
            <v>échéance</v>
          </cell>
          <cell r="H4316"/>
          <cell r="I4316"/>
        </row>
        <row r="4317">
          <cell r="C4317"/>
          <cell r="D4317" t="str">
            <v>de la</v>
          </cell>
          <cell r="E4317" t="str">
            <v>catégorie</v>
          </cell>
          <cell r="F4317" t="str">
            <v>de l'</v>
          </cell>
          <cell r="G4317" t="str">
            <v>échéance</v>
          </cell>
          <cell r="H4317"/>
          <cell r="I4317"/>
        </row>
        <row r="4318">
          <cell r="C4318"/>
          <cell r="D4318" t="str">
            <v>du</v>
          </cell>
          <cell r="E4318" t="str">
            <v>rejet</v>
          </cell>
          <cell r="F4318"/>
          <cell r="G4318"/>
          <cell r="H4318"/>
          <cell r="I4318"/>
        </row>
        <row r="4319">
          <cell r="C4319"/>
          <cell r="D4319" t="str">
            <v>du</v>
          </cell>
          <cell r="E4319" t="str">
            <v>motif</v>
          </cell>
          <cell r="F4319" t="str">
            <v>de</v>
          </cell>
          <cell r="G4319" t="str">
            <v>rejet</v>
          </cell>
          <cell r="H4319"/>
          <cell r="I4319"/>
        </row>
        <row r="4320">
          <cell r="C4320"/>
          <cell r="D4320" t="str">
            <v>du</v>
          </cell>
          <cell r="E4320" t="str">
            <v>mode de règlement</v>
          </cell>
          <cell r="F4320" t="str">
            <v>de l'</v>
          </cell>
          <cell r="G4320" t="str">
            <v>échéance rejetée</v>
          </cell>
          <cell r="H4320"/>
          <cell r="I4320"/>
        </row>
        <row r="4321">
          <cell r="C4321"/>
          <cell r="D4321" t="str">
            <v>du</v>
          </cell>
          <cell r="E4321" t="str">
            <v>mode de règlement</v>
          </cell>
          <cell r="F4321" t="str">
            <v>de l'</v>
          </cell>
          <cell r="G4321" t="str">
            <v>échéance rejetée</v>
          </cell>
          <cell r="H4321"/>
          <cell r="I4321"/>
        </row>
        <row r="4322">
          <cell r="C4322"/>
          <cell r="D4322" t="str">
            <v>du</v>
          </cell>
          <cell r="E4322" t="str">
            <v>mode de règlement</v>
          </cell>
          <cell r="F4322" t="str">
            <v>de l'</v>
          </cell>
          <cell r="G4322" t="str">
            <v>échéance rejetée</v>
          </cell>
          <cell r="H4322"/>
          <cell r="I4322"/>
        </row>
        <row r="4323">
          <cell r="C4323"/>
          <cell r="D4323" t="str">
            <v>de la</v>
          </cell>
          <cell r="E4323" t="str">
            <v>source applicative</v>
          </cell>
          <cell r="F4323" t="str">
            <v>de l'</v>
          </cell>
          <cell r="G4323" t="str">
            <v>échéance du contentieux</v>
          </cell>
          <cell r="H4323"/>
          <cell r="I4323"/>
        </row>
        <row r="4324">
          <cell r="C4324"/>
          <cell r="D4324" t="str">
            <v>de l'</v>
          </cell>
          <cell r="E4324" t="str">
            <v>origine</v>
          </cell>
          <cell r="F4324" t="str">
            <v>du</v>
          </cell>
          <cell r="G4324" t="str">
            <v>rejet</v>
          </cell>
          <cell r="H4324"/>
          <cell r="I4324"/>
        </row>
        <row r="4325">
          <cell r="C4325"/>
          <cell r="D4325" t="str">
            <v>du</v>
          </cell>
          <cell r="E4325" t="str">
            <v>rejet</v>
          </cell>
          <cell r="F4325"/>
          <cell r="G4325"/>
          <cell r="H4325"/>
          <cell r="I4325"/>
        </row>
        <row r="4326">
          <cell r="C4326"/>
          <cell r="D4326" t="str">
            <v>du</v>
          </cell>
          <cell r="E4326" t="str">
            <v>rejet</v>
          </cell>
          <cell r="F4326"/>
          <cell r="G4326"/>
          <cell r="H4326"/>
          <cell r="I4326"/>
        </row>
        <row r="4327">
          <cell r="C4327"/>
          <cell r="D4327" t="str">
            <v>du</v>
          </cell>
          <cell r="E4327" t="str">
            <v>rejet</v>
          </cell>
          <cell r="F4327"/>
          <cell r="G4327"/>
          <cell r="H4327"/>
          <cell r="I4327"/>
        </row>
        <row r="4328">
          <cell r="C4328"/>
          <cell r="D4328" t="str">
            <v>du</v>
          </cell>
          <cell r="E4328" t="str">
            <v>motif</v>
          </cell>
          <cell r="F4328" t="str">
            <v>du</v>
          </cell>
          <cell r="G4328" t="str">
            <v>rejet</v>
          </cell>
          <cell r="H4328"/>
          <cell r="I4328"/>
        </row>
        <row r="4329">
          <cell r="C4329"/>
          <cell r="D4329" t="str">
            <v>du</v>
          </cell>
          <cell r="E4329" t="str">
            <v>motif</v>
          </cell>
          <cell r="F4329" t="str">
            <v>du</v>
          </cell>
          <cell r="G4329" t="str">
            <v>rejet</v>
          </cell>
          <cell r="H4329"/>
          <cell r="I4329"/>
        </row>
        <row r="4330">
          <cell r="C4330"/>
          <cell r="D4330" t="str">
            <v>de l'</v>
          </cell>
          <cell r="E4330" t="str">
            <v>état</v>
          </cell>
          <cell r="F4330" t="str">
            <v>du</v>
          </cell>
          <cell r="G4330" t="str">
            <v>rejet</v>
          </cell>
          <cell r="H4330"/>
          <cell r="I4330"/>
        </row>
        <row r="4331">
          <cell r="C4331"/>
          <cell r="D4331" t="str">
            <v>de l'</v>
          </cell>
          <cell r="E4331" t="str">
            <v>état</v>
          </cell>
          <cell r="F4331" t="str">
            <v>du</v>
          </cell>
          <cell r="G4331" t="str">
            <v>rejet</v>
          </cell>
          <cell r="H4331"/>
          <cell r="I4331"/>
        </row>
        <row r="4332">
          <cell r="C4332"/>
          <cell r="D4332" t="str">
            <v>de l'</v>
          </cell>
          <cell r="E4332" t="str">
            <v>état</v>
          </cell>
          <cell r="F4332" t="str">
            <v>du</v>
          </cell>
          <cell r="G4332" t="str">
            <v>rejet</v>
          </cell>
          <cell r="H4332"/>
          <cell r="I4332"/>
        </row>
        <row r="4333">
          <cell r="C4333"/>
          <cell r="D4333" t="str">
            <v>de la</v>
          </cell>
          <cell r="E4333" t="str">
            <v>nature de l'opération</v>
          </cell>
          <cell r="F4333" t="str">
            <v>du</v>
          </cell>
          <cell r="G4333" t="str">
            <v>rejet</v>
          </cell>
          <cell r="H4333"/>
          <cell r="I4333"/>
        </row>
        <row r="4334">
          <cell r="C4334"/>
          <cell r="D4334" t="str">
            <v>de la</v>
          </cell>
          <cell r="E4334" t="str">
            <v>nature de l'opération</v>
          </cell>
          <cell r="F4334" t="str">
            <v>du</v>
          </cell>
          <cell r="G4334" t="str">
            <v>rejet</v>
          </cell>
          <cell r="H4334"/>
          <cell r="I4334"/>
        </row>
        <row r="4335">
          <cell r="C4335"/>
          <cell r="D4335" t="str">
            <v>de la</v>
          </cell>
          <cell r="E4335" t="str">
            <v>nature de l'opération</v>
          </cell>
          <cell r="F4335" t="str">
            <v>du</v>
          </cell>
          <cell r="G4335" t="str">
            <v>rejet</v>
          </cell>
          <cell r="H4335"/>
          <cell r="I4335"/>
        </row>
        <row r="4336">
          <cell r="C4336"/>
          <cell r="D4336" t="str">
            <v>du</v>
          </cell>
          <cell r="E4336" t="str">
            <v>type</v>
          </cell>
          <cell r="F4336" t="str">
            <v>du</v>
          </cell>
          <cell r="G4336" t="str">
            <v>complément d'information</v>
          </cell>
          <cell r="H4336"/>
          <cell r="I4336"/>
        </row>
        <row r="4337">
          <cell r="C4337"/>
          <cell r="D4337" t="str">
            <v>du</v>
          </cell>
          <cell r="E4337" t="str">
            <v>type</v>
          </cell>
          <cell r="F4337" t="str">
            <v>d'</v>
          </cell>
          <cell r="G4337" t="str">
            <v>enregistrement</v>
          </cell>
          <cell r="H4337" t="str">
            <v>du</v>
          </cell>
          <cell r="I4337" t="str">
            <v>rejet</v>
          </cell>
        </row>
        <row r="4338">
          <cell r="C4338"/>
          <cell r="D4338" t="str">
            <v>de l'</v>
          </cell>
          <cell r="E4338" t="str">
            <v>équipe</v>
          </cell>
          <cell r="F4338" t="str">
            <v>du</v>
          </cell>
          <cell r="G4338" t="str">
            <v>rédacteur</v>
          </cell>
          <cell r="H4338" t="str">
            <v>du</v>
          </cell>
          <cell r="I4338" t="str">
            <v>rejet</v>
          </cell>
        </row>
        <row r="4339">
          <cell r="C4339"/>
          <cell r="D4339" t="str">
            <v>du</v>
          </cell>
          <cell r="E4339" t="str">
            <v>rédacteur</v>
          </cell>
          <cell r="F4339" t="str">
            <v>du</v>
          </cell>
          <cell r="G4339" t="str">
            <v>rejet</v>
          </cell>
          <cell r="H4339"/>
          <cell r="I4339"/>
        </row>
        <row r="4340">
          <cell r="C4340"/>
          <cell r="D4340" t="str">
            <v>du</v>
          </cell>
          <cell r="E4340" t="str">
            <v>rédacteur</v>
          </cell>
          <cell r="F4340" t="str">
            <v>du</v>
          </cell>
          <cell r="G4340" t="str">
            <v>rejet</v>
          </cell>
          <cell r="H4340"/>
          <cell r="I4340"/>
        </row>
        <row r="4341">
          <cell r="C4341"/>
          <cell r="D4341" t="str">
            <v>de la</v>
          </cell>
          <cell r="E4341" t="str">
            <v>source applicative</v>
          </cell>
          <cell r="F4341" t="str">
            <v>du</v>
          </cell>
          <cell r="G4341" t="str">
            <v>rejet de contentieux</v>
          </cell>
          <cell r="H4341"/>
          <cell r="I4341"/>
        </row>
        <row r="4342">
          <cell r="C4342"/>
          <cell r="D4342" t="str">
            <v>de l'</v>
          </cell>
          <cell r="E4342" t="str">
            <v>activité</v>
          </cell>
          <cell r="F4342"/>
          <cell r="G4342"/>
          <cell r="H4342"/>
          <cell r="I4342"/>
        </row>
        <row r="4343">
          <cell r="C4343"/>
          <cell r="D4343" t="str">
            <v>de l'</v>
          </cell>
          <cell r="E4343" t="str">
            <v>activité</v>
          </cell>
          <cell r="F4343"/>
          <cell r="G4343"/>
          <cell r="H4343"/>
          <cell r="I4343"/>
        </row>
        <row r="4344">
          <cell r="C4344"/>
          <cell r="D4344" t="str">
            <v>de l'</v>
          </cell>
          <cell r="E4344" t="str">
            <v>activité</v>
          </cell>
          <cell r="F4344"/>
          <cell r="G4344"/>
          <cell r="H4344"/>
          <cell r="I4344"/>
        </row>
        <row r="4345">
          <cell r="C4345"/>
          <cell r="D4345" t="str">
            <v>de l'</v>
          </cell>
          <cell r="E4345" t="str">
            <v>activité</v>
          </cell>
          <cell r="F4345"/>
          <cell r="G4345"/>
          <cell r="H4345"/>
          <cell r="I4345"/>
        </row>
        <row r="4346">
          <cell r="C4346"/>
          <cell r="D4346" t="str">
            <v>de l'</v>
          </cell>
          <cell r="E4346" t="str">
            <v>activité</v>
          </cell>
          <cell r="F4346"/>
          <cell r="G4346"/>
          <cell r="H4346"/>
          <cell r="I4346"/>
        </row>
        <row r="4347">
          <cell r="C4347"/>
          <cell r="D4347" t="str">
            <v>du</v>
          </cell>
          <cell r="E4347" t="str">
            <v>monde</v>
          </cell>
          <cell r="F4347" t="str">
            <v>de l'</v>
          </cell>
          <cell r="G4347" t="str">
            <v>activité</v>
          </cell>
          <cell r="H4347"/>
          <cell r="I4347"/>
        </row>
        <row r="4348">
          <cell r="C4348"/>
          <cell r="D4348" t="str">
            <v>du</v>
          </cell>
          <cell r="E4348" t="str">
            <v>monde</v>
          </cell>
          <cell r="F4348" t="str">
            <v>de l'</v>
          </cell>
          <cell r="G4348" t="str">
            <v>activité</v>
          </cell>
          <cell r="H4348"/>
          <cell r="I4348"/>
        </row>
        <row r="4349">
          <cell r="C4349"/>
          <cell r="D4349" t="str">
            <v xml:space="preserve"> </v>
          </cell>
          <cell r="E4349" t="str">
            <v>ORIAS</v>
          </cell>
          <cell r="F4349" t="str">
            <v>du</v>
          </cell>
          <cell r="G4349" t="str">
            <v>guichet de l'établissement</v>
          </cell>
          <cell r="H4349"/>
          <cell r="I4349"/>
        </row>
        <row r="4350">
          <cell r="C4350"/>
          <cell r="D4350" t="str">
            <v>de l'</v>
          </cell>
          <cell r="E4350" t="str">
            <v>intermédiaire</v>
          </cell>
          <cell r="F4350" t="str">
            <v>du</v>
          </cell>
          <cell r="G4350" t="str">
            <v>guichet de l'établissement</v>
          </cell>
          <cell r="H4350"/>
          <cell r="I4350"/>
        </row>
        <row r="4351">
          <cell r="C4351"/>
          <cell r="D4351" t="str">
            <v>de la</v>
          </cell>
          <cell r="E4351" t="str">
            <v>région</v>
          </cell>
          <cell r="F4351" t="str">
            <v>du</v>
          </cell>
          <cell r="G4351" t="str">
            <v>guichet de l'établissement</v>
          </cell>
          <cell r="H4351"/>
          <cell r="I4351"/>
        </row>
        <row r="4352">
          <cell r="C4352"/>
          <cell r="D4352" t="str">
            <v>du</v>
          </cell>
          <cell r="E4352" t="str">
            <v>responsable</v>
          </cell>
          <cell r="F4352" t="str">
            <v>du</v>
          </cell>
          <cell r="G4352" t="str">
            <v>bureau du guichet</v>
          </cell>
          <cell r="H4352"/>
          <cell r="I4352"/>
        </row>
        <row r="4353">
          <cell r="C4353" t="str">
            <v>téléphone</v>
          </cell>
          <cell r="D4353" t="str">
            <v xml:space="preserve"> </v>
          </cell>
          <cell r="E4353" t="str">
            <v>clientèle</v>
          </cell>
          <cell r="F4353" t="str">
            <v>du</v>
          </cell>
          <cell r="G4353" t="str">
            <v>bureau du guichet</v>
          </cell>
          <cell r="H4353"/>
          <cell r="I4353"/>
        </row>
        <row r="4354">
          <cell r="C4354"/>
          <cell r="D4354" t="str">
            <v>du</v>
          </cell>
          <cell r="E4354" t="str">
            <v>bureau du guichet</v>
          </cell>
          <cell r="F4354"/>
          <cell r="G4354"/>
          <cell r="H4354"/>
          <cell r="I4354"/>
        </row>
        <row r="4355">
          <cell r="C4355"/>
          <cell r="D4355"/>
          <cell r="E4355"/>
          <cell r="F4355"/>
          <cell r="G4355"/>
          <cell r="H4355"/>
          <cell r="I4355"/>
        </row>
        <row r="4356">
          <cell r="C4356"/>
          <cell r="D4356" t="str">
            <v>du</v>
          </cell>
          <cell r="E4356" t="str">
            <v>bloc</v>
          </cell>
          <cell r="F4356" t="str">
            <v>du</v>
          </cell>
          <cell r="G4356" t="str">
            <v>contrôle de processus</v>
          </cell>
          <cell r="H4356"/>
          <cell r="I4356"/>
        </row>
        <row r="4357">
          <cell r="C4357"/>
          <cell r="D4357" t="str">
            <v>de l'</v>
          </cell>
          <cell r="E4357" t="str">
            <v>élément</v>
          </cell>
          <cell r="F4357" t="str">
            <v>du</v>
          </cell>
          <cell r="G4357" t="str">
            <v>contrôle de processus</v>
          </cell>
          <cell r="H4357"/>
          <cell r="I4357"/>
        </row>
        <row r="4358">
          <cell r="C4358"/>
          <cell r="D4358" t="str">
            <v>du</v>
          </cell>
          <cell r="E4358" t="str">
            <v>seuil</v>
          </cell>
          <cell r="F4358" t="str">
            <v>du</v>
          </cell>
          <cell r="G4358" t="str">
            <v>contrôle de processus</v>
          </cell>
          <cell r="H4358"/>
          <cell r="I4358"/>
        </row>
        <row r="4359">
          <cell r="C4359"/>
          <cell r="D4359" t="str">
            <v>du</v>
          </cell>
          <cell r="E4359" t="str">
            <v>seuil trimestriel</v>
          </cell>
          <cell r="F4359" t="str">
            <v>du</v>
          </cell>
          <cell r="G4359" t="str">
            <v>contrôle de processus</v>
          </cell>
          <cell r="H4359"/>
          <cell r="I4359"/>
        </row>
        <row r="4360">
          <cell r="C4360"/>
          <cell r="D4360" t="str">
            <v>du</v>
          </cell>
          <cell r="E4360" t="str">
            <v>seuil annuel</v>
          </cell>
          <cell r="F4360" t="str">
            <v>du</v>
          </cell>
          <cell r="G4360" t="str">
            <v>contrôle de processus</v>
          </cell>
          <cell r="H4360"/>
          <cell r="I4360"/>
        </row>
        <row r="4361">
          <cell r="C4361"/>
          <cell r="D4361" t="str">
            <v>du</v>
          </cell>
          <cell r="E4361" t="str">
            <v>contrôle de processus</v>
          </cell>
          <cell r="F4361"/>
          <cell r="G4361"/>
          <cell r="H4361"/>
          <cell r="I4361"/>
        </row>
        <row r="4362">
          <cell r="C4362"/>
          <cell r="D4362" t="str">
            <v>du</v>
          </cell>
          <cell r="E4362" t="str">
            <v>contrôle de processus</v>
          </cell>
          <cell r="F4362"/>
          <cell r="G4362"/>
          <cell r="H4362"/>
          <cell r="I4362"/>
        </row>
        <row r="4363">
          <cell r="C4363" t="str">
            <v>validité</v>
          </cell>
          <cell r="D4363" t="str">
            <v>du</v>
          </cell>
          <cell r="E4363" t="str">
            <v>contrôle de processus</v>
          </cell>
          <cell r="F4363"/>
          <cell r="G4363"/>
          <cell r="H4363"/>
          <cell r="I4363"/>
        </row>
        <row r="4364">
          <cell r="C4364"/>
          <cell r="D4364" t="str">
            <v>de la</v>
          </cell>
          <cell r="E4364" t="str">
            <v>particularité</v>
          </cell>
          <cell r="F4364" t="str">
            <v>du</v>
          </cell>
          <cell r="G4364" t="str">
            <v>contrôle de processus</v>
          </cell>
          <cell r="H4364"/>
          <cell r="I4364"/>
        </row>
        <row r="4365">
          <cell r="C4365"/>
          <cell r="D4365" t="str">
            <v>de la</v>
          </cell>
          <cell r="E4365" t="str">
            <v>particularité</v>
          </cell>
          <cell r="F4365" t="str">
            <v>du</v>
          </cell>
          <cell r="G4365" t="str">
            <v>contrôle de processus</v>
          </cell>
          <cell r="H4365"/>
          <cell r="I4365"/>
        </row>
        <row r="4366">
          <cell r="C4366"/>
          <cell r="D4366" t="str">
            <v>du</v>
          </cell>
          <cell r="E4366" t="str">
            <v>seuil particulier</v>
          </cell>
          <cell r="F4366" t="str">
            <v>du</v>
          </cell>
          <cell r="G4366" t="str">
            <v>contrôle de processus</v>
          </cell>
          <cell r="H4366"/>
          <cell r="I4366"/>
        </row>
        <row r="4367">
          <cell r="C4367"/>
          <cell r="D4367" t="str">
            <v>du</v>
          </cell>
          <cell r="E4367" t="str">
            <v>bloc</v>
          </cell>
          <cell r="F4367" t="str">
            <v>du</v>
          </cell>
          <cell r="G4367" t="str">
            <v>contrôle de processus</v>
          </cell>
          <cell r="H4367"/>
          <cell r="I4367"/>
        </row>
        <row r="4368">
          <cell r="C4368"/>
          <cell r="D4368" t="str">
            <v>de l'</v>
          </cell>
          <cell r="E4368" t="str">
            <v>élément</v>
          </cell>
          <cell r="F4368" t="str">
            <v>du</v>
          </cell>
          <cell r="G4368" t="str">
            <v>contrôle de processus</v>
          </cell>
          <cell r="H4368"/>
          <cell r="I4368"/>
        </row>
        <row r="4369">
          <cell r="C4369"/>
          <cell r="D4369" t="str">
            <v>du</v>
          </cell>
          <cell r="E4369" t="str">
            <v>relevé</v>
          </cell>
          <cell r="F4369" t="str">
            <v>du</v>
          </cell>
          <cell r="G4369" t="str">
            <v>contrôle de processus</v>
          </cell>
          <cell r="H4369"/>
          <cell r="I4369"/>
        </row>
        <row r="4370">
          <cell r="C4370"/>
          <cell r="D4370" t="str">
            <v>du</v>
          </cell>
          <cell r="E4370" t="str">
            <v>relevé</v>
          </cell>
          <cell r="F4370" t="str">
            <v>du</v>
          </cell>
          <cell r="G4370" t="str">
            <v>contrôle de processus</v>
          </cell>
          <cell r="H4370"/>
          <cell r="I4370"/>
        </row>
        <row r="4371">
          <cell r="C4371"/>
          <cell r="D4371" t="str">
            <v>du</v>
          </cell>
          <cell r="E4371" t="str">
            <v>seuil</v>
          </cell>
          <cell r="F4371" t="str">
            <v>du</v>
          </cell>
          <cell r="G4371" t="str">
            <v>relevé</v>
          </cell>
          <cell r="H4371" t="str">
            <v>du</v>
          </cell>
          <cell r="I4371" t="str">
            <v>contrôle de processus</v>
          </cell>
        </row>
        <row r="4372">
          <cell r="C4372"/>
          <cell r="D4372" t="str">
            <v>du</v>
          </cell>
          <cell r="E4372" t="str">
            <v>contrôle de processus</v>
          </cell>
          <cell r="F4372"/>
          <cell r="G4372"/>
          <cell r="H4372"/>
          <cell r="I4372"/>
        </row>
        <row r="4373">
          <cell r="C4373"/>
          <cell r="D4373" t="str">
            <v>du</v>
          </cell>
          <cell r="E4373" t="str">
            <v>contrôle de processus</v>
          </cell>
          <cell r="F4373"/>
          <cell r="G4373"/>
          <cell r="H4373"/>
          <cell r="I4373"/>
        </row>
        <row r="4374">
          <cell r="C4374" t="str">
            <v>validité</v>
          </cell>
          <cell r="D4374" t="str">
            <v>du</v>
          </cell>
          <cell r="E4374" t="str">
            <v>contrôle de processus</v>
          </cell>
          <cell r="F4374"/>
          <cell r="G4374"/>
          <cell r="H4374"/>
          <cell r="I4374"/>
        </row>
        <row r="4375">
          <cell r="C4375"/>
          <cell r="D4375" t="str">
            <v>de la</v>
          </cell>
          <cell r="E4375" t="str">
            <v>table</v>
          </cell>
          <cell r="F4375" t="str">
            <v xml:space="preserve"> </v>
          </cell>
          <cell r="G4375" t="str">
            <v>SIO</v>
          </cell>
          <cell r="H4375" t="str">
            <v>du</v>
          </cell>
          <cell r="I4375" t="str">
            <v>contrôle de processus</v>
          </cell>
        </row>
        <row r="4376">
          <cell r="C4376"/>
          <cell r="D4376" t="str">
            <v>du</v>
          </cell>
          <cell r="E4376" t="str">
            <v>flux de devis</v>
          </cell>
          <cell r="F4376"/>
          <cell r="G4376"/>
          <cell r="H4376"/>
          <cell r="I4376"/>
        </row>
        <row r="4377">
          <cell r="C4377"/>
          <cell r="D4377" t="str">
            <v>de la</v>
          </cell>
          <cell r="E4377" t="str">
            <v>source applicative</v>
          </cell>
          <cell r="F4377" t="str">
            <v>du</v>
          </cell>
          <cell r="G4377" t="str">
            <v>flux de devis</v>
          </cell>
          <cell r="H4377"/>
          <cell r="I4377"/>
        </row>
        <row r="4378">
          <cell r="C4378"/>
          <cell r="D4378" t="str">
            <v>du</v>
          </cell>
          <cell r="E4378" t="str">
            <v>programme informatique</v>
          </cell>
          <cell r="F4378"/>
          <cell r="G4378" t="str">
            <v>origine</v>
          </cell>
          <cell r="H4378" t="str">
            <v>du</v>
          </cell>
          <cell r="I4378" t="str">
            <v>flux</v>
          </cell>
        </row>
        <row r="4379">
          <cell r="C4379"/>
          <cell r="D4379" t="str">
            <v>de</v>
          </cell>
          <cell r="E4379" t="str">
            <v>génération</v>
          </cell>
          <cell r="F4379" t="str">
            <v>du</v>
          </cell>
          <cell r="G4379" t="str">
            <v>flux</v>
          </cell>
          <cell r="H4379"/>
          <cell r="I4379"/>
        </row>
        <row r="4380">
          <cell r="C4380" t="str">
            <v>origine</v>
          </cell>
          <cell r="D4380" t="str">
            <v>du</v>
          </cell>
          <cell r="E4380" t="str">
            <v>flux</v>
          </cell>
          <cell r="F4380"/>
          <cell r="G4380"/>
          <cell r="H4380"/>
          <cell r="I4380"/>
        </row>
        <row r="4381">
          <cell r="C4381"/>
          <cell r="D4381" t="str">
            <v>du</v>
          </cell>
          <cell r="E4381" t="str">
            <v>type</v>
          </cell>
          <cell r="F4381" t="str">
            <v>de</v>
          </cell>
          <cell r="G4381" t="str">
            <v>flux</v>
          </cell>
          <cell r="H4381"/>
          <cell r="I4381"/>
        </row>
        <row r="4382">
          <cell r="C4382"/>
          <cell r="D4382" t="str">
            <v>de l'</v>
          </cell>
          <cell r="E4382" t="str">
            <v>annulation</v>
          </cell>
          <cell r="F4382"/>
          <cell r="G4382"/>
          <cell r="H4382"/>
          <cell r="I4382"/>
        </row>
        <row r="4383">
          <cell r="C4383"/>
          <cell r="D4383" t="str">
            <v>de la</v>
          </cell>
          <cell r="E4383" t="str">
            <v>Fédération</v>
          </cell>
          <cell r="F4383" t="str">
            <v>du</v>
          </cell>
          <cell r="G4383" t="str">
            <v>rédacteur de la saisie</v>
          </cell>
          <cell r="H4383"/>
          <cell r="I4383"/>
        </row>
        <row r="4384">
          <cell r="C4384"/>
          <cell r="D4384" t="str">
            <v>de la</v>
          </cell>
          <cell r="E4384" t="str">
            <v>établissement</v>
          </cell>
          <cell r="F4384" t="str">
            <v>du</v>
          </cell>
          <cell r="G4384" t="str">
            <v>rédacteur de la saisie</v>
          </cell>
          <cell r="H4384"/>
          <cell r="I4384"/>
        </row>
        <row r="4385">
          <cell r="C4385"/>
          <cell r="D4385" t="str">
            <v>du</v>
          </cell>
          <cell r="E4385" t="str">
            <v>guichet de l'établissement</v>
          </cell>
          <cell r="F4385" t="str">
            <v>du</v>
          </cell>
          <cell r="G4385" t="str">
            <v>rédacteur de la saisie</v>
          </cell>
          <cell r="H4385"/>
          <cell r="I4385"/>
        </row>
        <row r="4386">
          <cell r="C4386"/>
          <cell r="D4386" t="str">
            <v>du</v>
          </cell>
          <cell r="E4386" t="str">
            <v>Bureau du guichet</v>
          </cell>
          <cell r="F4386" t="str">
            <v>du</v>
          </cell>
          <cell r="G4386" t="str">
            <v>rédacteur de la saisie</v>
          </cell>
          <cell r="H4386"/>
          <cell r="I4386"/>
        </row>
        <row r="4387">
          <cell r="C4387"/>
          <cell r="D4387" t="str">
            <v>du</v>
          </cell>
          <cell r="E4387" t="str">
            <v>rédacteur de la saisie</v>
          </cell>
          <cell r="F4387"/>
          <cell r="G4387"/>
          <cell r="H4387"/>
          <cell r="I4387"/>
        </row>
        <row r="4388">
          <cell r="C4388"/>
          <cell r="D4388" t="str">
            <v>de la</v>
          </cell>
          <cell r="E4388" t="str">
            <v>Fédération</v>
          </cell>
          <cell r="F4388" t="str">
            <v>de la</v>
          </cell>
          <cell r="G4388" t="str">
            <v>personne physique</v>
          </cell>
          <cell r="H4388" t="str">
            <v>de la</v>
          </cell>
          <cell r="I4388" t="str">
            <v>vente</v>
          </cell>
        </row>
        <row r="4389">
          <cell r="C4389"/>
          <cell r="D4389" t="str">
            <v>de la</v>
          </cell>
          <cell r="E4389" t="str">
            <v>établissement</v>
          </cell>
          <cell r="F4389" t="str">
            <v>de la</v>
          </cell>
          <cell r="G4389" t="str">
            <v>personne physique</v>
          </cell>
          <cell r="H4389" t="str">
            <v>de la</v>
          </cell>
          <cell r="I4389" t="str">
            <v>vente</v>
          </cell>
        </row>
        <row r="4390">
          <cell r="C4390"/>
          <cell r="D4390" t="str">
            <v>du</v>
          </cell>
          <cell r="E4390" t="str">
            <v>guichet de l'établissement</v>
          </cell>
          <cell r="F4390" t="str">
            <v>de la</v>
          </cell>
          <cell r="G4390" t="str">
            <v>personne physique</v>
          </cell>
          <cell r="H4390" t="str">
            <v>de la</v>
          </cell>
          <cell r="I4390" t="str">
            <v>vente</v>
          </cell>
        </row>
        <row r="4391">
          <cell r="C4391"/>
          <cell r="D4391" t="str">
            <v>du</v>
          </cell>
          <cell r="E4391" t="str">
            <v>Bureau du guichet</v>
          </cell>
          <cell r="F4391" t="str">
            <v>de la</v>
          </cell>
          <cell r="G4391" t="str">
            <v>personne physique</v>
          </cell>
          <cell r="H4391" t="str">
            <v>de la</v>
          </cell>
          <cell r="I4391" t="str">
            <v>vente</v>
          </cell>
        </row>
        <row r="4392">
          <cell r="C4392"/>
          <cell r="D4392" t="str">
            <v>de la</v>
          </cell>
          <cell r="E4392" t="str">
            <v>personne physique</v>
          </cell>
          <cell r="F4392" t="str">
            <v>de la</v>
          </cell>
          <cell r="G4392" t="str">
            <v>vente</v>
          </cell>
          <cell r="H4392"/>
          <cell r="I4392"/>
        </row>
        <row r="4393">
          <cell r="C4393"/>
          <cell r="D4393" t="str">
            <v>de la</v>
          </cell>
          <cell r="E4393" t="str">
            <v>Fédération</v>
          </cell>
          <cell r="F4393" t="str">
            <v>du</v>
          </cell>
          <cell r="G4393" t="str">
            <v>client</v>
          </cell>
          <cell r="H4393"/>
          <cell r="I4393"/>
        </row>
        <row r="4394">
          <cell r="C4394"/>
          <cell r="D4394" t="str">
            <v>de la</v>
          </cell>
          <cell r="E4394" t="str">
            <v>établissement</v>
          </cell>
          <cell r="F4394" t="str">
            <v>du</v>
          </cell>
          <cell r="G4394" t="str">
            <v>client</v>
          </cell>
          <cell r="H4394"/>
          <cell r="I4394"/>
        </row>
        <row r="4395">
          <cell r="C4395"/>
          <cell r="D4395" t="str">
            <v>du</v>
          </cell>
          <cell r="E4395" t="str">
            <v>guichet de l'établissement</v>
          </cell>
          <cell r="F4395" t="str">
            <v>du</v>
          </cell>
          <cell r="G4395" t="str">
            <v>client</v>
          </cell>
          <cell r="H4395"/>
          <cell r="I4395"/>
        </row>
        <row r="4396">
          <cell r="C4396"/>
          <cell r="D4396" t="str">
            <v>du</v>
          </cell>
          <cell r="E4396" t="str">
            <v>Bureau du guichet</v>
          </cell>
          <cell r="F4396" t="str">
            <v>du</v>
          </cell>
          <cell r="G4396" t="str">
            <v>client</v>
          </cell>
          <cell r="H4396"/>
          <cell r="I4396"/>
        </row>
        <row r="4397">
          <cell r="C4397"/>
          <cell r="D4397" t="str">
            <v>du</v>
          </cell>
          <cell r="E4397" t="str">
            <v>tiers</v>
          </cell>
          <cell r="F4397" t="str">
            <v>du</v>
          </cell>
          <cell r="G4397" t="str">
            <v>client</v>
          </cell>
          <cell r="H4397"/>
          <cell r="I4397"/>
        </row>
        <row r="4398">
          <cell r="C4398"/>
          <cell r="D4398" t="str">
            <v>de la</v>
          </cell>
          <cell r="E4398" t="str">
            <v>comptabilisation</v>
          </cell>
          <cell r="F4398" t="str">
            <v>de la</v>
          </cell>
          <cell r="G4398" t="str">
            <v>production</v>
          </cell>
          <cell r="H4398"/>
          <cell r="I4398"/>
        </row>
        <row r="4399">
          <cell r="C4399"/>
          <cell r="D4399" t="str">
            <v>du</v>
          </cell>
          <cell r="E4399" t="str">
            <v>procom</v>
          </cell>
          <cell r="F4399"/>
          <cell r="G4399"/>
          <cell r="H4399"/>
          <cell r="I4399"/>
        </row>
        <row r="4400">
          <cell r="C4400"/>
          <cell r="D4400" t="str">
            <v>de la</v>
          </cell>
          <cell r="E4400" t="str">
            <v>nature</v>
          </cell>
          <cell r="F4400" t="str">
            <v>du</v>
          </cell>
          <cell r="G4400" t="str">
            <v>Produit d'Assurance</v>
          </cell>
          <cell r="H4400"/>
          <cell r="I4400"/>
        </row>
        <row r="4401">
          <cell r="C4401"/>
          <cell r="D4401" t="str">
            <v>du</v>
          </cell>
          <cell r="E4401" t="str">
            <v>Produit d'Assurance</v>
          </cell>
          <cell r="F4401"/>
          <cell r="G4401"/>
          <cell r="H4401"/>
          <cell r="I4401"/>
        </row>
        <row r="4402">
          <cell r="C4402"/>
          <cell r="D4402" t="str">
            <v>d'</v>
          </cell>
          <cell r="E4402" t="str">
            <v>image contrat assurance</v>
          </cell>
          <cell r="F4402"/>
          <cell r="G4402"/>
          <cell r="H4402"/>
          <cell r="I4402"/>
        </row>
        <row r="4403">
          <cell r="C4403" t="str">
            <v>interne</v>
          </cell>
          <cell r="D4403" t="str">
            <v>du</v>
          </cell>
          <cell r="E4403" t="str">
            <v>contrat</v>
          </cell>
          <cell r="F4403"/>
          <cell r="G4403"/>
          <cell r="H4403"/>
          <cell r="I4403"/>
        </row>
        <row r="4404">
          <cell r="C4404"/>
          <cell r="D4404" t="str">
            <v>du</v>
          </cell>
          <cell r="E4404" t="str">
            <v>canal utilisé</v>
          </cell>
          <cell r="F4404"/>
          <cell r="G4404"/>
          <cell r="H4404"/>
          <cell r="I4404"/>
        </row>
        <row r="4405">
          <cell r="C4405"/>
          <cell r="D4405" t="str">
            <v>de</v>
          </cell>
          <cell r="E4405" t="str">
            <v>contrat multi titulaires</v>
          </cell>
          <cell r="F4405"/>
          <cell r="G4405"/>
          <cell r="H4405"/>
          <cell r="I4405"/>
        </row>
        <row r="4406">
          <cell r="C4406"/>
          <cell r="D4406" t="str">
            <v>du</v>
          </cell>
          <cell r="E4406" t="str">
            <v>flux</v>
          </cell>
          <cell r="F4406"/>
          <cell r="G4406"/>
          <cell r="H4406"/>
          <cell r="I4406"/>
        </row>
        <row r="4407">
          <cell r="C4407" t="str">
            <v>décimal</v>
          </cell>
          <cell r="D4407" t="str">
            <v>de</v>
          </cell>
          <cell r="E4407" t="str">
            <v>décimal</v>
          </cell>
          <cell r="F4407" t="str">
            <v>du</v>
          </cell>
          <cell r="G4407" t="str">
            <v>montant</v>
          </cell>
          <cell r="H4407" t="str">
            <v>du</v>
          </cell>
          <cell r="I4407" t="str">
            <v>flux</v>
          </cell>
        </row>
        <row r="4408">
          <cell r="C4408"/>
          <cell r="D4408" t="str">
            <v>de la</v>
          </cell>
          <cell r="E4408" t="str">
            <v>devise</v>
          </cell>
          <cell r="F4408"/>
          <cell r="G4408"/>
          <cell r="H4408"/>
          <cell r="I4408"/>
        </row>
        <row r="4409">
          <cell r="C4409"/>
          <cell r="D4409" t="str">
            <v>du</v>
          </cell>
          <cell r="E4409" t="str">
            <v>devis</v>
          </cell>
          <cell r="F4409"/>
          <cell r="G4409"/>
          <cell r="H4409"/>
          <cell r="I4409"/>
        </row>
        <row r="4410">
          <cell r="C4410"/>
          <cell r="D4410" t="str">
            <v>du</v>
          </cell>
          <cell r="E4410" t="str">
            <v>mode de contact</v>
          </cell>
          <cell r="F4410"/>
          <cell r="G4410"/>
          <cell r="H4410"/>
          <cell r="I4410"/>
        </row>
        <row r="4411">
          <cell r="C4411"/>
          <cell r="D4411" t="str">
            <v>du</v>
          </cell>
          <cell r="E4411" t="str">
            <v>point de contact</v>
          </cell>
          <cell r="F4411"/>
          <cell r="G4411"/>
          <cell r="H4411"/>
          <cell r="I4411"/>
        </row>
        <row r="4412">
          <cell r="C4412"/>
          <cell r="D4412" t="str">
            <v>de la</v>
          </cell>
          <cell r="E4412" t="str">
            <v>simulation</v>
          </cell>
          <cell r="F4412" t="str">
            <v>du</v>
          </cell>
          <cell r="G4412" t="str">
            <v>cycle de tarif</v>
          </cell>
          <cell r="H4412"/>
          <cell r="I4412"/>
        </row>
        <row r="4413">
          <cell r="C4413"/>
          <cell r="D4413" t="str">
            <v>de</v>
          </cell>
          <cell r="E4413" t="str">
            <v>package</v>
          </cell>
          <cell r="F4413" t="str">
            <v>de</v>
          </cell>
          <cell r="G4413" t="str">
            <v>Produit d'Assurance</v>
          </cell>
          <cell r="H4413"/>
          <cell r="I4413"/>
        </row>
        <row r="4414">
          <cell r="C4414"/>
          <cell r="D4414" t="str">
            <v>de la</v>
          </cell>
          <cell r="E4414" t="str">
            <v>référence risquée</v>
          </cell>
          <cell r="F4414"/>
          <cell r="G4414"/>
        </row>
        <row r="4415">
          <cell r="C4415"/>
          <cell r="D4415" t="str">
            <v>de la</v>
          </cell>
          <cell r="E4415" t="str">
            <v>référence risquée</v>
          </cell>
          <cell r="F4415"/>
          <cell r="G4415"/>
        </row>
        <row r="4416">
          <cell r="C4416"/>
          <cell r="D4416" t="str">
            <v>de la</v>
          </cell>
          <cell r="E4416" t="str">
            <v>référence risquée</v>
          </cell>
          <cell r="F4416"/>
          <cell r="G4416"/>
        </row>
        <row r="4417">
          <cell r="C4417" t="str">
            <v>dernière image</v>
          </cell>
          <cell r="D4417" t="str">
            <v>de la</v>
          </cell>
          <cell r="E4417" t="str">
            <v>référence risquée</v>
          </cell>
          <cell r="F4417"/>
          <cell r="G4417"/>
        </row>
        <row r="4418">
          <cell r="C4418"/>
          <cell r="D4418" t="str">
            <v>de la</v>
          </cell>
          <cell r="E4418" t="str">
            <v>source applicative</v>
          </cell>
          <cell r="F4418" t="str">
            <v>de la</v>
          </cell>
          <cell r="G4418" t="str">
            <v>référence risquée</v>
          </cell>
        </row>
        <row r="4419">
          <cell r="C4419"/>
          <cell r="D4419" t="str">
            <v>de la</v>
          </cell>
          <cell r="E4419" t="str">
            <v>source applicative</v>
          </cell>
          <cell r="F4419" t="str">
            <v>de la</v>
          </cell>
          <cell r="G4419" t="str">
            <v>référence risquée</v>
          </cell>
        </row>
        <row r="4420">
          <cell r="C4420"/>
          <cell r="D4420" t="str">
            <v>de la</v>
          </cell>
          <cell r="E4420" t="str">
            <v>référence risquée</v>
          </cell>
          <cell r="F4420"/>
          <cell r="G4420"/>
        </row>
        <row r="4421">
          <cell r="C4421"/>
          <cell r="D4421" t="str">
            <v>de la</v>
          </cell>
          <cell r="E4421" t="str">
            <v>fédération</v>
          </cell>
          <cell r="F4421"/>
          <cell r="G4421"/>
        </row>
        <row r="4422">
          <cell r="C4422"/>
          <cell r="D4422" t="str">
            <v>de l'</v>
          </cell>
          <cell r="E4422" t="str">
            <v>établissement</v>
          </cell>
          <cell r="F4422"/>
          <cell r="G4422"/>
        </row>
        <row r="4423">
          <cell r="C4423"/>
          <cell r="D4423" t="str">
            <v>du</v>
          </cell>
          <cell r="E4423" t="str">
            <v>guichet de l'établissement</v>
          </cell>
          <cell r="F4423"/>
          <cell r="G4423"/>
        </row>
        <row r="4424">
          <cell r="C4424"/>
          <cell r="D4424" t="str">
            <v>du</v>
          </cell>
          <cell r="E4424" t="str">
            <v>Bureau du guichet</v>
          </cell>
          <cell r="F4424"/>
          <cell r="G4424"/>
        </row>
        <row r="4425">
          <cell r="C4425" t="str">
            <v>interne</v>
          </cell>
          <cell r="D4425" t="str">
            <v>du</v>
          </cell>
          <cell r="E4425" t="str">
            <v>contrat</v>
          </cell>
          <cell r="F4425"/>
          <cell r="G4425"/>
        </row>
        <row r="4426">
          <cell r="C4426" t="str">
            <v>externe</v>
          </cell>
          <cell r="D4426" t="str">
            <v>du</v>
          </cell>
          <cell r="E4426" t="str">
            <v>contrat</v>
          </cell>
          <cell r="F4426"/>
          <cell r="G4426"/>
        </row>
        <row r="4427">
          <cell r="C4427"/>
          <cell r="D4427" t="str">
            <v>du</v>
          </cell>
          <cell r="E4427" t="str">
            <v>tiers</v>
          </cell>
          <cell r="F4427"/>
          <cell r="G4427"/>
        </row>
        <row r="4428">
          <cell r="C4428"/>
          <cell r="D4428" t="str">
            <v>du</v>
          </cell>
          <cell r="E4428" t="str">
            <v>Produit d'Assurance</v>
          </cell>
          <cell r="F4428"/>
          <cell r="G4428"/>
        </row>
        <row r="4429">
          <cell r="C4429"/>
          <cell r="D4429" t="str">
            <v>d'</v>
          </cell>
          <cell r="E4429" t="str">
            <v>objet risqué</v>
          </cell>
          <cell r="F4429"/>
          <cell r="G4429"/>
        </row>
        <row r="4430">
          <cell r="C4430"/>
          <cell r="D4430" t="str">
            <v>du</v>
          </cell>
          <cell r="E4430" t="str">
            <v>type</v>
          </cell>
          <cell r="F4430" t="str">
            <v>d'</v>
          </cell>
          <cell r="G4430" t="str">
            <v>objet risqué</v>
          </cell>
        </row>
        <row r="4431">
          <cell r="C4431" t="str">
            <v>ISO</v>
          </cell>
          <cell r="D4431" t="str">
            <v>du</v>
          </cell>
          <cell r="E4431" t="str">
            <v>pays</v>
          </cell>
          <cell r="F4431"/>
          <cell r="G4431"/>
        </row>
        <row r="4432">
          <cell r="C4432" t="str">
            <v>ISO</v>
          </cell>
          <cell r="D4432" t="str">
            <v>du</v>
          </cell>
          <cell r="E4432" t="str">
            <v>pays</v>
          </cell>
          <cell r="F4432"/>
          <cell r="G4432"/>
        </row>
        <row r="4433">
          <cell r="C4433"/>
          <cell r="D4433" t="str">
            <v>du</v>
          </cell>
          <cell r="E4433" t="str">
            <v>risque métier</v>
          </cell>
          <cell r="F4433"/>
          <cell r="G4433"/>
        </row>
        <row r="4434">
          <cell r="C4434"/>
          <cell r="D4434" t="str">
            <v>du</v>
          </cell>
          <cell r="E4434" t="str">
            <v>risque métier</v>
          </cell>
          <cell r="F4434"/>
          <cell r="G4434"/>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cell r="F4437"/>
          <cell r="G4437"/>
        </row>
        <row r="4438">
          <cell r="C4438" t="str">
            <v>motif</v>
          </cell>
          <cell r="D4438" t="str">
            <v>du</v>
          </cell>
          <cell r="E4438" t="str">
            <v>risque métier</v>
          </cell>
          <cell r="F4438"/>
          <cell r="G4438"/>
        </row>
        <row r="4439">
          <cell r="C4439" t="str">
            <v>famille</v>
          </cell>
          <cell r="D4439" t="str">
            <v>du</v>
          </cell>
          <cell r="E4439" t="str">
            <v>risque</v>
          </cell>
          <cell r="F4439"/>
          <cell r="G4439"/>
        </row>
        <row r="4440">
          <cell r="C4440" t="str">
            <v>famille</v>
          </cell>
          <cell r="D4440" t="str">
            <v>du</v>
          </cell>
          <cell r="E4440" t="str">
            <v>risque</v>
          </cell>
          <cell r="F4440"/>
          <cell r="G4440"/>
        </row>
        <row r="4441">
          <cell r="C4441" t="str">
            <v>sous-famille</v>
          </cell>
          <cell r="D4441" t="str">
            <v>du</v>
          </cell>
          <cell r="E4441" t="str">
            <v>risque</v>
          </cell>
          <cell r="F4441"/>
          <cell r="G4441"/>
        </row>
        <row r="4442">
          <cell r="C4442" t="str">
            <v>sous-famille</v>
          </cell>
          <cell r="D4442" t="str">
            <v>du</v>
          </cell>
          <cell r="E4442" t="str">
            <v>risque</v>
          </cell>
          <cell r="F4442"/>
          <cell r="G4442"/>
        </row>
        <row r="4443">
          <cell r="C4443"/>
          <cell r="D4443" t="str">
            <v>du</v>
          </cell>
          <cell r="E4443" t="str">
            <v>référentiel</v>
          </cell>
          <cell r="F4443" t="str">
            <v>du</v>
          </cell>
          <cell r="G4443" t="str">
            <v>risque</v>
          </cell>
        </row>
        <row r="4444">
          <cell r="C4444"/>
          <cell r="D4444" t="str">
            <v>du</v>
          </cell>
          <cell r="E4444" t="str">
            <v>référentiel</v>
          </cell>
          <cell r="F4444" t="str">
            <v>du</v>
          </cell>
          <cell r="G4444" t="str">
            <v>risque</v>
          </cell>
        </row>
        <row r="4445">
          <cell r="C4445"/>
          <cell r="D4445" t="str">
            <v>de</v>
          </cell>
          <cell r="E4445" t="str">
            <v>chargement</v>
          </cell>
          <cell r="F4445"/>
          <cell r="G4445"/>
        </row>
        <row r="4446">
          <cell r="C4446"/>
          <cell r="D4446" t="str">
            <v>du</v>
          </cell>
          <cell r="E4446" t="str">
            <v>type</v>
          </cell>
          <cell r="F4446" t="str">
            <v>de</v>
          </cell>
          <cell r="G4446" t="str">
            <v>chargement</v>
          </cell>
        </row>
        <row r="4447">
          <cell r="C4447"/>
          <cell r="D4447" t="str">
            <v>du</v>
          </cell>
          <cell r="E4447" t="str">
            <v>risque</v>
          </cell>
          <cell r="F4447"/>
          <cell r="G4447"/>
        </row>
        <row r="4448">
          <cell r="C4448"/>
          <cell r="D4448" t="str">
            <v>du</v>
          </cell>
          <cell r="E4448" t="str">
            <v>cycle de vie</v>
          </cell>
          <cell r="F4448" t="str">
            <v>du</v>
          </cell>
          <cell r="G4448" t="str">
            <v>risque</v>
          </cell>
        </row>
        <row r="4449">
          <cell r="C4449" t="str">
            <v>motif</v>
          </cell>
          <cell r="D4449" t="str">
            <v>du</v>
          </cell>
          <cell r="E4449" t="str">
            <v>risque</v>
          </cell>
          <cell r="F4449"/>
          <cell r="G4449"/>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cell r="F4453"/>
          <cell r="G4453"/>
        </row>
        <row r="4454">
          <cell r="C4454" t="str">
            <v>SIO</v>
          </cell>
          <cell r="D4454" t="str">
            <v>du</v>
          </cell>
          <cell r="E4454" t="str">
            <v>risque</v>
          </cell>
          <cell r="F4454"/>
          <cell r="G4454"/>
        </row>
        <row r="4455">
          <cell r="C4455" t="str">
            <v>dernier</v>
          </cell>
          <cell r="D4455"/>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C4457"/>
          <cell r="D4457" t="str">
            <v>du</v>
          </cell>
          <cell r="E4457" t="str">
            <v>risque</v>
          </cell>
          <cell r="F4457"/>
          <cell r="G4457"/>
        </row>
        <row r="4458">
          <cell r="C4458" t="str">
            <v>complémentaire</v>
          </cell>
          <cell r="D4458" t="str">
            <v>du</v>
          </cell>
          <cell r="E4458" t="str">
            <v>risque</v>
          </cell>
          <cell r="F4458"/>
          <cell r="G4458"/>
        </row>
        <row r="4459">
          <cell r="C4459" t="str">
            <v>complémentaire</v>
          </cell>
          <cell r="D4459" t="str">
            <v>du</v>
          </cell>
          <cell r="E4459" t="str">
            <v>risque</v>
          </cell>
          <cell r="F4459"/>
          <cell r="G4459"/>
        </row>
        <row r="4460">
          <cell r="C4460" t="str">
            <v>complémentaire</v>
          </cell>
          <cell r="D4460" t="str">
            <v>du</v>
          </cell>
          <cell r="E4460" t="str">
            <v>risque</v>
          </cell>
          <cell r="F4460"/>
          <cell r="G4460"/>
        </row>
        <row r="4461">
          <cell r="C4461" t="str">
            <v>complémentaire</v>
          </cell>
          <cell r="D4461" t="str">
            <v>du</v>
          </cell>
          <cell r="E4461" t="str">
            <v>risque</v>
          </cell>
          <cell r="F4461"/>
          <cell r="G4461"/>
        </row>
        <row r="4462">
          <cell r="C4462"/>
          <cell r="D4462" t="str">
            <v>de l'</v>
          </cell>
          <cell r="E4462" t="str">
            <v>image contrat assurance</v>
          </cell>
          <cell r="F4462"/>
          <cell r="G4462"/>
        </row>
        <row r="4463">
          <cell r="C4463"/>
          <cell r="D4463" t="str">
            <v>de l'</v>
          </cell>
          <cell r="E4463" t="str">
            <v>image contrat assurance</v>
          </cell>
          <cell r="F4463"/>
          <cell r="G4463"/>
        </row>
        <row r="4464">
          <cell r="C4464"/>
          <cell r="D4464" t="str">
            <v>de l'</v>
          </cell>
          <cell r="E4464" t="str">
            <v>image contrat assurance</v>
          </cell>
          <cell r="F4464"/>
          <cell r="G4464"/>
        </row>
        <row r="4465">
          <cell r="C4465" t="str">
            <v>dernière image</v>
          </cell>
          <cell r="D4465" t="str">
            <v>de l'</v>
          </cell>
          <cell r="E4465" t="str">
            <v>image contrat assurance</v>
          </cell>
          <cell r="F4465"/>
          <cell r="G4465"/>
        </row>
        <row r="4466">
          <cell r="C4466"/>
          <cell r="D4466" t="str">
            <v>de</v>
          </cell>
          <cell r="E4466" t="str">
            <v>référence interne</v>
          </cell>
          <cell r="F4466" t="str">
            <v>du</v>
          </cell>
          <cell r="G4466" t="str">
            <v>contrat</v>
          </cell>
        </row>
        <row r="4467">
          <cell r="C4467" t="str">
            <v>interne</v>
          </cell>
          <cell r="D4467" t="str">
            <v>du</v>
          </cell>
          <cell r="E4467" t="str">
            <v>contrat</v>
          </cell>
          <cell r="F4467"/>
          <cell r="G4467"/>
        </row>
        <row r="4468">
          <cell r="C4468"/>
          <cell r="D4468" t="str">
            <v>de</v>
          </cell>
          <cell r="E4468" t="str">
            <v>référence externe</v>
          </cell>
          <cell r="F4468" t="str">
            <v>du</v>
          </cell>
          <cell r="G4468" t="str">
            <v>contrat</v>
          </cell>
        </row>
        <row r="4469">
          <cell r="C4469" t="str">
            <v>externe</v>
          </cell>
          <cell r="D4469" t="str">
            <v>du</v>
          </cell>
          <cell r="E4469" t="str">
            <v>contrat</v>
          </cell>
          <cell r="F4469"/>
          <cell r="G4469"/>
        </row>
        <row r="4470">
          <cell r="C4470"/>
          <cell r="D4470" t="str">
            <v>de l'</v>
          </cell>
          <cell r="E4470" t="str">
            <v>image contrat assurance</v>
          </cell>
          <cell r="F4470"/>
          <cell r="G4470"/>
        </row>
        <row r="4471">
          <cell r="C4471" t="str">
            <v>police</v>
          </cell>
          <cell r="D4471" t="str">
            <v>du</v>
          </cell>
          <cell r="E4471" t="str">
            <v>contrat</v>
          </cell>
          <cell r="F4471"/>
          <cell r="G4471"/>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cell r="F4473"/>
          <cell r="G4473"/>
        </row>
        <row r="4474">
          <cell r="C4474" t="str">
            <v>historique</v>
          </cell>
          <cell r="D4474" t="str">
            <v xml:space="preserve"> </v>
          </cell>
          <cell r="E4474" t="str">
            <v>sans espace</v>
          </cell>
          <cell r="F4474" t="str">
            <v>du</v>
          </cell>
          <cell r="G4474" t="str">
            <v>contrat</v>
          </cell>
        </row>
        <row r="4475">
          <cell r="C4475"/>
          <cell r="D4475" t="str">
            <v>de</v>
          </cell>
          <cell r="E4475" t="str">
            <v>produit d'assurance</v>
          </cell>
          <cell r="F4475"/>
          <cell r="G4475"/>
        </row>
        <row r="4476">
          <cell r="C4476" t="str">
            <v>simplifié</v>
          </cell>
          <cell r="D4476" t="str">
            <v>du</v>
          </cell>
          <cell r="E4476" t="str">
            <v>produit d'assurance</v>
          </cell>
          <cell r="F4476"/>
          <cell r="G4476"/>
        </row>
        <row r="4477">
          <cell r="C4477" t="str">
            <v>principal</v>
          </cell>
          <cell r="D4477" t="str">
            <v>du</v>
          </cell>
          <cell r="E4477" t="str">
            <v>produit d'assurance</v>
          </cell>
          <cell r="F4477"/>
          <cell r="G4477"/>
        </row>
        <row r="4478">
          <cell r="C4478"/>
          <cell r="D4478" t="str">
            <v>du</v>
          </cell>
          <cell r="E4478" t="str">
            <v>produit d'assurance</v>
          </cell>
          <cell r="F4478"/>
          <cell r="G4478"/>
        </row>
        <row r="4479">
          <cell r="C4479"/>
          <cell r="D4479" t="str">
            <v>de l'</v>
          </cell>
          <cell r="E4479" t="str">
            <v>Entité gestionnaire</v>
          </cell>
          <cell r="F4479"/>
          <cell r="G4479"/>
        </row>
        <row r="4480">
          <cell r="C4480" t="str">
            <v>référence</v>
          </cell>
          <cell r="D4480" t="str">
            <v>du</v>
          </cell>
          <cell r="E4480" t="str">
            <v>pays</v>
          </cell>
          <cell r="F4480"/>
          <cell r="G4480"/>
        </row>
        <row r="4481">
          <cell r="C4481"/>
          <cell r="D4481" t="str">
            <v>de la</v>
          </cell>
          <cell r="E4481" t="str">
            <v>société apéritrice</v>
          </cell>
          <cell r="F4481"/>
          <cell r="G4481"/>
        </row>
        <row r="4482">
          <cell r="C4482"/>
          <cell r="D4482" t="str">
            <v>du</v>
          </cell>
          <cell r="E4482" t="str">
            <v>gestionnaire du contrat</v>
          </cell>
          <cell r="F4482"/>
          <cell r="G4482"/>
        </row>
        <row r="4483">
          <cell r="C4483"/>
          <cell r="D4483" t="str">
            <v>du</v>
          </cell>
          <cell r="E4483" t="str">
            <v>cycle de vie</v>
          </cell>
          <cell r="F4483"/>
          <cell r="G4483"/>
        </row>
        <row r="4484">
          <cell r="C4484" t="str">
            <v>motif</v>
          </cell>
          <cell r="D4484" t="str">
            <v>du</v>
          </cell>
          <cell r="E4484" t="str">
            <v>cycle de vie</v>
          </cell>
          <cell r="F4484"/>
          <cell r="G4484"/>
        </row>
        <row r="4485">
          <cell r="C4485"/>
          <cell r="D4485" t="str">
            <v>du</v>
          </cell>
          <cell r="E4485" t="str">
            <v>cycle de vie</v>
          </cell>
          <cell r="F4485"/>
          <cell r="G4485"/>
        </row>
        <row r="4486">
          <cell r="C4486"/>
          <cell r="D4486" t="str">
            <v>du</v>
          </cell>
          <cell r="E4486" t="str">
            <v>contrat</v>
          </cell>
          <cell r="F4486"/>
          <cell r="G4486"/>
        </row>
        <row r="4487">
          <cell r="C4487" t="str">
            <v>mise à jour</v>
          </cell>
          <cell r="D4487" t="str">
            <v>de l'</v>
          </cell>
          <cell r="E4487" t="str">
            <v>enregistrement</v>
          </cell>
          <cell r="F4487"/>
          <cell r="G4487"/>
        </row>
        <row r="4488">
          <cell r="C4488"/>
          <cell r="D4488" t="str">
            <v>de l'</v>
          </cell>
          <cell r="E4488" t="str">
            <v>enregistrement</v>
          </cell>
          <cell r="F4488"/>
          <cell r="G4488"/>
        </row>
        <row r="4489">
          <cell r="C4489"/>
          <cell r="D4489" t="str">
            <v>de l'</v>
          </cell>
          <cell r="E4489" t="str">
            <v>enregistrement</v>
          </cell>
          <cell r="F4489"/>
          <cell r="G4489"/>
        </row>
        <row r="4490">
          <cell r="C4490"/>
          <cell r="D4490" t="str">
            <v>de l'</v>
          </cell>
          <cell r="E4490" t="str">
            <v>application source</v>
          </cell>
          <cell r="F4490" t="str">
            <v>de l'</v>
          </cell>
          <cell r="G4490" t="str">
            <v>image contrat assurance</v>
          </cell>
        </row>
        <row r="4491">
          <cell r="C4491"/>
          <cell r="D4491" t="str">
            <v>de la</v>
          </cell>
          <cell r="E4491" t="str">
            <v>bascule de CAM vers GEC</v>
          </cell>
          <cell r="F4491"/>
          <cell r="G4491"/>
        </row>
        <row r="4492">
          <cell r="C4492"/>
          <cell r="D4492" t="str">
            <v>de la</v>
          </cell>
          <cell r="E4492" t="str">
            <v>bascule de CAM vers GEC</v>
          </cell>
          <cell r="F4492"/>
          <cell r="G4492"/>
        </row>
        <row r="4493">
          <cell r="C4493"/>
          <cell r="D4493" t="str">
            <v>de la</v>
          </cell>
          <cell r="E4493" t="str">
            <v>bascule de CAM vers GEC</v>
          </cell>
          <cell r="F4493"/>
          <cell r="G4493"/>
        </row>
        <row r="4494">
          <cell r="C4494" t="str">
            <v>dernière image</v>
          </cell>
          <cell r="D4494" t="str">
            <v>de la</v>
          </cell>
          <cell r="E4494" t="str">
            <v>bascule de CAM vers GEC</v>
          </cell>
          <cell r="F4494"/>
          <cell r="G4494"/>
        </row>
        <row r="4495">
          <cell r="C4495"/>
          <cell r="D4495" t="str">
            <v>de l'</v>
          </cell>
          <cell r="E4495" t="str">
            <v>application source</v>
          </cell>
          <cell r="F4495" t="str">
            <v>de la</v>
          </cell>
          <cell r="G4495" t="str">
            <v>bascule de CAM vers GEC</v>
          </cell>
        </row>
        <row r="4496">
          <cell r="C4496"/>
          <cell r="D4496" t="str">
            <v>de la</v>
          </cell>
          <cell r="E4496" t="str">
            <v>clé de regroupement</v>
          </cell>
          <cell r="F4496" t="str">
            <v xml:space="preserve"> </v>
          </cell>
          <cell r="G4496" t="str">
            <v>source</v>
          </cell>
          <cell r="H4496" t="str">
            <v>de</v>
          </cell>
          <cell r="I4496" t="str">
            <v>CAM</v>
          </cell>
        </row>
        <row r="4497">
          <cell r="C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C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C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C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C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C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C4509"/>
          <cell r="D4509" t="str">
            <v>du</v>
          </cell>
          <cell r="E4509" t="str">
            <v>contrat cible</v>
          </cell>
          <cell r="F4509" t="str">
            <v>de</v>
          </cell>
          <cell r="G4509" t="str">
            <v>CAM</v>
          </cell>
        </row>
        <row r="4510">
          <cell r="C4510"/>
          <cell r="D4510" t="str">
            <v>d'</v>
          </cell>
          <cell r="E4510" t="str">
            <v>événement</v>
          </cell>
          <cell r="F4510" t="str">
            <v>de</v>
          </cell>
          <cell r="G4510" t="str">
            <v>CAM</v>
          </cell>
        </row>
        <row r="4511">
          <cell r="C4511"/>
          <cell r="D4511" t="str">
            <v>d'</v>
          </cell>
          <cell r="E4511" t="str">
            <v>événement</v>
          </cell>
          <cell r="F4511" t="str">
            <v>de</v>
          </cell>
          <cell r="G4511" t="str">
            <v>GEC</v>
          </cell>
        </row>
        <row r="4512">
          <cell r="C4512"/>
          <cell r="D4512" t="str">
            <v>de la</v>
          </cell>
          <cell r="E4512" t="str">
            <v>clé de regroupement</v>
          </cell>
          <cell r="F4512" t="str">
            <v xml:space="preserve"> </v>
          </cell>
          <cell r="G4512" t="str">
            <v>cible</v>
          </cell>
          <cell r="H4512" t="str">
            <v>de</v>
          </cell>
          <cell r="I4512" t="str">
            <v>GEC</v>
          </cell>
        </row>
        <row r="4513">
          <cell r="C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C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C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C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C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C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C4526"/>
          <cell r="D4526" t="str">
            <v>du</v>
          </cell>
          <cell r="E4526" t="str">
            <v>contrat source</v>
          </cell>
          <cell r="F4526" t="str">
            <v>de</v>
          </cell>
          <cell r="G4526" t="str">
            <v>GEC</v>
          </cell>
        </row>
        <row r="4527">
          <cell r="C4527" t="str">
            <v>complémentaire</v>
          </cell>
          <cell r="D4527" t="str">
            <v>du</v>
          </cell>
          <cell r="E4527" t="str">
            <v>risque</v>
          </cell>
          <cell r="F4527"/>
          <cell r="G4527"/>
        </row>
        <row r="4528">
          <cell r="C4528" t="str">
            <v>complémentaire</v>
          </cell>
          <cell r="D4528" t="str">
            <v>du</v>
          </cell>
          <cell r="E4528" t="str">
            <v>risque</v>
          </cell>
          <cell r="F4528"/>
          <cell r="G4528"/>
        </row>
        <row r="4529">
          <cell r="C4529" t="str">
            <v>complémentaire</v>
          </cell>
          <cell r="D4529" t="str">
            <v>du</v>
          </cell>
          <cell r="E4529" t="str">
            <v>risque</v>
          </cell>
          <cell r="F4529"/>
          <cell r="G4529"/>
        </row>
        <row r="4530">
          <cell r="C4530" t="str">
            <v>complémentaire</v>
          </cell>
          <cell r="D4530" t="str">
            <v>du</v>
          </cell>
          <cell r="E4530" t="str">
            <v>risque</v>
          </cell>
          <cell r="F4530"/>
          <cell r="G4530"/>
        </row>
        <row r="4531">
          <cell r="C4531"/>
          <cell r="D4531" t="str">
            <v>de l'</v>
          </cell>
          <cell r="E4531" t="str">
            <v>ancienneté courante</v>
          </cell>
          <cell r="F4531" t="str">
            <v>en</v>
          </cell>
          <cell r="G4531" t="str">
            <v>année mois jours</v>
          </cell>
          <cell r="H4531"/>
          <cell r="I4531"/>
        </row>
        <row r="4532">
          <cell r="C4532" t="str">
            <v>jour</v>
          </cell>
          <cell r="D4532" t="str">
            <v>de l'</v>
          </cell>
          <cell r="E4532" t="str">
            <v>ancienneté courante</v>
          </cell>
          <cell r="F4532"/>
          <cell r="G4532"/>
        </row>
        <row r="4533">
          <cell r="C4533"/>
          <cell r="D4533" t="str">
            <v>de la</v>
          </cell>
          <cell r="E4533" t="str">
            <v>balance</v>
          </cell>
          <cell r="F4533"/>
          <cell r="G4533"/>
        </row>
        <row r="4534">
          <cell r="C4534"/>
          <cell r="D4534" t="str">
            <v>de l'</v>
          </cell>
          <cell r="E4534" t="str">
            <v>enregistrement</v>
          </cell>
          <cell r="F4534"/>
          <cell r="G4534"/>
        </row>
        <row r="4535">
          <cell r="C4535" t="str">
            <v>type</v>
          </cell>
          <cell r="D4535" t="str">
            <v>de</v>
          </cell>
          <cell r="E4535" t="str">
            <v>balance</v>
          </cell>
          <cell r="F4535"/>
          <cell r="G4535"/>
        </row>
        <row r="4536">
          <cell r="C4536"/>
          <cell r="D4536" t="str">
            <v>de l'</v>
          </cell>
          <cell r="E4536" t="str">
            <v>exercice comptable</v>
          </cell>
          <cell r="F4536"/>
          <cell r="G4536"/>
        </row>
        <row r="4537">
          <cell r="C4537"/>
          <cell r="D4537" t="str">
            <v>de l'</v>
          </cell>
          <cell r="E4537" t="str">
            <v>établissement</v>
          </cell>
          <cell r="F4537"/>
          <cell r="G4537"/>
        </row>
        <row r="4538">
          <cell r="C4538"/>
          <cell r="D4538" t="str">
            <v>du</v>
          </cell>
          <cell r="E4538" t="str">
            <v>guichet de l'établissement</v>
          </cell>
          <cell r="F4538"/>
          <cell r="G4538"/>
        </row>
        <row r="4539">
          <cell r="C4539" t="str">
            <v>nature</v>
          </cell>
          <cell r="D4539" t="str">
            <v>de</v>
          </cell>
          <cell r="E4539" t="str">
            <v>comptabilité</v>
          </cell>
          <cell r="F4539"/>
          <cell r="G4539"/>
        </row>
        <row r="4540">
          <cell r="C4540" t="str">
            <v>type</v>
          </cell>
          <cell r="D4540" t="str">
            <v>de</v>
          </cell>
          <cell r="E4540" t="str">
            <v>comptabilité</v>
          </cell>
          <cell r="F4540"/>
          <cell r="G4540"/>
        </row>
        <row r="4541">
          <cell r="C4541"/>
          <cell r="D4541" t="str">
            <v>de la</v>
          </cell>
          <cell r="E4541" t="str">
            <v>balance</v>
          </cell>
          <cell r="F4541"/>
          <cell r="G4541"/>
        </row>
        <row r="4542">
          <cell r="C4542"/>
          <cell r="D4542" t="str">
            <v>du</v>
          </cell>
          <cell r="E4542" t="str">
            <v>compte général</v>
          </cell>
          <cell r="F4542"/>
          <cell r="G4542"/>
        </row>
        <row r="4543">
          <cell r="C4543"/>
          <cell r="D4543" t="str">
            <v>du</v>
          </cell>
          <cell r="E4543" t="str">
            <v>compte général</v>
          </cell>
          <cell r="F4543"/>
          <cell r="G4543"/>
        </row>
        <row r="4544">
          <cell r="C4544" t="str">
            <v>type</v>
          </cell>
          <cell r="D4544" t="str">
            <v>de</v>
          </cell>
          <cell r="E4544" t="str">
            <v>compte auxiliaire</v>
          </cell>
          <cell r="F4544"/>
          <cell r="G4544"/>
        </row>
        <row r="4545">
          <cell r="C4545"/>
          <cell r="D4545" t="str">
            <v>du</v>
          </cell>
          <cell r="E4545" t="str">
            <v>compte auxiliaire</v>
          </cell>
          <cell r="F4545"/>
          <cell r="G4545"/>
        </row>
        <row r="4546">
          <cell r="C4546"/>
          <cell r="D4546" t="str">
            <v>du</v>
          </cell>
          <cell r="E4546" t="str">
            <v>compte auxiliaire</v>
          </cell>
          <cell r="F4546"/>
          <cell r="G4546"/>
        </row>
        <row r="4547">
          <cell r="C4547"/>
          <cell r="D4547" t="str">
            <v>d'</v>
          </cell>
          <cell r="E4547" t="str">
            <v>agrégation</v>
          </cell>
          <cell r="F4547"/>
          <cell r="G4547"/>
        </row>
        <row r="4548">
          <cell r="C4548"/>
          <cell r="D4548" t="str">
            <v xml:space="preserve"> </v>
          </cell>
          <cell r="E4548" t="str">
            <v>section</v>
          </cell>
          <cell r="F4548"/>
          <cell r="G4548"/>
        </row>
        <row r="4549">
          <cell r="C4549"/>
          <cell r="D4549" t="str">
            <v xml:space="preserve"> </v>
          </cell>
          <cell r="E4549" t="str">
            <v>affaire</v>
          </cell>
          <cell r="F4549"/>
          <cell r="G4549"/>
        </row>
        <row r="4550">
          <cell r="C4550"/>
          <cell r="D4550" t="str">
            <v xml:space="preserve"> </v>
          </cell>
          <cell r="E4550" t="str">
            <v>projet</v>
          </cell>
          <cell r="F4550"/>
          <cell r="G4550"/>
        </row>
        <row r="4551">
          <cell r="C4551"/>
          <cell r="D4551" t="str">
            <v xml:space="preserve"> </v>
          </cell>
          <cell r="E4551" t="str">
            <v>couverture</v>
          </cell>
          <cell r="F4551"/>
          <cell r="G4551"/>
        </row>
        <row r="4552">
          <cell r="C4552"/>
          <cell r="D4552" t="str">
            <v xml:space="preserve"> </v>
          </cell>
          <cell r="E4552" t="str">
            <v>canal</v>
          </cell>
          <cell r="F4552"/>
          <cell r="G4552"/>
        </row>
        <row r="4553">
          <cell r="C4553"/>
          <cell r="D4553" t="str">
            <v xml:space="preserve"> </v>
          </cell>
          <cell r="E4553" t="str">
            <v>nature</v>
          </cell>
          <cell r="F4553"/>
          <cell r="G4553"/>
        </row>
        <row r="4554">
          <cell r="C4554"/>
          <cell r="D4554" t="str">
            <v xml:space="preserve"> </v>
          </cell>
          <cell r="E4554" t="str">
            <v>type</v>
          </cell>
          <cell r="F4554" t="str">
            <v>d'</v>
          </cell>
          <cell r="G4554" t="str">
            <v>imputation</v>
          </cell>
        </row>
        <row r="4555">
          <cell r="C4555"/>
          <cell r="D4555" t="str">
            <v xml:space="preserve"> </v>
          </cell>
          <cell r="E4555" t="str">
            <v>survenance</v>
          </cell>
          <cell r="F4555"/>
          <cell r="G4555"/>
        </row>
        <row r="4556">
          <cell r="C4556"/>
          <cell r="D4556" t="str">
            <v xml:space="preserve"> </v>
          </cell>
          <cell r="E4556" t="str">
            <v>produit d'assurance</v>
          </cell>
          <cell r="F4556"/>
          <cell r="G4556"/>
        </row>
        <row r="4557">
          <cell r="C4557"/>
          <cell r="D4557" t="str">
            <v xml:space="preserve"> </v>
          </cell>
          <cell r="E4557" t="str">
            <v>garantie</v>
          </cell>
          <cell r="F4557"/>
          <cell r="G4557"/>
        </row>
        <row r="4558">
          <cell r="C4558"/>
          <cell r="D4558" t="str">
            <v xml:space="preserve"> </v>
          </cell>
          <cell r="E4558" t="str">
            <v>intermédiaire</v>
          </cell>
          <cell r="F4558"/>
          <cell r="G4558"/>
        </row>
        <row r="4559">
          <cell r="C4559"/>
          <cell r="D4559" t="str">
            <v xml:space="preserve"> </v>
          </cell>
          <cell r="E4559" t="str">
            <v>portefeuille</v>
          </cell>
          <cell r="F4559"/>
          <cell r="G4559"/>
        </row>
        <row r="4560">
          <cell r="C4560"/>
          <cell r="D4560" t="str">
            <v xml:space="preserve"> </v>
          </cell>
          <cell r="E4560" t="str">
            <v>taxe</v>
          </cell>
          <cell r="F4560"/>
          <cell r="G4560"/>
        </row>
        <row r="4561">
          <cell r="C4561"/>
          <cell r="D4561" t="str">
            <v xml:space="preserve"> </v>
          </cell>
          <cell r="E4561" t="str">
            <v>périodicité</v>
          </cell>
          <cell r="F4561"/>
          <cell r="G4561"/>
        </row>
        <row r="4562">
          <cell r="C4562"/>
          <cell r="D4562" t="str">
            <v xml:space="preserve"> </v>
          </cell>
          <cell r="E4562" t="str">
            <v>TVA</v>
          </cell>
          <cell r="F4562"/>
          <cell r="G4562"/>
        </row>
        <row r="4563">
          <cell r="C4563"/>
          <cell r="D4563" t="str">
            <v xml:space="preserve"> </v>
          </cell>
          <cell r="E4563" t="str">
            <v>destination analytique</v>
          </cell>
          <cell r="F4563"/>
          <cell r="G4563"/>
        </row>
        <row r="4564">
          <cell r="C4564"/>
          <cell r="D4564" t="str">
            <v xml:space="preserve"> </v>
          </cell>
          <cell r="E4564" t="str">
            <v>contrepartie</v>
          </cell>
          <cell r="F4564"/>
          <cell r="G4564"/>
        </row>
        <row r="4565">
          <cell r="C4565"/>
          <cell r="D4565" t="str">
            <v xml:space="preserve"> </v>
          </cell>
          <cell r="E4565" t="str">
            <v>bénéficiaire</v>
          </cell>
          <cell r="F4565"/>
          <cell r="G4565"/>
        </row>
        <row r="4566">
          <cell r="C4566"/>
          <cell r="D4566" t="str">
            <v xml:space="preserve"> </v>
          </cell>
          <cell r="E4566" t="str">
            <v>produit NELB</v>
          </cell>
          <cell r="F4566"/>
          <cell r="G4566"/>
        </row>
        <row r="4567">
          <cell r="C4567"/>
          <cell r="D4567" t="str">
            <v xml:space="preserve"> </v>
          </cell>
          <cell r="E4567" t="str">
            <v>sous-produit d'assurance</v>
          </cell>
          <cell r="F4567"/>
          <cell r="G4567"/>
        </row>
        <row r="4568">
          <cell r="C4568"/>
          <cell r="D4568" t="str">
            <v xml:space="preserve"> </v>
          </cell>
          <cell r="E4568" t="str">
            <v>rubrique</v>
          </cell>
          <cell r="F4568"/>
          <cell r="G4568"/>
        </row>
        <row r="4569">
          <cell r="C4569"/>
          <cell r="D4569" t="str">
            <v xml:space="preserve"> </v>
          </cell>
          <cell r="E4569" t="str">
            <v>bien immobilier</v>
          </cell>
          <cell r="F4569"/>
          <cell r="G4569"/>
        </row>
        <row r="4570">
          <cell r="C4570"/>
          <cell r="D4570" t="str">
            <v xml:space="preserve"> </v>
          </cell>
          <cell r="E4570" t="str">
            <v>client</v>
          </cell>
          <cell r="F4570"/>
          <cell r="G4570"/>
        </row>
        <row r="4571">
          <cell r="C4571"/>
          <cell r="D4571" t="str">
            <v xml:space="preserve"> </v>
          </cell>
          <cell r="E4571" t="str">
            <v>dossier</v>
          </cell>
          <cell r="F4571"/>
          <cell r="G4571"/>
        </row>
        <row r="4572">
          <cell r="C4572"/>
          <cell r="D4572" t="str">
            <v xml:space="preserve"> </v>
          </cell>
          <cell r="E4572" t="str">
            <v>bâtiment</v>
          </cell>
          <cell r="F4572"/>
          <cell r="G4572"/>
        </row>
        <row r="4573">
          <cell r="C4573"/>
          <cell r="D4573" t="str">
            <v xml:space="preserve"> </v>
          </cell>
          <cell r="E4573" t="str">
            <v>nature</v>
          </cell>
          <cell r="F4573" t="str">
            <v>des</v>
          </cell>
          <cell r="G4573" t="str">
            <v>charges immobilier</v>
          </cell>
        </row>
        <row r="4574">
          <cell r="C4574"/>
          <cell r="D4574" t="str">
            <v>du</v>
          </cell>
          <cell r="E4574" t="str">
            <v>débit</v>
          </cell>
          <cell r="F4574"/>
          <cell r="G4574"/>
        </row>
        <row r="4575">
          <cell r="C4575"/>
          <cell r="D4575" t="str">
            <v>du</v>
          </cell>
          <cell r="E4575" t="str">
            <v>crédit</v>
          </cell>
          <cell r="F4575"/>
          <cell r="G4575"/>
        </row>
        <row r="4576">
          <cell r="C4576"/>
          <cell r="D4576" t="str">
            <v>du</v>
          </cell>
          <cell r="E4576" t="str">
            <v>débit</v>
          </cell>
          <cell r="F4576"/>
          <cell r="G4576"/>
        </row>
        <row r="4577">
          <cell r="C4577"/>
          <cell r="D4577" t="str">
            <v>du</v>
          </cell>
          <cell r="E4577" t="str">
            <v>crédit</v>
          </cell>
          <cell r="F4577"/>
          <cell r="G4577"/>
        </row>
        <row r="4578">
          <cell r="C4578"/>
          <cell r="D4578" t="str">
            <v>du</v>
          </cell>
          <cell r="E4578" t="str">
            <v>débit</v>
          </cell>
          <cell r="F4578"/>
          <cell r="G4578"/>
        </row>
        <row r="4579">
          <cell r="C4579"/>
          <cell r="D4579" t="str">
            <v>du</v>
          </cell>
          <cell r="E4579" t="str">
            <v>crédit</v>
          </cell>
          <cell r="F4579"/>
          <cell r="G4579"/>
        </row>
        <row r="4580">
          <cell r="C4580"/>
          <cell r="D4580" t="str">
            <v>du</v>
          </cell>
          <cell r="E4580" t="str">
            <v>débit</v>
          </cell>
          <cell r="F4580" t="str">
            <v>de l'</v>
          </cell>
          <cell r="G4580" t="str">
            <v>année précédente</v>
          </cell>
        </row>
        <row r="4581">
          <cell r="C4581"/>
          <cell r="D4581" t="str">
            <v>du</v>
          </cell>
          <cell r="E4581" t="str">
            <v>crédit</v>
          </cell>
          <cell r="F4581" t="str">
            <v>de l'</v>
          </cell>
          <cell r="G4581" t="str">
            <v>année précédente</v>
          </cell>
        </row>
        <row r="4582">
          <cell r="C4582"/>
          <cell r="D4582" t="str">
            <v>du</v>
          </cell>
          <cell r="E4582" t="str">
            <v>débit</v>
          </cell>
          <cell r="F4582" t="str">
            <v>de l'</v>
          </cell>
          <cell r="G4582" t="str">
            <v>année précédente</v>
          </cell>
        </row>
        <row r="4583">
          <cell r="C4583"/>
          <cell r="D4583" t="str">
            <v>du</v>
          </cell>
          <cell r="E4583" t="str">
            <v>crédit</v>
          </cell>
          <cell r="F4583" t="str">
            <v>de l'</v>
          </cell>
          <cell r="G4583" t="str">
            <v>année précédente</v>
          </cell>
        </row>
        <row r="4584">
          <cell r="C4584"/>
          <cell r="D4584" t="str">
            <v>du</v>
          </cell>
          <cell r="E4584" t="str">
            <v>débit</v>
          </cell>
          <cell r="F4584" t="str">
            <v>de l'</v>
          </cell>
          <cell r="G4584" t="str">
            <v>année précédente</v>
          </cell>
        </row>
        <row r="4585">
          <cell r="C4585"/>
          <cell r="D4585" t="str">
            <v>du</v>
          </cell>
          <cell r="E4585" t="str">
            <v>crédit</v>
          </cell>
          <cell r="F4585" t="str">
            <v>de l'</v>
          </cell>
          <cell r="G4585" t="str">
            <v>année précédente</v>
          </cell>
        </row>
        <row r="4586">
          <cell r="C4586"/>
          <cell r="D4586" t="str">
            <v>de la</v>
          </cell>
          <cell r="E4586" t="str">
            <v>regroupement de taxes</v>
          </cell>
          <cell r="F4586"/>
          <cell r="G4586"/>
          <cell r="H4586"/>
          <cell r="I4586"/>
        </row>
        <row r="4587">
          <cell r="C4587"/>
          <cell r="D4587" t="str">
            <v>de la</v>
          </cell>
          <cell r="E4587" t="str">
            <v>regroupement de taxes</v>
          </cell>
          <cell r="F4587"/>
          <cell r="G4587"/>
          <cell r="H4587"/>
          <cell r="I4587"/>
        </row>
        <row r="4588">
          <cell r="C4588"/>
          <cell r="D4588" t="str">
            <v>de la</v>
          </cell>
          <cell r="E4588" t="str">
            <v>regroupement de taxes</v>
          </cell>
          <cell r="F4588"/>
          <cell r="G4588"/>
          <cell r="H4588"/>
          <cell r="I4588"/>
        </row>
        <row r="4589">
          <cell r="C4589"/>
          <cell r="D4589" t="str">
            <v>de la</v>
          </cell>
          <cell r="E4589" t="str">
            <v>regroupement de taxes</v>
          </cell>
          <cell r="F4589"/>
          <cell r="G4589"/>
          <cell r="H4589"/>
          <cell r="I4589"/>
        </row>
        <row r="4590">
          <cell r="C4590"/>
          <cell r="D4590" t="str">
            <v>de la</v>
          </cell>
          <cell r="E4590" t="str">
            <v>regroupement de taxes</v>
          </cell>
          <cell r="F4590"/>
          <cell r="G4590"/>
          <cell r="H4590"/>
          <cell r="I4590"/>
        </row>
        <row r="4591">
          <cell r="C4591"/>
          <cell r="D4591" t="str">
            <v>de l'</v>
          </cell>
          <cell r="E4591" t="str">
            <v>application source</v>
          </cell>
          <cell r="F4591" t="str">
            <v>de la</v>
          </cell>
          <cell r="G4591" t="str">
            <v>regroupement de taxes</v>
          </cell>
          <cell r="H4591"/>
          <cell r="I4591"/>
        </row>
        <row r="4592">
          <cell r="C4592"/>
          <cell r="D4592" t="str">
            <v>de la</v>
          </cell>
          <cell r="E4592" t="str">
            <v>taxe</v>
          </cell>
          <cell r="F4592"/>
          <cell r="G4592"/>
          <cell r="H4592"/>
          <cell r="I4592"/>
        </row>
        <row r="4593">
          <cell r="C4593"/>
          <cell r="D4593" t="str">
            <v>de la</v>
          </cell>
          <cell r="E4593" t="str">
            <v>taxe</v>
          </cell>
          <cell r="F4593"/>
          <cell r="G4593"/>
          <cell r="H4593"/>
          <cell r="I4593"/>
        </row>
        <row r="4594">
          <cell r="C4594"/>
          <cell r="D4594" t="str">
            <v>de la</v>
          </cell>
          <cell r="E4594" t="str">
            <v>Famille</v>
          </cell>
          <cell r="F4594" t="str">
            <v>de la</v>
          </cell>
          <cell r="G4594" t="str">
            <v>regroupement de taxes</v>
          </cell>
          <cell r="H4594"/>
          <cell r="I4594"/>
        </row>
        <row r="4595">
          <cell r="C4595"/>
          <cell r="D4595" t="str">
            <v>de la</v>
          </cell>
          <cell r="E4595" t="str">
            <v>Nature</v>
          </cell>
          <cell r="F4595" t="str">
            <v>de la</v>
          </cell>
          <cell r="G4595" t="str">
            <v>regroupement de taxes</v>
          </cell>
          <cell r="H4595"/>
          <cell r="I4595"/>
        </row>
        <row r="4596">
          <cell r="C4596"/>
          <cell r="D4596" t="str">
            <v>de la</v>
          </cell>
          <cell r="E4596" t="str">
            <v>créateur</v>
          </cell>
          <cell r="F4596" t="str">
            <v>de la</v>
          </cell>
          <cell r="G4596" t="str">
            <v>regroupement de taxes</v>
          </cell>
          <cell r="H4596"/>
          <cell r="I4596"/>
        </row>
        <row r="4597">
          <cell r="C4597"/>
          <cell r="D4597" t="str">
            <v>du</v>
          </cell>
          <cell r="E4597" t="str">
            <v>création</v>
          </cell>
          <cell r="F4597" t="str">
            <v>de la</v>
          </cell>
          <cell r="G4597" t="str">
            <v>regroupement de taxes</v>
          </cell>
          <cell r="H4597"/>
          <cell r="I4597"/>
        </row>
        <row r="4598">
          <cell r="C4598"/>
          <cell r="D4598" t="str">
            <v>et</v>
          </cell>
          <cell r="E4598" t="str">
            <v>Heure</v>
          </cell>
          <cell r="F4598" t="str">
            <v>de la</v>
          </cell>
          <cell r="G4598" t="str">
            <v>regroupement de taxes</v>
          </cell>
          <cell r="H4598"/>
          <cell r="I4598"/>
        </row>
        <row r="4599">
          <cell r="C4599"/>
          <cell r="D4599" t="str">
            <v>de</v>
          </cell>
          <cell r="E4599" t="str">
            <v>Mise à jour</v>
          </cell>
          <cell r="F4599" t="str">
            <v>de la</v>
          </cell>
          <cell r="G4599" t="str">
            <v>regroupement de taxes</v>
          </cell>
          <cell r="H4599"/>
          <cell r="I4599"/>
        </row>
        <row r="4600">
          <cell r="C4600"/>
          <cell r="D4600" t="str">
            <v>de la</v>
          </cell>
          <cell r="E4600" t="str">
            <v>Mise à jour</v>
          </cell>
          <cell r="F4600" t="str">
            <v>de la</v>
          </cell>
          <cell r="G4600" t="str">
            <v>regroupement de taxes</v>
          </cell>
          <cell r="H4600"/>
          <cell r="I4600"/>
        </row>
        <row r="4601">
          <cell r="C4601"/>
          <cell r="D4601" t="str">
            <v>et</v>
          </cell>
          <cell r="E4601" t="str">
            <v>Heure</v>
          </cell>
          <cell r="F4601" t="str">
            <v>de la</v>
          </cell>
          <cell r="G4601" t="str">
            <v>modification</v>
          </cell>
          <cell r="H4601" t="str">
            <v>de la</v>
          </cell>
          <cell r="I4601" t="str">
            <v>regroupement de taxes</v>
          </cell>
        </row>
        <row r="4602">
          <cell r="C4602"/>
          <cell r="D4602" t="str">
            <v>de la</v>
          </cell>
          <cell r="E4602" t="str">
            <v>vue</v>
          </cell>
          <cell r="F4602"/>
          <cell r="G4602"/>
          <cell r="H4602"/>
          <cell r="I4602"/>
        </row>
        <row r="4603">
          <cell r="C4603"/>
          <cell r="D4603" t="str">
            <v>de la</v>
          </cell>
          <cell r="E4603" t="str">
            <v>contrainte</v>
          </cell>
          <cell r="F4603"/>
          <cell r="G4603"/>
          <cell r="H4603"/>
          <cell r="I4603"/>
        </row>
        <row r="4604">
          <cell r="C4604"/>
          <cell r="D4604" t="str">
            <v>de la</v>
          </cell>
          <cell r="E4604" t="str">
            <v>colonne</v>
          </cell>
          <cell r="F4604"/>
          <cell r="G4604"/>
          <cell r="H4604"/>
          <cell r="I4604"/>
        </row>
        <row r="4605">
          <cell r="C4605"/>
          <cell r="D4605" t="str">
            <v>d'</v>
          </cell>
          <cell r="E4605" t="str">
            <v>ordre</v>
          </cell>
          <cell r="F4605"/>
          <cell r="G4605"/>
          <cell r="H4605"/>
          <cell r="I4605"/>
        </row>
        <row r="4606">
          <cell r="C4606"/>
          <cell r="D4606" t="str">
            <v>de la</v>
          </cell>
          <cell r="E4606" t="str">
            <v>table</v>
          </cell>
          <cell r="F4606"/>
          <cell r="G4606"/>
          <cell r="H4606"/>
          <cell r="I4606"/>
        </row>
        <row r="4607">
          <cell r="C4607"/>
          <cell r="D4607" t="str">
            <v>de la</v>
          </cell>
          <cell r="E4607" t="str">
            <v>contrainte</v>
          </cell>
          <cell r="F4607"/>
          <cell r="G4607"/>
          <cell r="H4607"/>
          <cell r="I4607"/>
        </row>
        <row r="4608">
          <cell r="C4608"/>
          <cell r="D4608" t="str">
            <v>de l'</v>
          </cell>
          <cell r="E4608" t="str">
            <v>est activé</v>
          </cell>
          <cell r="F4608"/>
          <cell r="G4608"/>
          <cell r="H4608"/>
          <cell r="I4608"/>
        </row>
        <row r="4609">
          <cell r="C4609"/>
          <cell r="D4609" t="str">
            <v>du</v>
          </cell>
          <cell r="E4609" t="str">
            <v>schéma</v>
          </cell>
          <cell r="F4609" t="str">
            <v>de la</v>
          </cell>
          <cell r="G4609" t="str">
            <v>table</v>
          </cell>
          <cell r="H4609"/>
          <cell r="I4609"/>
        </row>
        <row r="4610">
          <cell r="C4610"/>
          <cell r="D4610"/>
          <cell r="E4610"/>
          <cell r="F4610"/>
          <cell r="G4610"/>
          <cell r="H4610"/>
          <cell r="I4610"/>
        </row>
        <row r="4611">
          <cell r="C4611"/>
          <cell r="D4611"/>
          <cell r="E4611"/>
          <cell r="F4611"/>
          <cell r="G4611"/>
          <cell r="H4611"/>
          <cell r="I4611"/>
        </row>
        <row r="4612">
          <cell r="C4612"/>
          <cell r="D4612"/>
          <cell r="E4612"/>
          <cell r="F4612"/>
          <cell r="G4612"/>
          <cell r="H4612"/>
          <cell r="I4612"/>
        </row>
        <row r="4613">
          <cell r="C4613"/>
          <cell r="D4613"/>
          <cell r="E4613"/>
          <cell r="F4613"/>
          <cell r="G4613"/>
          <cell r="H4613"/>
          <cell r="I4613"/>
        </row>
        <row r="4614">
          <cell r="C4614"/>
          <cell r="D4614"/>
          <cell r="E4614"/>
          <cell r="F4614"/>
          <cell r="G4614"/>
          <cell r="H4614"/>
          <cell r="I4614"/>
        </row>
        <row r="4615">
          <cell r="C4615"/>
          <cell r="D4615"/>
          <cell r="E4615"/>
          <cell r="F4615"/>
          <cell r="G4615"/>
          <cell r="H4615"/>
          <cell r="I4615"/>
        </row>
        <row r="4616">
          <cell r="C4616"/>
          <cell r="D4616"/>
          <cell r="E4616"/>
          <cell r="F4616"/>
          <cell r="G4616"/>
          <cell r="H4616"/>
          <cell r="I4616"/>
        </row>
        <row r="4617">
          <cell r="C4617"/>
          <cell r="D4617" t="str">
            <v>de la</v>
          </cell>
          <cell r="E4617" t="str">
            <v>destination analytique</v>
          </cell>
          <cell r="F4617"/>
          <cell r="G4617"/>
          <cell r="H4617"/>
          <cell r="I4617"/>
        </row>
        <row r="4618">
          <cell r="C4618"/>
          <cell r="D4618" t="str">
            <v>de la</v>
          </cell>
          <cell r="E4618" t="str">
            <v>destination analytique</v>
          </cell>
          <cell r="F4618"/>
          <cell r="G4618"/>
          <cell r="H4618"/>
          <cell r="I4618"/>
        </row>
        <row r="4619">
          <cell r="C4619"/>
          <cell r="D4619" t="str">
            <v>de la</v>
          </cell>
          <cell r="E4619" t="str">
            <v>destination analytique</v>
          </cell>
          <cell r="F4619"/>
          <cell r="G4619"/>
          <cell r="H4619"/>
          <cell r="I4619"/>
        </row>
        <row r="4620">
          <cell r="C4620"/>
          <cell r="D4620" t="str">
            <v>de la</v>
          </cell>
          <cell r="E4620" t="str">
            <v>destination analytique</v>
          </cell>
          <cell r="F4620"/>
          <cell r="G4620"/>
          <cell r="H4620"/>
          <cell r="I4620"/>
        </row>
        <row r="4621">
          <cell r="C4621"/>
          <cell r="D4621" t="str">
            <v>de la</v>
          </cell>
          <cell r="E4621" t="str">
            <v>destination analytique</v>
          </cell>
          <cell r="F4621"/>
          <cell r="G4621"/>
          <cell r="H4621"/>
          <cell r="I4621"/>
        </row>
        <row r="4622">
          <cell r="C4622"/>
          <cell r="D4622" t="str">
            <v>de l'</v>
          </cell>
          <cell r="E4622" t="str">
            <v>application source</v>
          </cell>
          <cell r="F4622" t="str">
            <v>de la</v>
          </cell>
          <cell r="G4622" t="str">
            <v>destination analytique</v>
          </cell>
          <cell r="H4622"/>
          <cell r="I4622"/>
        </row>
        <row r="4623">
          <cell r="C4623"/>
          <cell r="D4623" t="str">
            <v>de la</v>
          </cell>
          <cell r="E4623" t="str">
            <v>société d'assurance</v>
          </cell>
          <cell r="F4623"/>
          <cell r="G4623"/>
          <cell r="H4623"/>
          <cell r="I4623"/>
        </row>
        <row r="4624">
          <cell r="C4624"/>
          <cell r="D4624" t="str">
            <v>de la</v>
          </cell>
          <cell r="E4624" t="str">
            <v>société d'assurance</v>
          </cell>
          <cell r="F4624" t="str">
            <v>de</v>
          </cell>
          <cell r="G4624" t="str">
            <v>regroupement</v>
          </cell>
          <cell r="H4624"/>
          <cell r="I4624"/>
        </row>
        <row r="4625">
          <cell r="C4625"/>
          <cell r="D4625" t="str">
            <v>de la</v>
          </cell>
          <cell r="E4625" t="str">
            <v>société d'assurance</v>
          </cell>
          <cell r="F4625" t="str">
            <v>de la</v>
          </cell>
          <cell r="G4625" t="str">
            <v>garantie</v>
          </cell>
          <cell r="H4625"/>
          <cell r="I4625"/>
        </row>
        <row r="4626">
          <cell r="C4626"/>
          <cell r="D4626" t="str">
            <v>de la</v>
          </cell>
          <cell r="E4626" t="str">
            <v>Succursale</v>
          </cell>
          <cell r="F4626"/>
          <cell r="G4626"/>
          <cell r="H4626"/>
          <cell r="I4626"/>
        </row>
        <row r="4627">
          <cell r="C4627"/>
          <cell r="D4627" t="str">
            <v>de l'</v>
          </cell>
          <cell r="E4627" t="str">
            <v>établissement</v>
          </cell>
          <cell r="F4627"/>
          <cell r="G4627"/>
          <cell r="H4627"/>
          <cell r="I4627"/>
        </row>
        <row r="4628">
          <cell r="C4628"/>
          <cell r="D4628" t="str">
            <v>du</v>
          </cell>
          <cell r="E4628" t="str">
            <v>guichet</v>
          </cell>
          <cell r="F4628"/>
          <cell r="G4628"/>
          <cell r="H4628"/>
          <cell r="I4628"/>
        </row>
        <row r="4629">
          <cell r="C4629"/>
          <cell r="D4629" t="str">
            <v>de la</v>
          </cell>
          <cell r="E4629" t="str">
            <v>destination analytique</v>
          </cell>
          <cell r="F4629"/>
          <cell r="G4629"/>
          <cell r="H4629"/>
          <cell r="I4629"/>
        </row>
        <row r="4630">
          <cell r="C4630"/>
          <cell r="D4630" t="str">
            <v>de la</v>
          </cell>
          <cell r="E4630" t="str">
            <v>destination analytique</v>
          </cell>
          <cell r="F4630"/>
          <cell r="G4630"/>
          <cell r="H4630"/>
          <cell r="I4630"/>
        </row>
        <row r="4631">
          <cell r="C4631"/>
          <cell r="D4631" t="str">
            <v>d'</v>
          </cell>
          <cell r="E4631" t="str">
            <v>effet</v>
          </cell>
          <cell r="F4631"/>
          <cell r="G4631"/>
          <cell r="H4631"/>
          <cell r="I4631"/>
        </row>
        <row r="4632">
          <cell r="C4632"/>
          <cell r="D4632" t="str">
            <v>d'</v>
          </cell>
          <cell r="E4632" t="str">
            <v>effet</v>
          </cell>
          <cell r="F4632"/>
          <cell r="G4632"/>
          <cell r="H4632"/>
          <cell r="I4632"/>
        </row>
        <row r="4633">
          <cell r="C4633"/>
          <cell r="D4633" t="str">
            <v>de</v>
          </cell>
          <cell r="E4633" t="str">
            <v>Produit d'Assurance</v>
          </cell>
          <cell r="F4633"/>
          <cell r="G4633"/>
          <cell r="H4633"/>
          <cell r="I4633"/>
        </row>
        <row r="4634">
          <cell r="C4634"/>
          <cell r="D4634" t="str">
            <v>du</v>
          </cell>
          <cell r="E4634" t="str">
            <v>Produit d'Assurance</v>
          </cell>
          <cell r="F4634"/>
          <cell r="G4634"/>
          <cell r="H4634"/>
          <cell r="I4634"/>
        </row>
        <row r="4635">
          <cell r="C4635"/>
          <cell r="D4635" t="str">
            <v>de la</v>
          </cell>
          <cell r="E4635" t="str">
            <v>Société apéritrice</v>
          </cell>
          <cell r="F4635"/>
          <cell r="G4635"/>
          <cell r="H4635"/>
          <cell r="I4635"/>
        </row>
        <row r="4636">
          <cell r="C4636"/>
          <cell r="D4636" t="str">
            <v>de la</v>
          </cell>
          <cell r="E4636" t="str">
            <v>Société apéritrice</v>
          </cell>
          <cell r="F4636"/>
          <cell r="G4636"/>
          <cell r="H4636"/>
          <cell r="I4636"/>
        </row>
        <row r="4637">
          <cell r="C4637"/>
          <cell r="D4637" t="str">
            <v>de la</v>
          </cell>
          <cell r="E4637" t="str">
            <v>garantie</v>
          </cell>
          <cell r="F4637"/>
          <cell r="G4637"/>
          <cell r="H4637"/>
          <cell r="I4637"/>
        </row>
        <row r="4638">
          <cell r="C4638"/>
          <cell r="D4638" t="str">
            <v>de la</v>
          </cell>
          <cell r="E4638" t="str">
            <v>rubrique</v>
          </cell>
          <cell r="F4638"/>
          <cell r="G4638"/>
          <cell r="H4638"/>
          <cell r="I4638"/>
        </row>
        <row r="4639">
          <cell r="C4639"/>
          <cell r="D4639" t="str">
            <v>de la</v>
          </cell>
          <cell r="E4639" t="str">
            <v>Nature</v>
          </cell>
          <cell r="F4639" t="str">
            <v>du</v>
          </cell>
          <cell r="G4639" t="str">
            <v>support</v>
          </cell>
          <cell r="H4639"/>
          <cell r="I4639"/>
        </row>
        <row r="4640">
          <cell r="C4640"/>
          <cell r="D4640" t="str">
            <v>de la</v>
          </cell>
          <cell r="E4640" t="str">
            <v>catégorie</v>
          </cell>
          <cell r="F4640" t="str">
            <v>de</v>
          </cell>
          <cell r="G4640" t="str">
            <v>ministère</v>
          </cell>
          <cell r="H4640"/>
          <cell r="I4640"/>
        </row>
        <row r="4641">
          <cell r="C4641"/>
          <cell r="D4641" t="str">
            <v>de la</v>
          </cell>
          <cell r="E4641" t="str">
            <v>catégorie</v>
          </cell>
          <cell r="F4641" t="str">
            <v>de</v>
          </cell>
          <cell r="G4641" t="str">
            <v>ministère</v>
          </cell>
          <cell r="H4641"/>
          <cell r="I4641"/>
        </row>
        <row r="4642">
          <cell r="C4642"/>
          <cell r="D4642" t="str">
            <v>de</v>
          </cell>
          <cell r="E4642" t="str">
            <v>ministère</v>
          </cell>
          <cell r="F4642"/>
          <cell r="G4642"/>
          <cell r="H4642"/>
          <cell r="I4642"/>
        </row>
        <row r="4643">
          <cell r="C4643"/>
          <cell r="D4643" t="str">
            <v>de la</v>
          </cell>
          <cell r="E4643" t="str">
            <v>Sous Catégorie</v>
          </cell>
          <cell r="F4643" t="str">
            <v>de</v>
          </cell>
          <cell r="G4643" t="str">
            <v>ministère</v>
          </cell>
          <cell r="H4643"/>
          <cell r="I4643"/>
        </row>
        <row r="4644">
          <cell r="C4644"/>
          <cell r="D4644" t="str">
            <v>du</v>
          </cell>
          <cell r="E4644" t="str">
            <v>LOB</v>
          </cell>
          <cell r="F4644"/>
          <cell r="G4644"/>
          <cell r="H4644"/>
          <cell r="I4644"/>
        </row>
        <row r="4645">
          <cell r="C4645"/>
          <cell r="D4645" t="str">
            <v>du</v>
          </cell>
          <cell r="E4645" t="str">
            <v>LOB</v>
          </cell>
          <cell r="F4645"/>
          <cell r="G4645"/>
          <cell r="H4645"/>
          <cell r="I4645"/>
        </row>
        <row r="4646">
          <cell r="C4646"/>
          <cell r="D4646" t="str">
            <v>de la</v>
          </cell>
          <cell r="E4646" t="str">
            <v>sous LOB</v>
          </cell>
          <cell r="F4646"/>
          <cell r="G4646"/>
          <cell r="H4646"/>
          <cell r="I4646"/>
        </row>
        <row r="4647">
          <cell r="C4647"/>
          <cell r="D4647" t="str">
            <v>de la</v>
          </cell>
          <cell r="E4647" t="str">
            <v>sous LOB</v>
          </cell>
          <cell r="F4647"/>
          <cell r="G4647"/>
          <cell r="H4647"/>
          <cell r="I4647"/>
        </row>
        <row r="4648">
          <cell r="C4648"/>
          <cell r="D4648" t="str">
            <v>de la</v>
          </cell>
          <cell r="E4648" t="str">
            <v>branche</v>
          </cell>
          <cell r="F4648" t="str">
            <v>de l'</v>
          </cell>
          <cell r="G4648" t="str">
            <v>agrément</v>
          </cell>
          <cell r="H4648"/>
          <cell r="I4648"/>
        </row>
        <row r="4649">
          <cell r="C4649"/>
          <cell r="D4649" t="str">
            <v>de la</v>
          </cell>
          <cell r="E4649" t="str">
            <v>branche</v>
          </cell>
          <cell r="F4649" t="str">
            <v>de l'</v>
          </cell>
          <cell r="G4649" t="str">
            <v>agrément</v>
          </cell>
          <cell r="H4649"/>
          <cell r="I4649"/>
        </row>
        <row r="4650">
          <cell r="C4650"/>
          <cell r="D4650" t="str">
            <v>de</v>
          </cell>
          <cell r="E4650" t="str">
            <v>Branche</v>
          </cell>
          <cell r="F4650" t="str">
            <v>de</v>
          </cell>
          <cell r="G4650" t="str">
            <v>regroupement</v>
          </cell>
          <cell r="H4650"/>
          <cell r="I4650"/>
        </row>
        <row r="4651">
          <cell r="C4651"/>
          <cell r="D4651" t="str">
            <v>de la</v>
          </cell>
          <cell r="E4651" t="str">
            <v>branche</v>
          </cell>
          <cell r="F4651" t="str">
            <v>de</v>
          </cell>
          <cell r="G4651" t="str">
            <v>regroupement</v>
          </cell>
          <cell r="H4651"/>
          <cell r="I4651"/>
        </row>
        <row r="4652">
          <cell r="C4652"/>
          <cell r="D4652" t="str">
            <v>sous</v>
          </cell>
          <cell r="E4652" t="str">
            <v>Branche</v>
          </cell>
          <cell r="F4652" t="str">
            <v>de</v>
          </cell>
          <cell r="G4652" t="str">
            <v>regroupement</v>
          </cell>
          <cell r="H4652"/>
          <cell r="I4652"/>
        </row>
        <row r="4653">
          <cell r="C4653"/>
          <cell r="D4653" t="str">
            <v>sous</v>
          </cell>
          <cell r="E4653" t="str">
            <v>branche</v>
          </cell>
          <cell r="F4653" t="str">
            <v>de</v>
          </cell>
          <cell r="G4653" t="str">
            <v>regroupement</v>
          </cell>
          <cell r="H4653"/>
          <cell r="I4653"/>
        </row>
        <row r="4654">
          <cell r="C4654"/>
          <cell r="D4654" t="str">
            <v>du</v>
          </cell>
          <cell r="E4654" t="str">
            <v>regroupement de niveau 1</v>
          </cell>
          <cell r="F4654"/>
          <cell r="G4654"/>
          <cell r="H4654"/>
          <cell r="I4654"/>
        </row>
        <row r="4655">
          <cell r="C4655"/>
          <cell r="D4655" t="str">
            <v>du</v>
          </cell>
          <cell r="E4655" t="str">
            <v>regroupement de niveau 2</v>
          </cell>
          <cell r="F4655"/>
          <cell r="G4655"/>
          <cell r="H4655"/>
          <cell r="I4655"/>
        </row>
        <row r="4656">
          <cell r="C4656"/>
          <cell r="D4656" t="str">
            <v>du</v>
          </cell>
          <cell r="E4656" t="str">
            <v>regroupement de niveau 3</v>
          </cell>
          <cell r="F4656"/>
          <cell r="G4656"/>
          <cell r="H4656"/>
          <cell r="I4656"/>
        </row>
        <row r="4657">
          <cell r="C4657"/>
          <cell r="D4657" t="str">
            <v>du</v>
          </cell>
          <cell r="E4657" t="str">
            <v>regroupement de niveau 4</v>
          </cell>
          <cell r="F4657"/>
          <cell r="G4657"/>
          <cell r="H4657"/>
          <cell r="I4657"/>
        </row>
        <row r="4658">
          <cell r="C4658"/>
          <cell r="D4658" t="str">
            <v>du</v>
          </cell>
          <cell r="E4658" t="str">
            <v>regroupement de niveau 5</v>
          </cell>
          <cell r="F4658"/>
          <cell r="G4658"/>
          <cell r="H4658"/>
          <cell r="I4658"/>
        </row>
        <row r="4659">
          <cell r="C4659"/>
          <cell r="D4659" t="str">
            <v>de</v>
          </cell>
          <cell r="E4659" t="str">
            <v>granularité</v>
          </cell>
          <cell r="F4659" t="str">
            <v>de</v>
          </cell>
          <cell r="G4659" t="str">
            <v>calcul d’engagement</v>
          </cell>
          <cell r="H4659"/>
          <cell r="I4659"/>
        </row>
        <row r="4660">
          <cell r="C4660"/>
          <cell r="D4660" t="str">
            <v>du</v>
          </cell>
          <cell r="E4660" t="str">
            <v>regroupement</v>
          </cell>
          <cell r="F4660" t="str">
            <v>de</v>
          </cell>
          <cell r="G4660" t="str">
            <v>comptabilité technique</v>
          </cell>
          <cell r="H4660"/>
          <cell r="I4660"/>
        </row>
        <row r="4661">
          <cell r="C4661"/>
          <cell r="D4661" t="str">
            <v>du</v>
          </cell>
          <cell r="E4661" t="str">
            <v>portefeuille</v>
          </cell>
          <cell r="F4661" t="str">
            <v>de</v>
          </cell>
          <cell r="G4661" t="str">
            <v>passif</v>
          </cell>
          <cell r="H4661"/>
          <cell r="I4661"/>
        </row>
        <row r="4662">
          <cell r="C4662"/>
          <cell r="D4662" t="str">
            <v>du</v>
          </cell>
          <cell r="E4662" t="str">
            <v>pays</v>
          </cell>
          <cell r="F4662"/>
          <cell r="G4662"/>
          <cell r="H4662"/>
          <cell r="I4662"/>
        </row>
        <row r="4663">
          <cell r="C4663"/>
          <cell r="D4663" t="str">
            <v>du</v>
          </cell>
          <cell r="E4663" t="str">
            <v>portefeuille</v>
          </cell>
          <cell r="F4663" t="str">
            <v>de l'</v>
          </cell>
          <cell r="G4663" t="str">
            <v>actif</v>
          </cell>
          <cell r="H4663" t="str">
            <v>du</v>
          </cell>
          <cell r="I4663" t="str">
            <v>Produit d'Assurance</v>
          </cell>
        </row>
        <row r="4664">
          <cell r="C4664"/>
          <cell r="D4664" t="str">
            <v>du</v>
          </cell>
          <cell r="E4664" t="str">
            <v>contexte</v>
          </cell>
          <cell r="F4664"/>
          <cell r="G4664"/>
          <cell r="H4664"/>
          <cell r="I4664"/>
        </row>
        <row r="4665">
          <cell r="C4665"/>
          <cell r="D4665" t="str">
            <v>du</v>
          </cell>
          <cell r="E4665" t="str">
            <v>créateur</v>
          </cell>
          <cell r="F4665"/>
          <cell r="G4665"/>
          <cell r="H4665"/>
          <cell r="I4665"/>
        </row>
        <row r="4666">
          <cell r="C4666"/>
          <cell r="D4666" t="str">
            <v>de la</v>
          </cell>
          <cell r="E4666" t="str">
            <v>destination analytique</v>
          </cell>
          <cell r="F4666"/>
          <cell r="G4666"/>
          <cell r="H4666"/>
          <cell r="I4666"/>
        </row>
        <row r="4667">
          <cell r="C4667"/>
          <cell r="D4667" t="str">
            <v>de la</v>
          </cell>
          <cell r="E4667" t="str">
            <v>modification</v>
          </cell>
          <cell r="F4667"/>
          <cell r="G4667"/>
          <cell r="H4667"/>
          <cell r="I4667"/>
        </row>
        <row r="4668">
          <cell r="C4668"/>
          <cell r="D4668" t="str">
            <v>de la</v>
          </cell>
          <cell r="E4668" t="str">
            <v>modification</v>
          </cell>
          <cell r="F4668"/>
          <cell r="G4668"/>
          <cell r="H4668"/>
          <cell r="I4668"/>
        </row>
        <row r="4669">
          <cell r="C4669"/>
          <cell r="D4669" t="str">
            <v>du</v>
          </cell>
          <cell r="E4669" t="str">
            <v>motif</v>
          </cell>
          <cell r="F4669" t="str">
            <v>de la</v>
          </cell>
          <cell r="G4669" t="str">
            <v>modification</v>
          </cell>
          <cell r="H4669"/>
          <cell r="I4669"/>
        </row>
        <row r="4670">
          <cell r="C4670"/>
          <cell r="D4670" t="str">
            <v>d'</v>
          </cell>
          <cell r="E4670" t="str">
            <v>effet</v>
          </cell>
          <cell r="F4670" t="str">
            <v>de la</v>
          </cell>
          <cell r="G4670" t="str">
            <v>dernière mise à jour</v>
          </cell>
          <cell r="H4670"/>
          <cell r="I4670"/>
        </row>
        <row r="4671">
          <cell r="C4671"/>
          <cell r="D4671" t="str">
            <v>d'</v>
          </cell>
          <cell r="E4671" t="str">
            <v>effet</v>
          </cell>
          <cell r="F4671" t="str">
            <v>de la</v>
          </cell>
          <cell r="G4671" t="str">
            <v>dernière mise à jour</v>
          </cell>
          <cell r="H4671"/>
          <cell r="I4671"/>
        </row>
        <row r="4672">
          <cell r="C4672"/>
          <cell r="D4672"/>
          <cell r="E4672"/>
          <cell r="F4672"/>
          <cell r="G4672"/>
          <cell r="H4672"/>
          <cell r="I4672"/>
        </row>
        <row r="4673">
          <cell r="C4673"/>
          <cell r="D4673"/>
          <cell r="E4673"/>
          <cell r="F4673"/>
          <cell r="G4673"/>
        </row>
        <row r="4674">
          <cell r="C4674"/>
          <cell r="D4674" t="str">
            <v>du</v>
          </cell>
          <cell r="E4674" t="str">
            <v>créateur</v>
          </cell>
          <cell r="F4674"/>
          <cell r="G4674"/>
          <cell r="H4674"/>
          <cell r="I4674"/>
        </row>
        <row r="4675">
          <cell r="C4675"/>
          <cell r="D4675" t="str">
            <v>de la</v>
          </cell>
          <cell r="E4675" t="str">
            <v>destination analytique</v>
          </cell>
          <cell r="F4675"/>
          <cell r="G4675"/>
          <cell r="H4675"/>
          <cell r="I4675"/>
        </row>
        <row r="4676">
          <cell r="C4676"/>
          <cell r="D4676" t="str">
            <v>de la</v>
          </cell>
          <cell r="E4676" t="str">
            <v>modification</v>
          </cell>
          <cell r="F4676"/>
          <cell r="G4676"/>
          <cell r="H4676"/>
          <cell r="I4676"/>
        </row>
        <row r="4677">
          <cell r="C4677"/>
          <cell r="D4677" t="str">
            <v>de la</v>
          </cell>
          <cell r="E4677" t="str">
            <v>modification</v>
          </cell>
          <cell r="F4677"/>
          <cell r="G4677"/>
          <cell r="H4677"/>
          <cell r="I4677"/>
        </row>
        <row r="4678">
          <cell r="C4678"/>
          <cell r="D4678" t="str">
            <v>du</v>
          </cell>
          <cell r="E4678" t="str">
            <v>motif</v>
          </cell>
          <cell r="F4678" t="str">
            <v>de la</v>
          </cell>
          <cell r="G4678" t="str">
            <v>modification</v>
          </cell>
          <cell r="H4678"/>
          <cell r="I4678"/>
        </row>
        <row r="4679">
          <cell r="C4679"/>
          <cell r="D4679" t="str">
            <v>d'</v>
          </cell>
          <cell r="E4679" t="str">
            <v>effet</v>
          </cell>
          <cell r="F4679" t="str">
            <v>de la</v>
          </cell>
          <cell r="G4679" t="str">
            <v>dernière mise à jour</v>
          </cell>
          <cell r="H4679"/>
          <cell r="I4679"/>
        </row>
        <row r="4680">
          <cell r="C4680"/>
          <cell r="D4680" t="str">
            <v>d'</v>
          </cell>
          <cell r="E4680" t="str">
            <v>effet</v>
          </cell>
          <cell r="F4680" t="str">
            <v>de la</v>
          </cell>
          <cell r="G4680" t="str">
            <v>dernière mise à jour</v>
          </cell>
          <cell r="H4680"/>
          <cell r="I4680"/>
        </row>
        <row r="4681">
          <cell r="C4681"/>
          <cell r="D4681"/>
          <cell r="E4681"/>
          <cell r="F4681"/>
          <cell r="G4681"/>
          <cell r="H4681"/>
          <cell r="I4681"/>
        </row>
        <row r="4682">
          <cell r="C4682"/>
          <cell r="D4682" t="str">
            <v>de la</v>
          </cell>
          <cell r="E4682" t="str">
            <v>garantie déclenchant une rente</v>
          </cell>
          <cell r="F4682"/>
          <cell r="G4682"/>
          <cell r="H4682"/>
          <cell r="I4682"/>
        </row>
        <row r="4683">
          <cell r="C4683" t="str">
            <v>version</v>
          </cell>
          <cell r="D4683" t="str">
            <v>de la</v>
          </cell>
          <cell r="E4683" t="str">
            <v>garantie</v>
          </cell>
          <cell r="F4683"/>
          <cell r="G4683"/>
          <cell r="H4683"/>
          <cell r="I4683"/>
        </row>
        <row r="4684">
          <cell r="C4684"/>
          <cell r="D4684" t="str">
            <v>de la</v>
          </cell>
          <cell r="E4684" t="str">
            <v>couverture assurance</v>
          </cell>
          <cell r="F4684"/>
          <cell r="G4684"/>
          <cell r="H4684"/>
          <cell r="I4684"/>
        </row>
        <row r="4685">
          <cell r="C4685"/>
          <cell r="D4685" t="str">
            <v>de la</v>
          </cell>
          <cell r="E4685" t="str">
            <v>précision de couverture</v>
          </cell>
          <cell r="F4685"/>
          <cell r="G4685"/>
          <cell r="H4685"/>
          <cell r="I4685"/>
        </row>
        <row r="4686">
          <cell r="C4686"/>
          <cell r="D4686" t="str">
            <v>de l'</v>
          </cell>
          <cell r="E4686" t="str">
            <v>événement déclencheur</v>
          </cell>
          <cell r="F4686" t="str">
            <v>de la</v>
          </cell>
          <cell r="G4686" t="str">
            <v>garantie</v>
          </cell>
          <cell r="H4686"/>
          <cell r="I4686"/>
        </row>
        <row r="4687">
          <cell r="C4687"/>
          <cell r="D4687" t="str">
            <v>du</v>
          </cell>
          <cell r="E4687" t="str">
            <v>contrat</v>
          </cell>
          <cell r="F4687"/>
          <cell r="G4687"/>
          <cell r="H4687"/>
          <cell r="I4687"/>
        </row>
        <row r="4688">
          <cell r="C4688"/>
          <cell r="D4688" t="str">
            <v>de la</v>
          </cell>
          <cell r="E4688" t="str">
            <v>garantie IARD</v>
          </cell>
          <cell r="F4688"/>
          <cell r="G4688"/>
          <cell r="H4688"/>
          <cell r="I4688"/>
        </row>
        <row r="4689">
          <cell r="C4689"/>
          <cell r="D4689" t="str">
            <v>de la</v>
          </cell>
          <cell r="E4689" t="str">
            <v>garantie</v>
          </cell>
          <cell r="F4689"/>
          <cell r="G4689"/>
          <cell r="H4689"/>
          <cell r="I4689"/>
        </row>
        <row r="4690">
          <cell r="C4690"/>
          <cell r="D4690" t="str">
            <v>de la</v>
          </cell>
          <cell r="E4690" t="str">
            <v>profession</v>
          </cell>
          <cell r="F4690" t="str">
            <v>de l'</v>
          </cell>
          <cell r="G4690" t="str">
            <v>acteur</v>
          </cell>
          <cell r="H4690" t="str">
            <v>du</v>
          </cell>
          <cell r="I4690" t="str">
            <v>sinistre</v>
          </cell>
        </row>
        <row r="4691">
          <cell r="C4691"/>
          <cell r="D4691" t="str">
            <v>du</v>
          </cell>
          <cell r="E4691" t="str">
            <v>sinistre</v>
          </cell>
          <cell r="F4691"/>
          <cell r="G4691"/>
          <cell r="H4691"/>
          <cell r="I4691"/>
        </row>
        <row r="4692">
          <cell r="C4692"/>
          <cell r="D4692" t="str">
            <v>de la</v>
          </cell>
          <cell r="E4692" t="str">
            <v>garantie vie</v>
          </cell>
          <cell r="F4692"/>
          <cell r="G4692"/>
          <cell r="H4692"/>
          <cell r="I4692"/>
        </row>
        <row r="4693">
          <cell r="C4693"/>
          <cell r="D4693" t="str">
            <v>de la</v>
          </cell>
          <cell r="E4693" t="str">
            <v>garantie</v>
          </cell>
          <cell r="F4693"/>
          <cell r="G4693"/>
          <cell r="H4693"/>
          <cell r="I4693"/>
        </row>
        <row r="4694">
          <cell r="C4694" t="str">
            <v>à payer</v>
          </cell>
          <cell r="D4694" t="str">
            <v>de la</v>
          </cell>
          <cell r="E4694" t="str">
            <v>garantie vie</v>
          </cell>
          <cell r="F4694"/>
          <cell r="G4694"/>
          <cell r="H4694"/>
          <cell r="I4694"/>
        </row>
        <row r="4695">
          <cell r="C4695" t="str">
            <v>à payer</v>
          </cell>
          <cell r="D4695" t="str">
            <v>de la</v>
          </cell>
          <cell r="E4695" t="str">
            <v>garantie iard</v>
          </cell>
          <cell r="F4695"/>
          <cell r="G4695"/>
          <cell r="H4695"/>
          <cell r="I4695"/>
        </row>
        <row r="4696">
          <cell r="C4696" t="str">
            <v>à payer</v>
          </cell>
          <cell r="D4696" t="str">
            <v>de la</v>
          </cell>
          <cell r="E4696" t="str">
            <v>garantie divers iard</v>
          </cell>
          <cell r="F4696"/>
          <cell r="G4696"/>
          <cell r="H4696"/>
          <cell r="I4696"/>
        </row>
        <row r="4697">
          <cell r="C4697" t="str">
            <v>à payer</v>
          </cell>
          <cell r="D4697" t="str">
            <v>de la</v>
          </cell>
          <cell r="E4697" t="str">
            <v>garantie divers vie</v>
          </cell>
          <cell r="F4697"/>
          <cell r="G4697"/>
          <cell r="H4697"/>
          <cell r="I4697"/>
        </row>
        <row r="4698">
          <cell r="C4698" t="str">
            <v>jour</v>
          </cell>
          <cell r="D4698" t="str">
            <v>pour</v>
          </cell>
          <cell r="E4698" t="str">
            <v>anticiper</v>
          </cell>
          <cell r="F4698" t="str">
            <v>le</v>
          </cell>
          <cell r="G4698" t="str">
            <v>traitement de prolongation</v>
          </cell>
          <cell r="H4698" t="str">
            <v xml:space="preserve"> </v>
          </cell>
          <cell r="I4698"/>
        </row>
        <row r="4699">
          <cell r="C4699"/>
          <cell r="D4699" t="str">
            <v>du</v>
          </cell>
          <cell r="E4699" t="str">
            <v>plafond sas</v>
          </cell>
          <cell r="F4699"/>
          <cell r="G4699"/>
          <cell r="H4699"/>
          <cell r="I4699"/>
        </row>
        <row r="4700">
          <cell r="C4700"/>
          <cell r="D4700" t="str">
            <v>du</v>
          </cell>
          <cell r="E4700" t="str">
            <v>plafond sas</v>
          </cell>
          <cell r="F4700"/>
          <cell r="G4700"/>
          <cell r="H4700"/>
          <cell r="I4700"/>
        </row>
        <row r="4701">
          <cell r="C4701"/>
          <cell r="D4701" t="str">
            <v>du</v>
          </cell>
          <cell r="E4701" t="str">
            <v>plafond sas</v>
          </cell>
          <cell r="F4701"/>
          <cell r="G4701"/>
          <cell r="H4701"/>
          <cell r="I4701"/>
        </row>
        <row r="4702">
          <cell r="C4702"/>
          <cell r="D4702" t="str">
            <v>du</v>
          </cell>
          <cell r="E4702" t="str">
            <v>plafond sas</v>
          </cell>
          <cell r="F4702"/>
          <cell r="G4702"/>
          <cell r="H4702"/>
          <cell r="I4702"/>
        </row>
        <row r="4703">
          <cell r="C4703"/>
          <cell r="D4703" t="str">
            <v>du</v>
          </cell>
          <cell r="E4703" t="str">
            <v>site d'origine</v>
          </cell>
          <cell r="F4703" t="str">
            <v>de la</v>
          </cell>
          <cell r="G4703" t="str">
            <v>donnée</v>
          </cell>
          <cell r="H4703"/>
          <cell r="I4703"/>
        </row>
        <row r="4704">
          <cell r="C4704"/>
          <cell r="D4704" t="str">
            <v>de la</v>
          </cell>
          <cell r="E4704" t="str">
            <v>fédération</v>
          </cell>
          <cell r="F4704"/>
          <cell r="G4704"/>
          <cell r="H4704"/>
          <cell r="I4704"/>
        </row>
        <row r="4705">
          <cell r="C4705"/>
          <cell r="D4705" t="str">
            <v>du</v>
          </cell>
          <cell r="E4705" t="str">
            <v>type</v>
          </cell>
          <cell r="F4705" t="str">
            <v>de</v>
          </cell>
          <cell r="G4705" t="str">
            <v>plafond sas</v>
          </cell>
          <cell r="H4705"/>
          <cell r="I4705"/>
        </row>
        <row r="4706">
          <cell r="C4706"/>
          <cell r="D4706" t="str">
            <v>du</v>
          </cell>
          <cell r="E4706" t="str">
            <v>produit d'assurance</v>
          </cell>
          <cell r="F4706"/>
          <cell r="G4706"/>
          <cell r="H4706"/>
          <cell r="I4706"/>
        </row>
        <row r="4707">
          <cell r="C4707"/>
          <cell r="D4707" t="str">
            <v>d'</v>
          </cell>
          <cell r="E4707" t="str">
            <v>effet</v>
          </cell>
          <cell r="F4707" t="str">
            <v>du</v>
          </cell>
          <cell r="G4707" t="str">
            <v>plafond sas</v>
          </cell>
          <cell r="H4707"/>
          <cell r="I4707"/>
        </row>
        <row r="4708">
          <cell r="C4708"/>
          <cell r="D4708" t="str">
            <v>d'</v>
          </cell>
          <cell r="E4708" t="str">
            <v>effet</v>
          </cell>
          <cell r="F4708" t="str">
            <v>du</v>
          </cell>
          <cell r="G4708" t="str">
            <v>plafond sas</v>
          </cell>
          <cell r="H4708"/>
          <cell r="I4708"/>
        </row>
        <row r="4709">
          <cell r="C4709"/>
          <cell r="D4709" t="str">
            <v>du</v>
          </cell>
          <cell r="E4709" t="str">
            <v>produit d'assurance</v>
          </cell>
          <cell r="F4709"/>
          <cell r="G4709"/>
          <cell r="H4709"/>
          <cell r="I4709"/>
        </row>
        <row r="4710">
          <cell r="C4710" t="str">
            <v>nature</v>
          </cell>
          <cell r="D4710" t="str">
            <v>du</v>
          </cell>
          <cell r="E4710" t="str">
            <v>plafond sas</v>
          </cell>
          <cell r="F4710"/>
          <cell r="G4710"/>
          <cell r="H4710"/>
          <cell r="I4710"/>
        </row>
        <row r="4711">
          <cell r="C4711"/>
          <cell r="D4711" t="str">
            <v>de la</v>
          </cell>
          <cell r="E4711" t="str">
            <v>devise</v>
          </cell>
          <cell r="F4711"/>
          <cell r="G4711"/>
          <cell r="H4711"/>
          <cell r="I4711"/>
        </row>
        <row r="4712">
          <cell r="C4712" t="str">
            <v>limite</v>
          </cell>
          <cell r="D4712" t="str">
            <v>du</v>
          </cell>
          <cell r="E4712" t="str">
            <v>plafond sas</v>
          </cell>
          <cell r="F4712"/>
          <cell r="G4712"/>
          <cell r="H4712"/>
          <cell r="I4712"/>
        </row>
        <row r="4713">
          <cell r="C4713" t="str">
            <v>appliqué</v>
          </cell>
          <cell r="D4713" t="str">
            <v>du</v>
          </cell>
          <cell r="E4713" t="str">
            <v>plafond sas</v>
          </cell>
          <cell r="F4713"/>
          <cell r="G4713"/>
          <cell r="H4713"/>
          <cell r="I4713"/>
        </row>
        <row r="4714">
          <cell r="C4714"/>
          <cell r="D4714" t="str">
            <v>du</v>
          </cell>
          <cell r="E4714" t="str">
            <v>coefficient multiplicateur</v>
          </cell>
          <cell r="F4714" t="str">
            <v>du</v>
          </cell>
          <cell r="G4714" t="str">
            <v>plafond sas</v>
          </cell>
          <cell r="H4714"/>
          <cell r="I4714"/>
        </row>
        <row r="4715">
          <cell r="C4715" t="str">
            <v>limite</v>
          </cell>
          <cell r="D4715" t="str">
            <v>du</v>
          </cell>
          <cell r="E4715" t="str">
            <v>plafond sas</v>
          </cell>
          <cell r="F4715"/>
          <cell r="G4715"/>
          <cell r="H4715"/>
          <cell r="I4715"/>
        </row>
        <row r="4716">
          <cell r="C4716" t="str">
            <v>appliqué</v>
          </cell>
          <cell r="D4716" t="str">
            <v>du</v>
          </cell>
          <cell r="E4716" t="str">
            <v>plafond sas</v>
          </cell>
          <cell r="F4716"/>
          <cell r="G4716"/>
          <cell r="H4716"/>
          <cell r="I4716"/>
        </row>
        <row r="4717">
          <cell r="C4717"/>
          <cell r="D4717" t="str">
            <v>de l'</v>
          </cell>
          <cell r="E4717" t="str">
            <v>organisme SAS</v>
          </cell>
          <cell r="F4717"/>
          <cell r="G4717"/>
          <cell r="H4717"/>
          <cell r="I4717"/>
        </row>
        <row r="4718">
          <cell r="C4718"/>
          <cell r="D4718" t="str">
            <v>de la</v>
          </cell>
          <cell r="E4718" t="str">
            <v>fédération</v>
          </cell>
          <cell r="F4718" t="str">
            <v>pour le</v>
          </cell>
          <cell r="G4718" t="str">
            <v>périmètre géographique</v>
          </cell>
          <cell r="H4718"/>
          <cell r="I4718"/>
        </row>
        <row r="4719">
          <cell r="C4719"/>
          <cell r="D4719" t="str">
            <v>de la</v>
          </cell>
          <cell r="E4719" t="str">
            <v>banque</v>
          </cell>
          <cell r="F4719" t="str">
            <v>pour le</v>
          </cell>
          <cell r="G4719" t="str">
            <v>périmètre géographique</v>
          </cell>
          <cell r="H4719"/>
          <cell r="I4719"/>
        </row>
        <row r="4720">
          <cell r="C4720"/>
          <cell r="D4720" t="str">
            <v>du</v>
          </cell>
          <cell r="E4720" t="str">
            <v>guichet de l'établissement</v>
          </cell>
          <cell r="F4720" t="str">
            <v>pour le</v>
          </cell>
          <cell r="G4720" t="str">
            <v>périmètre géographique</v>
          </cell>
          <cell r="H4720"/>
          <cell r="I4720"/>
        </row>
        <row r="4721">
          <cell r="C4721"/>
          <cell r="D4721" t="str">
            <v>de l'</v>
          </cell>
          <cell r="E4721" t="str">
            <v>utilisation des bip</v>
          </cell>
          <cell r="F4721"/>
          <cell r="G4721"/>
          <cell r="H4721"/>
          <cell r="I4721"/>
        </row>
        <row r="4722">
          <cell r="C4722"/>
          <cell r="D4722" t="str">
            <v>de l'</v>
          </cell>
          <cell r="E4722" t="str">
            <v>utilisation des bip</v>
          </cell>
          <cell r="F4722"/>
          <cell r="G4722"/>
          <cell r="H4722"/>
          <cell r="I4722"/>
        </row>
        <row r="4723">
          <cell r="C4723"/>
          <cell r="D4723" t="str">
            <v>de l'</v>
          </cell>
          <cell r="E4723" t="str">
            <v>utilisation des bip</v>
          </cell>
          <cell r="F4723"/>
          <cell r="G4723"/>
          <cell r="H4723"/>
          <cell r="I4723"/>
        </row>
        <row r="4724">
          <cell r="C4724"/>
          <cell r="D4724" t="str">
            <v>de l'</v>
          </cell>
          <cell r="E4724" t="str">
            <v>utilisation des bip</v>
          </cell>
          <cell r="F4724"/>
          <cell r="G4724"/>
          <cell r="H4724"/>
          <cell r="I4724"/>
        </row>
        <row r="4725">
          <cell r="C4725"/>
          <cell r="D4725" t="str">
            <v>de la</v>
          </cell>
          <cell r="E4725" t="str">
            <v>carte bip</v>
          </cell>
          <cell r="F4725"/>
          <cell r="G4725"/>
          <cell r="H4725"/>
          <cell r="I4725"/>
        </row>
        <row r="4726">
          <cell r="C4726"/>
          <cell r="D4726" t="str">
            <v>du</v>
          </cell>
          <cell r="E4726" t="str">
            <v>code d'accès</v>
          </cell>
          <cell r="F4726"/>
          <cell r="G4726"/>
          <cell r="H4726"/>
          <cell r="I4726"/>
        </row>
        <row r="4727">
          <cell r="C4727" t="str">
            <v>sas</v>
          </cell>
          <cell r="D4727" t="str">
            <v>de la</v>
          </cell>
          <cell r="E4727" t="str">
            <v>carte bip</v>
          </cell>
          <cell r="F4727"/>
          <cell r="G4727"/>
          <cell r="H4727"/>
          <cell r="I4727"/>
        </row>
        <row r="4728">
          <cell r="C4728" t="str">
            <v>première utilisation</v>
          </cell>
          <cell r="D4728" t="str">
            <v>de la</v>
          </cell>
          <cell r="E4728" t="str">
            <v>carte bip</v>
          </cell>
          <cell r="F4728"/>
          <cell r="G4728"/>
          <cell r="H4728"/>
          <cell r="I4728"/>
        </row>
        <row r="4729">
          <cell r="C4729" t="str">
            <v>première utilisation</v>
          </cell>
          <cell r="D4729" t="str">
            <v>de la</v>
          </cell>
          <cell r="E4729" t="str">
            <v>carte bip</v>
          </cell>
          <cell r="F4729"/>
          <cell r="G4729"/>
          <cell r="H4729"/>
          <cell r="I4729"/>
        </row>
        <row r="4730">
          <cell r="C4730" t="str">
            <v>dernière utilisation</v>
          </cell>
          <cell r="D4730" t="str">
            <v>de la</v>
          </cell>
          <cell r="E4730" t="str">
            <v>carte bip</v>
          </cell>
          <cell r="F4730"/>
          <cell r="G4730"/>
          <cell r="H4730"/>
          <cell r="I4730"/>
        </row>
        <row r="4731">
          <cell r="C4731" t="str">
            <v>dernière utilisation</v>
          </cell>
          <cell r="D4731" t="str">
            <v>de la</v>
          </cell>
          <cell r="E4731" t="str">
            <v>carte bip</v>
          </cell>
          <cell r="F4731"/>
          <cell r="G4731"/>
          <cell r="H4731"/>
          <cell r="I4731"/>
        </row>
        <row r="4732">
          <cell r="C4732"/>
          <cell r="D4732" t="str">
            <v>du</v>
          </cell>
          <cell r="E4732" t="str">
            <v>plafond sas</v>
          </cell>
          <cell r="F4732"/>
          <cell r="G4732"/>
          <cell r="H4732"/>
          <cell r="I4732"/>
        </row>
        <row r="4733">
          <cell r="C4733"/>
          <cell r="D4733" t="str">
            <v>du</v>
          </cell>
          <cell r="E4733" t="str">
            <v>code d'accès</v>
          </cell>
          <cell r="F4733"/>
          <cell r="G4733"/>
          <cell r="H4733"/>
          <cell r="I4733"/>
        </row>
        <row r="4734">
          <cell r="C4734"/>
          <cell r="D4734" t="str">
            <v>de l'</v>
          </cell>
          <cell r="E4734" t="str">
            <v>Entité gestionnaire</v>
          </cell>
          <cell r="F4734"/>
          <cell r="G4734"/>
          <cell r="H4734"/>
          <cell r="I4734"/>
        </row>
        <row r="4735">
          <cell r="C4735"/>
          <cell r="D4735" t="str">
            <v>du</v>
          </cell>
          <cell r="E4735" t="str">
            <v>regroupement</v>
          </cell>
          <cell r="F4735" t="str">
            <v>des</v>
          </cell>
          <cell r="G4735" t="str">
            <v>code sas</v>
          </cell>
          <cell r="H4735"/>
          <cell r="I4735"/>
        </row>
        <row r="4736">
          <cell r="C4736" t="str">
            <v>dernier</v>
          </cell>
          <cell r="D4736" t="str">
            <v>de l'</v>
          </cell>
          <cell r="E4736" t="str">
            <v>ordinateur</v>
          </cell>
          <cell r="F4736"/>
          <cell r="G4736"/>
          <cell r="H4736"/>
          <cell r="I4736"/>
        </row>
        <row r="4737">
          <cell r="C4737"/>
          <cell r="D4737" t="str">
            <v>de la</v>
          </cell>
          <cell r="E4737" t="str">
            <v>source applicative</v>
          </cell>
          <cell r="F4737"/>
          <cell r="G4737"/>
          <cell r="H4737"/>
          <cell r="I4737"/>
        </row>
        <row r="4738">
          <cell r="C4738"/>
          <cell r="D4738" t="str">
            <v>de la</v>
          </cell>
          <cell r="E4738" t="str">
            <v>communauté SAS</v>
          </cell>
          <cell r="F4738"/>
          <cell r="G4738"/>
          <cell r="H4738"/>
          <cell r="I4738"/>
        </row>
        <row r="4739">
          <cell r="C4739"/>
          <cell r="D4739" t="str">
            <v>de la</v>
          </cell>
          <cell r="E4739" t="str">
            <v>communauté SAS</v>
          </cell>
          <cell r="F4739"/>
          <cell r="G4739"/>
          <cell r="H4739"/>
          <cell r="I4739"/>
        </row>
        <row r="4740">
          <cell r="C4740"/>
          <cell r="D4740" t="str">
            <v>de la</v>
          </cell>
          <cell r="E4740" t="str">
            <v>communauté SAS</v>
          </cell>
          <cell r="F4740"/>
          <cell r="G4740"/>
          <cell r="H4740"/>
          <cell r="I4740"/>
        </row>
        <row r="4741">
          <cell r="C4741"/>
          <cell r="D4741" t="str">
            <v>de la</v>
          </cell>
          <cell r="E4741" t="str">
            <v>communauté SAS</v>
          </cell>
          <cell r="F4741"/>
          <cell r="G4741"/>
          <cell r="H4741"/>
          <cell r="I4741"/>
        </row>
        <row r="4742">
          <cell r="C4742"/>
          <cell r="D4742" t="str">
            <v>d'</v>
          </cell>
          <cell r="E4742" t="str">
            <v>effet</v>
          </cell>
          <cell r="F4742" t="str">
            <v>du</v>
          </cell>
          <cell r="G4742" t="str">
            <v>code d'accès</v>
          </cell>
          <cell r="H4742"/>
          <cell r="I4742"/>
        </row>
        <row r="4743">
          <cell r="C4743"/>
          <cell r="D4743" t="str">
            <v>d'</v>
          </cell>
          <cell r="E4743" t="str">
            <v>effet</v>
          </cell>
          <cell r="F4743" t="str">
            <v>du</v>
          </cell>
          <cell r="G4743" t="str">
            <v>code d'accès</v>
          </cell>
          <cell r="H4743"/>
          <cell r="I4743"/>
        </row>
        <row r="4744">
          <cell r="C4744"/>
          <cell r="D4744" t="str">
            <v>du</v>
          </cell>
          <cell r="E4744" t="str">
            <v>service responsable</v>
          </cell>
          <cell r="F4744"/>
          <cell r="G4744"/>
          <cell r="H4744"/>
          <cell r="I4744"/>
        </row>
        <row r="4745">
          <cell r="C4745"/>
          <cell r="D4745" t="str">
            <v>de la</v>
          </cell>
          <cell r="E4745" t="str">
            <v>facturation</v>
          </cell>
          <cell r="F4745"/>
          <cell r="G4745"/>
          <cell r="H4745"/>
          <cell r="I4745"/>
        </row>
        <row r="4746">
          <cell r="C4746"/>
          <cell r="D4746" t="str">
            <v>de l'</v>
          </cell>
          <cell r="E4746" t="str">
            <v>ordinateur</v>
          </cell>
          <cell r="F4746"/>
          <cell r="G4746"/>
          <cell r="H4746"/>
          <cell r="I4746"/>
        </row>
        <row r="4747">
          <cell r="C4747"/>
          <cell r="D4747" t="str">
            <v>de l'</v>
          </cell>
          <cell r="E4747" t="str">
            <v>application</v>
          </cell>
          <cell r="F4747" t="str">
            <v>de</v>
          </cell>
          <cell r="G4747" t="str">
            <v>connexion</v>
          </cell>
          <cell r="H4747"/>
          <cell r="I4747"/>
        </row>
        <row r="4748">
          <cell r="C4748" t="str">
            <v>téléphone</v>
          </cell>
          <cell r="D4748" t="str">
            <v>du</v>
          </cell>
          <cell r="E4748" t="str">
            <v>code d'accès</v>
          </cell>
          <cell r="F4748"/>
          <cell r="G4748"/>
          <cell r="H4748"/>
          <cell r="I4748"/>
        </row>
        <row r="4749">
          <cell r="C4749"/>
          <cell r="D4749" t="str">
            <v>de la</v>
          </cell>
          <cell r="E4749" t="str">
            <v>responsabilité</v>
          </cell>
          <cell r="F4749" t="str">
            <v>de la</v>
          </cell>
          <cell r="G4749" t="str">
            <v>personne</v>
          </cell>
          <cell r="H4749"/>
          <cell r="I4749"/>
        </row>
        <row r="4750">
          <cell r="C4750"/>
          <cell r="D4750" t="str">
            <v>de la</v>
          </cell>
          <cell r="E4750" t="str">
            <v>localisation</v>
          </cell>
          <cell r="F4750" t="str">
            <v>de la</v>
          </cell>
          <cell r="G4750" t="str">
            <v>personne</v>
          </cell>
          <cell r="H4750"/>
          <cell r="I4750"/>
        </row>
        <row r="4751">
          <cell r="C4751"/>
          <cell r="D4751" t="str">
            <v>du</v>
          </cell>
          <cell r="E4751" t="str">
            <v>niveau</v>
          </cell>
          <cell r="F4751" t="str">
            <v>du</v>
          </cell>
          <cell r="G4751" t="str">
            <v>administrateur mot de passe</v>
          </cell>
          <cell r="H4751"/>
          <cell r="I4751"/>
        </row>
        <row r="4752">
          <cell r="C4752"/>
          <cell r="D4752"/>
          <cell r="E4752"/>
          <cell r="F4752"/>
          <cell r="G4752"/>
          <cell r="H4752"/>
          <cell r="I4752"/>
        </row>
        <row r="4753">
          <cell r="C4753"/>
          <cell r="D4753"/>
          <cell r="E4753"/>
          <cell r="F4753"/>
          <cell r="G4753"/>
          <cell r="H4753"/>
          <cell r="I4753"/>
        </row>
        <row r="4754">
          <cell r="C4754"/>
          <cell r="D4754" t="str">
            <v>des</v>
          </cell>
          <cell r="E4754" t="str">
            <v>événements LSRH des employés</v>
          </cell>
          <cell r="F4754"/>
          <cell r="G4754"/>
          <cell r="H4754"/>
          <cell r="I4754"/>
        </row>
        <row r="4755">
          <cell r="C4755"/>
          <cell r="D4755" t="str">
            <v>des</v>
          </cell>
          <cell r="E4755" t="str">
            <v>événements LSRH des employés</v>
          </cell>
          <cell r="F4755"/>
          <cell r="G4755"/>
          <cell r="H4755"/>
          <cell r="I4755"/>
        </row>
        <row r="4756">
          <cell r="C4756"/>
          <cell r="D4756" t="str">
            <v>des</v>
          </cell>
          <cell r="E4756" t="str">
            <v>événements LSRH des employés</v>
          </cell>
          <cell r="F4756"/>
          <cell r="G4756"/>
          <cell r="H4756"/>
          <cell r="I4756"/>
        </row>
        <row r="4757">
          <cell r="C4757" t="str">
            <v>dernière image</v>
          </cell>
          <cell r="D4757" t="str">
            <v>des</v>
          </cell>
          <cell r="E4757" t="str">
            <v>événements LSRH des employés</v>
          </cell>
          <cell r="F4757"/>
          <cell r="G4757"/>
          <cell r="H4757"/>
          <cell r="I4757"/>
        </row>
        <row r="4758">
          <cell r="C4758"/>
          <cell r="D4758" t="str">
            <v>de l'</v>
          </cell>
          <cell r="E4758" t="str">
            <v>employé</v>
          </cell>
          <cell r="F4758"/>
          <cell r="G4758"/>
          <cell r="H4758"/>
          <cell r="I4758"/>
        </row>
        <row r="4759">
          <cell r="C4759"/>
          <cell r="D4759" t="str">
            <v>de l'</v>
          </cell>
          <cell r="E4759" t="str">
            <v>employé</v>
          </cell>
          <cell r="F4759"/>
          <cell r="G4759"/>
          <cell r="H4759"/>
          <cell r="I4759"/>
        </row>
        <row r="4760">
          <cell r="C4760"/>
          <cell r="D4760" t="str">
            <v>de l'</v>
          </cell>
          <cell r="E4760" t="str">
            <v>employé</v>
          </cell>
          <cell r="F4760"/>
          <cell r="G4760"/>
          <cell r="H4760"/>
          <cell r="I4760"/>
        </row>
        <row r="4761">
          <cell r="C4761"/>
          <cell r="D4761" t="str">
            <v>de l'</v>
          </cell>
          <cell r="E4761" t="str">
            <v>employé</v>
          </cell>
          <cell r="F4761"/>
          <cell r="G4761"/>
          <cell r="H4761"/>
          <cell r="I4761"/>
        </row>
        <row r="4762">
          <cell r="C4762"/>
          <cell r="D4762" t="str">
            <v>de l'</v>
          </cell>
          <cell r="E4762" t="str">
            <v>employé</v>
          </cell>
          <cell r="F4762"/>
          <cell r="G4762"/>
          <cell r="H4762"/>
          <cell r="I4762"/>
        </row>
        <row r="4763">
          <cell r="C4763"/>
          <cell r="D4763" t="str">
            <v>de l'</v>
          </cell>
          <cell r="E4763" t="str">
            <v>employé</v>
          </cell>
          <cell r="F4763"/>
          <cell r="G4763"/>
          <cell r="H4763"/>
          <cell r="I4763"/>
        </row>
        <row r="4764">
          <cell r="C4764"/>
          <cell r="D4764" t="str">
            <v>des</v>
          </cell>
          <cell r="E4764" t="str">
            <v>événements LSRH des employés</v>
          </cell>
          <cell r="F4764"/>
          <cell r="G4764"/>
          <cell r="H4764"/>
          <cell r="I4764"/>
        </row>
        <row r="4765">
          <cell r="C4765"/>
          <cell r="D4765" t="str">
            <v>des</v>
          </cell>
          <cell r="E4765" t="str">
            <v>événements LSRH des employés</v>
          </cell>
          <cell r="F4765"/>
          <cell r="G4765"/>
          <cell r="H4765"/>
          <cell r="I4765"/>
        </row>
        <row r="4766">
          <cell r="C4766"/>
          <cell r="D4766" t="str">
            <v>des</v>
          </cell>
          <cell r="E4766" t="str">
            <v>événements LSRH des employés</v>
          </cell>
          <cell r="F4766"/>
          <cell r="G4766"/>
          <cell r="H4766"/>
          <cell r="I4766"/>
        </row>
        <row r="4767">
          <cell r="C4767"/>
          <cell r="D4767" t="str">
            <v>du</v>
          </cell>
          <cell r="E4767" t="str">
            <v>jour</v>
          </cell>
          <cell r="F4767"/>
          <cell r="G4767"/>
          <cell r="H4767"/>
          <cell r="I4767"/>
        </row>
        <row r="4768">
          <cell r="C4768" t="str">
            <v>absence</v>
          </cell>
          <cell r="D4768" t="str">
            <v xml:space="preserve"> </v>
          </cell>
          <cell r="E4768" t="str">
            <v>matin</v>
          </cell>
          <cell r="F4768" t="str">
            <v>du</v>
          </cell>
          <cell r="G4768" t="str">
            <v>jour</v>
          </cell>
          <cell r="H4768"/>
          <cell r="I4768"/>
        </row>
        <row r="4769">
          <cell r="C4769" t="str">
            <v>absence</v>
          </cell>
          <cell r="D4769" t="str">
            <v xml:space="preserve"> </v>
          </cell>
          <cell r="E4769" t="str">
            <v>après-midi</v>
          </cell>
          <cell r="F4769" t="str">
            <v>du</v>
          </cell>
          <cell r="G4769" t="str">
            <v>jour</v>
          </cell>
          <cell r="H4769"/>
          <cell r="I4769"/>
        </row>
        <row r="4770">
          <cell r="C4770"/>
          <cell r="D4770" t="str">
            <v>de l'</v>
          </cell>
          <cell r="E4770" t="str">
            <v>utilisateur</v>
          </cell>
          <cell r="F4770" t="str">
            <v>de la</v>
          </cell>
          <cell r="G4770" t="str">
            <v>dernière mise à jour</v>
          </cell>
          <cell r="H4770"/>
          <cell r="I4770"/>
        </row>
        <row r="4771">
          <cell r="C4771"/>
          <cell r="D4771" t="str">
            <v>de la</v>
          </cell>
          <cell r="E4771" t="str">
            <v>dernière mise à jour</v>
          </cell>
          <cell r="F4771"/>
          <cell r="G4771"/>
          <cell r="H4771"/>
          <cell r="I4771"/>
        </row>
        <row r="4772">
          <cell r="C4772" t="str">
            <v>théorique</v>
          </cell>
          <cell r="D4772" t="str">
            <v>du</v>
          </cell>
          <cell r="E4772" t="str">
            <v>jour</v>
          </cell>
          <cell r="F4772"/>
          <cell r="G4772"/>
          <cell r="H4772"/>
          <cell r="I4772"/>
        </row>
        <row r="4773">
          <cell r="C4773"/>
          <cell r="D4773" t="str">
            <v>des</v>
          </cell>
          <cell r="E4773" t="str">
            <v>comptes et habilitations des collaborateurs</v>
          </cell>
          <cell r="F4773"/>
          <cell r="G4773"/>
          <cell r="H4773"/>
          <cell r="I4773"/>
        </row>
        <row r="4774">
          <cell r="C4774"/>
          <cell r="D4774" t="str">
            <v>des</v>
          </cell>
          <cell r="E4774" t="str">
            <v>comptes et habilitations des collaborateurs</v>
          </cell>
          <cell r="F4774"/>
          <cell r="G4774"/>
          <cell r="H4774"/>
          <cell r="I4774"/>
        </row>
        <row r="4775">
          <cell r="C4775"/>
          <cell r="D4775" t="str">
            <v>des</v>
          </cell>
          <cell r="E4775" t="str">
            <v>comptes et habilitations des collaborateurs</v>
          </cell>
          <cell r="F4775"/>
          <cell r="G4775"/>
          <cell r="H4775"/>
          <cell r="I4775"/>
        </row>
        <row r="4776">
          <cell r="C4776" t="str">
            <v>dernière image</v>
          </cell>
          <cell r="D4776" t="str">
            <v>des</v>
          </cell>
          <cell r="E4776" t="str">
            <v>comptes et habilitations des collaborateurs</v>
          </cell>
          <cell r="F4776"/>
          <cell r="G4776"/>
          <cell r="H4776"/>
          <cell r="I4776"/>
        </row>
        <row r="4777">
          <cell r="C4777"/>
          <cell r="D4777" t="str">
            <v>du</v>
          </cell>
          <cell r="E4777" t="str">
            <v>site d'origine</v>
          </cell>
          <cell r="F4777"/>
          <cell r="G4777"/>
          <cell r="H4777"/>
          <cell r="I4777"/>
        </row>
        <row r="4778">
          <cell r="C4778" t="str">
            <v>relation</v>
          </cell>
          <cell r="D4778" t="str">
            <v>entre</v>
          </cell>
          <cell r="E4778" t="str">
            <v>compte</v>
          </cell>
          <cell r="F4778" t="str">
            <v>et</v>
          </cell>
          <cell r="G4778" t="str">
            <v>utilisateur</v>
          </cell>
          <cell r="H4778"/>
          <cell r="I4778"/>
        </row>
        <row r="4779">
          <cell r="C4779" t="str">
            <v>relation</v>
          </cell>
          <cell r="D4779" t="str">
            <v>entre</v>
          </cell>
          <cell r="E4779" t="str">
            <v>compte</v>
          </cell>
          <cell r="F4779" t="str">
            <v>et</v>
          </cell>
          <cell r="G4779" t="str">
            <v>utilisateur</v>
          </cell>
          <cell r="H4779"/>
          <cell r="I4779"/>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C4782"/>
          <cell r="D4782" t="str">
            <v>de l'</v>
          </cell>
          <cell r="E4782" t="str">
            <v>utilisateur</v>
          </cell>
          <cell r="F4782"/>
          <cell r="G4782"/>
          <cell r="H4782"/>
          <cell r="I4782"/>
        </row>
        <row r="4783">
          <cell r="C4783"/>
          <cell r="D4783" t="str">
            <v xml:space="preserve"> </v>
          </cell>
          <cell r="E4783" t="str">
            <v>GRG</v>
          </cell>
          <cell r="F4783" t="str">
            <v>de l'</v>
          </cell>
          <cell r="G4783" t="str">
            <v>utilisateur</v>
          </cell>
          <cell r="H4783"/>
          <cell r="I4783"/>
        </row>
        <row r="4784">
          <cell r="C4784"/>
          <cell r="D4784" t="str">
            <v>de l'</v>
          </cell>
          <cell r="E4784" t="str">
            <v>utilisateur</v>
          </cell>
          <cell r="F4784"/>
          <cell r="G4784"/>
          <cell r="H4784"/>
          <cell r="I4784"/>
        </row>
        <row r="4785">
          <cell r="C4785"/>
          <cell r="D4785" t="str">
            <v>de l'</v>
          </cell>
          <cell r="E4785" t="str">
            <v>utilisateur</v>
          </cell>
          <cell r="F4785"/>
          <cell r="G4785"/>
          <cell r="H4785"/>
          <cell r="I4785"/>
        </row>
        <row r="4786">
          <cell r="C4786" t="str">
            <v>état</v>
          </cell>
          <cell r="D4786" t="str">
            <v>de l'</v>
          </cell>
          <cell r="E4786" t="str">
            <v>utilisateur</v>
          </cell>
          <cell r="F4786"/>
          <cell r="G4786"/>
          <cell r="H4786"/>
          <cell r="I4786"/>
        </row>
        <row r="4787">
          <cell r="C4787"/>
          <cell r="D4787" t="str">
            <v xml:space="preserve"> </v>
          </cell>
          <cell r="E4787" t="str">
            <v>suspension de l'utilisateur</v>
          </cell>
          <cell r="F4787"/>
          <cell r="G4787"/>
          <cell r="H4787"/>
          <cell r="I4787"/>
        </row>
        <row r="4788">
          <cell r="C4788"/>
          <cell r="D4788" t="str">
            <v xml:space="preserve"> </v>
          </cell>
          <cell r="E4788" t="str">
            <v>invariant</v>
          </cell>
          <cell r="F4788"/>
          <cell r="G4788"/>
          <cell r="H4788"/>
          <cell r="I4788"/>
        </row>
        <row r="4789">
          <cell r="C4789"/>
          <cell r="D4789" t="str">
            <v>du</v>
          </cell>
          <cell r="E4789" t="str">
            <v>PVA employeur</v>
          </cell>
          <cell r="F4789"/>
          <cell r="G4789"/>
          <cell r="H4789"/>
          <cell r="I4789"/>
        </row>
        <row r="4790">
          <cell r="C4790"/>
          <cell r="D4790" t="str">
            <v>du</v>
          </cell>
          <cell r="E4790" t="str">
            <v>compte HIP</v>
          </cell>
          <cell r="F4790"/>
          <cell r="G4790"/>
          <cell r="H4790"/>
          <cell r="I4790"/>
        </row>
        <row r="4791">
          <cell r="C4791"/>
          <cell r="D4791" t="str">
            <v xml:space="preserve"> </v>
          </cell>
          <cell r="E4791" t="str">
            <v>BAL interne</v>
          </cell>
          <cell r="F4791"/>
          <cell r="G4791"/>
          <cell r="H4791"/>
          <cell r="I4791"/>
        </row>
        <row r="4792">
          <cell r="C4792"/>
          <cell r="D4792" t="str">
            <v>du</v>
          </cell>
          <cell r="E4792" t="str">
            <v>mode de connexion</v>
          </cell>
          <cell r="F4792"/>
          <cell r="G4792"/>
          <cell r="H4792"/>
          <cell r="I4792"/>
        </row>
        <row r="4793">
          <cell r="C4793"/>
          <cell r="D4793" t="str">
            <v>du</v>
          </cell>
          <cell r="E4793" t="str">
            <v>mode de connexion</v>
          </cell>
          <cell r="F4793"/>
          <cell r="G4793"/>
          <cell r="H4793"/>
          <cell r="I4793"/>
        </row>
        <row r="4794">
          <cell r="C4794"/>
          <cell r="D4794" t="str">
            <v>de la</v>
          </cell>
          <cell r="E4794" t="str">
            <v>localisation géographique</v>
          </cell>
          <cell r="F4794"/>
          <cell r="G4794"/>
          <cell r="H4794"/>
          <cell r="I4794"/>
        </row>
        <row r="4795">
          <cell r="C4795" t="str">
            <v>téléphone professionnel</v>
          </cell>
          <cell r="D4795" t="str">
            <v>de l'</v>
          </cell>
          <cell r="E4795" t="str">
            <v>utilisateur</v>
          </cell>
          <cell r="F4795"/>
          <cell r="G4795"/>
          <cell r="H4795"/>
          <cell r="I4795"/>
        </row>
        <row r="4796">
          <cell r="C4796" t="str">
            <v>principal</v>
          </cell>
          <cell r="D4796" t="str">
            <v>de l'</v>
          </cell>
          <cell r="E4796" t="str">
            <v>utilisateur</v>
          </cell>
          <cell r="F4796"/>
          <cell r="G4796"/>
          <cell r="H4796"/>
          <cell r="I4796"/>
        </row>
        <row r="4797">
          <cell r="C4797" t="str">
            <v>qualité</v>
          </cell>
          <cell r="D4797" t="str">
            <v>de l'</v>
          </cell>
          <cell r="E4797" t="str">
            <v>utilisateur</v>
          </cell>
          <cell r="F4797"/>
          <cell r="G4797"/>
          <cell r="H4797"/>
          <cell r="I4797"/>
        </row>
        <row r="4798">
          <cell r="C4798" t="str">
            <v>qualité</v>
          </cell>
          <cell r="D4798" t="str">
            <v>de l'</v>
          </cell>
          <cell r="E4798" t="str">
            <v>utilisateur</v>
          </cell>
          <cell r="F4798"/>
          <cell r="G4798"/>
          <cell r="H4798"/>
          <cell r="I4798"/>
        </row>
        <row r="4799">
          <cell r="C4799"/>
          <cell r="D4799" t="str">
            <v>de la</v>
          </cell>
          <cell r="E4799" t="str">
            <v>section</v>
          </cell>
          <cell r="F4799"/>
          <cell r="G4799"/>
          <cell r="H4799"/>
          <cell r="I4799"/>
        </row>
        <row r="4800">
          <cell r="C4800"/>
          <cell r="D4800" t="str">
            <v>du</v>
          </cell>
          <cell r="E4800" t="str">
            <v>compte</v>
          </cell>
          <cell r="F4800" t="str">
            <v>du</v>
          </cell>
          <cell r="G4800" t="str">
            <v>responsable</v>
          </cell>
          <cell r="H4800"/>
          <cell r="I4800"/>
        </row>
        <row r="4801">
          <cell r="C4801"/>
          <cell r="D4801" t="str">
            <v xml:space="preserve"> </v>
          </cell>
          <cell r="E4801" t="str">
            <v>courant</v>
          </cell>
          <cell r="F4801"/>
          <cell r="G4801"/>
          <cell r="H4801"/>
          <cell r="I4801"/>
        </row>
        <row r="4802">
          <cell r="C4802"/>
          <cell r="D4802" t="str">
            <v>de la</v>
          </cell>
          <cell r="E4802" t="str">
            <v>profession</v>
          </cell>
          <cell r="F4802" t="str">
            <v>de l'</v>
          </cell>
          <cell r="G4802" t="str">
            <v>employé</v>
          </cell>
          <cell r="H4802"/>
          <cell r="I4802"/>
        </row>
        <row r="4803">
          <cell r="C4803"/>
          <cell r="D4803" t="str">
            <v>de</v>
          </cell>
          <cell r="E4803" t="str">
            <v>société d'appartenance</v>
          </cell>
          <cell r="F4803"/>
          <cell r="G4803"/>
          <cell r="H4803"/>
          <cell r="I4803"/>
        </row>
        <row r="4804">
          <cell r="C4804"/>
          <cell r="D4804" t="str">
            <v xml:space="preserve"> </v>
          </cell>
          <cell r="E4804" t="str">
            <v>usuel</v>
          </cell>
          <cell r="F4804"/>
          <cell r="G4804"/>
          <cell r="H4804"/>
          <cell r="I4804"/>
        </row>
        <row r="4805">
          <cell r="C4805"/>
          <cell r="D4805" t="str">
            <v xml:space="preserve"> </v>
          </cell>
          <cell r="E4805" t="str">
            <v>usuel</v>
          </cell>
          <cell r="F4805"/>
          <cell r="G4805"/>
          <cell r="H4805"/>
          <cell r="I4805"/>
        </row>
        <row r="4806">
          <cell r="C4806"/>
          <cell r="D4806" t="str">
            <v>de la</v>
          </cell>
          <cell r="E4806" t="str">
            <v>carte BIP</v>
          </cell>
          <cell r="F4806" t="str">
            <v>de la</v>
          </cell>
          <cell r="G4806" t="str">
            <v>carte BIP</v>
          </cell>
          <cell r="H4806"/>
          <cell r="I4806"/>
        </row>
        <row r="4807">
          <cell r="C4807"/>
          <cell r="D4807" t="str">
            <v>de la</v>
          </cell>
          <cell r="E4807" t="str">
            <v>première utilisation</v>
          </cell>
          <cell r="F4807"/>
          <cell r="G4807"/>
          <cell r="H4807"/>
          <cell r="I4807"/>
        </row>
        <row r="4808">
          <cell r="C4808"/>
          <cell r="D4808" t="str">
            <v>de la</v>
          </cell>
          <cell r="E4808" t="str">
            <v>carte BIP</v>
          </cell>
          <cell r="F4808"/>
          <cell r="G4808"/>
          <cell r="H4808"/>
          <cell r="I4808"/>
        </row>
        <row r="4809">
          <cell r="C4809"/>
          <cell r="D4809" t="str">
            <v xml:space="preserve"> </v>
          </cell>
          <cell r="E4809" t="str">
            <v>invariant</v>
          </cell>
          <cell r="F4809" t="str">
            <v>pour l'</v>
          </cell>
          <cell r="G4809" t="str">
            <v>actif supprimable</v>
          </cell>
          <cell r="H4809"/>
          <cell r="I4809"/>
        </row>
        <row r="4810">
          <cell r="C4810"/>
          <cell r="D4810" t="str">
            <v>du</v>
          </cell>
          <cell r="E4810" t="str">
            <v>compte</v>
          </cell>
          <cell r="F4810"/>
          <cell r="G4810"/>
          <cell r="H4810"/>
          <cell r="I4810"/>
        </row>
        <row r="4811">
          <cell r="C4811"/>
          <cell r="D4811" t="str">
            <v>du</v>
          </cell>
          <cell r="E4811" t="str">
            <v>bâtiment</v>
          </cell>
          <cell r="F4811"/>
          <cell r="G4811"/>
          <cell r="H4811"/>
          <cell r="I4811"/>
        </row>
        <row r="4812">
          <cell r="C4812"/>
          <cell r="D4812" t="str">
            <v>d'</v>
          </cell>
          <cell r="E4812" t="str">
            <v>étage</v>
          </cell>
          <cell r="F4812"/>
          <cell r="G4812"/>
          <cell r="H4812"/>
          <cell r="I4812"/>
        </row>
        <row r="4813">
          <cell r="C4813"/>
          <cell r="D4813" t="str">
            <v>de l'</v>
          </cell>
          <cell r="E4813" t="str">
            <v>entité propriétaire de l'objet</v>
          </cell>
          <cell r="F4813"/>
          <cell r="G4813"/>
          <cell r="H4813"/>
          <cell r="I4813"/>
        </row>
        <row r="4814">
          <cell r="C4814"/>
          <cell r="D4814" t="str">
            <v>de l'</v>
          </cell>
          <cell r="E4814" t="str">
            <v>GRG propriétaire de l'objet</v>
          </cell>
          <cell r="F4814"/>
          <cell r="G4814"/>
          <cell r="H4814"/>
          <cell r="I4814"/>
        </row>
        <row r="4815">
          <cell r="C4815"/>
          <cell r="D4815" t="str">
            <v>du</v>
          </cell>
          <cell r="E4815" t="str">
            <v>code d'accès</v>
          </cell>
          <cell r="F4815"/>
          <cell r="G4815"/>
          <cell r="H4815"/>
          <cell r="I4815"/>
        </row>
        <row r="4816">
          <cell r="C4816"/>
          <cell r="D4816" t="str">
            <v>du</v>
          </cell>
          <cell r="E4816" t="str">
            <v>code d'accès</v>
          </cell>
          <cell r="F4816"/>
          <cell r="G4816"/>
          <cell r="H4816"/>
          <cell r="I4816"/>
        </row>
        <row r="4817">
          <cell r="C4817"/>
          <cell r="D4817" t="str">
            <v>du</v>
          </cell>
          <cell r="E4817" t="str">
            <v>code d'accès</v>
          </cell>
          <cell r="F4817"/>
          <cell r="G4817"/>
          <cell r="H4817"/>
          <cell r="I4817"/>
        </row>
        <row r="4818">
          <cell r="C4818"/>
          <cell r="D4818" t="str">
            <v>du</v>
          </cell>
          <cell r="E4818" t="str">
            <v>code d'accès</v>
          </cell>
          <cell r="F4818"/>
          <cell r="G4818"/>
          <cell r="H4818"/>
          <cell r="I4818"/>
        </row>
        <row r="4819">
          <cell r="C4819"/>
          <cell r="D4819" t="str">
            <v>du</v>
          </cell>
          <cell r="E4819" t="str">
            <v>code d'accès</v>
          </cell>
          <cell r="F4819"/>
          <cell r="G4819"/>
          <cell r="H4819"/>
          <cell r="I4819"/>
        </row>
        <row r="4820">
          <cell r="C4820"/>
          <cell r="D4820" t="str">
            <v>de la</v>
          </cell>
          <cell r="E4820" t="str">
            <v>section analytique</v>
          </cell>
          <cell r="F4820"/>
          <cell r="G4820"/>
          <cell r="H4820"/>
          <cell r="I4820"/>
        </row>
        <row r="4821">
          <cell r="C4821"/>
          <cell r="D4821" t="str">
            <v>du</v>
          </cell>
          <cell r="E4821" t="str">
            <v>portail bureau par défaut</v>
          </cell>
          <cell r="F4821"/>
          <cell r="G4821"/>
          <cell r="H4821"/>
          <cell r="I4821"/>
        </row>
        <row r="4822">
          <cell r="C4822"/>
          <cell r="D4822" t="str">
            <v>du</v>
          </cell>
          <cell r="E4822" t="str">
            <v>code d'accès</v>
          </cell>
          <cell r="F4822"/>
          <cell r="G4822"/>
          <cell r="H4822"/>
          <cell r="I4822"/>
        </row>
        <row r="4823">
          <cell r="C4823"/>
          <cell r="D4823" t="str">
            <v>du</v>
          </cell>
          <cell r="E4823" t="str">
            <v>code d'accès</v>
          </cell>
          <cell r="F4823"/>
          <cell r="G4823"/>
          <cell r="H4823"/>
          <cell r="I4823"/>
        </row>
        <row r="4824">
          <cell r="C4824"/>
          <cell r="D4824" t="str">
            <v>de la</v>
          </cell>
          <cell r="E4824" t="str">
            <v>fédération</v>
          </cell>
          <cell r="F4824"/>
          <cell r="G4824"/>
          <cell r="H4824"/>
          <cell r="I4824"/>
        </row>
        <row r="4825">
          <cell r="C4825"/>
          <cell r="D4825" t="str">
            <v>de l'</v>
          </cell>
          <cell r="E4825" t="str">
            <v>établissement</v>
          </cell>
          <cell r="F4825"/>
          <cell r="G4825"/>
          <cell r="H4825"/>
          <cell r="I4825"/>
        </row>
        <row r="4826">
          <cell r="C4826"/>
          <cell r="D4826" t="str">
            <v>du</v>
          </cell>
          <cell r="E4826" t="str">
            <v>guichet de l'établissement</v>
          </cell>
          <cell r="F4826"/>
          <cell r="G4826"/>
          <cell r="H4826"/>
          <cell r="I4826"/>
        </row>
        <row r="4827">
          <cell r="C4827"/>
          <cell r="D4827" t="str">
            <v>de</v>
          </cell>
          <cell r="E4827" t="str">
            <v>connexion</v>
          </cell>
          <cell r="F4827"/>
          <cell r="G4827"/>
          <cell r="H4827"/>
          <cell r="I4827"/>
        </row>
        <row r="4828">
          <cell r="C4828"/>
          <cell r="D4828" t="str">
            <v>de</v>
          </cell>
          <cell r="E4828" t="str">
            <v>connexion</v>
          </cell>
          <cell r="F4828"/>
          <cell r="G4828"/>
          <cell r="H4828"/>
          <cell r="I4828"/>
        </row>
        <row r="4829">
          <cell r="C4829"/>
          <cell r="D4829" t="str">
            <v>du</v>
          </cell>
          <cell r="E4829" t="str">
            <v>site de connexion</v>
          </cell>
          <cell r="F4829"/>
          <cell r="G4829"/>
          <cell r="H4829"/>
          <cell r="I4829"/>
        </row>
        <row r="4830">
          <cell r="C4830"/>
          <cell r="D4830" t="str">
            <v>de</v>
          </cell>
          <cell r="E4830" t="str">
            <v>responsabilité</v>
          </cell>
          <cell r="F4830" t="str">
            <v>de la</v>
          </cell>
          <cell r="G4830" t="str">
            <v>personne</v>
          </cell>
          <cell r="H4830"/>
          <cell r="I4830"/>
        </row>
        <row r="4831">
          <cell r="C4831"/>
          <cell r="D4831" t="str">
            <v>de la</v>
          </cell>
          <cell r="E4831" t="str">
            <v>localisation</v>
          </cell>
          <cell r="F4831" t="str">
            <v>de la</v>
          </cell>
          <cell r="G4831" t="str">
            <v>personne</v>
          </cell>
          <cell r="H4831"/>
          <cell r="I4831"/>
        </row>
        <row r="4832">
          <cell r="C4832"/>
          <cell r="D4832" t="str">
            <v>du</v>
          </cell>
          <cell r="E4832" t="str">
            <v>compteur de ressources</v>
          </cell>
          <cell r="F4832"/>
          <cell r="G4832"/>
          <cell r="H4832"/>
          <cell r="I4832"/>
        </row>
        <row r="4833">
          <cell r="C4833"/>
          <cell r="D4833" t="str">
            <v>du</v>
          </cell>
          <cell r="E4833" t="str">
            <v>profil affecté</v>
          </cell>
          <cell r="F4833"/>
          <cell r="G4833"/>
          <cell r="H4833"/>
          <cell r="I4833"/>
        </row>
        <row r="4834">
          <cell r="C4834"/>
          <cell r="D4834" t="str">
            <v>du</v>
          </cell>
          <cell r="E4834" t="str">
            <v>profil affecté</v>
          </cell>
          <cell r="F4834"/>
          <cell r="G4834"/>
          <cell r="H4834"/>
          <cell r="I4834"/>
        </row>
        <row r="4835">
          <cell r="C4835"/>
          <cell r="D4835" t="str">
            <v>du</v>
          </cell>
          <cell r="E4835" t="str">
            <v>profil affecté</v>
          </cell>
          <cell r="F4835"/>
          <cell r="G4835"/>
          <cell r="H4835"/>
          <cell r="I4835"/>
        </row>
        <row r="4836">
          <cell r="C4836"/>
          <cell r="D4836" t="str">
            <v>du</v>
          </cell>
          <cell r="E4836" t="str">
            <v>profil affecté</v>
          </cell>
          <cell r="F4836"/>
          <cell r="G4836"/>
          <cell r="H4836"/>
          <cell r="I4836"/>
        </row>
        <row r="4837">
          <cell r="C4837"/>
          <cell r="D4837" t="str">
            <v xml:space="preserve"> </v>
          </cell>
          <cell r="E4837" t="str">
            <v>GPS associé existant</v>
          </cell>
          <cell r="F4837"/>
          <cell r="G4837"/>
          <cell r="H4837"/>
          <cell r="I4837"/>
        </row>
        <row r="4838">
          <cell r="C4838"/>
          <cell r="D4838" t="str">
            <v>du</v>
          </cell>
          <cell r="E4838" t="str">
            <v>GRP affecté</v>
          </cell>
          <cell r="F4838"/>
          <cell r="G4838"/>
          <cell r="H4838"/>
          <cell r="I4838"/>
        </row>
        <row r="4839">
          <cell r="C4839"/>
          <cell r="D4839" t="str">
            <v>du</v>
          </cell>
          <cell r="E4839" t="str">
            <v>GRP affecté</v>
          </cell>
          <cell r="F4839"/>
          <cell r="G4839"/>
          <cell r="H4839"/>
          <cell r="I4839"/>
        </row>
        <row r="4840">
          <cell r="C4840"/>
          <cell r="D4840" t="str">
            <v>du</v>
          </cell>
          <cell r="E4840" t="str">
            <v>GRP affecté</v>
          </cell>
          <cell r="F4840"/>
          <cell r="G4840"/>
          <cell r="H4840"/>
          <cell r="I4840"/>
        </row>
        <row r="4841">
          <cell r="C4841"/>
          <cell r="D4841" t="str">
            <v>du</v>
          </cell>
          <cell r="E4841" t="str">
            <v>GRP affecté</v>
          </cell>
          <cell r="F4841"/>
          <cell r="G4841"/>
          <cell r="H4841"/>
          <cell r="I4841"/>
        </row>
        <row r="4842">
          <cell r="C4842"/>
          <cell r="D4842" t="str">
            <v>de la</v>
          </cell>
          <cell r="E4842" t="str">
            <v>restriction affectée</v>
          </cell>
          <cell r="F4842"/>
          <cell r="G4842"/>
          <cell r="H4842"/>
          <cell r="I4842"/>
        </row>
        <row r="4843">
          <cell r="C4843"/>
          <cell r="D4843" t="str">
            <v>de la</v>
          </cell>
          <cell r="E4843" t="str">
            <v>restriction affectée</v>
          </cell>
          <cell r="F4843"/>
          <cell r="G4843"/>
          <cell r="H4843"/>
          <cell r="I4843"/>
        </row>
        <row r="4844">
          <cell r="C4844"/>
          <cell r="D4844" t="str">
            <v>de la</v>
          </cell>
          <cell r="E4844" t="str">
            <v>tâche concernée</v>
          </cell>
          <cell r="F4844"/>
          <cell r="G4844"/>
          <cell r="H4844"/>
          <cell r="I4844"/>
        </row>
        <row r="4845">
          <cell r="C4845"/>
          <cell r="D4845" t="str">
            <v>de la</v>
          </cell>
          <cell r="E4845" t="str">
            <v>tâche concernée</v>
          </cell>
          <cell r="F4845"/>
          <cell r="G4845"/>
          <cell r="H4845"/>
          <cell r="I4845"/>
        </row>
        <row r="4846">
          <cell r="C4846"/>
          <cell r="D4846" t="str">
            <v>de la</v>
          </cell>
          <cell r="E4846" t="str">
            <v>ressource associée</v>
          </cell>
          <cell r="F4846"/>
          <cell r="G4846"/>
          <cell r="H4846"/>
          <cell r="I4846"/>
        </row>
        <row r="4847">
          <cell r="C4847"/>
          <cell r="D4847" t="str">
            <v>de la</v>
          </cell>
          <cell r="E4847" t="str">
            <v>ressource associée</v>
          </cell>
          <cell r="F4847"/>
          <cell r="G4847"/>
          <cell r="H4847"/>
          <cell r="I4847"/>
        </row>
        <row r="4848">
          <cell r="C4848"/>
          <cell r="D4848" t="str">
            <v>du</v>
          </cell>
          <cell r="E4848" t="str">
            <v>sens de la restriction</v>
          </cell>
          <cell r="F4848"/>
          <cell r="G4848"/>
          <cell r="H4848"/>
          <cell r="I4848"/>
        </row>
        <row r="4849">
          <cell r="C4849"/>
          <cell r="D4849" t="str">
            <v>du</v>
          </cell>
          <cell r="E4849" t="str">
            <v>compteur GPO</v>
          </cell>
          <cell r="F4849"/>
          <cell r="G4849"/>
          <cell r="H4849"/>
          <cell r="I4849"/>
        </row>
        <row r="4850">
          <cell r="C4850"/>
          <cell r="D4850" t="str">
            <v>du</v>
          </cell>
          <cell r="E4850" t="str">
            <v>compteur GPO</v>
          </cell>
          <cell r="F4850"/>
          <cell r="G4850"/>
          <cell r="H4850"/>
          <cell r="I4850"/>
        </row>
        <row r="4851">
          <cell r="C4851"/>
          <cell r="D4851" t="str">
            <v>du</v>
          </cell>
          <cell r="E4851" t="str">
            <v>compteur GPO</v>
          </cell>
          <cell r="F4851"/>
          <cell r="G4851"/>
          <cell r="H4851"/>
          <cell r="I4851"/>
        </row>
        <row r="4852">
          <cell r="C4852"/>
          <cell r="D4852" t="str">
            <v>du</v>
          </cell>
          <cell r="E4852" t="str">
            <v>compteur GPO</v>
          </cell>
          <cell r="F4852"/>
          <cell r="G4852"/>
          <cell r="H4852"/>
          <cell r="I4852"/>
        </row>
        <row r="4853">
          <cell r="C4853"/>
          <cell r="D4853" t="str">
            <v>du</v>
          </cell>
          <cell r="E4853" t="str">
            <v>compteur GPO</v>
          </cell>
          <cell r="F4853"/>
          <cell r="G4853"/>
          <cell r="H4853"/>
          <cell r="I4853"/>
        </row>
        <row r="4854">
          <cell r="C4854"/>
          <cell r="D4854" t="str">
            <v>du</v>
          </cell>
          <cell r="E4854" t="str">
            <v>radical</v>
          </cell>
          <cell r="F4854"/>
          <cell r="G4854"/>
          <cell r="H4854"/>
          <cell r="I4854"/>
        </row>
        <row r="4855">
          <cell r="C4855"/>
          <cell r="D4855" t="str">
            <v>de l'</v>
          </cell>
          <cell r="E4855" t="str">
            <v>activité</v>
          </cell>
          <cell r="F4855"/>
          <cell r="G4855"/>
          <cell r="H4855"/>
          <cell r="I4855"/>
        </row>
        <row r="4856">
          <cell r="C4856"/>
          <cell r="D4856" t="str">
            <v>de l'</v>
          </cell>
          <cell r="E4856" t="str">
            <v>objet</v>
          </cell>
          <cell r="F4856"/>
          <cell r="G4856"/>
          <cell r="H4856"/>
          <cell r="I4856"/>
        </row>
        <row r="4857">
          <cell r="C4857"/>
          <cell r="D4857" t="str">
            <v>du</v>
          </cell>
          <cell r="E4857" t="str">
            <v>lien</v>
          </cell>
          <cell r="F4857"/>
          <cell r="G4857"/>
          <cell r="H4857"/>
          <cell r="I4857"/>
        </row>
        <row r="4858">
          <cell r="C4858"/>
          <cell r="D4858" t="str">
            <v>du</v>
          </cell>
          <cell r="E4858" t="str">
            <v>lien</v>
          </cell>
          <cell r="F4858"/>
          <cell r="G4858"/>
          <cell r="H4858"/>
          <cell r="I4858"/>
        </row>
        <row r="4859">
          <cell r="C4859"/>
          <cell r="D4859" t="str">
            <v>du</v>
          </cell>
          <cell r="E4859" t="str">
            <v>compteur plafond</v>
          </cell>
          <cell r="F4859"/>
          <cell r="G4859"/>
          <cell r="H4859"/>
          <cell r="I4859"/>
        </row>
        <row r="4860">
          <cell r="C4860"/>
          <cell r="D4860" t="str">
            <v>du</v>
          </cell>
          <cell r="E4860" t="str">
            <v>produit d'assurance</v>
          </cell>
          <cell r="F4860"/>
          <cell r="G4860"/>
          <cell r="H4860"/>
          <cell r="I4860"/>
        </row>
        <row r="4861">
          <cell r="C4861"/>
          <cell r="D4861" t="str">
            <v>du</v>
          </cell>
          <cell r="E4861" t="str">
            <v>plafond</v>
          </cell>
          <cell r="F4861"/>
          <cell r="G4861"/>
          <cell r="H4861"/>
          <cell r="I4861"/>
        </row>
        <row r="4862">
          <cell r="C4862"/>
          <cell r="D4862" t="str">
            <v>du</v>
          </cell>
          <cell r="E4862" t="str">
            <v>plafond</v>
          </cell>
          <cell r="F4862"/>
          <cell r="G4862"/>
          <cell r="H4862"/>
          <cell r="I4862"/>
        </row>
        <row r="4863">
          <cell r="C4863"/>
          <cell r="D4863" t="str">
            <v>du</v>
          </cell>
          <cell r="E4863" t="str">
            <v>produit d'assurance</v>
          </cell>
          <cell r="F4863"/>
          <cell r="G4863"/>
          <cell r="H4863"/>
          <cell r="I4863"/>
        </row>
        <row r="4864">
          <cell r="C4864"/>
          <cell r="D4864" t="str">
            <v xml:space="preserve"> </v>
          </cell>
          <cell r="E4864" t="str">
            <v>appliqué</v>
          </cell>
          <cell r="F4864"/>
          <cell r="G4864"/>
          <cell r="H4864"/>
          <cell r="I4864"/>
        </row>
        <row r="4865">
          <cell r="C4865"/>
          <cell r="D4865" t="str">
            <v>du</v>
          </cell>
          <cell r="E4865" t="str">
            <v>compteur profils rédacteur</v>
          </cell>
          <cell r="F4865"/>
          <cell r="G4865"/>
          <cell r="H4865"/>
          <cell r="I4865"/>
        </row>
        <row r="4866">
          <cell r="C4866"/>
          <cell r="D4866" t="str">
            <v>du</v>
          </cell>
          <cell r="E4866" t="str">
            <v>rédacteur</v>
          </cell>
          <cell r="F4866"/>
          <cell r="G4866"/>
          <cell r="H4866"/>
          <cell r="I4866"/>
        </row>
        <row r="4867">
          <cell r="C4867"/>
          <cell r="D4867" t="str">
            <v>du</v>
          </cell>
          <cell r="E4867" t="str">
            <v>statut</v>
          </cell>
          <cell r="F4867" t="str">
            <v>du</v>
          </cell>
          <cell r="G4867" t="str">
            <v>rédacteur</v>
          </cell>
          <cell r="H4867"/>
          <cell r="I4867"/>
        </row>
        <row r="4868">
          <cell r="C4868" t="str">
            <v>interne</v>
          </cell>
          <cell r="D4868" t="str">
            <v>du</v>
          </cell>
          <cell r="E4868" t="str">
            <v>rédacteur</v>
          </cell>
          <cell r="F4868"/>
          <cell r="G4868"/>
          <cell r="H4868"/>
          <cell r="I4868"/>
        </row>
        <row r="4869">
          <cell r="C4869"/>
          <cell r="D4869" t="str">
            <v>de la</v>
          </cell>
          <cell r="E4869" t="str">
            <v>gestion AUD</v>
          </cell>
          <cell r="F4869"/>
          <cell r="G4869"/>
          <cell r="H4869"/>
          <cell r="I4869"/>
        </row>
        <row r="4870">
          <cell r="C4870"/>
          <cell r="D4870" t="str">
            <v>de la</v>
          </cell>
          <cell r="E4870" t="str">
            <v>gestion ADM</v>
          </cell>
          <cell r="F4870"/>
          <cell r="G4870"/>
          <cell r="H4870"/>
          <cell r="I4870"/>
        </row>
        <row r="4871">
          <cell r="C4871"/>
          <cell r="D4871" t="str">
            <v>de la</v>
          </cell>
          <cell r="E4871" t="str">
            <v>gestion GPS</v>
          </cell>
          <cell r="F4871"/>
          <cell r="G4871"/>
          <cell r="H4871"/>
          <cell r="I4871"/>
        </row>
        <row r="4872">
          <cell r="C4872"/>
          <cell r="D4872" t="str">
            <v>du</v>
          </cell>
          <cell r="E4872" t="str">
            <v>GRP affecté</v>
          </cell>
          <cell r="F4872"/>
          <cell r="G4872"/>
          <cell r="H4872"/>
          <cell r="I4872"/>
        </row>
        <row r="4873">
          <cell r="C4873"/>
          <cell r="D4873" t="str">
            <v>du</v>
          </cell>
          <cell r="E4873" t="str">
            <v>site de connexion autorisé</v>
          </cell>
          <cell r="F4873"/>
          <cell r="G4873"/>
          <cell r="H4873"/>
          <cell r="I4873"/>
        </row>
        <row r="4874">
          <cell r="C4874"/>
          <cell r="D4874" t="str">
            <v>du</v>
          </cell>
          <cell r="E4874" t="str">
            <v>site de connexion autorisé</v>
          </cell>
          <cell r="F4874"/>
          <cell r="G4874"/>
          <cell r="H4874"/>
          <cell r="I4874"/>
        </row>
        <row r="4875">
          <cell r="C4875" t="str">
            <v>affectation</v>
          </cell>
          <cell r="D4875" t="str">
            <v>du</v>
          </cell>
          <cell r="E4875" t="str">
            <v>code d'accès</v>
          </cell>
          <cell r="F4875" t="str">
            <v>au</v>
          </cell>
          <cell r="G4875" t="str">
            <v>site de connexion autorisé</v>
          </cell>
          <cell r="H4875"/>
          <cell r="I4875"/>
        </row>
        <row r="4876">
          <cell r="C4876"/>
          <cell r="D4876" t="str">
            <v>de l'</v>
          </cell>
          <cell r="E4876" t="str">
            <v>organisme SAS</v>
          </cell>
          <cell r="F4876" t="str">
            <v>du</v>
          </cell>
          <cell r="G4876" t="str">
            <v>code d'accès</v>
          </cell>
          <cell r="H4876"/>
          <cell r="I4876"/>
        </row>
        <row r="4877">
          <cell r="C4877" t="str">
            <v>externe</v>
          </cell>
          <cell r="D4877" t="str">
            <v>du</v>
          </cell>
          <cell r="E4877" t="str">
            <v>rédacteur</v>
          </cell>
          <cell r="F4877"/>
          <cell r="G4877"/>
          <cell r="H4877"/>
          <cell r="I4877"/>
        </row>
        <row r="4878">
          <cell r="C4878" t="str">
            <v>à payer</v>
          </cell>
          <cell r="D4878" t="str">
            <v>de la</v>
          </cell>
          <cell r="E4878" t="str">
            <v>garantie capital</v>
          </cell>
          <cell r="F4878"/>
          <cell r="G4878"/>
          <cell r="H4878"/>
          <cell r="I4878"/>
        </row>
        <row r="4879">
          <cell r="C4879"/>
          <cell r="D4879" t="str">
            <v>du</v>
          </cell>
          <cell r="E4879" t="str">
            <v>règlement</v>
          </cell>
          <cell r="F4879" t="str">
            <v>du</v>
          </cell>
          <cell r="G4879" t="str">
            <v>sinistre</v>
          </cell>
          <cell r="H4879" t="str">
            <v>d'</v>
          </cell>
          <cell r="I4879" t="str">
            <v>ERMES</v>
          </cell>
        </row>
        <row r="4880">
          <cell r="C4880"/>
          <cell r="D4880" t="str">
            <v>du</v>
          </cell>
          <cell r="E4880" t="str">
            <v>règlement</v>
          </cell>
          <cell r="F4880" t="str">
            <v>du</v>
          </cell>
          <cell r="G4880" t="str">
            <v>sinistre</v>
          </cell>
          <cell r="H4880" t="str">
            <v>d'</v>
          </cell>
          <cell r="I4880" t="str">
            <v>ERMES</v>
          </cell>
        </row>
        <row r="4881">
          <cell r="C4881"/>
          <cell r="D4881" t="str">
            <v>du</v>
          </cell>
          <cell r="E4881" t="str">
            <v>règlement</v>
          </cell>
          <cell r="F4881" t="str">
            <v>du</v>
          </cell>
          <cell r="G4881" t="str">
            <v>sinistre</v>
          </cell>
          <cell r="H4881" t="str">
            <v>d'</v>
          </cell>
          <cell r="I4881" t="str">
            <v>ERMES</v>
          </cell>
        </row>
        <row r="4882">
          <cell r="C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C4884"/>
          <cell r="D4884" t="str">
            <v>de l'</v>
          </cell>
          <cell r="E4884" t="str">
            <v>application source</v>
          </cell>
          <cell r="F4884"/>
          <cell r="G4884"/>
          <cell r="H4884"/>
          <cell r="I4884"/>
        </row>
        <row r="4885">
          <cell r="C4885"/>
          <cell r="D4885" t="str">
            <v>de la</v>
          </cell>
          <cell r="E4885" t="str">
            <v>table</v>
          </cell>
          <cell r="F4885"/>
          <cell r="G4885" t="str">
            <v>source</v>
          </cell>
          <cell r="H4885"/>
          <cell r="I4885"/>
        </row>
        <row r="4886">
          <cell r="C4886"/>
          <cell r="D4886" t="str">
            <v>du</v>
          </cell>
          <cell r="E4886" t="str">
            <v>sinistre</v>
          </cell>
          <cell r="F4886"/>
          <cell r="G4886"/>
          <cell r="H4886"/>
          <cell r="I4886"/>
        </row>
        <row r="4887">
          <cell r="C4887"/>
          <cell r="D4887" t="str">
            <v>du</v>
          </cell>
          <cell r="E4887" t="str">
            <v>type</v>
          </cell>
          <cell r="F4887" t="str">
            <v>de</v>
          </cell>
          <cell r="G4887" t="str">
            <v>règlement</v>
          </cell>
          <cell r="H4887"/>
          <cell r="I4887"/>
        </row>
        <row r="4888">
          <cell r="C4888"/>
          <cell r="D4888" t="str">
            <v>de la</v>
          </cell>
          <cell r="E4888" t="str">
            <v>catégorie</v>
          </cell>
          <cell r="F4888" t="str">
            <v>de</v>
          </cell>
          <cell r="G4888" t="str">
            <v>règlement</v>
          </cell>
          <cell r="H4888"/>
          <cell r="I4888" t="str">
            <v>encaissement</v>
          </cell>
        </row>
        <row r="4889">
          <cell r="C4889"/>
          <cell r="D4889" t="str">
            <v>d'</v>
          </cell>
          <cell r="E4889" t="str">
            <v>émission</v>
          </cell>
          <cell r="F4889"/>
          <cell r="G4889" t="str">
            <v>inversée</v>
          </cell>
          <cell r="H4889"/>
          <cell r="I4889"/>
        </row>
        <row r="4890">
          <cell r="C4890"/>
          <cell r="D4890" t="str">
            <v>d'</v>
          </cell>
          <cell r="E4890" t="str">
            <v>ordre</v>
          </cell>
          <cell r="F4890"/>
          <cell r="G4890" t="str">
            <v>inversée</v>
          </cell>
          <cell r="H4890"/>
          <cell r="I4890"/>
        </row>
        <row r="4891">
          <cell r="C4891"/>
          <cell r="D4891" t="str">
            <v>d'</v>
          </cell>
          <cell r="E4891" t="str">
            <v>émission</v>
          </cell>
          <cell r="F4891"/>
          <cell r="G4891"/>
          <cell r="H4891"/>
          <cell r="I4891"/>
        </row>
        <row r="4892">
          <cell r="C4892"/>
          <cell r="D4892" t="str">
            <v>d'</v>
          </cell>
          <cell r="E4892" t="str">
            <v>ordre</v>
          </cell>
          <cell r="F4892"/>
          <cell r="G4892"/>
          <cell r="H4892"/>
          <cell r="I4892"/>
        </row>
        <row r="4893">
          <cell r="C4893"/>
          <cell r="D4893" t="str">
            <v>du</v>
          </cell>
          <cell r="E4893" t="str">
            <v>règlement</v>
          </cell>
          <cell r="F4893" t="str">
            <v>du</v>
          </cell>
          <cell r="G4893" t="str">
            <v>sinistre</v>
          </cell>
          <cell r="H4893"/>
          <cell r="I4893"/>
        </row>
        <row r="4894">
          <cell r="C4894"/>
          <cell r="D4894" t="str">
            <v>du</v>
          </cell>
          <cell r="E4894" t="str">
            <v>rédacteur</v>
          </cell>
          <cell r="F4894" t="str">
            <v>du</v>
          </cell>
          <cell r="G4894" t="str">
            <v>sinistre</v>
          </cell>
          <cell r="H4894"/>
          <cell r="I4894"/>
        </row>
        <row r="4895">
          <cell r="C4895"/>
          <cell r="D4895" t="str">
            <v>du</v>
          </cell>
          <cell r="E4895" t="str">
            <v>règlement</v>
          </cell>
          <cell r="F4895" t="str">
            <v>du</v>
          </cell>
          <cell r="G4895" t="str">
            <v>sinistre</v>
          </cell>
          <cell r="H4895"/>
          <cell r="I4895"/>
        </row>
        <row r="4896">
          <cell r="C4896"/>
          <cell r="D4896" t="str">
            <v xml:space="preserve"> </v>
          </cell>
          <cell r="E4896" t="str">
            <v>remboursement</v>
          </cell>
          <cell r="F4896"/>
          <cell r="G4896" t="str">
            <v>intermédiaire</v>
          </cell>
          <cell r="H4896"/>
          <cell r="I4896"/>
        </row>
        <row r="4897">
          <cell r="C4897"/>
          <cell r="D4897" t="str">
            <v>du</v>
          </cell>
          <cell r="E4897" t="str">
            <v>mode de règlement</v>
          </cell>
          <cell r="F4897" t="str">
            <v>du</v>
          </cell>
          <cell r="G4897" t="str">
            <v>sinistre</v>
          </cell>
          <cell r="H4897"/>
          <cell r="I4897"/>
        </row>
        <row r="4898">
          <cell r="C4898"/>
          <cell r="D4898" t="str">
            <v>du</v>
          </cell>
          <cell r="E4898" t="str">
            <v>mode d'encaissement</v>
          </cell>
          <cell r="F4898"/>
          <cell r="G4898" t="str">
            <v>détaillé</v>
          </cell>
          <cell r="H4898" t="str">
            <v>du</v>
          </cell>
          <cell r="I4898" t="str">
            <v>sinistre</v>
          </cell>
        </row>
        <row r="4899">
          <cell r="C4899"/>
          <cell r="D4899" t="str">
            <v>du</v>
          </cell>
          <cell r="E4899" t="str">
            <v>règlement</v>
          </cell>
          <cell r="F4899" t="str">
            <v>du</v>
          </cell>
          <cell r="G4899" t="str">
            <v>sinistre</v>
          </cell>
          <cell r="H4899"/>
          <cell r="I4899"/>
        </row>
        <row r="4900">
          <cell r="C4900"/>
          <cell r="D4900" t="str">
            <v>du</v>
          </cell>
          <cell r="E4900" t="str">
            <v>règlement</v>
          </cell>
          <cell r="F4900" t="str">
            <v>du</v>
          </cell>
          <cell r="G4900" t="str">
            <v>sinistre</v>
          </cell>
          <cell r="H4900"/>
          <cell r="I4900"/>
        </row>
        <row r="4901">
          <cell r="C4901"/>
          <cell r="D4901" t="str">
            <v>du</v>
          </cell>
          <cell r="E4901" t="str">
            <v>bénéficiaire du règlement</v>
          </cell>
          <cell r="F4901" t="str">
            <v>du</v>
          </cell>
          <cell r="G4901" t="str">
            <v>sinistre</v>
          </cell>
          <cell r="H4901"/>
          <cell r="I4901"/>
        </row>
        <row r="4902">
          <cell r="C4902"/>
          <cell r="D4902" t="str">
            <v>du</v>
          </cell>
          <cell r="E4902" t="str">
            <v>bénéficiaire du règlement</v>
          </cell>
          <cell r="F4902" t="str">
            <v>du</v>
          </cell>
          <cell r="G4902" t="str">
            <v>sinistre</v>
          </cell>
          <cell r="H4902"/>
          <cell r="I4902"/>
        </row>
        <row r="4903">
          <cell r="C4903"/>
          <cell r="D4903" t="str">
            <v>du</v>
          </cell>
          <cell r="E4903" t="str">
            <v>chèque</v>
          </cell>
          <cell r="F4903" t="str">
            <v>du</v>
          </cell>
          <cell r="G4903" t="str">
            <v>règlement</v>
          </cell>
          <cell r="H4903" t="str">
            <v>du</v>
          </cell>
          <cell r="I4903" t="str">
            <v>sinistre</v>
          </cell>
        </row>
        <row r="4904">
          <cell r="C4904"/>
          <cell r="D4904" t="str">
            <v>du</v>
          </cell>
          <cell r="E4904" t="str">
            <v>compte bancaire</v>
          </cell>
          <cell r="F4904" t="str">
            <v>du</v>
          </cell>
          <cell r="G4904" t="str">
            <v>virement</v>
          </cell>
          <cell r="H4904" t="str">
            <v>du</v>
          </cell>
          <cell r="I4904" t="str">
            <v>sinistre</v>
          </cell>
        </row>
        <row r="4905">
          <cell r="C4905"/>
          <cell r="D4905" t="str">
            <v>du</v>
          </cell>
          <cell r="E4905" t="str">
            <v>pays</v>
          </cell>
          <cell r="F4905" t="str">
            <v>du</v>
          </cell>
          <cell r="G4905" t="str">
            <v>compte bancaire</v>
          </cell>
          <cell r="H4905"/>
          <cell r="I4905"/>
        </row>
        <row r="4906">
          <cell r="C4906"/>
          <cell r="D4906" t="str">
            <v xml:space="preserve"> </v>
          </cell>
          <cell r="E4906" t="str">
            <v>BBAN</v>
          </cell>
          <cell r="F4906" t="str">
            <v>du</v>
          </cell>
          <cell r="G4906" t="str">
            <v>sinistre</v>
          </cell>
          <cell r="H4906"/>
          <cell r="I4906"/>
        </row>
        <row r="4907">
          <cell r="C4907"/>
          <cell r="D4907" t="str">
            <v xml:space="preserve"> </v>
          </cell>
          <cell r="E4907" t="str">
            <v>IBAN</v>
          </cell>
          <cell r="F4907" t="str">
            <v>du</v>
          </cell>
          <cell r="G4907" t="str">
            <v>sinistre</v>
          </cell>
          <cell r="H4907"/>
          <cell r="I4907"/>
        </row>
        <row r="4908">
          <cell r="C4908"/>
          <cell r="D4908" t="str">
            <v xml:space="preserve"> </v>
          </cell>
          <cell r="E4908" t="str">
            <v>MULCOR</v>
          </cell>
          <cell r="F4908" t="str">
            <v>du</v>
          </cell>
          <cell r="G4908" t="str">
            <v>sinistre</v>
          </cell>
          <cell r="H4908"/>
          <cell r="I4908"/>
        </row>
        <row r="4909">
          <cell r="C4909"/>
          <cell r="D4909" t="str">
            <v>du</v>
          </cell>
          <cell r="E4909" t="str">
            <v>titre</v>
          </cell>
          <cell r="F4909" t="str">
            <v>du</v>
          </cell>
          <cell r="G4909" t="str">
            <v>Destinataire du règlement</v>
          </cell>
          <cell r="H4909"/>
          <cell r="I4909"/>
        </row>
        <row r="4910">
          <cell r="C4910"/>
          <cell r="D4910" t="str">
            <v>du</v>
          </cell>
          <cell r="E4910" t="str">
            <v>Destinataire du règlement</v>
          </cell>
          <cell r="F4910"/>
          <cell r="G4910"/>
          <cell r="H4910"/>
          <cell r="I4910"/>
        </row>
        <row r="4911">
          <cell r="C4911"/>
          <cell r="D4911" t="str">
            <v>du</v>
          </cell>
          <cell r="E4911" t="str">
            <v>règlement</v>
          </cell>
          <cell r="F4911"/>
          <cell r="G4911" t="str">
            <v>saisie</v>
          </cell>
          <cell r="H4911" t="str">
            <v>par le</v>
          </cell>
          <cell r="I4911" t="str">
            <v>gestionnaire</v>
          </cell>
        </row>
        <row r="4912">
          <cell r="C4912"/>
          <cell r="D4912" t="str">
            <v>du</v>
          </cell>
          <cell r="E4912" t="str">
            <v>dossier</v>
          </cell>
          <cell r="F4912" t="str">
            <v>chez le</v>
          </cell>
          <cell r="G4912" t="str">
            <v>correspondant</v>
          </cell>
          <cell r="H4912" t="str">
            <v>ou</v>
          </cell>
          <cell r="I4912" t="str">
            <v>référence</v>
          </cell>
        </row>
        <row r="4913">
          <cell r="C4913"/>
          <cell r="D4913" t="str">
            <v>du</v>
          </cell>
          <cell r="E4913" t="str">
            <v>bénéficiaire</v>
          </cell>
          <cell r="F4913" t="str">
            <v>du</v>
          </cell>
          <cell r="G4913" t="str">
            <v>sinistre</v>
          </cell>
          <cell r="H4913"/>
          <cell r="I4913"/>
        </row>
        <row r="4914">
          <cell r="C4914"/>
          <cell r="D4914" t="str">
            <v>du</v>
          </cell>
          <cell r="E4914" t="str">
            <v>règlement</v>
          </cell>
          <cell r="F4914" t="str">
            <v>à</v>
          </cell>
          <cell r="G4914" t="str">
            <v>valider</v>
          </cell>
          <cell r="H4914"/>
          <cell r="I4914"/>
        </row>
        <row r="4915">
          <cell r="C4915"/>
          <cell r="D4915" t="str">
            <v xml:space="preserve"> </v>
          </cell>
          <cell r="E4915" t="str">
            <v>routage</v>
          </cell>
          <cell r="F4915" t="str">
            <v>du</v>
          </cell>
          <cell r="G4915" t="str">
            <v>règlement</v>
          </cell>
          <cell r="H4915"/>
          <cell r="I4915"/>
        </row>
        <row r="4916">
          <cell r="C4916"/>
          <cell r="D4916" t="str">
            <v>de l'</v>
          </cell>
          <cell r="E4916" t="str">
            <v>opération</v>
          </cell>
          <cell r="F4916" t="str">
            <v>d'</v>
          </cell>
          <cell r="G4916" t="str">
            <v>origine</v>
          </cell>
          <cell r="H4916"/>
          <cell r="I4916"/>
        </row>
        <row r="4917">
          <cell r="C4917"/>
          <cell r="D4917" t="str">
            <v>du</v>
          </cell>
          <cell r="E4917" t="str">
            <v>rédacteur</v>
          </cell>
          <cell r="F4917" t="str">
            <v>d'</v>
          </cell>
          <cell r="G4917" t="str">
            <v>en-tête</v>
          </cell>
          <cell r="H4917" t="str">
            <v>du</v>
          </cell>
          <cell r="I4917" t="str">
            <v>règlement</v>
          </cell>
        </row>
        <row r="4918">
          <cell r="C4918"/>
          <cell r="D4918" t="str">
            <v>de</v>
          </cell>
          <cell r="E4918" t="str">
            <v>règlement</v>
          </cell>
          <cell r="F4918" t="str">
            <v>pour</v>
          </cell>
          <cell r="G4918" t="str">
            <v>erreur</v>
          </cell>
          <cell r="H4918"/>
          <cell r="I4918"/>
        </row>
        <row r="4919">
          <cell r="C4919"/>
          <cell r="D4919" t="str">
            <v>de l'</v>
          </cell>
          <cell r="E4919" t="str">
            <v>activité</v>
          </cell>
          <cell r="F4919" t="str">
            <v>du</v>
          </cell>
          <cell r="G4919" t="str">
            <v>règlement</v>
          </cell>
          <cell r="H4919"/>
          <cell r="I4919"/>
        </row>
        <row r="4920">
          <cell r="C4920"/>
          <cell r="D4920" t="str">
            <v>de</v>
          </cell>
          <cell r="E4920" t="str">
            <v>règlement</v>
          </cell>
          <cell r="F4920"/>
          <cell r="G4920" t="str">
            <v>groupé</v>
          </cell>
          <cell r="H4920"/>
          <cell r="I4920"/>
        </row>
        <row r="4921">
          <cell r="C4921"/>
          <cell r="D4921" t="str">
            <v>de</v>
          </cell>
          <cell r="E4921" t="str">
            <v>forçage</v>
          </cell>
          <cell r="F4921" t="str">
            <v>du</v>
          </cell>
          <cell r="G4921" t="str">
            <v>règlement</v>
          </cell>
          <cell r="H4921"/>
          <cell r="I4921" t="str">
            <v>correspondant</v>
          </cell>
        </row>
        <row r="4922">
          <cell r="C4922"/>
          <cell r="D4922" t="str">
            <v>de</v>
          </cell>
          <cell r="E4922" t="str">
            <v>forçage</v>
          </cell>
          <cell r="F4922" t="str">
            <v>du</v>
          </cell>
          <cell r="G4922" t="str">
            <v>règlement</v>
          </cell>
          <cell r="H4922"/>
          <cell r="I4922" t="str">
            <v>correspondant</v>
          </cell>
        </row>
        <row r="4923">
          <cell r="C4923"/>
          <cell r="D4923" t="str">
            <v>du</v>
          </cell>
          <cell r="E4923" t="str">
            <v>traitement</v>
          </cell>
          <cell r="F4923"/>
          <cell r="G4923" t="str">
            <v>financier</v>
          </cell>
          <cell r="H4923"/>
          <cell r="I4923"/>
        </row>
        <row r="4924">
          <cell r="C4924"/>
          <cell r="D4924" t="str">
            <v>de</v>
          </cell>
          <cell r="E4924" t="str">
            <v>facture</v>
          </cell>
          <cell r="F4924"/>
          <cell r="G4924"/>
          <cell r="H4924"/>
          <cell r="I4924"/>
        </row>
        <row r="4925">
          <cell r="C4925"/>
          <cell r="D4925" t="str">
            <v>du</v>
          </cell>
          <cell r="E4925" t="str">
            <v>bénéficiaire du règlement</v>
          </cell>
          <cell r="F4925" t="str">
            <v>du</v>
          </cell>
          <cell r="G4925" t="str">
            <v>sinistre</v>
          </cell>
          <cell r="H4925"/>
          <cell r="I4925"/>
        </row>
        <row r="4926">
          <cell r="C4926"/>
          <cell r="D4926" t="str">
            <v>du</v>
          </cell>
          <cell r="E4926" t="str">
            <v>Destinataire du règlement</v>
          </cell>
          <cell r="F4926" t="str">
            <v>du</v>
          </cell>
          <cell r="G4926" t="str">
            <v>sinistre</v>
          </cell>
          <cell r="H4926"/>
          <cell r="I4926"/>
        </row>
        <row r="4927">
          <cell r="C4927"/>
          <cell r="D4927" t="str">
            <v>d'</v>
          </cell>
          <cell r="E4927" t="str">
            <v>origine</v>
          </cell>
          <cell r="F4927" t="str">
            <v>du</v>
          </cell>
          <cell r="G4927" t="str">
            <v>règlement</v>
          </cell>
          <cell r="H4927" t="str">
            <v>du</v>
          </cell>
          <cell r="I4927" t="str">
            <v>sinistre</v>
          </cell>
        </row>
        <row r="4928">
          <cell r="C4928"/>
          <cell r="D4928" t="str">
            <v>d'</v>
          </cell>
          <cell r="E4928" t="str">
            <v>origine</v>
          </cell>
          <cell r="F4928" t="str">
            <v>du</v>
          </cell>
          <cell r="G4928" t="str">
            <v>règlement</v>
          </cell>
          <cell r="H4928" t="str">
            <v>d'</v>
          </cell>
          <cell r="I4928" t="str">
            <v>ERMES</v>
          </cell>
        </row>
        <row r="4929">
          <cell r="C4929"/>
          <cell r="D4929" t="str">
            <v>de la</v>
          </cell>
          <cell r="E4929" t="str">
            <v>Société d'assurance</v>
          </cell>
          <cell r="F4929" t="str">
            <v>du</v>
          </cell>
          <cell r="G4929" t="str">
            <v>règlement</v>
          </cell>
          <cell r="H4929"/>
          <cell r="I4929"/>
        </row>
        <row r="4930">
          <cell r="C4930"/>
          <cell r="D4930" t="str">
            <v>de</v>
          </cell>
          <cell r="E4930" t="str">
            <v>correspondant</v>
          </cell>
          <cell r="F4930"/>
          <cell r="G4930"/>
          <cell r="H4930"/>
          <cell r="I4930"/>
        </row>
        <row r="4931">
          <cell r="C4931"/>
          <cell r="D4931" t="str">
            <v>du</v>
          </cell>
          <cell r="E4931" t="str">
            <v>secteur d'activité</v>
          </cell>
          <cell r="F4931" t="str">
            <v>du</v>
          </cell>
          <cell r="G4931" t="str">
            <v>correspondant</v>
          </cell>
          <cell r="H4931"/>
          <cell r="I4931"/>
        </row>
        <row r="4932">
          <cell r="C4932"/>
          <cell r="D4932" t="str">
            <v>du</v>
          </cell>
          <cell r="E4932" t="str">
            <v>type de structure</v>
          </cell>
          <cell r="F4932" t="str">
            <v>du</v>
          </cell>
          <cell r="G4932" t="str">
            <v>correspondant</v>
          </cell>
          <cell r="H4932"/>
          <cell r="I4932"/>
        </row>
        <row r="4933">
          <cell r="C4933"/>
          <cell r="D4933" t="str">
            <v>de la</v>
          </cell>
          <cell r="E4933" t="str">
            <v>structure</v>
          </cell>
          <cell r="F4933" t="str">
            <v>du</v>
          </cell>
          <cell r="G4933" t="str">
            <v>correspondant</v>
          </cell>
          <cell r="H4933"/>
          <cell r="I4933"/>
        </row>
        <row r="4934">
          <cell r="C4934"/>
          <cell r="D4934" t="str">
            <v>de la</v>
          </cell>
          <cell r="E4934" t="str">
            <v>Spécialité professionnelle</v>
          </cell>
          <cell r="F4934" t="str">
            <v>du</v>
          </cell>
          <cell r="G4934" t="str">
            <v>correspondant</v>
          </cell>
          <cell r="H4934"/>
          <cell r="I4934"/>
        </row>
        <row r="4935">
          <cell r="C4935"/>
          <cell r="D4935" t="str">
            <v>du</v>
          </cell>
          <cell r="E4935" t="str">
            <v>type</v>
          </cell>
          <cell r="F4935" t="str">
            <v>de</v>
          </cell>
          <cell r="G4935" t="str">
            <v>bénéficiaire du règlement</v>
          </cell>
          <cell r="H4935" t="str">
            <v>d'</v>
          </cell>
          <cell r="I4935" t="str">
            <v>ERMES</v>
          </cell>
        </row>
        <row r="4936">
          <cell r="C4936"/>
          <cell r="D4936" t="str">
            <v>du</v>
          </cell>
          <cell r="E4936" t="str">
            <v>bénéficiaire du règlement</v>
          </cell>
          <cell r="F4936" t="str">
            <v>d'</v>
          </cell>
          <cell r="G4936" t="str">
            <v>ERMES</v>
          </cell>
          <cell r="H4936"/>
          <cell r="I4936"/>
        </row>
        <row r="4937">
          <cell r="C4937"/>
          <cell r="D4937" t="str">
            <v>du</v>
          </cell>
          <cell r="E4937" t="str">
            <v>rôle</v>
          </cell>
          <cell r="F4937" t="str">
            <v>du</v>
          </cell>
          <cell r="G4937" t="str">
            <v>bénéficiaire du règlement</v>
          </cell>
          <cell r="H4937"/>
          <cell r="I4937"/>
        </row>
        <row r="4938">
          <cell r="C4938"/>
          <cell r="D4938" t="str">
            <v>de</v>
          </cell>
          <cell r="E4938" t="str">
            <v>condition de règlement</v>
          </cell>
          <cell r="F4938" t="str">
            <v>d'</v>
          </cell>
          <cell r="G4938" t="str">
            <v>ERMES</v>
          </cell>
          <cell r="H4938"/>
          <cell r="I4938"/>
        </row>
        <row r="4939">
          <cell r="C4939"/>
          <cell r="D4939" t="str">
            <v>d'</v>
          </cell>
          <cell r="E4939" t="str">
            <v>opération</v>
          </cell>
          <cell r="F4939"/>
          <cell r="G4939"/>
          <cell r="H4939"/>
          <cell r="I4939"/>
        </row>
        <row r="4940">
          <cell r="C4940"/>
          <cell r="D4940" t="str">
            <v>d'</v>
          </cell>
          <cell r="E4940" t="str">
            <v>échéance</v>
          </cell>
          <cell r="F4940" t="str">
            <v xml:space="preserve"> </v>
          </cell>
          <cell r="G4940" t="str">
            <v>prévisionnelle</v>
          </cell>
          <cell r="H4940"/>
          <cell r="I4940"/>
        </row>
        <row r="4941">
          <cell r="C4941"/>
          <cell r="D4941" t="str">
            <v>du</v>
          </cell>
          <cell r="E4941" t="str">
            <v>type</v>
          </cell>
          <cell r="F4941" t="str">
            <v>d'</v>
          </cell>
          <cell r="G4941" t="str">
            <v>échéance</v>
          </cell>
          <cell r="H4941"/>
          <cell r="I4941" t="str">
            <v>prévisionnelle</v>
          </cell>
        </row>
        <row r="4942">
          <cell r="C4942"/>
          <cell r="D4942" t="str">
            <v>de l'</v>
          </cell>
          <cell r="E4942" t="str">
            <v>échéance</v>
          </cell>
          <cell r="F4942"/>
          <cell r="G4942"/>
          <cell r="H4942"/>
          <cell r="I4942"/>
        </row>
        <row r="4943">
          <cell r="C4943"/>
          <cell r="D4943" t="str">
            <v>de</v>
          </cell>
          <cell r="E4943" t="str">
            <v>sinistre</v>
          </cell>
          <cell r="F4943" t="str">
            <v>d'</v>
          </cell>
          <cell r="G4943" t="str">
            <v>ERMES</v>
          </cell>
          <cell r="H4943"/>
          <cell r="I4943"/>
        </row>
        <row r="4944">
          <cell r="C4944"/>
          <cell r="D4944" t="str">
            <v>d'</v>
          </cell>
          <cell r="E4944" t="str">
            <v>échéance</v>
          </cell>
          <cell r="F4944" t="str">
            <v xml:space="preserve"> </v>
          </cell>
          <cell r="G4944" t="str">
            <v>prévisionnelle</v>
          </cell>
          <cell r="H4944"/>
          <cell r="I4944"/>
        </row>
        <row r="4945">
          <cell r="C4945"/>
          <cell r="D4945" t="str">
            <v>d'</v>
          </cell>
          <cell r="E4945" t="str">
            <v>échéance</v>
          </cell>
          <cell r="F4945" t="str">
            <v xml:space="preserve"> </v>
          </cell>
          <cell r="G4945" t="str">
            <v>prévisionnelle</v>
          </cell>
          <cell r="H4945"/>
          <cell r="I4945"/>
        </row>
        <row r="4946">
          <cell r="C4946"/>
          <cell r="D4946" t="str">
            <v>de l'</v>
          </cell>
          <cell r="E4946" t="str">
            <v>établissement</v>
          </cell>
          <cell r="F4946"/>
          <cell r="G4946"/>
          <cell r="H4946"/>
          <cell r="I4946"/>
        </row>
        <row r="4947">
          <cell r="C4947"/>
          <cell r="D4947" t="str">
            <v>du</v>
          </cell>
          <cell r="E4947" t="str">
            <v>guichet de l'établissement</v>
          </cell>
          <cell r="F4947"/>
          <cell r="G4947"/>
          <cell r="H4947"/>
          <cell r="I4947"/>
        </row>
        <row r="4948">
          <cell r="C4948"/>
          <cell r="D4948" t="str">
            <v>du</v>
          </cell>
          <cell r="E4948" t="str">
            <v>bureau du guichet</v>
          </cell>
          <cell r="F4948"/>
          <cell r="G4948"/>
          <cell r="H4948"/>
          <cell r="I4948"/>
        </row>
        <row r="4949">
          <cell r="C4949"/>
          <cell r="D4949" t="str">
            <v>du</v>
          </cell>
          <cell r="E4949" t="str">
            <v>PVA</v>
          </cell>
          <cell r="F4949"/>
          <cell r="G4949"/>
          <cell r="H4949"/>
          <cell r="I4949"/>
        </row>
        <row r="4950">
          <cell r="C4950"/>
          <cell r="D4950" t="str">
            <v>d'</v>
          </cell>
          <cell r="E4950" t="str">
            <v>échéance</v>
          </cell>
          <cell r="F4950" t="str">
            <v>du</v>
          </cell>
          <cell r="G4950" t="str">
            <v>règlement</v>
          </cell>
          <cell r="H4950"/>
          <cell r="I4950"/>
        </row>
        <row r="4951">
          <cell r="C4951"/>
          <cell r="D4951" t="str">
            <v>du</v>
          </cell>
          <cell r="E4951" t="str">
            <v>règlement</v>
          </cell>
          <cell r="F4951" t="str">
            <v>d'</v>
          </cell>
          <cell r="G4951" t="str">
            <v>ERMES</v>
          </cell>
          <cell r="H4951"/>
          <cell r="I4951"/>
        </row>
        <row r="4952">
          <cell r="C4952"/>
          <cell r="D4952" t="str">
            <v>du</v>
          </cell>
          <cell r="E4952" t="str">
            <v>mode de règlement</v>
          </cell>
          <cell r="F4952" t="str">
            <v>d'</v>
          </cell>
          <cell r="G4952" t="str">
            <v>ERMES</v>
          </cell>
          <cell r="H4952"/>
          <cell r="I4952"/>
        </row>
        <row r="4953">
          <cell r="C4953"/>
          <cell r="D4953" t="str">
            <v>du</v>
          </cell>
          <cell r="E4953" t="str">
            <v>règlement</v>
          </cell>
          <cell r="F4953" t="str">
            <v>d'</v>
          </cell>
          <cell r="G4953" t="str">
            <v>ERMES</v>
          </cell>
          <cell r="H4953"/>
          <cell r="I4953"/>
        </row>
        <row r="4954">
          <cell r="C4954"/>
          <cell r="D4954" t="str">
            <v>de</v>
          </cell>
          <cell r="E4954" t="str">
            <v>réalisation</v>
          </cell>
          <cell r="F4954" t="str">
            <v>du</v>
          </cell>
          <cell r="G4954" t="str">
            <v>règlement</v>
          </cell>
          <cell r="H4954" t="str">
            <v>d'</v>
          </cell>
          <cell r="I4954" t="str">
            <v>ERMES</v>
          </cell>
        </row>
        <row r="4955">
          <cell r="C4955"/>
          <cell r="D4955" t="str">
            <v>de</v>
          </cell>
          <cell r="E4955" t="str">
            <v>valeur</v>
          </cell>
          <cell r="F4955" t="str">
            <v>du</v>
          </cell>
          <cell r="G4955" t="str">
            <v>règlement</v>
          </cell>
          <cell r="H4955" t="str">
            <v>d'</v>
          </cell>
          <cell r="I4955" t="str">
            <v>ERMES</v>
          </cell>
        </row>
        <row r="4956">
          <cell r="C4956"/>
          <cell r="D4956" t="str">
            <v>de la</v>
          </cell>
          <cell r="E4956" t="str">
            <v>périodicité</v>
          </cell>
          <cell r="F4956" t="str">
            <v>du</v>
          </cell>
          <cell r="G4956" t="str">
            <v>règlement</v>
          </cell>
          <cell r="H4956"/>
          <cell r="I4956"/>
        </row>
        <row r="4957">
          <cell r="C4957"/>
          <cell r="D4957" t="str">
            <v xml:space="preserve"> </v>
          </cell>
          <cell r="E4957" t="str">
            <v>indicateur</v>
          </cell>
          <cell r="F4957" t="str">
            <v>de</v>
          </cell>
          <cell r="G4957" t="str">
            <v>regroupement</v>
          </cell>
          <cell r="H4957"/>
          <cell r="I4957"/>
        </row>
        <row r="4958">
          <cell r="C4958"/>
          <cell r="D4958" t="str">
            <v>de l'</v>
          </cell>
          <cell r="E4958" t="str">
            <v>état</v>
          </cell>
          <cell r="F4958" t="str">
            <v>du</v>
          </cell>
          <cell r="G4958" t="str">
            <v>règlement</v>
          </cell>
          <cell r="H4958"/>
          <cell r="I4958"/>
        </row>
        <row r="4959">
          <cell r="C4959"/>
          <cell r="D4959" t="str">
            <v>de</v>
          </cell>
          <cell r="E4959" t="str">
            <v>Dernier état</v>
          </cell>
          <cell r="F4959" t="str">
            <v>du</v>
          </cell>
          <cell r="G4959" t="str">
            <v>règlement</v>
          </cell>
          <cell r="H4959"/>
          <cell r="I4959"/>
        </row>
        <row r="4960">
          <cell r="C4960"/>
          <cell r="D4960" t="str">
            <v xml:space="preserve"> </v>
          </cell>
          <cell r="E4960" t="str">
            <v>métier</v>
          </cell>
          <cell r="F4960" t="str">
            <v>d'</v>
          </cell>
          <cell r="G4960" t="str">
            <v>ERMES</v>
          </cell>
          <cell r="H4960"/>
          <cell r="I4960"/>
        </row>
        <row r="4961">
          <cell r="C4961"/>
          <cell r="D4961" t="str">
            <v>du</v>
          </cell>
          <cell r="E4961" t="str">
            <v>compte bancaire</v>
          </cell>
          <cell r="F4961" t="str">
            <v>du</v>
          </cell>
          <cell r="G4961" t="str">
            <v>destinataire du règlement</v>
          </cell>
          <cell r="H4961" t="str">
            <v>d'</v>
          </cell>
          <cell r="I4961" t="str">
            <v>ERMES</v>
          </cell>
        </row>
        <row r="4962">
          <cell r="C4962"/>
          <cell r="D4962" t="str">
            <v>du</v>
          </cell>
          <cell r="E4962" t="str">
            <v>règlement</v>
          </cell>
          <cell r="F4962" t="str">
            <v>d'</v>
          </cell>
          <cell r="G4962" t="str">
            <v>ERMES</v>
          </cell>
          <cell r="H4962"/>
          <cell r="I4962"/>
        </row>
        <row r="4963">
          <cell r="C4963"/>
          <cell r="D4963" t="str">
            <v xml:space="preserve"> </v>
          </cell>
          <cell r="E4963" t="str">
            <v>SEPA</v>
          </cell>
          <cell r="F4963" t="str">
            <v>du</v>
          </cell>
          <cell r="G4963" t="str">
            <v>règlement</v>
          </cell>
          <cell r="H4963"/>
          <cell r="I4963"/>
        </row>
        <row r="4964">
          <cell r="C4964"/>
          <cell r="D4964" t="str">
            <v>de l'</v>
          </cell>
          <cell r="E4964" t="str">
            <v>état</v>
          </cell>
          <cell r="F4964" t="str">
            <v xml:space="preserve"> </v>
          </cell>
          <cell r="G4964" t="str">
            <v>prévisionnelle</v>
          </cell>
          <cell r="H4964"/>
          <cell r="I4964"/>
        </row>
        <row r="4965">
          <cell r="C4965"/>
          <cell r="D4965" t="str">
            <v>de l'</v>
          </cell>
          <cell r="E4965" t="str">
            <v>état</v>
          </cell>
          <cell r="F4965" t="str">
            <v xml:space="preserve"> </v>
          </cell>
          <cell r="G4965" t="str">
            <v>prévisionnelle</v>
          </cell>
          <cell r="H4965"/>
          <cell r="I4965"/>
        </row>
        <row r="4966">
          <cell r="C4966"/>
          <cell r="D4966" t="str">
            <v xml:space="preserve"> </v>
          </cell>
          <cell r="E4966" t="str">
            <v>logique</v>
          </cell>
          <cell r="F4966" t="str">
            <v>de</v>
          </cell>
          <cell r="G4966" t="str">
            <v>création</v>
          </cell>
          <cell r="H4966" t="str">
            <v>de l'</v>
          </cell>
          <cell r="I4966" t="str">
            <v>état</v>
          </cell>
        </row>
        <row r="4967">
          <cell r="C4967"/>
          <cell r="D4967" t="str">
            <v xml:space="preserve"> </v>
          </cell>
          <cell r="E4967" t="str">
            <v>physique</v>
          </cell>
          <cell r="F4967" t="str">
            <v>de</v>
          </cell>
          <cell r="G4967" t="str">
            <v>création</v>
          </cell>
          <cell r="H4967" t="str">
            <v>de l'</v>
          </cell>
          <cell r="I4967" t="str">
            <v>état</v>
          </cell>
        </row>
        <row r="4968">
          <cell r="C4968"/>
          <cell r="D4968" t="str">
            <v>de l'</v>
          </cell>
          <cell r="E4968" t="str">
            <v>état</v>
          </cell>
          <cell r="F4968" t="str">
            <v xml:space="preserve"> </v>
          </cell>
          <cell r="G4968" t="str">
            <v>réglé</v>
          </cell>
          <cell r="H4968"/>
          <cell r="I4968"/>
        </row>
        <row r="4969">
          <cell r="C4969"/>
          <cell r="D4969" t="str">
            <v>de l'</v>
          </cell>
          <cell r="E4969" t="str">
            <v>état</v>
          </cell>
          <cell r="F4969" t="str">
            <v xml:space="preserve"> </v>
          </cell>
          <cell r="G4969" t="str">
            <v>réglé</v>
          </cell>
          <cell r="H4969"/>
          <cell r="I4969"/>
        </row>
        <row r="4970">
          <cell r="C4970"/>
          <cell r="D4970" t="str">
            <v xml:space="preserve"> </v>
          </cell>
          <cell r="E4970" t="str">
            <v>logique</v>
          </cell>
          <cell r="F4970" t="str">
            <v>de</v>
          </cell>
          <cell r="G4970" t="str">
            <v>création</v>
          </cell>
          <cell r="H4970" t="str">
            <v>de l'</v>
          </cell>
          <cell r="I4970" t="str">
            <v>état</v>
          </cell>
        </row>
        <row r="4971">
          <cell r="C4971"/>
          <cell r="D4971" t="str">
            <v xml:space="preserve"> </v>
          </cell>
          <cell r="E4971" t="str">
            <v>physique</v>
          </cell>
          <cell r="F4971" t="str">
            <v>de</v>
          </cell>
          <cell r="G4971" t="str">
            <v>création</v>
          </cell>
          <cell r="H4971" t="str">
            <v>de l'</v>
          </cell>
          <cell r="I4971" t="str">
            <v>état</v>
          </cell>
        </row>
        <row r="4972">
          <cell r="C4972"/>
          <cell r="D4972" t="str">
            <v>de l'</v>
          </cell>
          <cell r="E4972" t="str">
            <v>état</v>
          </cell>
          <cell r="F4972" t="str">
            <v xml:space="preserve"> </v>
          </cell>
          <cell r="G4972" t="str">
            <v>impayés</v>
          </cell>
          <cell r="H4972"/>
          <cell r="I4972"/>
        </row>
        <row r="4973">
          <cell r="C4973"/>
          <cell r="D4973" t="str">
            <v>de l'</v>
          </cell>
          <cell r="E4973" t="str">
            <v>état</v>
          </cell>
          <cell r="F4973" t="str">
            <v xml:space="preserve"> </v>
          </cell>
          <cell r="G4973" t="str">
            <v>impayés</v>
          </cell>
          <cell r="H4973"/>
          <cell r="I4973"/>
        </row>
        <row r="4974">
          <cell r="C4974"/>
          <cell r="D4974" t="str">
            <v xml:space="preserve"> </v>
          </cell>
          <cell r="E4974" t="str">
            <v>logique</v>
          </cell>
          <cell r="F4974" t="str">
            <v>de</v>
          </cell>
          <cell r="G4974" t="str">
            <v>création</v>
          </cell>
          <cell r="H4974" t="str">
            <v>de l'</v>
          </cell>
          <cell r="I4974" t="str">
            <v>état</v>
          </cell>
        </row>
        <row r="4975">
          <cell r="C4975"/>
          <cell r="D4975" t="str">
            <v xml:space="preserve"> </v>
          </cell>
          <cell r="E4975" t="str">
            <v>physique</v>
          </cell>
          <cell r="F4975" t="str">
            <v>de</v>
          </cell>
          <cell r="G4975" t="str">
            <v>création</v>
          </cell>
          <cell r="H4975" t="str">
            <v>de l'</v>
          </cell>
          <cell r="I4975" t="str">
            <v>état</v>
          </cell>
        </row>
        <row r="4976">
          <cell r="C4976"/>
          <cell r="D4976" t="str">
            <v>de l'</v>
          </cell>
          <cell r="E4976" t="str">
            <v>état</v>
          </cell>
          <cell r="F4976" t="str">
            <v xml:space="preserve"> </v>
          </cell>
          <cell r="G4976" t="str">
            <v>rejeté</v>
          </cell>
          <cell r="H4976"/>
          <cell r="I4976"/>
        </row>
        <row r="4977">
          <cell r="C4977"/>
          <cell r="D4977" t="str">
            <v>de l'</v>
          </cell>
          <cell r="E4977" t="str">
            <v>état</v>
          </cell>
          <cell r="F4977" t="str">
            <v xml:space="preserve"> </v>
          </cell>
          <cell r="G4977" t="str">
            <v>rejeté</v>
          </cell>
          <cell r="H4977"/>
          <cell r="I4977"/>
        </row>
        <row r="4978">
          <cell r="C4978"/>
          <cell r="D4978" t="str">
            <v xml:space="preserve"> </v>
          </cell>
          <cell r="E4978" t="str">
            <v>logique</v>
          </cell>
          <cell r="F4978" t="str">
            <v>de</v>
          </cell>
          <cell r="G4978" t="str">
            <v>création</v>
          </cell>
          <cell r="H4978" t="str">
            <v>de l'</v>
          </cell>
          <cell r="I4978" t="str">
            <v>état</v>
          </cell>
        </row>
        <row r="4979">
          <cell r="C4979"/>
          <cell r="D4979" t="str">
            <v xml:space="preserve"> </v>
          </cell>
          <cell r="E4979" t="str">
            <v>physique</v>
          </cell>
          <cell r="F4979" t="str">
            <v>de</v>
          </cell>
          <cell r="G4979" t="str">
            <v>création</v>
          </cell>
          <cell r="H4979" t="str">
            <v>de l'</v>
          </cell>
          <cell r="I4979" t="str">
            <v>état</v>
          </cell>
        </row>
        <row r="4980">
          <cell r="C4980"/>
          <cell r="D4980" t="str">
            <v>de l'</v>
          </cell>
          <cell r="E4980" t="str">
            <v>échéance</v>
          </cell>
          <cell r="F4980" t="str">
            <v xml:space="preserve"> </v>
          </cell>
          <cell r="G4980"/>
          <cell r="H4980"/>
          <cell r="I4980"/>
        </row>
        <row r="4981">
          <cell r="C4981"/>
          <cell r="D4981" t="str">
            <v>de l'</v>
          </cell>
          <cell r="E4981" t="str">
            <v>échéance</v>
          </cell>
          <cell r="F4981"/>
          <cell r="G4981"/>
          <cell r="H4981"/>
          <cell r="I4981"/>
        </row>
        <row r="4982">
          <cell r="C4982"/>
          <cell r="D4982" t="str">
            <v xml:space="preserve"> </v>
          </cell>
          <cell r="E4982" t="str">
            <v>logique</v>
          </cell>
          <cell r="F4982" t="str">
            <v>de</v>
          </cell>
          <cell r="G4982" t="str">
            <v>mise à jour</v>
          </cell>
          <cell r="H4982" t="str">
            <v>de l'</v>
          </cell>
          <cell r="I4982" t="str">
            <v>échéance</v>
          </cell>
        </row>
        <row r="4983">
          <cell r="C4983"/>
          <cell r="D4983" t="str">
            <v xml:space="preserve"> </v>
          </cell>
          <cell r="E4983" t="str">
            <v>physique</v>
          </cell>
          <cell r="F4983" t="str">
            <v>de</v>
          </cell>
          <cell r="G4983" t="str">
            <v>mise à jour</v>
          </cell>
          <cell r="H4983" t="str">
            <v>de l'</v>
          </cell>
          <cell r="I4983" t="str">
            <v>échéance</v>
          </cell>
        </row>
        <row r="4984">
          <cell r="C4984"/>
          <cell r="D4984" t="str">
            <v>du</v>
          </cell>
          <cell r="E4984" t="str">
            <v>règlement</v>
          </cell>
          <cell r="F4984" t="str">
            <v>d'</v>
          </cell>
          <cell r="G4984" t="str">
            <v>ERMES</v>
          </cell>
          <cell r="H4984"/>
          <cell r="I4984"/>
        </row>
        <row r="4985">
          <cell r="C4985"/>
          <cell r="D4985" t="str">
            <v>du</v>
          </cell>
          <cell r="E4985" t="str">
            <v>signalement</v>
          </cell>
          <cell r="F4985" t="str">
            <v>de</v>
          </cell>
          <cell r="G4985" t="str">
            <v>comptabilisation</v>
          </cell>
          <cell r="H4985"/>
          <cell r="I4985"/>
        </row>
        <row r="4986">
          <cell r="C4986"/>
          <cell r="D4986" t="str">
            <v>d'</v>
          </cell>
          <cell r="E4986" t="str">
            <v>échéance</v>
          </cell>
          <cell r="F4986" t="str">
            <v xml:space="preserve"> </v>
          </cell>
          <cell r="G4986" t="str">
            <v>lié</v>
          </cell>
          <cell r="H4986"/>
          <cell r="I4986"/>
        </row>
        <row r="4987">
          <cell r="C4987"/>
          <cell r="D4987" t="str">
            <v>du</v>
          </cell>
          <cell r="E4987" t="str">
            <v>type</v>
          </cell>
          <cell r="F4987" t="str">
            <v>de</v>
          </cell>
          <cell r="G4987" t="str">
            <v>mouvement financier</v>
          </cell>
          <cell r="H4987"/>
          <cell r="I4987"/>
        </row>
        <row r="4988">
          <cell r="C4988"/>
          <cell r="D4988" t="str">
            <v>de la</v>
          </cell>
          <cell r="E4988" t="str">
            <v>date</v>
          </cell>
          <cell r="F4988" t="str">
            <v>du</v>
          </cell>
          <cell r="G4988" t="str">
            <v>mouvement financier</v>
          </cell>
          <cell r="H4988"/>
          <cell r="I4988"/>
        </row>
        <row r="4989">
          <cell r="C4989"/>
          <cell r="D4989" t="str">
            <v>d'</v>
          </cell>
          <cell r="E4989" t="str">
            <v>ordre</v>
          </cell>
          <cell r="F4989" t="str">
            <v>du</v>
          </cell>
          <cell r="G4989" t="str">
            <v>mouvement financier</v>
          </cell>
          <cell r="H4989"/>
          <cell r="I4989"/>
        </row>
        <row r="4990">
          <cell r="C4990"/>
          <cell r="D4990" t="str">
            <v>du</v>
          </cell>
          <cell r="E4990" t="str">
            <v>site de gestion</v>
          </cell>
          <cell r="F4990" t="str">
            <v>du</v>
          </cell>
          <cell r="G4990" t="str">
            <v>mouvement financier</v>
          </cell>
          <cell r="H4990"/>
          <cell r="I4990"/>
        </row>
        <row r="4991">
          <cell r="C4991"/>
          <cell r="D4991" t="str">
            <v>du</v>
          </cell>
          <cell r="E4991" t="str">
            <v>mouvement financier</v>
          </cell>
          <cell r="F4991" t="str">
            <v>du</v>
          </cell>
          <cell r="G4991" t="str">
            <v>sinistre</v>
          </cell>
          <cell r="H4991"/>
          <cell r="I4991" t="str">
            <v>ERMES</v>
          </cell>
        </row>
        <row r="4992">
          <cell r="C4992"/>
          <cell r="D4992" t="str">
            <v>du</v>
          </cell>
          <cell r="E4992" t="str">
            <v>mouvement financier</v>
          </cell>
          <cell r="F4992" t="str">
            <v>du</v>
          </cell>
          <cell r="G4992" t="str">
            <v>sinistre</v>
          </cell>
          <cell r="H4992"/>
          <cell r="I4992" t="str">
            <v>ERMES</v>
          </cell>
        </row>
        <row r="4993">
          <cell r="C4993"/>
          <cell r="D4993" t="str">
            <v>du</v>
          </cell>
          <cell r="E4993" t="str">
            <v>mouvement financier</v>
          </cell>
          <cell r="F4993" t="str">
            <v>du</v>
          </cell>
          <cell r="G4993" t="str">
            <v>sinistre</v>
          </cell>
          <cell r="H4993"/>
          <cell r="I4993" t="str">
            <v>ERMES</v>
          </cell>
        </row>
        <row r="4994">
          <cell r="C4994"/>
          <cell r="D4994" t="str">
            <v>du</v>
          </cell>
          <cell r="E4994" t="str">
            <v>mouvement financier</v>
          </cell>
          <cell r="F4994" t="str">
            <v>du</v>
          </cell>
          <cell r="G4994" t="str">
            <v>sinistre</v>
          </cell>
          <cell r="H4994"/>
          <cell r="I4994" t="str">
            <v>ERMES</v>
          </cell>
        </row>
        <row r="4995">
          <cell r="C4995" t="str">
            <v>dernière image</v>
          </cell>
          <cell r="D4995" t="str">
            <v>du</v>
          </cell>
          <cell r="E4995" t="str">
            <v>mouvement financier</v>
          </cell>
          <cell r="F4995" t="str">
            <v>du</v>
          </cell>
          <cell r="G4995" t="str">
            <v>sinistre</v>
          </cell>
          <cell r="H4995"/>
          <cell r="I4995" t="str">
            <v>ERMES</v>
          </cell>
        </row>
        <row r="4996">
          <cell r="C4996"/>
          <cell r="D4996" t="str">
            <v>de l'</v>
          </cell>
          <cell r="E4996" t="str">
            <v>application source</v>
          </cell>
          <cell r="F4996"/>
          <cell r="G4996"/>
          <cell r="H4996"/>
          <cell r="I4996"/>
        </row>
        <row r="4997">
          <cell r="C4997"/>
          <cell r="D4997" t="str">
            <v>de la</v>
          </cell>
          <cell r="E4997" t="str">
            <v>table</v>
          </cell>
          <cell r="F4997" t="str">
            <v xml:space="preserve"> </v>
          </cell>
          <cell r="G4997" t="str">
            <v>source</v>
          </cell>
          <cell r="H4997"/>
          <cell r="I4997"/>
        </row>
        <row r="4998">
          <cell r="C4998"/>
          <cell r="D4998" t="str">
            <v>du</v>
          </cell>
          <cell r="E4998" t="str">
            <v>type</v>
          </cell>
          <cell r="F4998" t="str">
            <v>de</v>
          </cell>
          <cell r="G4998" t="str">
            <v>mouvement financier</v>
          </cell>
          <cell r="H4998"/>
          <cell r="I4998"/>
        </row>
        <row r="4999">
          <cell r="C4999"/>
          <cell r="D4999" t="str">
            <v>de la</v>
          </cell>
          <cell r="E4999" t="str">
            <v>date</v>
          </cell>
          <cell r="F4999" t="str">
            <v>du</v>
          </cell>
          <cell r="G4999" t="str">
            <v>mouvement financier</v>
          </cell>
          <cell r="H4999"/>
          <cell r="I4999"/>
        </row>
        <row r="5000">
          <cell r="C5000"/>
          <cell r="D5000" t="str">
            <v>d'</v>
          </cell>
          <cell r="E5000" t="str">
            <v>ordre</v>
          </cell>
          <cell r="F5000" t="str">
            <v>du</v>
          </cell>
          <cell r="G5000" t="str">
            <v>mouvement financier</v>
          </cell>
          <cell r="H5000"/>
          <cell r="I5000"/>
        </row>
        <row r="5001">
          <cell r="C5001"/>
          <cell r="D5001" t="str">
            <v>du</v>
          </cell>
          <cell r="E5001" t="str">
            <v>site de gestion</v>
          </cell>
          <cell r="F5001" t="str">
            <v>du</v>
          </cell>
          <cell r="G5001" t="str">
            <v>mouvement financier</v>
          </cell>
          <cell r="H5001"/>
          <cell r="I5001"/>
        </row>
        <row r="5002">
          <cell r="C5002"/>
          <cell r="D5002" t="str">
            <v>de</v>
          </cell>
          <cell r="E5002" t="str">
            <v>valeur</v>
          </cell>
          <cell r="F5002" t="str">
            <v xml:space="preserve"> </v>
          </cell>
          <cell r="G5002" t="str">
            <v>corrigé</v>
          </cell>
          <cell r="H5002"/>
          <cell r="I5002"/>
        </row>
        <row r="5003">
          <cell r="C5003"/>
          <cell r="D5003" t="str">
            <v>du</v>
          </cell>
          <cell r="E5003" t="str">
            <v>compte bancaire</v>
          </cell>
          <cell r="F5003" t="str">
            <v>du</v>
          </cell>
          <cell r="G5003" t="str">
            <v>mouvement financier</v>
          </cell>
          <cell r="H5003" t="str">
            <v>d'</v>
          </cell>
          <cell r="I5003" t="str">
            <v>ERMES</v>
          </cell>
        </row>
        <row r="5004">
          <cell r="C5004"/>
          <cell r="D5004" t="str">
            <v>du</v>
          </cell>
          <cell r="E5004" t="str">
            <v>mouvement financier</v>
          </cell>
          <cell r="F5004" t="str">
            <v>d'</v>
          </cell>
          <cell r="G5004" t="str">
            <v>ERMES</v>
          </cell>
          <cell r="H5004"/>
          <cell r="I5004"/>
        </row>
        <row r="5005">
          <cell r="C5005"/>
          <cell r="D5005" t="str">
            <v xml:space="preserve"> </v>
          </cell>
          <cell r="E5005" t="str">
            <v>SEPA</v>
          </cell>
          <cell r="F5005" t="str">
            <v>du</v>
          </cell>
          <cell r="G5005" t="str">
            <v>mouvement financier</v>
          </cell>
          <cell r="H5005"/>
          <cell r="I5005"/>
        </row>
        <row r="5006">
          <cell r="C5006"/>
          <cell r="D5006" t="str">
            <v>du</v>
          </cell>
          <cell r="E5006" t="str">
            <v>mouvement financier</v>
          </cell>
          <cell r="F5006" t="str">
            <v>d'</v>
          </cell>
          <cell r="G5006" t="str">
            <v>ERMES</v>
          </cell>
          <cell r="H5006"/>
          <cell r="I5006"/>
        </row>
        <row r="5007">
          <cell r="C5007"/>
          <cell r="D5007" t="str">
            <v>du</v>
          </cell>
          <cell r="E5007" t="str">
            <v>mouvement financier</v>
          </cell>
          <cell r="F5007" t="str">
            <v>d'</v>
          </cell>
          <cell r="G5007" t="str">
            <v>ERMES</v>
          </cell>
          <cell r="H5007"/>
          <cell r="I5007"/>
        </row>
        <row r="5008">
          <cell r="C5008"/>
          <cell r="D5008" t="str">
            <v>de</v>
          </cell>
          <cell r="E5008" t="str">
            <v>règlement</v>
          </cell>
          <cell r="F5008" t="str">
            <v>du</v>
          </cell>
          <cell r="G5008" t="str">
            <v>mouvement financier</v>
          </cell>
          <cell r="H5008" t="str">
            <v>d'</v>
          </cell>
          <cell r="I5008" t="str">
            <v>ERMES</v>
          </cell>
        </row>
        <row r="5009">
          <cell r="C5009"/>
          <cell r="D5009" t="str">
            <v>de</v>
          </cell>
          <cell r="E5009" t="str">
            <v>rejet</v>
          </cell>
          <cell r="F5009" t="str">
            <v>du</v>
          </cell>
          <cell r="G5009" t="str">
            <v>mouvement financier</v>
          </cell>
          <cell r="H5009" t="str">
            <v>d'</v>
          </cell>
          <cell r="I5009" t="str">
            <v>ERMES</v>
          </cell>
        </row>
        <row r="5010">
          <cell r="C5010"/>
          <cell r="D5010" t="str">
            <v xml:space="preserve"> </v>
          </cell>
          <cell r="E5010" t="str">
            <v>logique</v>
          </cell>
          <cell r="F5010" t="str">
            <v>du</v>
          </cell>
          <cell r="G5010" t="str">
            <v>rejet</v>
          </cell>
          <cell r="H5010" t="str">
            <v>du</v>
          </cell>
          <cell r="I5010" t="str">
            <v>mouvement financier</v>
          </cell>
        </row>
        <row r="5011">
          <cell r="C5011"/>
          <cell r="D5011" t="str">
            <v xml:space="preserve"> </v>
          </cell>
          <cell r="E5011" t="str">
            <v>physique</v>
          </cell>
          <cell r="F5011" t="str">
            <v>du</v>
          </cell>
          <cell r="G5011" t="str">
            <v>rejet</v>
          </cell>
          <cell r="H5011" t="str">
            <v>du</v>
          </cell>
          <cell r="I5011" t="str">
            <v>mouvement financier</v>
          </cell>
        </row>
        <row r="5012">
          <cell r="C5012"/>
          <cell r="D5012" t="str">
            <v>du</v>
          </cell>
          <cell r="E5012" t="str">
            <v>motif</v>
          </cell>
          <cell r="F5012" t="str">
            <v>du</v>
          </cell>
          <cell r="G5012" t="str">
            <v>rejet</v>
          </cell>
          <cell r="H5012" t="str">
            <v>du</v>
          </cell>
          <cell r="I5012" t="str">
            <v>mouvement financier</v>
          </cell>
        </row>
        <row r="5013">
          <cell r="C5013"/>
          <cell r="D5013" t="str">
            <v>du</v>
          </cell>
          <cell r="E5013" t="str">
            <v>compte</v>
          </cell>
          <cell r="F5013" t="str">
            <v>de</v>
          </cell>
          <cell r="G5013" t="str">
            <v>contrepartie</v>
          </cell>
          <cell r="H5013" t="str">
            <v>du</v>
          </cell>
          <cell r="I5013" t="str">
            <v>mouvement financier</v>
          </cell>
        </row>
        <row r="5014">
          <cell r="C5014"/>
          <cell r="D5014" t="str">
            <v>de l'</v>
          </cell>
          <cell r="E5014" t="str">
            <v>état</v>
          </cell>
          <cell r="F5014" t="str">
            <v>du</v>
          </cell>
          <cell r="G5014" t="str">
            <v>mouvement financier</v>
          </cell>
          <cell r="H5014" t="str">
            <v>d'</v>
          </cell>
          <cell r="I5014" t="str">
            <v>ERMES</v>
          </cell>
        </row>
        <row r="5015">
          <cell r="C5015"/>
          <cell r="D5015" t="str">
            <v>de l'</v>
          </cell>
          <cell r="E5015" t="str">
            <v>état</v>
          </cell>
          <cell r="F5015" t="str">
            <v>du</v>
          </cell>
          <cell r="G5015" t="str">
            <v>mouvement financier</v>
          </cell>
          <cell r="H5015" t="str">
            <v>d'</v>
          </cell>
          <cell r="I5015" t="str">
            <v>ERMES</v>
          </cell>
        </row>
        <row r="5016">
          <cell r="C5016"/>
          <cell r="D5016" t="str">
            <v xml:space="preserve"> </v>
          </cell>
          <cell r="E5016" t="str">
            <v>logique</v>
          </cell>
          <cell r="F5016" t="str">
            <v>de l'</v>
          </cell>
          <cell r="G5016" t="str">
            <v>état</v>
          </cell>
          <cell r="H5016" t="str">
            <v>du</v>
          </cell>
          <cell r="I5016" t="str">
            <v>mouvement financier</v>
          </cell>
        </row>
        <row r="5017">
          <cell r="C5017"/>
          <cell r="D5017" t="str">
            <v xml:space="preserve"> </v>
          </cell>
          <cell r="E5017" t="str">
            <v>physique</v>
          </cell>
          <cell r="F5017" t="str">
            <v>de l'</v>
          </cell>
          <cell r="G5017" t="str">
            <v>état</v>
          </cell>
          <cell r="H5017" t="str">
            <v>du</v>
          </cell>
          <cell r="I5017" t="str">
            <v>mouvement financier</v>
          </cell>
        </row>
        <row r="5018">
          <cell r="C5018"/>
          <cell r="D5018" t="str">
            <v>du</v>
          </cell>
          <cell r="E5018" t="str">
            <v>rejet</v>
          </cell>
          <cell r="F5018" t="str">
            <v xml:space="preserve"> </v>
          </cell>
          <cell r="G5018" t="str">
            <v>SEPA</v>
          </cell>
          <cell r="H5018" t="str">
            <v>du</v>
          </cell>
          <cell r="I5018" t="str">
            <v>mouvement financier</v>
          </cell>
        </row>
        <row r="5019">
          <cell r="C5019"/>
          <cell r="D5019" t="str">
            <v xml:space="preserve"> </v>
          </cell>
          <cell r="E5019" t="str">
            <v>nature</v>
          </cell>
          <cell r="F5019" t="str">
            <v>du</v>
          </cell>
          <cell r="G5019" t="str">
            <v>mouvement financier</v>
          </cell>
          <cell r="H5019"/>
          <cell r="I5019"/>
        </row>
        <row r="5020">
          <cell r="C5020"/>
          <cell r="D5020" t="str">
            <v>du</v>
          </cell>
          <cell r="E5020" t="str">
            <v>règlement</v>
          </cell>
          <cell r="F5020" t="str">
            <v>du</v>
          </cell>
          <cell r="G5020" t="str">
            <v>financier</v>
          </cell>
          <cell r="H5020"/>
          <cell r="I5020"/>
        </row>
        <row r="5021">
          <cell r="C5021"/>
          <cell r="D5021" t="str">
            <v>du</v>
          </cell>
          <cell r="E5021" t="str">
            <v>mouvement financier</v>
          </cell>
          <cell r="F5021" t="str">
            <v>du</v>
          </cell>
          <cell r="G5021" t="str">
            <v>financier</v>
          </cell>
          <cell r="H5021"/>
          <cell r="I5021"/>
        </row>
        <row r="5022">
          <cell r="C5022"/>
          <cell r="D5022" t="str">
            <v>de l'</v>
          </cell>
          <cell r="E5022" t="str">
            <v>opération financière</v>
          </cell>
          <cell r="F5022" t="str">
            <v>du</v>
          </cell>
          <cell r="G5022" t="str">
            <v>financier</v>
          </cell>
          <cell r="H5022"/>
          <cell r="I5022"/>
        </row>
        <row r="5023">
          <cell r="C5023"/>
          <cell r="D5023" t="str">
            <v>du</v>
          </cell>
          <cell r="E5023" t="str">
            <v>type</v>
          </cell>
          <cell r="F5023" t="str">
            <v>de</v>
          </cell>
          <cell r="G5023" t="str">
            <v>référence</v>
          </cell>
          <cell r="H5023" t="str">
            <v>du</v>
          </cell>
          <cell r="I5023" t="str">
            <v>compte bancaire</v>
          </cell>
        </row>
        <row r="5024">
          <cell r="C5024"/>
          <cell r="D5024" t="str">
            <v>du</v>
          </cell>
          <cell r="E5024" t="str">
            <v>compte bancaire</v>
          </cell>
          <cell r="F5024" t="str">
            <v>du</v>
          </cell>
          <cell r="G5024" t="str">
            <v>donneur d'ordre</v>
          </cell>
          <cell r="H5024" t="str">
            <v>du</v>
          </cell>
          <cell r="I5024" t="str">
            <v>financier</v>
          </cell>
        </row>
        <row r="5025">
          <cell r="C5025"/>
          <cell r="D5025" t="str">
            <v>du</v>
          </cell>
          <cell r="E5025" t="str">
            <v>compte bancaire</v>
          </cell>
          <cell r="F5025" t="str">
            <v>du</v>
          </cell>
          <cell r="G5025" t="str">
            <v>donneur d'ordre</v>
          </cell>
          <cell r="H5025" t="str">
            <v>du</v>
          </cell>
          <cell r="I5025" t="str">
            <v>financier</v>
          </cell>
        </row>
        <row r="5026">
          <cell r="C5026"/>
          <cell r="D5026" t="str">
            <v>du</v>
          </cell>
          <cell r="E5026" t="str">
            <v>donneur d'ordre</v>
          </cell>
          <cell r="F5026" t="str">
            <v>du</v>
          </cell>
          <cell r="G5026" t="str">
            <v>financier</v>
          </cell>
          <cell r="H5026"/>
          <cell r="I5026"/>
        </row>
        <row r="5027">
          <cell r="C5027"/>
          <cell r="D5027" t="str">
            <v>du</v>
          </cell>
          <cell r="E5027" t="str">
            <v>type</v>
          </cell>
          <cell r="F5027" t="str">
            <v>de</v>
          </cell>
          <cell r="G5027" t="str">
            <v>référence</v>
          </cell>
          <cell r="H5027" t="str">
            <v>du</v>
          </cell>
          <cell r="I5027" t="str">
            <v>compte bancaire</v>
          </cell>
        </row>
        <row r="5028">
          <cell r="C5028"/>
          <cell r="D5028" t="str">
            <v>du</v>
          </cell>
          <cell r="E5028" t="str">
            <v>compte bancaire</v>
          </cell>
          <cell r="F5028" t="str">
            <v>du</v>
          </cell>
          <cell r="G5028" t="str">
            <v>Destinataire du règlement</v>
          </cell>
          <cell r="H5028" t="str">
            <v>du</v>
          </cell>
          <cell r="I5028" t="str">
            <v>financier</v>
          </cell>
        </row>
        <row r="5029">
          <cell r="C5029"/>
          <cell r="D5029" t="str">
            <v>du</v>
          </cell>
          <cell r="E5029" t="str">
            <v>compte bancaire</v>
          </cell>
          <cell r="F5029" t="str">
            <v>du</v>
          </cell>
          <cell r="G5029" t="str">
            <v>Destinataire du règlement</v>
          </cell>
          <cell r="H5029" t="str">
            <v>du</v>
          </cell>
          <cell r="I5029" t="str">
            <v>financier</v>
          </cell>
        </row>
        <row r="5030">
          <cell r="C5030"/>
          <cell r="D5030" t="str">
            <v>du</v>
          </cell>
          <cell r="E5030" t="str">
            <v>Destinataire du règlement</v>
          </cell>
          <cell r="F5030" t="str">
            <v>du</v>
          </cell>
          <cell r="G5030" t="str">
            <v>financier</v>
          </cell>
          <cell r="H5030"/>
          <cell r="I5030"/>
        </row>
        <row r="5031">
          <cell r="C5031"/>
          <cell r="D5031" t="str">
            <v>du</v>
          </cell>
          <cell r="E5031" t="str">
            <v>Type de traitement</v>
          </cell>
          <cell r="F5031"/>
          <cell r="G5031"/>
          <cell r="H5031"/>
          <cell r="I5031"/>
        </row>
        <row r="5032">
          <cell r="C5032"/>
          <cell r="D5032" t="str">
            <v>de la</v>
          </cell>
          <cell r="E5032" t="str">
            <v>Société d'assurance</v>
          </cell>
          <cell r="F5032"/>
          <cell r="G5032"/>
          <cell r="H5032"/>
          <cell r="I5032"/>
        </row>
        <row r="5033">
          <cell r="C5033"/>
          <cell r="D5033" t="str">
            <v>du</v>
          </cell>
          <cell r="E5033" t="str">
            <v>type</v>
          </cell>
          <cell r="F5033" t="str">
            <v>de</v>
          </cell>
          <cell r="G5033" t="str">
            <v>référence</v>
          </cell>
          <cell r="H5033"/>
          <cell r="I5033"/>
        </row>
        <row r="5034">
          <cell r="C5034"/>
          <cell r="D5034" t="str">
            <v>du</v>
          </cell>
          <cell r="E5034" t="str">
            <v>Produit d'Assurance</v>
          </cell>
          <cell r="F5034"/>
          <cell r="G5034"/>
          <cell r="H5034"/>
          <cell r="I5034"/>
        </row>
        <row r="5035">
          <cell r="C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cell r="F5036"/>
          <cell r="G5036"/>
          <cell r="H5036"/>
          <cell r="I5036"/>
        </row>
        <row r="5037">
          <cell r="C5037"/>
          <cell r="D5037" t="str">
            <v>de</v>
          </cell>
          <cell r="E5037" t="str">
            <v>sinistre</v>
          </cell>
          <cell r="F5037" t="str">
            <v>du</v>
          </cell>
          <cell r="G5037" t="str">
            <v>financier</v>
          </cell>
          <cell r="H5037"/>
          <cell r="I5037"/>
        </row>
        <row r="5038">
          <cell r="C5038"/>
          <cell r="D5038" t="str">
            <v>du</v>
          </cell>
          <cell r="E5038" t="str">
            <v>correspondant</v>
          </cell>
          <cell r="F5038" t="str">
            <v>du</v>
          </cell>
          <cell r="G5038" t="str">
            <v>financier</v>
          </cell>
          <cell r="H5038"/>
          <cell r="I5038"/>
        </row>
        <row r="5039">
          <cell r="C5039"/>
          <cell r="D5039" t="str">
            <v>du</v>
          </cell>
          <cell r="E5039" t="str">
            <v>mouvement financier</v>
          </cell>
          <cell r="F5039"/>
          <cell r="G5039"/>
          <cell r="H5039"/>
          <cell r="I5039"/>
        </row>
        <row r="5040">
          <cell r="C5040"/>
          <cell r="D5040" t="str">
            <v>du</v>
          </cell>
          <cell r="E5040" t="str">
            <v>rejet</v>
          </cell>
          <cell r="F5040" t="str">
            <v>du</v>
          </cell>
          <cell r="G5040" t="str">
            <v>mouvement financier</v>
          </cell>
          <cell r="H5040"/>
          <cell r="I5040"/>
        </row>
        <row r="5041">
          <cell r="C5041"/>
          <cell r="D5041" t="str">
            <v>du</v>
          </cell>
          <cell r="E5041" t="str">
            <v>motif</v>
          </cell>
          <cell r="F5041" t="str">
            <v>du</v>
          </cell>
          <cell r="G5041" t="str">
            <v>rejet</v>
          </cell>
          <cell r="H5041" t="str">
            <v>du</v>
          </cell>
          <cell r="I5041" t="str">
            <v>mouvement financier</v>
          </cell>
        </row>
        <row r="5042">
          <cell r="C5042"/>
          <cell r="D5042" t="str">
            <v>du</v>
          </cell>
          <cell r="E5042" t="str">
            <v>suivi</v>
          </cell>
          <cell r="F5042"/>
          <cell r="G5042"/>
          <cell r="H5042"/>
          <cell r="I5042"/>
        </row>
        <row r="5043">
          <cell r="C5043"/>
          <cell r="D5043" t="str">
            <v>de</v>
          </cell>
          <cell r="E5043" t="str">
            <v>traitement</v>
          </cell>
          <cell r="F5043"/>
          <cell r="G5043" t="str">
            <v>financier</v>
          </cell>
          <cell r="H5043" t="str">
            <v>du</v>
          </cell>
          <cell r="I5043" t="str">
            <v>règlement</v>
          </cell>
        </row>
        <row r="5044">
          <cell r="C5044"/>
          <cell r="D5044" t="str">
            <v>de</v>
          </cell>
          <cell r="E5044" t="str">
            <v>règlement complémentaire</v>
          </cell>
          <cell r="F5044" t="str">
            <v>d'</v>
          </cell>
          <cell r="G5044" t="str">
            <v>ERMES</v>
          </cell>
          <cell r="H5044"/>
          <cell r="I5044"/>
        </row>
        <row r="5045">
          <cell r="C5045"/>
          <cell r="D5045" t="str">
            <v>de</v>
          </cell>
          <cell r="E5045" t="str">
            <v>compensation</v>
          </cell>
          <cell r="F5045" t="str">
            <v>du</v>
          </cell>
          <cell r="G5045" t="str">
            <v>règlement</v>
          </cell>
          <cell r="H5045"/>
          <cell r="I5045"/>
        </row>
        <row r="5046">
          <cell r="C5046"/>
          <cell r="D5046" t="str">
            <v>du</v>
          </cell>
          <cell r="E5046" t="str">
            <v>suivi</v>
          </cell>
          <cell r="F5046" t="str">
            <v>de</v>
          </cell>
          <cell r="G5046" t="str">
            <v>compensation</v>
          </cell>
          <cell r="H5046"/>
          <cell r="I5046"/>
        </row>
        <row r="5047">
          <cell r="C5047"/>
          <cell r="D5047" t="str">
            <v>du</v>
          </cell>
          <cell r="E5047" t="str">
            <v>suivi</v>
          </cell>
          <cell r="F5047" t="str">
            <v>des</v>
          </cell>
          <cell r="G5047" t="str">
            <v>règlement complémentaire</v>
          </cell>
          <cell r="H5047"/>
          <cell r="I5047"/>
        </row>
        <row r="5048">
          <cell r="C5048"/>
          <cell r="D5048" t="str">
            <v>de</v>
          </cell>
          <cell r="E5048" t="str">
            <v>compensation</v>
          </cell>
          <cell r="F5048"/>
          <cell r="G5048" t="str">
            <v>non terminé</v>
          </cell>
          <cell r="H5048"/>
          <cell r="I5048"/>
        </row>
        <row r="5049">
          <cell r="C5049"/>
          <cell r="D5049" t="str">
            <v>de</v>
          </cell>
          <cell r="E5049" t="str">
            <v>jour</v>
          </cell>
          <cell r="F5049" t="str">
            <v>d'</v>
          </cell>
          <cell r="G5049" t="str">
            <v>attente</v>
          </cell>
          <cell r="H5049" t="str">
            <v>de</v>
          </cell>
          <cell r="I5049" t="str">
            <v>compensation</v>
          </cell>
        </row>
        <row r="5050">
          <cell r="C5050"/>
          <cell r="D5050" t="str">
            <v>du</v>
          </cell>
          <cell r="E5050" t="str">
            <v>motif</v>
          </cell>
          <cell r="F5050" t="str">
            <v>du</v>
          </cell>
          <cell r="G5050" t="str">
            <v>rejet</v>
          </cell>
          <cell r="H5050" t="str">
            <v>du</v>
          </cell>
          <cell r="I5050" t="str">
            <v>mouvement financier</v>
          </cell>
        </row>
        <row r="5051">
          <cell r="C5051"/>
          <cell r="D5051" t="str">
            <v>en</v>
          </cell>
          <cell r="E5051" t="str">
            <v>assurance collective</v>
          </cell>
          <cell r="F5051"/>
          <cell r="G5051"/>
          <cell r="H5051"/>
          <cell r="I5051"/>
        </row>
        <row r="5052">
          <cell r="C5052"/>
          <cell r="D5052" t="str">
            <v>en</v>
          </cell>
          <cell r="E5052" t="str">
            <v>assurance collective</v>
          </cell>
          <cell r="F5052"/>
          <cell r="G5052"/>
          <cell r="H5052"/>
          <cell r="I5052"/>
        </row>
        <row r="5053">
          <cell r="C5053"/>
          <cell r="D5053" t="str">
            <v>en</v>
          </cell>
          <cell r="E5053" t="str">
            <v>assurance collective</v>
          </cell>
          <cell r="F5053"/>
          <cell r="G5053"/>
          <cell r="H5053"/>
          <cell r="I5053"/>
        </row>
        <row r="5054">
          <cell r="C5054"/>
          <cell r="D5054" t="str">
            <v>de</v>
          </cell>
          <cell r="E5054" t="str">
            <v>droits de vote</v>
          </cell>
          <cell r="F5054"/>
          <cell r="G5054"/>
          <cell r="H5054"/>
          <cell r="I5054"/>
        </row>
        <row r="5055">
          <cell r="C5055"/>
          <cell r="D5055" t="str">
            <v>de</v>
          </cell>
          <cell r="E5055" t="str">
            <v>"bénéficiaire effectif"</v>
          </cell>
          <cell r="F5055"/>
          <cell r="G5055"/>
          <cell r="H5055"/>
          <cell r="I5055"/>
        </row>
        <row r="5056">
          <cell r="C5056"/>
          <cell r="D5056" t="str">
            <v>de</v>
          </cell>
          <cell r="E5056" t="str">
            <v>salarié du groupe</v>
          </cell>
          <cell r="F5056"/>
          <cell r="G5056"/>
          <cell r="H5056"/>
          <cell r="I5056"/>
        </row>
        <row r="5057">
          <cell r="C5057"/>
          <cell r="D5057" t="str">
            <v>d'</v>
          </cell>
          <cell r="E5057" t="str">
            <v>Intervention chirurgicale</v>
          </cell>
          <cell r="F5057"/>
          <cell r="G5057"/>
          <cell r="H5057"/>
          <cell r="I5057"/>
        </row>
        <row r="5058">
          <cell r="C5058"/>
          <cell r="D5058" t="str">
            <v>de la</v>
          </cell>
          <cell r="E5058" t="str">
            <v>Catégorie socio-professionnelle</v>
          </cell>
          <cell r="F5058"/>
          <cell r="G5058"/>
          <cell r="H5058"/>
          <cell r="I5058"/>
        </row>
        <row r="5059">
          <cell r="C5059"/>
          <cell r="D5059" t="str">
            <v>de</v>
          </cell>
          <cell r="E5059" t="str">
            <v>présence</v>
          </cell>
          <cell r="F5059" t="str">
            <v>d'un</v>
          </cell>
          <cell r="G5059" t="str">
            <v>procès-verbal</v>
          </cell>
          <cell r="H5059"/>
          <cell r="I5059"/>
        </row>
        <row r="5060">
          <cell r="C5060"/>
          <cell r="D5060" t="str">
            <v>du</v>
          </cell>
          <cell r="E5060" t="str">
            <v>revenu de référence</v>
          </cell>
          <cell r="F5060"/>
          <cell r="G5060"/>
          <cell r="H5060"/>
          <cell r="I5060"/>
        </row>
        <row r="5061">
          <cell r="C5061"/>
          <cell r="D5061" t="str">
            <v>du</v>
          </cell>
          <cell r="E5061" t="str">
            <v>revenu de remplacement</v>
          </cell>
          <cell r="F5061"/>
          <cell r="G5061"/>
          <cell r="H5061"/>
          <cell r="I5061"/>
        </row>
        <row r="5062">
          <cell r="C5062"/>
          <cell r="D5062" t="str">
            <v>de</v>
          </cell>
          <cell r="E5062" t="str">
            <v>mise en jeu</v>
          </cell>
          <cell r="F5062" t="str">
            <v>de la</v>
          </cell>
          <cell r="G5062" t="str">
            <v>garantie décès</v>
          </cell>
          <cell r="H5062"/>
          <cell r="I5062"/>
        </row>
        <row r="5063">
          <cell r="C5063"/>
          <cell r="D5063" t="str">
            <v>de la</v>
          </cell>
          <cell r="E5063" t="str">
            <v>profession</v>
          </cell>
          <cell r="F5063"/>
          <cell r="G5063" t="str">
            <v>déclaré</v>
          </cell>
          <cell r="H5063"/>
          <cell r="I5063"/>
        </row>
        <row r="5064">
          <cell r="C5064"/>
          <cell r="D5064" t="str">
            <v>de l'</v>
          </cell>
          <cell r="E5064" t="str">
            <v>hospitalisation</v>
          </cell>
          <cell r="F5064"/>
          <cell r="G5064" t="str">
            <v>déclaré</v>
          </cell>
          <cell r="H5064"/>
          <cell r="I5064"/>
        </row>
        <row r="5065">
          <cell r="C5065"/>
          <cell r="D5065" t="str">
            <v>du</v>
          </cell>
          <cell r="E5065" t="str">
            <v>Dossier</v>
          </cell>
          <cell r="F5065"/>
          <cell r="G5065" t="str">
            <v>externe</v>
          </cell>
          <cell r="H5065"/>
          <cell r="I5065"/>
        </row>
        <row r="5066">
          <cell r="C5066"/>
          <cell r="D5066" t="str">
            <v>du</v>
          </cell>
          <cell r="E5066" t="str">
            <v>justificatif</v>
          </cell>
          <cell r="F5066" t="str">
            <v>du</v>
          </cell>
          <cell r="G5066" t="str">
            <v>règlement</v>
          </cell>
          <cell r="H5066"/>
          <cell r="I5066"/>
        </row>
        <row r="5067">
          <cell r="C5067"/>
          <cell r="D5067" t="str">
            <v>de la</v>
          </cell>
          <cell r="E5067" t="str">
            <v>situation</v>
          </cell>
          <cell r="F5067" t="str">
            <v>du</v>
          </cell>
          <cell r="G5067" t="str">
            <v>dossier</v>
          </cell>
          <cell r="H5067"/>
          <cell r="I5067"/>
        </row>
        <row r="5068">
          <cell r="C5068"/>
          <cell r="D5068" t="str">
            <v>du</v>
          </cell>
          <cell r="E5068" t="str">
            <v>motif</v>
          </cell>
          <cell r="F5068" t="str">
            <v>de la</v>
          </cell>
          <cell r="G5068" t="str">
            <v>situation</v>
          </cell>
          <cell r="H5068"/>
          <cell r="I5068"/>
        </row>
        <row r="5069">
          <cell r="C5069"/>
          <cell r="D5069" t="str">
            <v>du</v>
          </cell>
          <cell r="E5069" t="str">
            <v>régime sécurité sociale</v>
          </cell>
          <cell r="F5069"/>
          <cell r="G5069"/>
          <cell r="H5069"/>
          <cell r="I5069"/>
        </row>
        <row r="5070">
          <cell r="C5070"/>
          <cell r="D5070" t="str">
            <v>du</v>
          </cell>
          <cell r="E5070" t="str">
            <v>Numéro de TVA intra communautaire</v>
          </cell>
          <cell r="F5070" t="str">
            <v>du</v>
          </cell>
          <cell r="G5070" t="str">
            <v>guichet</v>
          </cell>
          <cell r="H5070"/>
          <cell r="I5070"/>
        </row>
        <row r="5071">
          <cell r="C5071"/>
          <cell r="D5071" t="str">
            <v>de la</v>
          </cell>
          <cell r="E5071" t="str">
            <v>langue</v>
          </cell>
          <cell r="F5071" t="str">
            <v>par</v>
          </cell>
          <cell r="G5071" t="str">
            <v>défaut</v>
          </cell>
          <cell r="H5071" t="str">
            <v>du</v>
          </cell>
          <cell r="I5071" t="str">
            <v>guichet</v>
          </cell>
        </row>
        <row r="5072">
          <cell r="C5072"/>
          <cell r="D5072" t="str">
            <v>du</v>
          </cell>
          <cell r="E5072" t="str">
            <v>guichet</v>
          </cell>
          <cell r="F5072" t="str">
            <v>du</v>
          </cell>
          <cell r="G5072" t="str">
            <v>siège</v>
          </cell>
          <cell r="H5072" t="str">
            <v>de l'</v>
          </cell>
          <cell r="I5072" t="str">
            <v>établissement</v>
          </cell>
        </row>
        <row r="5073">
          <cell r="C5073"/>
          <cell r="D5073" t="str">
            <v>du</v>
          </cell>
          <cell r="E5073" t="str">
            <v>site de gestion</v>
          </cell>
          <cell r="F5073" t="str">
            <v>du</v>
          </cell>
          <cell r="G5073" t="str">
            <v>guichet</v>
          </cell>
          <cell r="H5073"/>
          <cell r="I5073"/>
        </row>
        <row r="5074">
          <cell r="C5074"/>
          <cell r="D5074" t="str">
            <v>du</v>
          </cell>
          <cell r="E5074" t="str">
            <v>responsable</v>
          </cell>
          <cell r="F5074" t="str">
            <v>du</v>
          </cell>
          <cell r="G5074" t="str">
            <v>Bureau du guichet</v>
          </cell>
          <cell r="H5074"/>
          <cell r="I5074"/>
        </row>
        <row r="5075">
          <cell r="C5075"/>
          <cell r="D5075" t="str">
            <v>au</v>
          </cell>
          <cell r="E5075" t="str">
            <v>public</v>
          </cell>
          <cell r="F5075" t="str">
            <v>du</v>
          </cell>
          <cell r="G5075" t="str">
            <v>Bureau du guichet</v>
          </cell>
          <cell r="H5075"/>
          <cell r="I5075"/>
        </row>
        <row r="5076">
          <cell r="C5076"/>
          <cell r="D5076" t="str">
            <v>d'</v>
          </cell>
          <cell r="E5076" t="str">
            <v>exonération cotisation</v>
          </cell>
          <cell r="F5076"/>
          <cell r="G5076"/>
          <cell r="H5076"/>
          <cell r="I5076"/>
        </row>
        <row r="5077">
          <cell r="C5077"/>
          <cell r="D5077" t="str">
            <v>d'</v>
          </cell>
          <cell r="E5077" t="str">
            <v>exonération cotisation</v>
          </cell>
          <cell r="F5077"/>
          <cell r="G5077" t="str">
            <v>autre garantie</v>
          </cell>
          <cell r="H5077"/>
          <cell r="I5077"/>
        </row>
        <row r="5078">
          <cell r="C5078"/>
          <cell r="D5078" t="str">
            <v>des</v>
          </cell>
          <cell r="E5078" t="str">
            <v>Circonstance</v>
          </cell>
          <cell r="F5078" t="str">
            <v>du</v>
          </cell>
          <cell r="G5078" t="str">
            <v>Sinistre</v>
          </cell>
          <cell r="H5078"/>
          <cell r="I5078"/>
        </row>
        <row r="5079">
          <cell r="C5079"/>
          <cell r="D5079" t="str">
            <v>du</v>
          </cell>
          <cell r="E5079" t="str">
            <v>jour</v>
          </cell>
          <cell r="F5079"/>
          <cell r="G5079"/>
          <cell r="H5079"/>
          <cell r="I5079"/>
        </row>
        <row r="5080">
          <cell r="C5080"/>
          <cell r="D5080" t="str">
            <v>de la</v>
          </cell>
          <cell r="E5080" t="str">
            <v>prestation</v>
          </cell>
          <cell r="F5080"/>
          <cell r="G5080"/>
          <cell r="H5080"/>
          <cell r="I5080"/>
        </row>
        <row r="5081">
          <cell r="C5081"/>
          <cell r="D5081" t="str">
            <v>de</v>
          </cell>
          <cell r="E5081" t="str">
            <v>mois d'ancienneté</v>
          </cell>
          <cell r="F5081" t="str">
            <v>dans l'</v>
          </cell>
          <cell r="G5081" t="str">
            <v>entreprise</v>
          </cell>
          <cell r="H5081"/>
          <cell r="I5081"/>
        </row>
        <row r="5082">
          <cell r="C5082"/>
          <cell r="D5082" t="str">
            <v>de</v>
          </cell>
          <cell r="E5082" t="str">
            <v>mois d'ancienneté</v>
          </cell>
          <cell r="F5082" t="str">
            <v>dans la</v>
          </cell>
          <cell r="G5082" t="str">
            <v>branche assurance</v>
          </cell>
          <cell r="H5082"/>
          <cell r="I5082"/>
        </row>
        <row r="5083">
          <cell r="C5083"/>
          <cell r="D5083" t="str">
            <v>de</v>
          </cell>
          <cell r="E5083" t="str">
            <v>job multiple</v>
          </cell>
          <cell r="F5083"/>
          <cell r="G5083"/>
          <cell r="H5083"/>
          <cell r="I5083"/>
        </row>
        <row r="5084">
          <cell r="C5084"/>
          <cell r="D5084" t="str">
            <v>de la</v>
          </cell>
          <cell r="E5084" t="str">
            <v>franchise</v>
          </cell>
          <cell r="F5084" t="str">
            <v>du</v>
          </cell>
          <cell r="G5084" t="str">
            <v>régime sécurité sociale</v>
          </cell>
          <cell r="H5084"/>
          <cell r="I5084"/>
        </row>
        <row r="5085">
          <cell r="C5085"/>
          <cell r="D5085" t="str">
            <v>du</v>
          </cell>
          <cell r="E5085" t="str">
            <v>remboursement</v>
          </cell>
          <cell r="F5085" t="str">
            <v>de la</v>
          </cell>
          <cell r="G5085" t="str">
            <v>sécurité sociale</v>
          </cell>
          <cell r="H5085"/>
          <cell r="I5085"/>
        </row>
        <row r="5086">
          <cell r="C5086"/>
          <cell r="D5086" t="str">
            <v>de</v>
          </cell>
          <cell r="E5086" t="str">
            <v>temps de travail</v>
          </cell>
          <cell r="F5086"/>
          <cell r="G5086"/>
          <cell r="H5086"/>
          <cell r="I5086"/>
        </row>
        <row r="5087">
          <cell r="C5087"/>
          <cell r="D5087" t="str">
            <v>d'</v>
          </cell>
          <cell r="E5087" t="str">
            <v>ouverture</v>
          </cell>
          <cell r="F5087" t="str">
            <v>des</v>
          </cell>
          <cell r="G5087" t="str">
            <v>droits</v>
          </cell>
          <cell r="H5087" t="str">
            <v>à la</v>
          </cell>
          <cell r="I5087" t="str">
            <v>sécurité sociale</v>
          </cell>
        </row>
        <row r="5088">
          <cell r="C5088"/>
          <cell r="D5088" t="str">
            <v>de la</v>
          </cell>
          <cell r="E5088" t="str">
            <v>ville</v>
          </cell>
          <cell r="F5088"/>
          <cell r="G5088" t="str">
            <v>déclaré</v>
          </cell>
          <cell r="H5088" t="str">
            <v>du</v>
          </cell>
          <cell r="I5088" t="str">
            <v>décès</v>
          </cell>
        </row>
        <row r="5089">
          <cell r="C5089"/>
          <cell r="D5089" t="str">
            <v>des</v>
          </cell>
          <cell r="E5089" t="str">
            <v>impayés</v>
          </cell>
          <cell r="F5089"/>
          <cell r="G5089"/>
          <cell r="H5089"/>
          <cell r="I5089"/>
        </row>
        <row r="5090">
          <cell r="C5090"/>
          <cell r="D5090" t="str">
            <v>de</v>
          </cell>
          <cell r="E5090" t="str">
            <v>portabilité</v>
          </cell>
          <cell r="F5090" t="str">
            <v>de la</v>
          </cell>
          <cell r="G5090" t="str">
            <v>prestation</v>
          </cell>
          <cell r="H5090"/>
          <cell r="I5090"/>
        </row>
        <row r="5091">
          <cell r="C5091"/>
          <cell r="D5091" t="str">
            <v>du</v>
          </cell>
          <cell r="E5091" t="str">
            <v>type de bénéficiaire</v>
          </cell>
          <cell r="F5091"/>
          <cell r="G5091"/>
          <cell r="H5091"/>
          <cell r="I5091"/>
        </row>
        <row r="5092">
          <cell r="C5092"/>
          <cell r="D5092" t="str">
            <v>de la</v>
          </cell>
          <cell r="E5092" t="str">
            <v>garantie</v>
          </cell>
          <cell r="F5092" t="str">
            <v>du</v>
          </cell>
          <cell r="G5092" t="str">
            <v>portefeuille</v>
          </cell>
          <cell r="H5092" t="str">
            <v>de l'</v>
          </cell>
          <cell r="I5092" t="str">
            <v>emprunteur</v>
          </cell>
        </row>
        <row r="5093">
          <cell r="C5093"/>
          <cell r="D5093" t="str">
            <v>du</v>
          </cell>
          <cell r="E5093" t="str">
            <v>type de montant</v>
          </cell>
          <cell r="F5093"/>
          <cell r="G5093"/>
          <cell r="H5093"/>
          <cell r="I5093"/>
        </row>
        <row r="5094">
          <cell r="C5094"/>
          <cell r="D5094" t="str">
            <v>de</v>
          </cell>
          <cell r="E5094" t="str">
            <v>départ à la retraite</v>
          </cell>
          <cell r="F5094"/>
          <cell r="G5094"/>
          <cell r="H5094"/>
          <cell r="I5094"/>
        </row>
        <row r="5095">
          <cell r="C5095" t="str">
            <v>limite</v>
          </cell>
          <cell r="D5095" t="str">
            <v>de</v>
          </cell>
          <cell r="E5095" t="str">
            <v>garantie</v>
          </cell>
          <cell r="F5095"/>
          <cell r="G5095"/>
          <cell r="H5095"/>
          <cell r="I5095"/>
        </row>
        <row r="5096">
          <cell r="C5096" t="str">
            <v>minimum</v>
          </cell>
          <cell r="D5096" t="str">
            <v>du</v>
          </cell>
          <cell r="E5096" t="str">
            <v>salarié</v>
          </cell>
          <cell r="F5096" t="str">
            <v>dans la</v>
          </cell>
          <cell r="G5096" t="str">
            <v>branche d'activité</v>
          </cell>
          <cell r="H5096"/>
          <cell r="I5096"/>
        </row>
        <row r="5097">
          <cell r="C5097" t="str">
            <v>minimum</v>
          </cell>
          <cell r="D5097" t="str">
            <v>pour</v>
          </cell>
          <cell r="E5097" t="str">
            <v>adhérer</v>
          </cell>
          <cell r="F5097" t="str">
            <v>au</v>
          </cell>
          <cell r="G5097" t="str">
            <v>contrat</v>
          </cell>
          <cell r="H5097"/>
          <cell r="I5097"/>
        </row>
        <row r="5098">
          <cell r="C5098"/>
          <cell r="D5098" t="str">
            <v>pour l'</v>
          </cell>
          <cell r="E5098" t="str">
            <v>entrée</v>
          </cell>
          <cell r="F5098" t="str">
            <v>en</v>
          </cell>
          <cell r="G5098" t="str">
            <v>garantie</v>
          </cell>
          <cell r="H5098"/>
          <cell r="I5098"/>
        </row>
        <row r="5099">
          <cell r="C5099"/>
          <cell r="D5099" t="str">
            <v>de</v>
          </cell>
          <cell r="E5099" t="str">
            <v>bénéficiaire couvert</v>
          </cell>
          <cell r="F5099"/>
          <cell r="G5099"/>
          <cell r="H5099"/>
          <cell r="I5099"/>
        </row>
        <row r="5100">
          <cell r="C5100"/>
          <cell r="D5100" t="str">
            <v>de l'</v>
          </cell>
          <cell r="E5100" t="str">
            <v>adhésion obligatoire</v>
          </cell>
          <cell r="F5100" t="str">
            <v>des</v>
          </cell>
          <cell r="G5100" t="str">
            <v>salarié</v>
          </cell>
          <cell r="H5100"/>
          <cell r="I5100"/>
        </row>
        <row r="5101">
          <cell r="C5101"/>
          <cell r="D5101" t="str">
            <v>du</v>
          </cell>
          <cell r="E5101" t="str">
            <v>Contrat</v>
          </cell>
          <cell r="F5101" t="str">
            <v xml:space="preserve"> </v>
          </cell>
          <cell r="G5101" t="str">
            <v>mise en conformité</v>
          </cell>
          <cell r="H5101"/>
          <cell r="I5101" t="str">
            <v>CCN</v>
          </cell>
        </row>
        <row r="5102">
          <cell r="C5102"/>
          <cell r="D5102" t="str">
            <v>de la</v>
          </cell>
          <cell r="E5102" t="str">
            <v>dérogation</v>
          </cell>
          <cell r="F5102" t="str">
            <v>au</v>
          </cell>
          <cell r="G5102" t="str">
            <v>formalités médicales</v>
          </cell>
          <cell r="H5102"/>
          <cell r="I5102"/>
        </row>
        <row r="5103">
          <cell r="C5103"/>
          <cell r="D5103" t="str">
            <v>de la</v>
          </cell>
          <cell r="E5103" t="str">
            <v>subrogation</v>
          </cell>
          <cell r="F5103" t="str">
            <v>du</v>
          </cell>
          <cell r="G5103" t="str">
            <v>contrat entreprise</v>
          </cell>
          <cell r="H5103"/>
          <cell r="I5103"/>
        </row>
        <row r="5104">
          <cell r="C5104"/>
          <cell r="D5104" t="str">
            <v>du</v>
          </cell>
          <cell r="E5104" t="str">
            <v>Droit</v>
          </cell>
          <cell r="F5104" t="str">
            <v>du</v>
          </cell>
          <cell r="G5104" t="str">
            <v>salarié</v>
          </cell>
          <cell r="H5104" t="str">
            <v>à la</v>
          </cell>
          <cell r="I5104" t="str">
            <v>portabilité</v>
          </cell>
        </row>
        <row r="5105">
          <cell r="C5105"/>
          <cell r="D5105" t="str">
            <v>du</v>
          </cell>
          <cell r="E5105" t="str">
            <v>gestionnaire</v>
          </cell>
          <cell r="F5105"/>
          <cell r="G5105"/>
          <cell r="H5105"/>
          <cell r="I5105"/>
        </row>
        <row r="5106">
          <cell r="C5106"/>
          <cell r="D5106" t="str">
            <v>de la</v>
          </cell>
          <cell r="E5106" t="str">
            <v>relation bénéficiaire</v>
          </cell>
          <cell r="F5106" t="str">
            <v>avec</v>
          </cell>
          <cell r="G5106" t="str">
            <v>souscripteur</v>
          </cell>
          <cell r="H5106"/>
          <cell r="I5106"/>
        </row>
        <row r="5107">
          <cell r="C5107"/>
          <cell r="D5107" t="str">
            <v>de la</v>
          </cell>
          <cell r="E5107" t="str">
            <v>personne</v>
          </cell>
          <cell r="F5107"/>
          <cell r="G5107" t="str">
            <v>affecté</v>
          </cell>
          <cell r="H5107" t="str">
            <v>au</v>
          </cell>
          <cell r="I5107" t="str">
            <v>contrat</v>
          </cell>
        </row>
        <row r="5108">
          <cell r="C5108"/>
          <cell r="D5108" t="str">
            <v>de la</v>
          </cell>
          <cell r="E5108" t="str">
            <v>personne</v>
          </cell>
          <cell r="F5108"/>
          <cell r="G5108" t="str">
            <v>ayant saisi</v>
          </cell>
          <cell r="H5108" t="str">
            <v>le</v>
          </cell>
          <cell r="I5108" t="str">
            <v>contrat</v>
          </cell>
        </row>
        <row r="5109">
          <cell r="C5109"/>
          <cell r="D5109" t="str">
            <v>du</v>
          </cell>
          <cell r="E5109" t="str">
            <v>mode de déclaration</v>
          </cell>
          <cell r="F5109" t="str">
            <v>du</v>
          </cell>
          <cell r="G5109" t="str">
            <v>contrat</v>
          </cell>
          <cell r="H5109"/>
          <cell r="I5109"/>
        </row>
        <row r="5110">
          <cell r="C5110"/>
          <cell r="D5110" t="str">
            <v>de</v>
          </cell>
          <cell r="E5110" t="str">
            <v>demande</v>
          </cell>
          <cell r="F5110" t="str">
            <v>de</v>
          </cell>
          <cell r="G5110" t="str">
            <v>résiliation</v>
          </cell>
          <cell r="H5110"/>
          <cell r="I5110"/>
        </row>
        <row r="5111">
          <cell r="C5111"/>
          <cell r="D5111" t="str">
            <v>de</v>
          </cell>
          <cell r="E5111" t="str">
            <v>portabilité</v>
          </cell>
          <cell r="F5111"/>
          <cell r="G5111"/>
          <cell r="H5111"/>
          <cell r="I5111"/>
        </row>
        <row r="5112">
          <cell r="C5112"/>
          <cell r="D5112" t="str">
            <v>de</v>
          </cell>
          <cell r="E5112" t="str">
            <v>signature</v>
          </cell>
          <cell r="F5112" t="str">
            <v>du</v>
          </cell>
          <cell r="G5112" t="str">
            <v>contrat</v>
          </cell>
          <cell r="H5112"/>
          <cell r="I5112"/>
        </row>
        <row r="5113">
          <cell r="C5113"/>
          <cell r="D5113" t="str">
            <v>de la</v>
          </cell>
          <cell r="E5113" t="str">
            <v>Structure</v>
          </cell>
          <cell r="F5113" t="str">
            <v>de</v>
          </cell>
          <cell r="G5113" t="str">
            <v>cotisation</v>
          </cell>
          <cell r="H5113" t="str">
            <v>pour le</v>
          </cell>
          <cell r="I5113" t="str">
            <v>socle</v>
          </cell>
        </row>
        <row r="5114">
          <cell r="C5114"/>
          <cell r="D5114" t="str">
            <v>de la</v>
          </cell>
          <cell r="E5114" t="str">
            <v>Structure</v>
          </cell>
          <cell r="F5114" t="str">
            <v>de</v>
          </cell>
          <cell r="G5114" t="str">
            <v>cotisation</v>
          </cell>
          <cell r="H5114" t="str">
            <v>pour les</v>
          </cell>
          <cell r="I5114" t="str">
            <v>option</v>
          </cell>
        </row>
        <row r="5115">
          <cell r="C5115"/>
          <cell r="D5115" t="str">
            <v>de l'</v>
          </cell>
          <cell r="E5115" t="str">
            <v>envoi</v>
          </cell>
          <cell r="F5115"/>
          <cell r="G5115" t="str">
            <v>Carte avance santé</v>
          </cell>
          <cell r="H5115"/>
          <cell r="I5115"/>
        </row>
        <row r="5116">
          <cell r="C5116"/>
          <cell r="D5116" t="str">
            <v>du</v>
          </cell>
          <cell r="E5116" t="str">
            <v>contrat groupe</v>
          </cell>
          <cell r="F5116"/>
          <cell r="G5116" t="str">
            <v>générique</v>
          </cell>
          <cell r="H5116"/>
          <cell r="I5116"/>
        </row>
        <row r="5117">
          <cell r="C5117"/>
          <cell r="D5117" t="str">
            <v>de la</v>
          </cell>
          <cell r="E5117" t="str">
            <v>tranche de salaire</v>
          </cell>
          <cell r="F5117"/>
          <cell r="G5117"/>
          <cell r="H5117"/>
          <cell r="I5117"/>
        </row>
        <row r="5118">
          <cell r="C5118"/>
          <cell r="D5118" t="str">
            <v>de l'</v>
          </cell>
          <cell r="E5118" t="str">
            <v>intermédiaire</v>
          </cell>
          <cell r="F5118" t="str">
            <v>de</v>
          </cell>
          <cell r="G5118" t="str">
            <v>commercialisation</v>
          </cell>
          <cell r="H5118"/>
          <cell r="I5118"/>
        </row>
        <row r="5119">
          <cell r="C5119"/>
          <cell r="D5119" t="str">
            <v>du</v>
          </cell>
          <cell r="E5119" t="str">
            <v>mode de gestion</v>
          </cell>
          <cell r="F5119" t="str">
            <v>du</v>
          </cell>
          <cell r="G5119" t="str">
            <v>contrat</v>
          </cell>
          <cell r="H5119"/>
          <cell r="I5119"/>
        </row>
        <row r="5120">
          <cell r="C5120"/>
          <cell r="D5120" t="str">
            <v>de</v>
          </cell>
          <cell r="E5120" t="str">
            <v>création</v>
          </cell>
          <cell r="F5120" t="str">
            <v>de l'</v>
          </cell>
          <cell r="G5120" t="str">
            <v>avenant du contrat</v>
          </cell>
          <cell r="H5120"/>
          <cell r="I5120"/>
        </row>
        <row r="5121">
          <cell r="C5121" t="str">
            <v>fin</v>
          </cell>
          <cell r="D5121" t="str">
            <v>de</v>
          </cell>
          <cell r="E5121" t="str">
            <v>portabilité</v>
          </cell>
          <cell r="F5121"/>
          <cell r="G5121"/>
          <cell r="H5121"/>
          <cell r="I5121"/>
        </row>
        <row r="5122">
          <cell r="C5122"/>
          <cell r="D5122" t="str">
            <v>de</v>
          </cell>
          <cell r="E5122" t="str">
            <v>contrat</v>
          </cell>
          <cell r="F5122"/>
          <cell r="G5122" t="str">
            <v>réel</v>
          </cell>
          <cell r="H5122"/>
          <cell r="I5122"/>
        </row>
        <row r="5123">
          <cell r="C5123"/>
          <cell r="D5123" t="str">
            <v>de la</v>
          </cell>
          <cell r="E5123" t="str">
            <v>part employeur</v>
          </cell>
          <cell r="F5123" t="str">
            <v>du</v>
          </cell>
          <cell r="G5123" t="str">
            <v>type de tranche</v>
          </cell>
          <cell r="H5123"/>
          <cell r="I5123"/>
        </row>
        <row r="5124">
          <cell r="C5124"/>
          <cell r="D5124" t="str">
            <v>du</v>
          </cell>
          <cell r="E5124" t="str">
            <v>contrat collectif</v>
          </cell>
          <cell r="F5124" t="str">
            <v>pour l'</v>
          </cell>
          <cell r="G5124" t="str">
            <v>adhésion</v>
          </cell>
          <cell r="H5124"/>
          <cell r="I5124"/>
        </row>
        <row r="5125">
          <cell r="C5125"/>
          <cell r="D5125" t="str">
            <v>du</v>
          </cell>
          <cell r="E5125" t="str">
            <v>contrat résilié</v>
          </cell>
          <cell r="F5125" t="str">
            <v>pour</v>
          </cell>
          <cell r="G5125" t="str">
            <v>mise en conformité</v>
          </cell>
          <cell r="H5125"/>
          <cell r="I5125"/>
        </row>
        <row r="5126">
          <cell r="C5126"/>
          <cell r="D5126" t="str">
            <v>du</v>
          </cell>
          <cell r="E5126" t="str">
            <v>statut étude</v>
          </cell>
          <cell r="F5126" t="str">
            <v>des</v>
          </cell>
          <cell r="G5126" t="str">
            <v>formalités médicales</v>
          </cell>
          <cell r="H5126"/>
          <cell r="I5126"/>
        </row>
        <row r="5127">
          <cell r="C5127"/>
          <cell r="D5127" t="str">
            <v>de</v>
          </cell>
          <cell r="E5127" t="str">
            <v>tous les salariés au même Régime</v>
          </cell>
          <cell r="F5127"/>
          <cell r="G5127"/>
          <cell r="H5127"/>
          <cell r="I5127"/>
        </row>
        <row r="5128">
          <cell r="C5128"/>
          <cell r="D5128" t="str">
            <v>de l'</v>
          </cell>
          <cell r="E5128" t="str">
            <v>ayant-droit</v>
          </cell>
          <cell r="F5128"/>
          <cell r="G5128" t="str">
            <v>obligatoire</v>
          </cell>
          <cell r="H5128"/>
          <cell r="I5128"/>
        </row>
        <row r="5129">
          <cell r="C5129"/>
          <cell r="D5129" t="str">
            <v>du</v>
          </cell>
          <cell r="E5129" t="str">
            <v>conjoint</v>
          </cell>
          <cell r="F5129"/>
          <cell r="G5129" t="str">
            <v>garanti</v>
          </cell>
          <cell r="H5129"/>
          <cell r="I5129"/>
        </row>
        <row r="5130">
          <cell r="C5130"/>
          <cell r="D5130" t="str">
            <v>du</v>
          </cell>
          <cell r="E5130" t="str">
            <v>contrat</v>
          </cell>
          <cell r="F5130"/>
          <cell r="G5130" t="str">
            <v>issu d'une operation</v>
          </cell>
          <cell r="H5130"/>
          <cell r="I5130" t="str">
            <v>portabilité</v>
          </cell>
        </row>
        <row r="5131">
          <cell r="C5131"/>
          <cell r="D5131" t="str">
            <v>de</v>
          </cell>
          <cell r="E5131" t="str">
            <v>maintien</v>
          </cell>
          <cell r="F5131" t="str">
            <v>des</v>
          </cell>
          <cell r="G5131" t="str">
            <v>veufs</v>
          </cell>
          <cell r="H5131"/>
          <cell r="I5131"/>
        </row>
        <row r="5132">
          <cell r="C5132"/>
          <cell r="D5132" t="str">
            <v>de</v>
          </cell>
          <cell r="E5132" t="str">
            <v>Mutualise contrat reel</v>
          </cell>
          <cell r="F5132"/>
          <cell r="G5132"/>
          <cell r="H5132"/>
          <cell r="I5132"/>
        </row>
        <row r="5133">
          <cell r="C5133"/>
          <cell r="D5133" t="str">
            <v>de la</v>
          </cell>
          <cell r="E5133" t="str">
            <v>participation employeur</v>
          </cell>
          <cell r="F5133"/>
          <cell r="G5133"/>
          <cell r="H5133"/>
          <cell r="I5133"/>
        </row>
        <row r="5134">
          <cell r="C5134"/>
          <cell r="D5134" t="str">
            <v>de</v>
          </cell>
          <cell r="E5134" t="str">
            <v>réassurance</v>
          </cell>
          <cell r="F5134"/>
          <cell r="G5134"/>
          <cell r="H5134"/>
          <cell r="I5134"/>
        </row>
        <row r="5135">
          <cell r="C5135"/>
          <cell r="D5135" t="str">
            <v>du</v>
          </cell>
          <cell r="E5135" t="str">
            <v>Responsable</v>
          </cell>
          <cell r="F5135"/>
          <cell r="G5135"/>
          <cell r="H5135"/>
          <cell r="I5135"/>
        </row>
        <row r="5136">
          <cell r="C5136"/>
          <cell r="D5136" t="str">
            <v>de</v>
          </cell>
          <cell r="E5136" t="str">
            <v>solidaire</v>
          </cell>
          <cell r="F5136"/>
          <cell r="G5136"/>
          <cell r="H5136"/>
          <cell r="I5136"/>
        </row>
        <row r="5137">
          <cell r="C5137"/>
          <cell r="D5137" t="str">
            <v>de l'</v>
          </cell>
          <cell r="E5137" t="str">
            <v>Acte Fondateur</v>
          </cell>
          <cell r="F5137"/>
          <cell r="G5137"/>
          <cell r="H5137"/>
          <cell r="I5137"/>
        </row>
        <row r="5138">
          <cell r="C5138"/>
          <cell r="D5138" t="str">
            <v>de la</v>
          </cell>
          <cell r="E5138" t="str">
            <v>catégorie salariale</v>
          </cell>
          <cell r="F5138"/>
          <cell r="G5138"/>
          <cell r="H5138"/>
          <cell r="I5138"/>
        </row>
        <row r="5139">
          <cell r="C5139"/>
          <cell r="D5139" t="str">
            <v>du</v>
          </cell>
          <cell r="E5139" t="str">
            <v>CCN</v>
          </cell>
          <cell r="F5139"/>
          <cell r="G5139"/>
          <cell r="H5139"/>
          <cell r="I5139"/>
        </row>
        <row r="5140">
          <cell r="C5140"/>
          <cell r="D5140" t="str">
            <v>du</v>
          </cell>
          <cell r="E5140" t="str">
            <v>contrat</v>
          </cell>
          <cell r="F5140"/>
          <cell r="G5140" t="str">
            <v>spécifique</v>
          </cell>
          <cell r="H5140"/>
          <cell r="I5140"/>
        </row>
        <row r="5141">
          <cell r="C5141"/>
          <cell r="D5141" t="str">
            <v>du</v>
          </cell>
          <cell r="E5141" t="str">
            <v>motif</v>
          </cell>
          <cell r="F5141" t="str">
            <v>de</v>
          </cell>
          <cell r="G5141" t="str">
            <v>refus</v>
          </cell>
          <cell r="H5141" t="str">
            <v>au</v>
          </cell>
          <cell r="I5141" t="str">
            <v>service de transmission des IJ</v>
          </cell>
        </row>
        <row r="5142">
          <cell r="C5142"/>
          <cell r="D5142" t="str">
            <v>du</v>
          </cell>
          <cell r="E5142" t="str">
            <v>service de transmission des IJ</v>
          </cell>
          <cell r="F5142"/>
          <cell r="G5142"/>
          <cell r="H5142"/>
          <cell r="I5142"/>
        </row>
        <row r="5143">
          <cell r="C5143"/>
          <cell r="D5143" t="str">
            <v>de</v>
          </cell>
          <cell r="E5143" t="str">
            <v>prélèvement</v>
          </cell>
          <cell r="F5143" t="str">
            <v>par</v>
          </cell>
          <cell r="G5143" t="str">
            <v>DSN</v>
          </cell>
          <cell r="H5143"/>
          <cell r="I5143"/>
        </row>
        <row r="5144">
          <cell r="C5144"/>
          <cell r="D5144" t="str">
            <v>du</v>
          </cell>
          <cell r="E5144" t="str">
            <v>mode d'inscription</v>
          </cell>
          <cell r="F5144" t="str">
            <v>des</v>
          </cell>
          <cell r="G5144" t="str">
            <v>salarié</v>
          </cell>
          <cell r="H5144" t="str">
            <v>au</v>
          </cell>
          <cell r="I5144" t="str">
            <v>service de transmission des IJ</v>
          </cell>
        </row>
        <row r="5145">
          <cell r="C5145"/>
          <cell r="D5145" t="str">
            <v>de la</v>
          </cell>
          <cell r="E5145" t="str">
            <v>CCN</v>
          </cell>
          <cell r="F5145"/>
          <cell r="G5145"/>
          <cell r="H5145"/>
          <cell r="I5145"/>
        </row>
        <row r="5146">
          <cell r="C5146"/>
          <cell r="D5146" t="str">
            <v>de la</v>
          </cell>
          <cell r="E5146" t="str">
            <v>CCN</v>
          </cell>
          <cell r="F5146"/>
          <cell r="G5146" t="str">
            <v>ACM</v>
          </cell>
          <cell r="H5146"/>
          <cell r="I5146"/>
        </row>
        <row r="5147">
          <cell r="C5147"/>
          <cell r="D5147" t="str">
            <v>d'</v>
          </cell>
          <cell r="E5147" t="str">
            <v>autres personnes à charge</v>
          </cell>
          <cell r="F5147"/>
          <cell r="G5147"/>
          <cell r="H5147"/>
          <cell r="I5147"/>
        </row>
        <row r="5148">
          <cell r="C5148"/>
          <cell r="D5148" t="str">
            <v>de</v>
          </cell>
          <cell r="E5148" t="str">
            <v>conjoint</v>
          </cell>
          <cell r="F5148"/>
          <cell r="G5148"/>
          <cell r="H5148"/>
          <cell r="I5148"/>
        </row>
        <row r="5149">
          <cell r="C5149"/>
          <cell r="D5149" t="str">
            <v>de</v>
          </cell>
          <cell r="E5149" t="str">
            <v>salarié</v>
          </cell>
          <cell r="F5149"/>
          <cell r="G5149"/>
          <cell r="H5149"/>
          <cell r="I5149"/>
        </row>
        <row r="5150">
          <cell r="C5150"/>
          <cell r="D5150" t="str">
            <v>d'</v>
          </cell>
          <cell r="E5150" t="str">
            <v>enfant</v>
          </cell>
          <cell r="F5150"/>
          <cell r="G5150"/>
          <cell r="H5150"/>
          <cell r="I5150"/>
        </row>
        <row r="5151">
          <cell r="C5151"/>
          <cell r="D5151" t="str">
            <v>du</v>
          </cell>
          <cell r="E5151" t="str">
            <v>contrat collectif</v>
          </cell>
          <cell r="F5151"/>
          <cell r="G5151"/>
          <cell r="H5151"/>
          <cell r="I5151"/>
        </row>
        <row r="5152">
          <cell r="C5152"/>
          <cell r="D5152" t="str">
            <v>de l'</v>
          </cell>
          <cell r="E5152" t="str">
            <v>association</v>
          </cell>
          <cell r="F5152"/>
          <cell r="G5152" t="str">
            <v>DSN</v>
          </cell>
          <cell r="H5152"/>
          <cell r="I5152"/>
        </row>
        <row r="5153">
          <cell r="C5153"/>
          <cell r="D5153" t="str">
            <v>d'</v>
          </cell>
          <cell r="E5153" t="str">
            <v>entreprise</v>
          </cell>
          <cell r="F5153"/>
          <cell r="G5153"/>
          <cell r="H5153"/>
          <cell r="I5153"/>
        </row>
        <row r="5154">
          <cell r="C5154"/>
          <cell r="D5154" t="str">
            <v>de l'</v>
          </cell>
          <cell r="E5154" t="str">
            <v>edition</v>
          </cell>
          <cell r="F5154" t="str">
            <v>des</v>
          </cell>
          <cell r="G5154" t="str">
            <v>appel des cotisations</v>
          </cell>
          <cell r="H5154"/>
          <cell r="I5154"/>
        </row>
        <row r="5155">
          <cell r="C5155"/>
          <cell r="D5155" t="str">
            <v>de l'</v>
          </cell>
          <cell r="E5155" t="str">
            <v>exclusion du renouvellement</v>
          </cell>
          <cell r="F5155"/>
          <cell r="G5155"/>
          <cell r="H5155"/>
          <cell r="I5155"/>
        </row>
        <row r="5156">
          <cell r="C5156"/>
          <cell r="D5156" t="str">
            <v>de</v>
          </cell>
          <cell r="E5156" t="str">
            <v>prélèvement</v>
          </cell>
          <cell r="F5156"/>
          <cell r="G5156" t="str">
            <v>géré</v>
          </cell>
          <cell r="H5156" t="str">
            <v>par</v>
          </cell>
          <cell r="I5156" t="str">
            <v>DSN</v>
          </cell>
        </row>
        <row r="5157">
          <cell r="C5157"/>
          <cell r="D5157" t="str">
            <v>de l'</v>
          </cell>
          <cell r="E5157" t="str">
            <v>Offre</v>
          </cell>
          <cell r="F5157"/>
          <cell r="G5157" t="str">
            <v>Assureur</v>
          </cell>
          <cell r="H5157"/>
          <cell r="I5157"/>
        </row>
        <row r="5158">
          <cell r="C5158"/>
          <cell r="D5158" t="str">
            <v>du</v>
          </cell>
          <cell r="E5158" t="str">
            <v>mode de déclaration</v>
          </cell>
          <cell r="F5158" t="str">
            <v>du</v>
          </cell>
          <cell r="G5158" t="str">
            <v>contrat</v>
          </cell>
          <cell r="H5158"/>
          <cell r="I5158"/>
        </row>
        <row r="5159">
          <cell r="C5159"/>
          <cell r="D5159" t="str">
            <v>du</v>
          </cell>
          <cell r="E5159" t="str">
            <v>type de contrat</v>
          </cell>
          <cell r="F5159"/>
          <cell r="G5159"/>
          <cell r="H5159"/>
          <cell r="I5159"/>
        </row>
        <row r="5160">
          <cell r="C5160"/>
          <cell r="D5160" t="str">
            <v>de</v>
          </cell>
          <cell r="E5160" t="str">
            <v>contrat</v>
          </cell>
          <cell r="F5160" t="str">
            <v>du</v>
          </cell>
          <cell r="G5160" t="str">
            <v>Groupe Crédit Mutuel</v>
          </cell>
          <cell r="H5160"/>
          <cell r="I5160"/>
        </row>
        <row r="5161">
          <cell r="C5161"/>
          <cell r="D5161" t="str">
            <v>de</v>
          </cell>
          <cell r="E5161" t="str">
            <v>contrat</v>
          </cell>
          <cell r="F5161"/>
          <cell r="G5161" t="str">
            <v>bloqué</v>
          </cell>
          <cell r="H5161"/>
          <cell r="I5161"/>
        </row>
        <row r="5162">
          <cell r="C5162"/>
          <cell r="D5162" t="str">
            <v>du</v>
          </cell>
          <cell r="E5162" t="str">
            <v>chargé de clientèle</v>
          </cell>
          <cell r="F5162" t="str">
            <v>du</v>
          </cell>
          <cell r="G5162" t="str">
            <v>contrat</v>
          </cell>
          <cell r="H5162"/>
          <cell r="I5162"/>
        </row>
        <row r="5163">
          <cell r="C5163"/>
          <cell r="D5163" t="str">
            <v>du</v>
          </cell>
          <cell r="E5163" t="str">
            <v>salarié</v>
          </cell>
          <cell r="F5163" t="str">
            <v>du</v>
          </cell>
          <cell r="G5163" t="str">
            <v>contrat</v>
          </cell>
          <cell r="H5163"/>
          <cell r="I5163"/>
        </row>
        <row r="5164">
          <cell r="C5164"/>
          <cell r="D5164" t="str">
            <v>de la</v>
          </cell>
          <cell r="E5164" t="str">
            <v>relation bénéficiaire</v>
          </cell>
          <cell r="F5164" t="str">
            <v>avec</v>
          </cell>
          <cell r="G5164" t="str">
            <v>souscripteur</v>
          </cell>
          <cell r="H5164"/>
          <cell r="I5164"/>
        </row>
        <row r="5165">
          <cell r="C5165"/>
          <cell r="D5165" t="str">
            <v>de</v>
          </cell>
          <cell r="E5165" t="str">
            <v>avenant Contrat collectif</v>
          </cell>
          <cell r="F5165"/>
          <cell r="G5165"/>
          <cell r="H5165"/>
          <cell r="I5165"/>
        </row>
        <row r="5166">
          <cell r="C5166"/>
          <cell r="D5166" t="str">
            <v>de</v>
          </cell>
          <cell r="E5166" t="str">
            <v>traitement</v>
          </cell>
          <cell r="F5166" t="str">
            <v>des</v>
          </cell>
          <cell r="G5166" t="str">
            <v>adhésion</v>
          </cell>
          <cell r="H5166" t="str">
            <v>d'un</v>
          </cell>
          <cell r="I5166" t="str">
            <v>contrat</v>
          </cell>
        </row>
        <row r="5167">
          <cell r="C5167"/>
          <cell r="D5167" t="str">
            <v>du</v>
          </cell>
          <cell r="E5167" t="str">
            <v>mode de gestion</v>
          </cell>
          <cell r="F5167" t="str">
            <v>des</v>
          </cell>
          <cell r="G5167" t="str">
            <v>cotisations</v>
          </cell>
          <cell r="H5167"/>
          <cell r="I5167"/>
        </row>
        <row r="5168">
          <cell r="C5168"/>
          <cell r="D5168" t="str">
            <v>d'</v>
          </cell>
          <cell r="E5168" t="str">
            <v>edition</v>
          </cell>
          <cell r="F5168" t="str">
            <v>des</v>
          </cell>
          <cell r="G5168" t="str">
            <v>volets de remboursement des prestations</v>
          </cell>
          <cell r="H5168"/>
          <cell r="I5168"/>
        </row>
        <row r="5169">
          <cell r="C5169"/>
          <cell r="D5169" t="str">
            <v>du</v>
          </cell>
          <cell r="E5169" t="str">
            <v>produit d'assurance</v>
          </cell>
          <cell r="F5169" t="str">
            <v>du</v>
          </cell>
          <cell r="G5169" t="str">
            <v>contrat groupe</v>
          </cell>
          <cell r="H5169"/>
          <cell r="I5169" t="str">
            <v>générique</v>
          </cell>
        </row>
        <row r="5170">
          <cell r="C5170"/>
          <cell r="D5170" t="str">
            <v>de</v>
          </cell>
          <cell r="E5170" t="str">
            <v>gestion</v>
          </cell>
          <cell r="F5170" t="str">
            <v>des</v>
          </cell>
          <cell r="G5170" t="str">
            <v>cotisations</v>
          </cell>
          <cell r="H5170"/>
          <cell r="I5170"/>
        </row>
        <row r="5171">
          <cell r="C5171"/>
          <cell r="D5171" t="str">
            <v>de</v>
          </cell>
          <cell r="E5171" t="str">
            <v>contrat chapeau</v>
          </cell>
          <cell r="F5171"/>
          <cell r="G5171"/>
          <cell r="H5171"/>
          <cell r="I5171" t="str">
            <v>réel</v>
          </cell>
        </row>
        <row r="5172">
          <cell r="C5172"/>
          <cell r="D5172" t="str">
            <v>de l'</v>
          </cell>
          <cell r="E5172" t="str">
            <v>élément</v>
          </cell>
          <cell r="F5172" t="str">
            <v>de la</v>
          </cell>
          <cell r="G5172" t="str">
            <v>structure</v>
          </cell>
          <cell r="H5172" t="str">
            <v>de</v>
          </cell>
          <cell r="I5172" t="str">
            <v>cotisation</v>
          </cell>
        </row>
        <row r="5173">
          <cell r="C5173"/>
          <cell r="D5173" t="str">
            <v>de l'</v>
          </cell>
          <cell r="E5173" t="str">
            <v>élément</v>
          </cell>
          <cell r="F5173" t="str">
            <v>de la</v>
          </cell>
          <cell r="G5173" t="str">
            <v>structure</v>
          </cell>
          <cell r="H5173"/>
          <cell r="I5173" t="str">
            <v>option</v>
          </cell>
        </row>
        <row r="5174">
          <cell r="C5174"/>
          <cell r="D5174" t="str">
            <v>de la</v>
          </cell>
          <cell r="E5174" t="str">
            <v>part employeur</v>
          </cell>
          <cell r="F5174"/>
          <cell r="G5174"/>
          <cell r="H5174"/>
          <cell r="I5174"/>
        </row>
        <row r="5175">
          <cell r="C5175"/>
          <cell r="D5175" t="str">
            <v>de la</v>
          </cell>
          <cell r="E5175" t="str">
            <v>part Comité d'entreprise</v>
          </cell>
          <cell r="F5175"/>
          <cell r="G5175"/>
          <cell r="H5175"/>
          <cell r="I5175"/>
        </row>
        <row r="5176">
          <cell r="C5176"/>
          <cell r="D5176" t="str">
            <v>du</v>
          </cell>
          <cell r="E5176"/>
          <cell r="F5176"/>
          <cell r="G5176"/>
          <cell r="H5176"/>
          <cell r="I5176"/>
        </row>
        <row r="5177">
          <cell r="C5177"/>
          <cell r="D5177" t="str">
            <v>du</v>
          </cell>
          <cell r="E5177"/>
          <cell r="F5177"/>
          <cell r="G5177"/>
          <cell r="H5177"/>
          <cell r="I5177"/>
        </row>
        <row r="5178">
          <cell r="C5178"/>
          <cell r="D5178" t="str">
            <v>du</v>
          </cell>
          <cell r="E5178"/>
          <cell r="F5178"/>
          <cell r="G5178"/>
          <cell r="H5178"/>
          <cell r="I5178"/>
        </row>
        <row r="5179">
          <cell r="C5179"/>
          <cell r="D5179" t="str">
            <v>de la</v>
          </cell>
          <cell r="E5179" t="str">
            <v>part salariale</v>
          </cell>
          <cell r="F5179"/>
          <cell r="G5179"/>
          <cell r="H5179"/>
          <cell r="I5179"/>
        </row>
        <row r="5180">
          <cell r="C5180"/>
          <cell r="D5180" t="str">
            <v>de</v>
          </cell>
          <cell r="E5180" t="str">
            <v xml:space="preserve">partition </v>
          </cell>
          <cell r="F5180" t="str">
            <v>du</v>
          </cell>
          <cell r="G5180" t="str">
            <v>contrat</v>
          </cell>
          <cell r="H5180"/>
          <cell r="I5180"/>
        </row>
        <row r="5181">
          <cell r="C5181"/>
          <cell r="D5181" t="str">
            <v>de la</v>
          </cell>
          <cell r="E5181" t="str">
            <v>clé primaire</v>
          </cell>
          <cell r="F5181" t="str">
            <v>du</v>
          </cell>
          <cell r="G5181" t="str">
            <v>transfert pacte</v>
          </cell>
          <cell r="H5181"/>
          <cell r="I5181"/>
        </row>
        <row r="5182">
          <cell r="C5182"/>
          <cell r="D5182" t="str">
            <v>du</v>
          </cell>
          <cell r="E5182" t="str">
            <v>produit d'assurance</v>
          </cell>
          <cell r="F5182" t="str">
            <v>du</v>
          </cell>
          <cell r="G5182" t="str">
            <v>contrat</v>
          </cell>
          <cell r="H5182"/>
          <cell r="I5182" t="str">
            <v>origine</v>
          </cell>
        </row>
        <row r="5183">
          <cell r="C5183"/>
          <cell r="D5183" t="str">
            <v>de</v>
          </cell>
          <cell r="E5183" t="str">
            <v>police</v>
          </cell>
          <cell r="F5183" t="str">
            <v>du</v>
          </cell>
          <cell r="G5183" t="str">
            <v>contrat</v>
          </cell>
          <cell r="H5183"/>
          <cell r="I5183" t="str">
            <v>origine</v>
          </cell>
        </row>
        <row r="5184">
          <cell r="C5184" t="str">
            <v>interne</v>
          </cell>
          <cell r="D5184" t="str">
            <v>du</v>
          </cell>
          <cell r="E5184" t="str">
            <v>contrat</v>
          </cell>
          <cell r="F5184" t="str">
            <v>d'</v>
          </cell>
          <cell r="G5184" t="str">
            <v>origine</v>
          </cell>
          <cell r="H5184"/>
          <cell r="I5184"/>
        </row>
        <row r="5185">
          <cell r="C5185"/>
          <cell r="D5185" t="str">
            <v>de</v>
          </cell>
          <cell r="E5185" t="str">
            <v>contrat</v>
          </cell>
          <cell r="F5185" t="str">
            <v>d'</v>
          </cell>
          <cell r="G5185" t="str">
            <v>origine</v>
          </cell>
          <cell r="H5185"/>
          <cell r="I5185"/>
        </row>
        <row r="5186">
          <cell r="C5186"/>
          <cell r="D5186" t="str">
            <v>de l'</v>
          </cell>
          <cell r="E5186" t="str">
            <v>opération</v>
          </cell>
          <cell r="F5186"/>
          <cell r="G5186" t="str">
            <v>GOA</v>
          </cell>
          <cell r="H5186" t="str">
            <v>du</v>
          </cell>
          <cell r="I5186" t="str">
            <v>rachat</v>
          </cell>
        </row>
        <row r="5187">
          <cell r="C5187"/>
          <cell r="D5187" t="str">
            <v>du</v>
          </cell>
          <cell r="E5187" t="str">
            <v>produit d'assurance</v>
          </cell>
          <cell r="F5187" t="str">
            <v>du</v>
          </cell>
          <cell r="G5187" t="str">
            <v>contrat</v>
          </cell>
          <cell r="H5187"/>
          <cell r="I5187" t="str">
            <v>cible</v>
          </cell>
        </row>
        <row r="5188">
          <cell r="C5188"/>
          <cell r="D5188" t="str">
            <v>de</v>
          </cell>
          <cell r="E5188" t="str">
            <v>police</v>
          </cell>
          <cell r="F5188" t="str">
            <v>du</v>
          </cell>
          <cell r="G5188" t="str">
            <v>contrat</v>
          </cell>
          <cell r="H5188"/>
          <cell r="I5188" t="str">
            <v>cible</v>
          </cell>
        </row>
        <row r="5189">
          <cell r="C5189" t="str">
            <v>interne</v>
          </cell>
          <cell r="D5189" t="str">
            <v>du</v>
          </cell>
          <cell r="E5189" t="str">
            <v>contrat</v>
          </cell>
          <cell r="F5189"/>
          <cell r="G5189" t="str">
            <v>cible</v>
          </cell>
          <cell r="H5189"/>
          <cell r="I5189"/>
        </row>
        <row r="5190">
          <cell r="C5190"/>
          <cell r="D5190" t="str">
            <v>de l'</v>
          </cell>
          <cell r="E5190" t="str">
            <v>opération</v>
          </cell>
          <cell r="F5190"/>
          <cell r="G5190" t="str">
            <v>GOA</v>
          </cell>
          <cell r="H5190" t="str">
            <v>du</v>
          </cell>
          <cell r="I5190" t="str">
            <v>versement</v>
          </cell>
        </row>
        <row r="5191">
          <cell r="C5191"/>
          <cell r="D5191" t="str">
            <v>de l'</v>
          </cell>
          <cell r="E5191" t="str">
            <v>opération</v>
          </cell>
          <cell r="F5191" t="str">
            <v>du</v>
          </cell>
          <cell r="G5191" t="str">
            <v>transfert pacte</v>
          </cell>
          <cell r="H5191"/>
          <cell r="I5191"/>
        </row>
        <row r="5192">
          <cell r="C5192"/>
          <cell r="D5192" t="str">
            <v>d'</v>
          </cell>
          <cell r="E5192" t="str">
            <v>effet</v>
          </cell>
          <cell r="F5192" t="str">
            <v>du</v>
          </cell>
          <cell r="G5192" t="str">
            <v>transfert pacte</v>
          </cell>
          <cell r="H5192"/>
          <cell r="I5192"/>
        </row>
        <row r="5193">
          <cell r="C5193"/>
          <cell r="D5193" t="str">
            <v>du</v>
          </cell>
          <cell r="E5193" t="str">
            <v>transfert pacte</v>
          </cell>
          <cell r="F5193"/>
          <cell r="G5193"/>
          <cell r="H5193"/>
          <cell r="I5193"/>
        </row>
        <row r="5194">
          <cell r="C5194"/>
          <cell r="D5194" t="str">
            <v>du</v>
          </cell>
          <cell r="E5194" t="str">
            <v>mode</v>
          </cell>
          <cell r="F5194" t="str">
            <v>du</v>
          </cell>
          <cell r="G5194" t="str">
            <v>transfert pacte</v>
          </cell>
          <cell r="H5194"/>
          <cell r="I5194"/>
        </row>
        <row r="5195">
          <cell r="C5195"/>
          <cell r="D5195" t="str">
            <v>de</v>
          </cell>
          <cell r="E5195" t="str">
            <v>transfert</v>
          </cell>
          <cell r="F5195"/>
          <cell r="G5195"/>
          <cell r="H5195"/>
          <cell r="I5195"/>
        </row>
        <row r="5196">
          <cell r="C5196"/>
          <cell r="D5196" t="str">
            <v>de la</v>
          </cell>
          <cell r="E5196" t="str">
            <v>société concurrente</v>
          </cell>
          <cell r="F5196"/>
          <cell r="G5196"/>
          <cell r="H5196"/>
          <cell r="I5196"/>
        </row>
        <row r="5197">
          <cell r="C5197"/>
          <cell r="D5197" t="str">
            <v>de la</v>
          </cell>
          <cell r="E5197" t="str">
            <v xml:space="preserve">collecte </v>
          </cell>
          <cell r="F5197" t="str">
            <v xml:space="preserve"> </v>
          </cell>
          <cell r="G5197" t="str">
            <v>origine</v>
          </cell>
          <cell r="H5197"/>
          <cell r="I5197"/>
        </row>
        <row r="5198">
          <cell r="C5198"/>
          <cell r="D5198" t="str">
            <v>de l'</v>
          </cell>
          <cell r="E5198" t="str">
            <v>état</v>
          </cell>
          <cell r="F5198" t="str">
            <v>d'</v>
          </cell>
          <cell r="G5198" t="str">
            <v>avancement</v>
          </cell>
          <cell r="H5198" t="str">
            <v>du</v>
          </cell>
          <cell r="I5198" t="str">
            <v>transfert pacte</v>
          </cell>
        </row>
        <row r="5199">
          <cell r="C5199"/>
          <cell r="D5199" t="str">
            <v>de la</v>
          </cell>
          <cell r="E5199" t="str">
            <v xml:space="preserve">collecte </v>
          </cell>
          <cell r="F5199" t="str">
            <v>du</v>
          </cell>
          <cell r="G5199" t="str">
            <v>rachat</v>
          </cell>
          <cell r="H5199"/>
          <cell r="I5199"/>
        </row>
        <row r="5200">
          <cell r="C5200"/>
          <cell r="D5200"/>
          <cell r="E5200"/>
          <cell r="F5200"/>
          <cell r="G5200"/>
          <cell r="H5200"/>
          <cell r="I5200"/>
        </row>
        <row r="5201">
          <cell r="C5201"/>
          <cell r="D5201"/>
          <cell r="E5201"/>
          <cell r="F5201"/>
          <cell r="G5201"/>
          <cell r="H5201"/>
          <cell r="I5201"/>
        </row>
        <row r="5202">
          <cell r="C5202"/>
          <cell r="D5202"/>
          <cell r="E5202"/>
          <cell r="F5202"/>
          <cell r="G5202"/>
          <cell r="H5202"/>
          <cell r="I5202"/>
        </row>
        <row r="5203">
          <cell r="C5203"/>
          <cell r="D5203"/>
          <cell r="E5203"/>
          <cell r="F5203"/>
          <cell r="G5203"/>
          <cell r="H5203"/>
          <cell r="I5203"/>
        </row>
        <row r="5204">
          <cell r="C5204"/>
          <cell r="D5204" t="str">
            <v>de la</v>
          </cell>
          <cell r="E5204" t="str">
            <v>nature</v>
          </cell>
          <cell r="F5204" t="str">
            <v>de la</v>
          </cell>
          <cell r="G5204" t="str">
            <v>prestation</v>
          </cell>
          <cell r="H5204"/>
          <cell r="I5204"/>
        </row>
        <row r="5205">
          <cell r="C5205"/>
          <cell r="D5205" t="str">
            <v>du</v>
          </cell>
          <cell r="E5205" t="str">
            <v>domaine assurance</v>
          </cell>
          <cell r="F5205"/>
          <cell r="G5205"/>
          <cell r="H5205"/>
          <cell r="I5205"/>
        </row>
        <row r="5206">
          <cell r="C5206"/>
          <cell r="D5206" t="str">
            <v>de la</v>
          </cell>
          <cell r="E5206" t="str">
            <v>nature</v>
          </cell>
          <cell r="F5206" t="str">
            <v>des</v>
          </cell>
          <cell r="G5206" t="str">
            <v>assurances</v>
          </cell>
          <cell r="H5206"/>
          <cell r="I5206"/>
        </row>
        <row r="5207">
          <cell r="C5207"/>
          <cell r="D5207" t="str">
            <v>de la</v>
          </cell>
          <cell r="E5207" t="str">
            <v>nature</v>
          </cell>
          <cell r="F5207" t="str">
            <v>du</v>
          </cell>
          <cell r="G5207" t="str">
            <v>prêt</v>
          </cell>
          <cell r="H5207"/>
          <cell r="I5207"/>
        </row>
        <row r="5208">
          <cell r="C5208"/>
          <cell r="D5208" t="str">
            <v>de la</v>
          </cell>
          <cell r="E5208" t="str">
            <v>sous-nature</v>
          </cell>
          <cell r="F5208" t="str">
            <v>de la</v>
          </cell>
          <cell r="G5208" t="str">
            <v>prestation</v>
          </cell>
          <cell r="H5208"/>
          <cell r="I5208"/>
        </row>
        <row r="5209">
          <cell r="C5209"/>
          <cell r="D5209" t="str">
            <v>de la</v>
          </cell>
          <cell r="E5209" t="str">
            <v>devise</v>
          </cell>
          <cell r="F5209" t="str">
            <v>et</v>
          </cell>
          <cell r="G5209" t="str">
            <v>cours de référence</v>
          </cell>
          <cell r="H5209"/>
          <cell r="I5209"/>
        </row>
        <row r="5210">
          <cell r="C5210"/>
          <cell r="D5210" t="str">
            <v>de la</v>
          </cell>
          <cell r="E5210" t="str">
            <v>devise</v>
          </cell>
          <cell r="F5210" t="str">
            <v>et</v>
          </cell>
          <cell r="G5210" t="str">
            <v>cours de référence</v>
          </cell>
          <cell r="H5210"/>
          <cell r="I5210"/>
        </row>
        <row r="5211">
          <cell r="C5211"/>
          <cell r="D5211" t="str">
            <v>de la</v>
          </cell>
          <cell r="E5211" t="str">
            <v>devise</v>
          </cell>
          <cell r="F5211" t="str">
            <v>et</v>
          </cell>
          <cell r="G5211" t="str">
            <v>cours de référence</v>
          </cell>
          <cell r="H5211"/>
          <cell r="I5211"/>
        </row>
        <row r="5212">
          <cell r="C5212"/>
          <cell r="D5212" t="str">
            <v>de la</v>
          </cell>
          <cell r="E5212" t="str">
            <v>devise</v>
          </cell>
          <cell r="F5212" t="str">
            <v>et</v>
          </cell>
          <cell r="G5212" t="str">
            <v>cours de référence</v>
          </cell>
          <cell r="H5212"/>
          <cell r="I5212"/>
        </row>
        <row r="5213">
          <cell r="C5213" t="str">
            <v>dernière image</v>
          </cell>
          <cell r="D5213" t="str">
            <v>de la</v>
          </cell>
          <cell r="E5213" t="str">
            <v>devise</v>
          </cell>
          <cell r="F5213" t="str">
            <v>et</v>
          </cell>
          <cell r="G5213" t="str">
            <v>cours de référence</v>
          </cell>
          <cell r="H5213"/>
          <cell r="I5213"/>
        </row>
        <row r="5214">
          <cell r="C5214"/>
          <cell r="D5214" t="str">
            <v>de l'</v>
          </cell>
          <cell r="E5214" t="str">
            <v>application source</v>
          </cell>
          <cell r="F5214" t="str">
            <v>de la</v>
          </cell>
          <cell r="G5214" t="str">
            <v>devise</v>
          </cell>
          <cell r="H5214" t="str">
            <v>et</v>
          </cell>
          <cell r="I5214" t="str">
            <v>cours de référence</v>
          </cell>
        </row>
        <row r="5215">
          <cell r="C5215"/>
          <cell r="D5215" t="str">
            <v>de la</v>
          </cell>
          <cell r="E5215" t="str">
            <v>devise</v>
          </cell>
          <cell r="F5215" t="str">
            <v>du</v>
          </cell>
          <cell r="G5215" t="str">
            <v>mouvement financier</v>
          </cell>
          <cell r="H5215"/>
          <cell r="I5215"/>
        </row>
        <row r="5216">
          <cell r="C5216"/>
          <cell r="D5216" t="str">
            <v>du</v>
          </cell>
          <cell r="E5216" t="str">
            <v>marché</v>
          </cell>
          <cell r="F5216"/>
          <cell r="G5216"/>
          <cell r="H5216"/>
          <cell r="I5216"/>
        </row>
        <row r="5217">
          <cell r="C5217"/>
          <cell r="D5217" t="str">
            <v>du</v>
          </cell>
          <cell r="E5217" t="str">
            <v>cours de référence</v>
          </cell>
          <cell r="F5217"/>
          <cell r="G5217"/>
          <cell r="H5217"/>
          <cell r="I5217"/>
        </row>
        <row r="5218">
          <cell r="C5218"/>
          <cell r="D5218" t="str">
            <v>du</v>
          </cell>
          <cell r="E5218" t="str">
            <v>cours de référence</v>
          </cell>
          <cell r="F5218"/>
          <cell r="G5218"/>
          <cell r="H5218"/>
          <cell r="I5218"/>
        </row>
        <row r="5219">
          <cell r="C5219"/>
          <cell r="D5219" t="str">
            <v>du</v>
          </cell>
          <cell r="E5219" t="str">
            <v>cours de référence calculé</v>
          </cell>
          <cell r="F5219"/>
          <cell r="G5219"/>
          <cell r="H5219"/>
          <cell r="I5219"/>
        </row>
        <row r="5220">
          <cell r="C5220"/>
          <cell r="D5220" t="str">
            <v>du</v>
          </cell>
          <cell r="E5220" t="str">
            <v>cours d'achat</v>
          </cell>
          <cell r="F5220"/>
          <cell r="G5220"/>
          <cell r="H5220"/>
          <cell r="I5220"/>
        </row>
        <row r="5221">
          <cell r="C5221"/>
          <cell r="D5221" t="str">
            <v>du</v>
          </cell>
          <cell r="E5221" t="str">
            <v>cours d'achat</v>
          </cell>
          <cell r="F5221"/>
          <cell r="G5221"/>
          <cell r="H5221"/>
          <cell r="I5221"/>
        </row>
        <row r="5222">
          <cell r="C5222"/>
          <cell r="D5222" t="str">
            <v>du</v>
          </cell>
          <cell r="E5222" t="str">
            <v>cours d'achat calculé</v>
          </cell>
          <cell r="F5222"/>
          <cell r="G5222"/>
          <cell r="H5222"/>
          <cell r="I5222"/>
        </row>
        <row r="5223">
          <cell r="C5223"/>
          <cell r="D5223" t="str">
            <v>du</v>
          </cell>
          <cell r="E5223" t="str">
            <v>cours de vente</v>
          </cell>
          <cell r="F5223"/>
          <cell r="G5223"/>
          <cell r="H5223"/>
          <cell r="I5223"/>
        </row>
        <row r="5224">
          <cell r="C5224"/>
          <cell r="D5224" t="str">
            <v>du</v>
          </cell>
          <cell r="E5224" t="str">
            <v>cours de vente</v>
          </cell>
          <cell r="F5224"/>
          <cell r="G5224"/>
          <cell r="H5224"/>
          <cell r="I5224"/>
        </row>
        <row r="5225">
          <cell r="C5225"/>
          <cell r="D5225" t="str">
            <v>du</v>
          </cell>
          <cell r="E5225" t="str">
            <v>cours de vente calculé</v>
          </cell>
          <cell r="F5225"/>
          <cell r="G5225"/>
          <cell r="H5225"/>
          <cell r="I5225"/>
        </row>
        <row r="5226">
          <cell r="C5226"/>
          <cell r="D5226" t="str">
            <v>de</v>
          </cell>
          <cell r="E5226" t="str">
            <v>référentiel entités</v>
          </cell>
          <cell r="F5226"/>
          <cell r="G5226"/>
          <cell r="H5226"/>
          <cell r="I5226"/>
        </row>
        <row r="5227">
          <cell r="C5227"/>
          <cell r="D5227" t="str">
            <v>dans le</v>
          </cell>
          <cell r="E5227" t="str">
            <v>SID</v>
          </cell>
          <cell r="F5227"/>
          <cell r="G5227"/>
          <cell r="H5227"/>
          <cell r="I5227"/>
        </row>
        <row r="5228">
          <cell r="C5228"/>
          <cell r="D5228" t="str">
            <v>de</v>
          </cell>
          <cell r="E5228" t="str">
            <v>référentiel entités</v>
          </cell>
          <cell r="F5228"/>
          <cell r="G5228"/>
          <cell r="H5228"/>
          <cell r="I5228"/>
        </row>
        <row r="5229">
          <cell r="C5229"/>
          <cell r="D5229" t="str">
            <v>de</v>
          </cell>
          <cell r="E5229" t="str">
            <v>référentiel entités</v>
          </cell>
          <cell r="F5229"/>
          <cell r="G5229"/>
          <cell r="H5229"/>
          <cell r="I5229"/>
        </row>
        <row r="5230">
          <cell r="C5230"/>
          <cell r="D5230" t="str">
            <v>de</v>
          </cell>
          <cell r="E5230" t="str">
            <v>dernière image</v>
          </cell>
          <cell r="F5230" t="str">
            <v>de</v>
          </cell>
          <cell r="G5230" t="str">
            <v>référentiel entités</v>
          </cell>
          <cell r="H5230"/>
          <cell r="I5230"/>
        </row>
        <row r="5231">
          <cell r="C5231"/>
          <cell r="D5231" t="str">
            <v>de l'</v>
          </cell>
          <cell r="E5231" t="str">
            <v>application source</v>
          </cell>
          <cell r="F5231" t="str">
            <v>de</v>
          </cell>
          <cell r="G5231" t="str">
            <v>référentiel entités</v>
          </cell>
          <cell r="H5231"/>
          <cell r="I5231"/>
        </row>
        <row r="5232">
          <cell r="C5232"/>
          <cell r="D5232" t="str">
            <v>de l'</v>
          </cell>
          <cell r="E5232" t="str">
            <v>etat</v>
          </cell>
          <cell r="F5232" t="str">
            <v>de</v>
          </cell>
          <cell r="G5232" t="str">
            <v>entité</v>
          </cell>
          <cell r="H5232"/>
          <cell r="I5232"/>
        </row>
        <row r="5233">
          <cell r="C5233"/>
          <cell r="D5233" t="str">
            <v>de</v>
          </cell>
          <cell r="E5233" t="str">
            <v>entité</v>
          </cell>
          <cell r="F5233"/>
          <cell r="G5233"/>
          <cell r="H5233"/>
          <cell r="I5233"/>
        </row>
        <row r="5234">
          <cell r="C5234"/>
          <cell r="D5234" t="str">
            <v>du</v>
          </cell>
          <cell r="E5234" t="str">
            <v>pays</v>
          </cell>
          <cell r="F5234" t="str">
            <v>de</v>
          </cell>
          <cell r="G5234" t="str">
            <v>entité</v>
          </cell>
          <cell r="H5234"/>
          <cell r="I5234"/>
        </row>
        <row r="5235">
          <cell r="C5235"/>
          <cell r="D5235" t="str">
            <v>de la</v>
          </cell>
          <cell r="E5235" t="str">
            <v>fédération</v>
          </cell>
          <cell r="F5235"/>
          <cell r="G5235"/>
          <cell r="H5235"/>
          <cell r="I5235"/>
        </row>
        <row r="5236">
          <cell r="C5236"/>
          <cell r="D5236" t="str">
            <v>de l'</v>
          </cell>
          <cell r="E5236" t="str">
            <v>établissement</v>
          </cell>
          <cell r="F5236"/>
          <cell r="G5236"/>
          <cell r="H5236"/>
          <cell r="I5236"/>
        </row>
        <row r="5237">
          <cell r="C5237"/>
          <cell r="D5237" t="str">
            <v>du</v>
          </cell>
          <cell r="E5237" t="str">
            <v>guichet</v>
          </cell>
          <cell r="F5237"/>
          <cell r="G5237"/>
          <cell r="H5237"/>
          <cell r="I5237"/>
        </row>
        <row r="5238">
          <cell r="C5238"/>
          <cell r="D5238" t="str">
            <v>de la</v>
          </cell>
          <cell r="E5238" t="str">
            <v>base</v>
          </cell>
          <cell r="F5238"/>
          <cell r="G5238" t="str">
            <v>sociale</v>
          </cell>
          <cell r="H5238"/>
          <cell r="I5238"/>
        </row>
        <row r="5239">
          <cell r="C5239"/>
          <cell r="D5239" t="str">
            <v>de la</v>
          </cell>
          <cell r="E5239" t="str">
            <v>base</v>
          </cell>
          <cell r="F5239"/>
          <cell r="G5239" t="str">
            <v>IFRS</v>
          </cell>
          <cell r="H5239"/>
          <cell r="I5239"/>
        </row>
        <row r="5240">
          <cell r="C5240"/>
          <cell r="D5240" t="str">
            <v>de la</v>
          </cell>
          <cell r="E5240" t="str">
            <v>base</v>
          </cell>
          <cell r="F5240"/>
          <cell r="G5240" t="str">
            <v>référentiel</v>
          </cell>
          <cell r="H5240" t="str">
            <v>des</v>
          </cell>
          <cell r="I5240" t="str">
            <v>destination analytique</v>
          </cell>
        </row>
        <row r="5241">
          <cell r="C5241"/>
          <cell r="D5241" t="str">
            <v>de la</v>
          </cell>
          <cell r="E5241" t="str">
            <v>société</v>
          </cell>
          <cell r="F5241"/>
          <cell r="G5241" t="str">
            <v>consolidé</v>
          </cell>
          <cell r="H5241"/>
          <cell r="I5241"/>
        </row>
        <row r="5242">
          <cell r="C5242"/>
          <cell r="D5242" t="str">
            <v>du</v>
          </cell>
          <cell r="E5242" t="str">
            <v>périmètre juridique</v>
          </cell>
          <cell r="F5242"/>
          <cell r="G5242"/>
          <cell r="H5242"/>
          <cell r="I5242"/>
        </row>
        <row r="5243">
          <cell r="C5243"/>
          <cell r="D5243" t="str">
            <v>du</v>
          </cell>
          <cell r="E5243" t="str">
            <v>commentaire</v>
          </cell>
          <cell r="F5243"/>
          <cell r="G5243"/>
          <cell r="H5243"/>
          <cell r="I5243"/>
        </row>
        <row r="5244">
          <cell r="C5244"/>
          <cell r="D5244" t="str">
            <v>de</v>
          </cell>
          <cell r="E5244" t="str">
            <v>création</v>
          </cell>
          <cell r="F5244"/>
          <cell r="G5244"/>
          <cell r="H5244"/>
          <cell r="I5244"/>
        </row>
        <row r="5245">
          <cell r="C5245"/>
          <cell r="D5245" t="str">
            <v>de</v>
          </cell>
          <cell r="E5245" t="str">
            <v>création</v>
          </cell>
          <cell r="F5245"/>
          <cell r="G5245"/>
          <cell r="H5245"/>
          <cell r="I5245"/>
        </row>
        <row r="5246">
          <cell r="C5246"/>
          <cell r="D5246" t="str">
            <v>de</v>
          </cell>
          <cell r="E5246" t="str">
            <v>modification</v>
          </cell>
          <cell r="F5246"/>
          <cell r="G5246"/>
          <cell r="H5246"/>
          <cell r="I5246"/>
        </row>
        <row r="5247">
          <cell r="C5247"/>
          <cell r="D5247" t="str">
            <v>de</v>
          </cell>
          <cell r="E5247" t="str">
            <v>modification</v>
          </cell>
          <cell r="F5247"/>
          <cell r="G5247"/>
          <cell r="H5247"/>
          <cell r="I5247"/>
        </row>
        <row r="5248">
          <cell r="C5248"/>
          <cell r="D5248"/>
          <cell r="E5248"/>
          <cell r="F5248"/>
          <cell r="G5248"/>
          <cell r="H5248"/>
          <cell r="I5248"/>
        </row>
        <row r="5249">
          <cell r="C5249"/>
          <cell r="D5249"/>
          <cell r="E5249"/>
          <cell r="F5249"/>
          <cell r="G5249"/>
          <cell r="H5249"/>
          <cell r="I5249"/>
        </row>
        <row r="5250">
          <cell r="C5250"/>
          <cell r="D5250"/>
          <cell r="E5250"/>
          <cell r="F5250"/>
          <cell r="G5250"/>
          <cell r="H5250"/>
          <cell r="I5250"/>
        </row>
        <row r="5251">
          <cell r="C5251"/>
          <cell r="D5251"/>
          <cell r="E5251"/>
          <cell r="F5251"/>
          <cell r="G5251"/>
          <cell r="H5251"/>
          <cell r="I5251"/>
        </row>
        <row r="5252">
          <cell r="C5252"/>
          <cell r="D5252"/>
          <cell r="E5252"/>
          <cell r="F5252"/>
          <cell r="G5252"/>
          <cell r="H5252"/>
          <cell r="I5252"/>
        </row>
        <row r="5253">
          <cell r="C5253"/>
          <cell r="D5253"/>
          <cell r="E5253"/>
          <cell r="F5253"/>
          <cell r="G5253"/>
          <cell r="H5253"/>
          <cell r="I5253"/>
        </row>
        <row r="5254">
          <cell r="C5254"/>
          <cell r="D5254"/>
          <cell r="E5254"/>
          <cell r="F5254"/>
          <cell r="G5254"/>
          <cell r="H5254"/>
          <cell r="I5254"/>
        </row>
        <row r="5255">
          <cell r="C5255"/>
          <cell r="D5255"/>
          <cell r="E5255"/>
          <cell r="F5255"/>
          <cell r="G5255"/>
          <cell r="H5255"/>
          <cell r="I5255"/>
        </row>
        <row r="5256">
          <cell r="C5256"/>
          <cell r="D5256"/>
          <cell r="E5256"/>
          <cell r="F5256"/>
          <cell r="G5256"/>
          <cell r="H5256"/>
          <cell r="I5256"/>
        </row>
        <row r="5257">
          <cell r="C5257"/>
          <cell r="D5257"/>
          <cell r="E5257"/>
          <cell r="F5257"/>
          <cell r="G5257"/>
          <cell r="H5257"/>
          <cell r="I5257"/>
        </row>
        <row r="5258">
          <cell r="C5258"/>
          <cell r="D5258"/>
          <cell r="E5258"/>
          <cell r="F5258"/>
          <cell r="G5258"/>
          <cell r="H5258"/>
          <cell r="I5258"/>
        </row>
        <row r="5259">
          <cell r="C5259"/>
          <cell r="D5259"/>
          <cell r="E5259"/>
          <cell r="F5259"/>
          <cell r="G5259"/>
          <cell r="H5259"/>
          <cell r="I5259"/>
        </row>
        <row r="5260">
          <cell r="C5260"/>
          <cell r="D5260"/>
          <cell r="E5260"/>
          <cell r="F5260"/>
          <cell r="G5260"/>
          <cell r="H5260"/>
          <cell r="I5260"/>
        </row>
        <row r="5261">
          <cell r="C5261"/>
          <cell r="D5261"/>
          <cell r="E5261"/>
          <cell r="F5261"/>
          <cell r="G5261"/>
          <cell r="H5261"/>
          <cell r="I5261"/>
        </row>
      </sheetData>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id="4" name="Tableau4" displayName="Tableau4" ref="A1:L74" headerRowCount="0" totalsRowShown="0" headerRowDxfId="129" headerRowBorderDxfId="128" headerRowCellStyle="Accent1">
  <tableColumns count="12">
    <tableColumn id="1" name="Colonne1" headerRowDxfId="127" headerRowCellStyle="Accent1"/>
    <tableColumn id="2" name="Colonne2" headerRowDxfId="126" headerRowCellStyle="Accent1"/>
    <tableColumn id="3" name="Colonne3" headerRowDxfId="125" headerRowCellStyle="Accent1"/>
    <tableColumn id="4" name="Colonne4" headerRowDxfId="124" headerRowCellStyle="Accent1"/>
    <tableColumn id="5" name="Colonne5" headerRowDxfId="123" headerRowCellStyle="Accent1"/>
    <tableColumn id="6" name="Colonne6" headerRowDxfId="122" headerRowCellStyle="Accent1"/>
    <tableColumn id="7" name="Colonne7" headerRowDxfId="121" dataDxfId="120"/>
    <tableColumn id="8" name="Colonne8" headerRowDxfId="119" dataDxfId="118"/>
    <tableColumn id="9" name="Colonne9" headerRowDxfId="117" headerRowCellStyle="Accent1"/>
    <tableColumn id="10" name="Colonne10" headerRowDxfId="116" headerRowCellStyle="Accent1"/>
    <tableColumn id="11" name="Colonne11" headerRowDxfId="115" headerRowCellStyle="Accent1"/>
    <tableColumn id="12" name="Colonne12" headerRowDxfId="114" headerRowCellStyle="Accent1"/>
  </tableColumns>
  <tableStyleInfo name="TableStyleMedium2" showFirstColumn="0" showLastColumn="0" showRowStripes="1" showColumnStripes="0"/>
</table>
</file>

<file path=xl/tables/table2.xml><?xml version="1.0" encoding="utf-8"?>
<table xmlns="http://schemas.openxmlformats.org/spreadsheetml/2006/main" id="6" name="Tableau47" displayName="Tableau47" ref="A1:R486" totalsRowShown="0" headerRowDxfId="113" dataDxfId="111" headerRowBorderDxfId="112" headerRowCellStyle="Accent1">
  <autoFilter ref="A1:R486"/>
  <tableColumns count="18">
    <tableColumn id="1" name="Nom du BIB" dataDxfId="110"/>
    <tableColumn id="19" name="Type de champ" dataDxfId="109"/>
    <tableColumn id="18" name="Nature" dataDxfId="108"/>
    <tableColumn id="2" name="article 1" dataDxfId="107"/>
    <tableColumn id="3" name="Objet de gestion 1" dataDxfId="106"/>
    <tableColumn id="13" name="article 2" dataDxfId="105"/>
    <tableColumn id="4" name="Objet de gestion 2" dataDxfId="104"/>
    <tableColumn id="14" name="article 3" dataDxfId="103"/>
    <tableColumn id="5" name="Objet de gestion 3" dataDxfId="102"/>
    <tableColumn id="15" name="article 4" dataDxfId="101"/>
    <tableColumn id="6" name="Objet de gestion 4" dataDxfId="100"/>
    <tableColumn id="17" name="Ordre trigramme" dataDxfId="99"/>
    <tableColumn id="8" name="Nb car" dataDxfId="98"/>
    <tableColumn id="9" name="Code" dataDxfId="97">
      <calculatedColumnFormula>IF(AND(ISBLANK(A2),ISBLANK(B2),ISBLANK(C2),ISBLANK(E2),ISBLANK(L2)),"",IF(OR(ISBLANK(A2),ISBLANK(B2),ISBLANK(C2),ISBLANK(E2),ISBLANK(L2)),"à compléter",
IF(L2="Normal",
LOOKUP(B2,'Type de champ'!B:B,'Type de champ'!A:A)
&amp;IF(COUNTIF('Objets de gestion'!C:C,K2)=0,"","_"&amp;LOOKUP(K2,'Objets de gestion'!C:C,'Objets de gestion'!F:F))
&amp;IF(COUNTIF('Objets de gestion'!C:C,I2)=0,"","_"&amp;LOOKUP(I2,'Objets de gestion'!C:C,'Objets de gestion'!F:F))
&amp;IF(COUNTIF('Objets de gestion'!C:C,G2)=0,"","_"&amp;LOOKUP(G2,'Objets de gestion'!C:C,'Objets de gestion'!F:F))
&amp;IF(COUNTIF('Objets de gestion'!C:C,E2)=0,"","_"&amp;LOOKUP(E2,'Objets de gestion'!C:C,'Objets de gestion'!F:F))
&amp;IF(OR(C2="booléen",COUNTIF('Objets de gestion'!C:C,C2)=0),"","_"&amp;LOOKUP(C2,'Objets de gestion'!C:C,'Objets de gestion'!F:F)),
IF(L2="Forcé",
LOOKUP(B2,'Type de champ'!B:B,'Type de champ'!A:A)
&amp;IF(COUNTIF('Objets de gestion'!C:C,E2)=0,"","_"&amp;LOOKUP(E2,'Objets de gestion'!C:C,'Objets de gestion'!F:F))
&amp;IF(COUNTIF('Objets de gestion'!C:C,G2)=0,"","_"&amp;LOOKUP(G2,'Objets de gestion'!C:C,'Objets de gestion'!F:F))
&amp;IF(COUNTIF('Objets de gestion'!C:C,I2)=0,"","_"&amp;LOOKUP(I2,'Objets de gestion'!C:C,'Objets de gestion'!F:F))
&amp;IF(COUNTIF('Objets de gestion'!C:C,K2)=0,"","_"&amp;LOOKUP(K2,'Objets de gestion'!C:C,'Objets de gestion'!F:F))
&amp;IF(OR(C2="booléen",COUNTIF('Objets de gestion'!C:C,C2)=0),"","_"&amp;LOOKUP(C2,'Objets de gestion'!C:C,'Objets de gestion'!F:F))
))))</calculatedColumnFormula>
    </tableColumn>
    <tableColumn id="10" name="Nom français" dataDxfId="96">
      <calculatedColumnFormula>IF(AND(ISBLANK(A2),ISBLANK(B2),ISBLANK(C2),ISBLANK(E2),ISBLANK(L2)),"",IF(OR(ISBLANK(A2),ISBLANK(B2),ISBLANK(C2),ISBLANK(E2),ISBLANK(L2)),"-",
C2&amp;" "&amp;IF(ISBLANK(E2),"",D2&amp;" "&amp;E2&amp;" ")&amp;IF(ISBLANK(G2),"",F2&amp;" "&amp;G2&amp;" ")&amp;IF(ISBLANK(I2),"",H2&amp;" "&amp;I2&amp;" ")&amp;IF(ISBLANK(K2),"",J2&amp;" "&amp;K2&amp;" ")))</calculatedColumnFormula>
    </tableColumn>
    <tableColumn id="11" name="Nom anglais" dataDxfId="95">
      <calculatedColumnFormula>IF(AND(ISBLANK(A2),ISBLANK(B2),ISBLANK(C2),ISBLANK(E2),ISBLANK(L2)),"",IF(OR(ISBLANK(A2),ISBLANK(B2),ISBLANK(C2),ISBLANK(E2),ISBLANK(L2)),"-",
IF(ISBLANK(C2),"",LOOKUP(C2,'Objets de gestion'!C:C,'Objets de gestion'!E:E))
&amp;IF(ISBLANK(D2),""," "&amp;LOOKUP(D2,Articles!A:A,Articles!B:B))
&amp;IF(ISBLANK(E2),""," "&amp;LOOKUP(E2,'Objets de gestion'!C:C,'Objets de gestion'!E:E))
&amp;IF(ISBLANK(F2),""," "&amp;LOOKUP(F2,Articles!A:A,Articles!B:B))
&amp;IF(ISBLANK(G2),""," "&amp;LOOKUP(G2,'Objets de gestion'!C:C,'Objets de gestion'!E:E))
&amp;IF(ISBLANK(H2),""," "&amp;LOOKUP(H2,Articles!A:A,Articles!B:B))
&amp;IF(ISBLANK(I2),""," "&amp;LOOKUP(I2,'Objets de gestion'!C:C,'Objets de gestion'!E:E))
&amp;IF(ISBLANK(J2),""," "&amp;LOOKUP(J2,Articles!A:A,Articles!B:B))
&amp;IF(ISBLANK(K2),""," "&amp;LOOKUP(K2,'Objets de gestion'!C:C,'Objets de gestion'!E:E))
))</calculatedColumnFormula>
    </tableColumn>
    <tableColumn id="20" name="Type de données" dataDxfId="94"/>
    <tableColumn id="12" name="Périmètre" dataDxfId="93"/>
  </tableColumns>
  <tableStyleInfo name="TableStyleMedium2" showFirstColumn="0" showLastColumn="0" showRowStripes="1" showColumnStripes="0"/>
</table>
</file>

<file path=xl/tables/table3.xml><?xml version="1.0" encoding="utf-8"?>
<table xmlns="http://schemas.openxmlformats.org/spreadsheetml/2006/main" id="5" name="Tableau5" displayName="Tableau5" ref="A1:F2048" totalsRowShown="0" headerRowDxfId="92" headerRowCellStyle="Normal" dataCellStyle="Normal">
  <autoFilter ref="A1:F2048"/>
  <sortState ref="A2:F2048">
    <sortCondition ref="C1:C2048"/>
  </sortState>
  <tableColumns count="6">
    <tableColumn id="1" name="Date ajout" dataDxfId="91" dataCellStyle="Normal"/>
    <tableColumn id="2" name="Used" dataCellStyle="Normal"/>
    <tableColumn id="3" name="Nom FR" dataCellStyle="Normal"/>
    <tableColumn id="4" name="Définition unique" dataCellStyle="Normal"/>
    <tableColumn id="5" name="Nom EN" dataCellStyle="Normal"/>
    <tableColumn id="6" name="Trigramme" dataCellStyle="Normal"/>
  </tableColumns>
  <tableStyleInfo name="TableStyleMedium2" showFirstColumn="0" showLastColumn="0" showRowStripes="1" showColumnStripes="0"/>
</table>
</file>

<file path=xl/tables/table4.xml><?xml version="1.0" encoding="utf-8"?>
<table xmlns="http://schemas.openxmlformats.org/spreadsheetml/2006/main" id="2" name="PerimFct" displayName="PerimFct" ref="A1:F77" totalsRowShown="0" headerRowDxfId="90">
  <autoFilter ref="A1:F77"/>
  <sortState ref="A2:F77">
    <sortCondition ref="A1:A77"/>
  </sortState>
  <tableColumns count="6">
    <tableColumn id="1" name="Nom du BIB"/>
    <tableColumn id="4" name="ID Table"/>
    <tableColumn id="5" name="ROBIN"/>
    <tableColumn id="3" name="Nom anglais"/>
    <tableColumn id="6" name="Code du BIB"/>
    <tableColumn id="7" name="Remarque"/>
  </tableColumns>
  <tableStyleInfo name="TableStyleMedium2" showFirstColumn="0" showLastColumn="0" showRowStripes="1" showColumnStripes="0"/>
</table>
</file>

<file path=xl/tables/table5.xml><?xml version="1.0" encoding="utf-8"?>
<table xmlns="http://schemas.openxmlformats.org/spreadsheetml/2006/main" id="3" name="Nature5" displayName="Nature5" ref="A1:F16" totalsRowShown="0" headerRowDxfId="89" dataDxfId="88">
  <autoFilter ref="A1:F16"/>
  <sortState ref="A2:F15">
    <sortCondition ref="C4"/>
  </sortState>
  <tableColumns count="6">
    <tableColumn id="10" name="Catégorie" dataDxfId="87" dataCellStyle="Milliers"/>
    <tableColumn id="5" name="ID" dataDxfId="86" dataCellStyle="Milliers"/>
    <tableColumn id="20" name="Nom" dataDxfId="85"/>
    <tableColumn id="24" name="Définition unique" dataDxfId="84"/>
    <tableColumn id="2" name="libellé FR" dataDxfId="83"/>
    <tableColumn id="9" name="Libellé EN" dataDxfId="82"/>
  </tableColumns>
  <tableStyleInfo name="TableStyleMedium16" showFirstColumn="0" showLastColumn="0" showRowStripes="1" showColumnStripes="0"/>
</table>
</file>

<file path=xl/tables/table6.xml><?xml version="1.0" encoding="utf-8"?>
<table xmlns="http://schemas.openxmlformats.org/spreadsheetml/2006/main" id="7" name="Tableau7" displayName="Tableau7" ref="A1:C8" totalsRowShown="0">
  <autoFilter ref="A1:C8"/>
  <sortState ref="A2:C8">
    <sortCondition ref="C1:C8"/>
  </sortState>
  <tableColumns count="3">
    <tableColumn id="1" name="ID"/>
    <tableColumn id="3" name="Type"/>
    <tableColumn id="2" name="Format"/>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22"/>
  <sheetViews>
    <sheetView workbookViewId="0">
      <selection activeCell="B13" sqref="B13:I13"/>
    </sheetView>
  </sheetViews>
  <sheetFormatPr baseColWidth="10" defaultRowHeight="15"/>
  <cols>
    <col min="1" max="1" width="21" bestFit="1" customWidth="1"/>
    <col min="3" max="3" width="21.5703125" bestFit="1" customWidth="1"/>
    <col min="4" max="4" width="19.140625" bestFit="1" customWidth="1"/>
    <col min="9" max="9" width="93.28515625" customWidth="1"/>
  </cols>
  <sheetData>
    <row r="1" spans="1:9" ht="21">
      <c r="A1" s="28" t="s">
        <v>5459</v>
      </c>
      <c r="B1" s="28"/>
      <c r="C1" s="107" t="s">
        <v>5494</v>
      </c>
      <c r="D1" s="107"/>
      <c r="E1" s="107"/>
      <c r="F1" s="107"/>
      <c r="G1" s="107"/>
      <c r="H1" s="107"/>
      <c r="I1" s="107"/>
    </row>
    <row r="2" spans="1:9" ht="21">
      <c r="A2" s="107"/>
      <c r="B2" s="107"/>
      <c r="C2" s="107"/>
      <c r="D2" s="107"/>
      <c r="E2" s="107"/>
      <c r="F2" s="107"/>
      <c r="G2" s="107"/>
      <c r="H2" s="107"/>
      <c r="I2" s="107"/>
    </row>
    <row r="3" spans="1:9" ht="15.75">
      <c r="A3" s="29" t="s">
        <v>5460</v>
      </c>
      <c r="B3" s="29"/>
      <c r="C3" s="29" t="s">
        <v>5461</v>
      </c>
      <c r="D3" s="29" t="s">
        <v>5462</v>
      </c>
      <c r="E3" s="29"/>
      <c r="F3" s="29"/>
      <c r="G3" s="29"/>
      <c r="H3" s="29"/>
      <c r="I3" s="29"/>
    </row>
    <row r="4" spans="1:9">
      <c r="A4" s="108"/>
      <c r="B4" s="108"/>
      <c r="C4" s="108"/>
      <c r="D4" s="108"/>
      <c r="E4" s="108"/>
      <c r="F4" s="108"/>
      <c r="G4" s="108"/>
      <c r="H4" s="108"/>
      <c r="I4" s="108"/>
    </row>
    <row r="5" spans="1:9" ht="18.75">
      <c r="A5" s="109" t="s">
        <v>5463</v>
      </c>
      <c r="B5" s="109"/>
      <c r="C5" s="109"/>
      <c r="D5" s="109"/>
      <c r="E5" s="109"/>
      <c r="F5" s="109"/>
      <c r="G5" s="109"/>
      <c r="H5" s="109"/>
      <c r="I5" s="109"/>
    </row>
    <row r="6" spans="1:9" ht="18.75">
      <c r="A6" s="109" t="s">
        <v>5464</v>
      </c>
      <c r="B6" s="109"/>
      <c r="C6" s="109"/>
      <c r="D6" s="109"/>
      <c r="E6" s="109"/>
      <c r="F6" s="109"/>
      <c r="G6" s="109"/>
      <c r="H6" s="109"/>
      <c r="I6" s="109"/>
    </row>
    <row r="7" spans="1:9" ht="18.75">
      <c r="A7" s="98"/>
      <c r="B7" s="98"/>
      <c r="C7" s="98"/>
      <c r="D7" s="98"/>
      <c r="E7" s="98"/>
      <c r="F7" s="98"/>
      <c r="G7" s="98"/>
      <c r="H7" s="98"/>
      <c r="I7" s="98"/>
    </row>
    <row r="8" spans="1:9">
      <c r="A8" s="106" t="s">
        <v>5465</v>
      </c>
      <c r="B8" s="106"/>
      <c r="C8" s="106"/>
      <c r="D8" s="106"/>
      <c r="E8" s="106"/>
      <c r="F8" s="106"/>
      <c r="G8" s="106"/>
      <c r="H8" s="106"/>
      <c r="I8" s="106"/>
    </row>
    <row r="9" spans="1:9" ht="15.75">
      <c r="A9" s="31" t="s">
        <v>5466</v>
      </c>
      <c r="B9" s="97" t="s">
        <v>5468</v>
      </c>
      <c r="C9" s="97"/>
      <c r="D9" s="97"/>
      <c r="E9" s="97"/>
      <c r="F9" s="97"/>
      <c r="G9" s="97"/>
      <c r="H9" s="97"/>
      <c r="I9" s="97"/>
    </row>
    <row r="10" spans="1:9" ht="15.75">
      <c r="A10" s="31"/>
      <c r="B10" s="96" t="s">
        <v>5472</v>
      </c>
      <c r="C10" s="97"/>
      <c r="D10" s="97"/>
      <c r="E10" s="97"/>
      <c r="F10" s="97"/>
      <c r="G10" s="97"/>
      <c r="H10" s="97"/>
      <c r="I10" s="97"/>
    </row>
    <row r="11" spans="1:9" ht="20.25" customHeight="1">
      <c r="A11" s="104"/>
      <c r="B11" s="104"/>
      <c r="C11" s="104"/>
      <c r="D11" s="104"/>
      <c r="E11" s="104"/>
      <c r="F11" s="104"/>
      <c r="G11" s="104"/>
      <c r="H11" s="104"/>
      <c r="I11" s="104"/>
    </row>
    <row r="12" spans="1:9" ht="20.25" customHeight="1">
      <c r="A12" s="105" t="s">
        <v>5467</v>
      </c>
      <c r="B12" s="105"/>
      <c r="C12" s="105"/>
      <c r="D12" s="105"/>
      <c r="E12" s="105"/>
      <c r="F12" s="105"/>
      <c r="G12" s="105"/>
      <c r="H12" s="105"/>
      <c r="I12" s="105"/>
    </row>
    <row r="13" spans="1:9" ht="15.75">
      <c r="A13" s="31" t="s">
        <v>5466</v>
      </c>
      <c r="B13" s="100" t="s">
        <v>5569</v>
      </c>
      <c r="C13" s="100"/>
      <c r="D13" s="100"/>
      <c r="E13" s="100"/>
      <c r="F13" s="100"/>
      <c r="G13" s="100"/>
      <c r="H13" s="100"/>
      <c r="I13" s="100"/>
    </row>
    <row r="14" spans="1:9" ht="50.25" customHeight="1">
      <c r="A14" s="3"/>
      <c r="B14" s="101" t="s">
        <v>5469</v>
      </c>
      <c r="C14" s="102"/>
      <c r="D14" s="102"/>
      <c r="E14" s="102"/>
      <c r="F14" s="102"/>
      <c r="G14" s="102"/>
      <c r="H14" s="102"/>
      <c r="I14" s="102"/>
    </row>
    <row r="15" spans="1:9">
      <c r="A15" s="3"/>
      <c r="B15" s="96" t="s">
        <v>5472</v>
      </c>
      <c r="C15" s="97"/>
      <c r="D15" s="97"/>
      <c r="E15" s="97"/>
      <c r="F15" s="97"/>
      <c r="G15" s="97"/>
      <c r="H15" s="97"/>
      <c r="I15" s="97"/>
    </row>
    <row r="16" spans="1:9" ht="18.75">
      <c r="A16" s="98"/>
      <c r="B16" s="98"/>
      <c r="C16" s="98"/>
      <c r="D16" s="98"/>
      <c r="E16" s="98"/>
      <c r="F16" s="98"/>
      <c r="G16" s="98"/>
      <c r="H16" s="98"/>
      <c r="I16" s="98"/>
    </row>
    <row r="17" spans="1:9">
      <c r="A17" s="103" t="s">
        <v>5470</v>
      </c>
      <c r="B17" s="103"/>
      <c r="C17" s="103"/>
      <c r="D17" s="103"/>
      <c r="E17" s="103"/>
      <c r="F17" s="103"/>
      <c r="G17" s="103"/>
      <c r="H17" s="103"/>
      <c r="I17" s="103"/>
    </row>
    <row r="18" spans="1:9" ht="147" customHeight="1">
      <c r="A18" s="32" t="s">
        <v>5466</v>
      </c>
      <c r="B18" s="94" t="s">
        <v>5471</v>
      </c>
      <c r="C18" s="94"/>
      <c r="D18" s="94"/>
      <c r="E18" s="94"/>
      <c r="F18" s="94"/>
      <c r="G18" s="94"/>
      <c r="H18" s="94"/>
      <c r="I18" s="94"/>
    </row>
    <row r="19" spans="1:9" ht="18.75">
      <c r="A19" s="98"/>
      <c r="B19" s="98"/>
      <c r="C19" s="98"/>
      <c r="D19" s="98"/>
      <c r="E19" s="98"/>
      <c r="F19" s="98"/>
      <c r="G19" s="98"/>
      <c r="H19" s="98"/>
      <c r="I19" s="98"/>
    </row>
    <row r="20" spans="1:9">
      <c r="A20" s="99" t="s">
        <v>5570</v>
      </c>
      <c r="B20" s="99"/>
      <c r="C20" s="99"/>
      <c r="D20" s="99"/>
      <c r="E20" s="99"/>
      <c r="F20" s="99"/>
      <c r="G20" s="99"/>
      <c r="H20" s="99"/>
      <c r="I20" s="99"/>
    </row>
    <row r="21" spans="1:9" ht="15.75">
      <c r="A21" s="30"/>
      <c r="B21" s="95" t="s">
        <v>5493</v>
      </c>
      <c r="C21" s="95"/>
      <c r="D21" s="95"/>
      <c r="E21" s="95"/>
      <c r="F21" s="95"/>
      <c r="G21" s="95"/>
      <c r="H21" s="95"/>
      <c r="I21" s="95"/>
    </row>
    <row r="22" spans="1:9">
      <c r="A22" s="93"/>
      <c r="B22" s="93"/>
      <c r="C22" s="93"/>
      <c r="D22" s="93"/>
      <c r="E22" s="93"/>
      <c r="F22" s="93"/>
      <c r="G22" s="93"/>
      <c r="H22" s="93"/>
      <c r="I22" s="93"/>
    </row>
  </sheetData>
  <mergeCells count="21">
    <mergeCell ref="A8:I8"/>
    <mergeCell ref="C1:I1"/>
    <mergeCell ref="A2:I2"/>
    <mergeCell ref="A4:I4"/>
    <mergeCell ref="A5:I5"/>
    <mergeCell ref="A6:I6"/>
    <mergeCell ref="A7:I7"/>
    <mergeCell ref="B13:I13"/>
    <mergeCell ref="B14:I14"/>
    <mergeCell ref="A16:I16"/>
    <mergeCell ref="A17:I17"/>
    <mergeCell ref="B9:I9"/>
    <mergeCell ref="B10:I10"/>
    <mergeCell ref="A11:I11"/>
    <mergeCell ref="A12:I12"/>
    <mergeCell ref="A22:I22"/>
    <mergeCell ref="B18:I18"/>
    <mergeCell ref="B21:I21"/>
    <mergeCell ref="B15:I15"/>
    <mergeCell ref="A19:I19"/>
    <mergeCell ref="A20:I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L74"/>
  <sheetViews>
    <sheetView topLeftCell="F1" workbookViewId="0">
      <pane ySplit="1" topLeftCell="A2" activePane="bottomLeft" state="frozen"/>
      <selection pane="bottomLeft" activeCell="I3" sqref="I3:L3"/>
    </sheetView>
  </sheetViews>
  <sheetFormatPr baseColWidth="10" defaultRowHeight="15"/>
  <cols>
    <col min="1" max="1" width="29.5703125" bestFit="1" customWidth="1"/>
    <col min="2" max="2" width="16.5703125" bestFit="1" customWidth="1"/>
    <col min="3" max="3" width="29.42578125" customWidth="1"/>
    <col min="4" max="4" width="26.28515625" customWidth="1"/>
    <col min="5" max="5" width="28.140625" customWidth="1"/>
    <col min="6" max="6" width="26.42578125" customWidth="1"/>
    <col min="7" max="7" width="11.5703125" style="23" customWidth="1"/>
    <col min="8" max="8" width="11.5703125" style="1" customWidth="1"/>
    <col min="9" max="9" width="35" customWidth="1"/>
    <col min="10" max="10" width="56.28515625" bestFit="1" customWidth="1"/>
    <col min="11" max="11" width="55" bestFit="1" customWidth="1"/>
    <col min="12" max="12" width="15.7109375" bestFit="1" customWidth="1"/>
  </cols>
  <sheetData>
    <row r="1" spans="1:12" ht="15.75" thickBot="1">
      <c r="A1" s="19" t="s">
        <v>4527</v>
      </c>
      <c r="B1" s="20" t="s">
        <v>4515</v>
      </c>
      <c r="C1" s="20" t="s">
        <v>4519</v>
      </c>
      <c r="D1" s="20" t="s">
        <v>4520</v>
      </c>
      <c r="E1" s="20" t="s">
        <v>4521</v>
      </c>
      <c r="F1" s="20" t="s">
        <v>4522</v>
      </c>
      <c r="G1" s="22" t="s">
        <v>4516</v>
      </c>
      <c r="H1" s="26" t="s">
        <v>4517</v>
      </c>
      <c r="I1" s="21" t="s">
        <v>4518</v>
      </c>
      <c r="J1" s="21" t="s">
        <v>4524</v>
      </c>
      <c r="K1" s="21" t="s">
        <v>4523</v>
      </c>
      <c r="L1" s="21" t="s">
        <v>3966</v>
      </c>
    </row>
    <row r="2" spans="1:12" ht="16.5" customHeight="1">
      <c r="A2" s="86" t="s">
        <v>3881</v>
      </c>
      <c r="B2" t="s">
        <v>4469</v>
      </c>
      <c r="C2" s="50" t="s">
        <v>2219</v>
      </c>
      <c r="D2" t="s">
        <v>3881</v>
      </c>
      <c r="E2" s="86" t="s">
        <v>5602</v>
      </c>
      <c r="F2" s="68"/>
      <c r="G2" s="23" t="str">
        <f>IF(ISBLANK(A2),"",LOOKUP(A2,BIB!A:A,BIB!C:C))</f>
        <v>IBIA</v>
      </c>
      <c r="H2" s="44">
        <f>IF(AND(ISBLANK(A2),ISBLANK(B2),ISBLANK(C2)),"",IF(OR(ISBLANK(A2),ISBLANK(B2),ISBLANK(C2)),"-",LEN(Tableau4[[#This Row],[Colonne9]])))</f>
        <v>19</v>
      </c>
      <c r="I2" s="68"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ATIX_ACCMGR_TDP_LNK</v>
      </c>
      <c r="J2" s="68" t="str">
        <f>IF(AND(ISBLANK(A2),ISBLANK(B2),ISBLANK(C2)),"",IF(OR(ISBLANK(A2),ISBLANK(B2),ISBLANK(C2)),"-",
LOOKUP(B2,'Type de table'!C:C,'Type de table'!E:E)
&amp;IF(ISBLANK(C2),""," "&amp;C2)
&amp;IF(ISBLANK(D2),""," "&amp;D2)
&amp;IF(ISBLANK(E2),""," "&amp;E2)
&amp;IF(ISBLANK(F2),""," "&amp;F2)
))</f>
        <v>Axe  Lien tiers chargé de clientèle</v>
      </c>
      <c r="K2" s="68"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Axis Link third party Account Manager</v>
      </c>
      <c r="L2" s="43" t="str">
        <f>IF(AND(ISBLANK(A2),ISBLANK(B2),ISBLANK(C2)),"",IF(OR(ISBLANK(A2),ISBLANK(B2),ISBLANK(C2)),"-",B2))</f>
        <v>Axe d'analyse</v>
      </c>
    </row>
    <row r="3" spans="1:12">
      <c r="A3" s="90" t="s">
        <v>3881</v>
      </c>
      <c r="B3" s="90" t="s">
        <v>4496</v>
      </c>
      <c r="C3" s="90" t="s">
        <v>5602</v>
      </c>
      <c r="D3" s="90" t="s">
        <v>755</v>
      </c>
      <c r="E3" s="90"/>
      <c r="F3" s="90"/>
      <c r="G3" s="23" t="str">
        <f>IF(ISBLANK(A3),"",LOOKUP(A3,BIB!A:A,BIB!C:C))</f>
        <v>IBIA</v>
      </c>
      <c r="H3" s="91">
        <f>IF(AND(ISBLANK(A3),ISBLANK(B3),ISBLANK(C3)),"",IF(OR(ISBLANK(A3),ISBLANK(B3),ISBLANK(C3)),"-",LEN(Tableau4[[#This Row],[Colonne9]])))</f>
        <v>15</v>
      </c>
      <c r="I3" s="90" t="str">
        <f>IF(AND(ISBLANK(A3),ISBLANK(B3),ISBLANK(C3)),"",IF(OR(ISBLANK(A3),ISBLANK(B3),ISBLANK(C3)),"à compléter",UPPER(LOOKUP(A3,BIB!A:A,BIB!B:B)&amp;LOOKUP(B3,'Type de table'!C:C,'Type de table'!B:B)
&amp;IF(COUNTIF('Objets de gestion'!C:C,F3)=0,"","_"&amp;LOOKUP(F3,'Objets de gestion'!C:C,'Objets de gestion'!F:F))
&amp;IF(COUNTIF('Objets de gestion'!C:C,E3)=0,"","_"&amp;LOOKUP(E3,'Objets de gestion'!C:C,'Objets de gestion'!F:F))
&amp;IF(COUNTIF('Objets de gestion'!C:C,D3)=0,"","_"&amp;LOOKUP(D3,'Objets de gestion'!C:C,'Objets de gestion'!F:F))
&amp;IF(COUNTIF('Objets de gestion'!C:C,C3)=0,"","_"&amp;LOOKUP(C3,'Objets de gestion'!C:C,'Objets de gestion'!F:F))
)))</f>
        <v>ATIL_CUS_ACCMGR</v>
      </c>
      <c r="J3" s="90" t="str">
        <f>IF(AND(ISBLANK(A3),ISBLANK(B3),ISBLANK(C3)),"",IF(OR(ISBLANK(A3),ISBLANK(B3),ISBLANK(C3)),"-",
LOOKUP(B3,'Type de table'!C:C,'Type de table'!E:E)
&amp;IF(ISBLANK(C3),""," "&amp;C3)
&amp;IF(ISBLANK(D3),""," "&amp;D3)
&amp;IF(ISBLANK(E3),""," "&amp;E3)
&amp;IF(ISBLANK(F3),""," "&amp;F3)
))</f>
        <v>Table de lien entre chargé de clientèle client</v>
      </c>
      <c r="K3" s="90"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Link table between Account Manager customer</v>
      </c>
      <c r="L3" s="90" t="str">
        <f>IF(AND(ISBLANK(A3),ISBLANK(B3),ISBLANK(C3)),"",IF(OR(ISBLANK(A3),ISBLANK(B3),ISBLANK(C3)),"-",B3))</f>
        <v>Relation</v>
      </c>
    </row>
    <row r="4" spans="1:12">
      <c r="C4" s="50"/>
      <c r="G4" s="23" t="str">
        <f>IF(ISBLANK(A4),"",LOOKUP(A4,BIB!A:A,BIB!C:C))</f>
        <v/>
      </c>
      <c r="H4" s="44"/>
      <c r="I4" s="68"/>
      <c r="J4" s="68"/>
      <c r="K4" s="68"/>
      <c r="L4" s="43"/>
    </row>
    <row r="5" spans="1:12">
      <c r="A5" s="50"/>
      <c r="B5" s="50"/>
      <c r="C5" s="68"/>
      <c r="G5" s="23" t="str">
        <f>IF(ISBLANK(A5),"",LOOKUP(A5,BIB!A:A,BIB!C:C))</f>
        <v/>
      </c>
      <c r="H5" s="44"/>
      <c r="I5" s="68"/>
      <c r="J5" s="68"/>
      <c r="K5" s="68"/>
      <c r="L5" s="43"/>
    </row>
    <row r="6" spans="1:12">
      <c r="A6" s="50"/>
      <c r="B6" s="50"/>
      <c r="G6" s="23" t="str">
        <f>IF(ISBLANK(A6),"",LOOKUP(A6,BIB!A:A,BIB!C:C))</f>
        <v/>
      </c>
      <c r="H6" s="44"/>
      <c r="I6" s="68"/>
      <c r="J6" s="68"/>
      <c r="K6" s="68"/>
      <c r="L6" s="43"/>
    </row>
    <row r="7" spans="1:12">
      <c r="A7" s="50"/>
      <c r="B7" s="50"/>
      <c r="C7" s="50"/>
      <c r="D7" s="50"/>
      <c r="G7" s="23" t="str">
        <f>IF(ISBLANK(A7),"",LOOKUP(A7,BIB!A:A,BIB!C:C))</f>
        <v/>
      </c>
      <c r="H7" s="44"/>
      <c r="I7" s="68"/>
      <c r="J7" s="68"/>
      <c r="K7" s="68"/>
      <c r="L7" s="43"/>
    </row>
    <row r="8" spans="1:12">
      <c r="A8" s="50"/>
      <c r="B8" s="50"/>
      <c r="D8" s="50"/>
      <c r="E8" s="50"/>
      <c r="F8" s="50"/>
      <c r="G8" s="23" t="str">
        <f>IF(ISBLANK(A8),"",LOOKUP(A8,BIB!A:A,BIB!C:C))</f>
        <v/>
      </c>
      <c r="H8" s="44"/>
      <c r="I8" s="68"/>
      <c r="J8" s="68"/>
      <c r="K8" s="68"/>
      <c r="L8" s="43"/>
    </row>
    <row r="9" spans="1:12">
      <c r="A9" s="50"/>
      <c r="B9" s="50"/>
      <c r="C9" s="68"/>
      <c r="D9" s="27"/>
      <c r="F9" s="27"/>
      <c r="G9" s="23" t="str">
        <f>IF(ISBLANK(A9),"",LOOKUP(A9,BIB!A:A,BIB!C:C))</f>
        <v/>
      </c>
      <c r="H9" s="44"/>
      <c r="I9" s="68"/>
      <c r="J9" s="68"/>
      <c r="K9" s="68"/>
      <c r="L9" s="43"/>
    </row>
    <row r="10" spans="1:12">
      <c r="A10" s="50"/>
      <c r="B10" s="50"/>
      <c r="C10" s="68"/>
      <c r="D10" s="27"/>
      <c r="E10" s="51"/>
      <c r="F10" s="27"/>
      <c r="G10" s="23" t="str">
        <f>IF(ISBLANK(A10),"",LOOKUP(A10,BIB!A:A,BIB!C:C))</f>
        <v/>
      </c>
      <c r="H10" s="44"/>
      <c r="I10" s="68"/>
      <c r="J10" s="68"/>
      <c r="K10" s="68"/>
      <c r="L10" s="43"/>
    </row>
    <row r="11" spans="1:12">
      <c r="A11" s="51"/>
      <c r="B11" s="51"/>
      <c r="C11" s="68"/>
      <c r="D11" s="27"/>
      <c r="E11" s="51"/>
      <c r="F11" s="27"/>
      <c r="G11" s="23" t="str">
        <f>IF(ISBLANK(A11),"",LOOKUP(A11,BIB!A:A,BIB!C:C))</f>
        <v/>
      </c>
      <c r="H11" s="44"/>
      <c r="I11" s="68"/>
      <c r="J11" s="68"/>
      <c r="K11" s="68"/>
      <c r="L11" s="43"/>
    </row>
    <row r="12" spans="1:12">
      <c r="A12" s="51"/>
      <c r="B12" s="51"/>
      <c r="C12" s="68"/>
      <c r="D12" s="27"/>
      <c r="E12" s="51"/>
      <c r="F12" s="27"/>
      <c r="G12" s="23" t="str">
        <f>IF(ISBLANK(A12),"",LOOKUP(A12,BIB!A:A,BIB!C:C))</f>
        <v/>
      </c>
      <c r="H12" s="44"/>
      <c r="I12" s="68"/>
      <c r="J12" s="68"/>
      <c r="K12" s="68"/>
      <c r="L12" s="43"/>
    </row>
    <row r="13" spans="1:12">
      <c r="A13" s="51"/>
      <c r="B13" s="51"/>
      <c r="C13" s="68"/>
      <c r="D13" s="27"/>
      <c r="E13" s="51"/>
      <c r="F13" s="27"/>
      <c r="G13" s="23" t="str">
        <f>IF(ISBLANK(A13),"",LOOKUP(A13,BIB!A:A,BIB!C:C))</f>
        <v/>
      </c>
      <c r="H13" s="44"/>
      <c r="I13" s="68"/>
      <c r="J13" s="68"/>
      <c r="K13" s="68"/>
      <c r="L13" s="43"/>
    </row>
    <row r="14" spans="1:12">
      <c r="A14" s="51"/>
      <c r="B14" s="51"/>
      <c r="C14" s="68"/>
      <c r="D14" s="27"/>
      <c r="E14" s="51"/>
      <c r="F14" s="27"/>
      <c r="G14" s="23" t="str">
        <f>IF(ISBLANK(A14),"",LOOKUP(A14,BIB!A:A,BIB!C:C))</f>
        <v/>
      </c>
      <c r="H14" s="44"/>
      <c r="I14" s="68"/>
      <c r="J14" s="68"/>
      <c r="K14" s="68"/>
      <c r="L14" s="43"/>
    </row>
    <row r="15" spans="1:12">
      <c r="A15" s="51"/>
      <c r="B15" s="51"/>
      <c r="C15" s="68"/>
      <c r="D15" s="27"/>
      <c r="E15" s="51"/>
      <c r="F15" s="27"/>
      <c r="G15" s="23" t="str">
        <f>IF(ISBLANK(A15),"",LOOKUP(A15,BIB!A:A,BIB!C:C))</f>
        <v/>
      </c>
      <c r="H15" s="44"/>
      <c r="I15" s="68"/>
      <c r="J15" s="68"/>
      <c r="K15" s="68"/>
      <c r="L15" s="43"/>
    </row>
    <row r="16" spans="1:12">
      <c r="G16" s="23" t="str">
        <f>IF(ISBLANK(A16),"",LOOKUP(A16,BIB!A:A,BIB!C:C))</f>
        <v/>
      </c>
      <c r="H16" s="44" t="str">
        <f>IF(AND(ISBLANK(A16),ISBLANK(B16),ISBLANK(C16)),"",IF(OR(ISBLANK(A16),ISBLANK(B16),ISBLANK(C16)),"-",LEN(Tableau4[[#This Row],[Colonne9]])))</f>
        <v/>
      </c>
      <c r="I16" s="68"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68" t="str">
        <f>IF(AND(ISBLANK(A16),ISBLANK(B16),ISBLANK(C16)),"",IF(OR(ISBLANK(A16),ISBLANK(B16),ISBLANK(C16)),"-",
LOOKUP(B16,'Type de table'!C:C,'Type de table'!E:E)
&amp;IF(ISBLANK(C16),""," "&amp;C16)
&amp;IF(ISBLANK(D16),""," "&amp;D16)
&amp;IF(ISBLANK(E16),""," "&amp;E16)
&amp;IF(ISBLANK(F16),""," "&amp;F16)
))</f>
        <v/>
      </c>
      <c r="K16" s="68"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3" t="str">
        <f t="shared" ref="L16:L66" si="0">IF(AND(ISBLANK(A16),ISBLANK(B16),ISBLANK(C16)),"",IF(OR(ISBLANK(A16),ISBLANK(B16),ISBLANK(C16)),"-",B16))</f>
        <v/>
      </c>
    </row>
    <row r="17" spans="7:12">
      <c r="G17" s="23" t="str">
        <f>IF(ISBLANK(A17),"",LOOKUP(A17,BIB!A:A,BIB!C:C))</f>
        <v/>
      </c>
      <c r="H17" s="44" t="str">
        <f>IF(AND(ISBLANK(A17),ISBLANK(B17),ISBLANK(C17)),"",IF(OR(ISBLANK(A17),ISBLANK(B17),ISBLANK(C17)),"-",LEN(Tableau4[[#This Row],[Colonne9]])))</f>
        <v/>
      </c>
      <c r="I17" s="43"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68" t="str">
        <f>IF(AND(ISBLANK(A17),ISBLANK(B17),ISBLANK(C17)),"",IF(OR(ISBLANK(A17),ISBLANK(B17),ISBLANK(C17)),"-",
LOOKUP(B17,'Type de table'!C:C,'Type de table'!E:E)
&amp;IF(ISBLANK(C17),""," "&amp;C17)
&amp;IF(ISBLANK(D17),""," "&amp;D17)
&amp;IF(ISBLANK(E17),""," "&amp;E17)
&amp;IF(ISBLANK(F17),""," "&amp;F17)
))</f>
        <v/>
      </c>
      <c r="K17" s="68"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3" t="str">
        <f t="shared" si="0"/>
        <v/>
      </c>
    </row>
    <row r="18" spans="7:12">
      <c r="G18" s="23" t="str">
        <f>IF(ISBLANK(A18),"",LOOKUP(A18,BIB!A:A,BIB!C:C))</f>
        <v/>
      </c>
      <c r="H18" s="44" t="str">
        <f>IF(AND(ISBLANK(A18),ISBLANK(B18),ISBLANK(C18)),"",IF(OR(ISBLANK(A18),ISBLANK(B18),ISBLANK(C18)),"-",LEN(Tableau4[[#This Row],[Colonne9]])))</f>
        <v/>
      </c>
      <c r="I18" s="43"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68" t="str">
        <f>IF(AND(ISBLANK(A18),ISBLANK(B18),ISBLANK(C18)),"",IF(OR(ISBLANK(A18),ISBLANK(B18),ISBLANK(C18)),"-",
LOOKUP(B18,'Type de table'!C:C,'Type de table'!E:E)
&amp;IF(ISBLANK(C18),""," "&amp;C18)
&amp;IF(ISBLANK(D18),""," "&amp;D18)
&amp;IF(ISBLANK(E18),""," "&amp;E18)
&amp;IF(ISBLANK(F18),""," "&amp;F18)
))</f>
        <v/>
      </c>
      <c r="K18" s="68"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3" t="str">
        <f t="shared" si="0"/>
        <v/>
      </c>
    </row>
    <row r="19" spans="7:12">
      <c r="G19" s="23" t="str">
        <f>IF(ISBLANK(A19),"",LOOKUP(A19,BIB!A:A,BIB!C:C))</f>
        <v/>
      </c>
      <c r="H19" s="44" t="str">
        <f>IF(AND(ISBLANK(A19),ISBLANK(B19),ISBLANK(C19)),"",IF(OR(ISBLANK(A19),ISBLANK(B19),ISBLANK(C19)),"-",LEN(Tableau4[[#This Row],[Colonne9]])))</f>
        <v/>
      </c>
      <c r="I19" s="43"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3" t="str">
        <f>IF(AND(ISBLANK(A19),ISBLANK(B19),ISBLANK(C19)),"",IF(OR(ISBLANK(A19),ISBLANK(B19),ISBLANK(C19)),"-",
LOOKUP(B19,'Type de table'!C:C,'Type de table'!E:E)
&amp;IF(ISBLANK(C19),""," "&amp;C19)
&amp;IF(ISBLANK(D19),""," "&amp;D19)
&amp;IF(ISBLANK(E19),""," "&amp;E19)
&amp;IF(ISBLANK(F19),""," "&amp;F19)
))</f>
        <v/>
      </c>
      <c r="K19" s="43"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3" t="str">
        <f t="shared" si="0"/>
        <v/>
      </c>
    </row>
    <row r="20" spans="7:12">
      <c r="G20" s="23" t="str">
        <f>IF(ISBLANK(A20),"",LOOKUP(A20,BIB!A:A,BIB!C:C))</f>
        <v/>
      </c>
      <c r="H20" s="44" t="str">
        <f>IF(AND(ISBLANK(A20),ISBLANK(B20),ISBLANK(C20)),"",IF(OR(ISBLANK(A20),ISBLANK(B20),ISBLANK(C20)),"-",LEN(Tableau4[[#This Row],[Colonne9]])))</f>
        <v/>
      </c>
      <c r="I20" s="43"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3" t="str">
        <f>IF(AND(ISBLANK(A20),ISBLANK(B20),ISBLANK(C20)),"",IF(OR(ISBLANK(A20),ISBLANK(B20),ISBLANK(C20)),"-",
LOOKUP(B20,'Type de table'!C:C,'Type de table'!E:E)
&amp;IF(ISBLANK(C20),""," "&amp;C20)
&amp;IF(ISBLANK(D20),""," "&amp;D20)
&amp;IF(ISBLANK(E20),""," "&amp;E20)
&amp;IF(ISBLANK(F20),""," "&amp;F20)
))</f>
        <v/>
      </c>
      <c r="K20" s="43"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3" t="str">
        <f t="shared" si="0"/>
        <v/>
      </c>
    </row>
    <row r="21" spans="7:12">
      <c r="G21" s="23" t="str">
        <f>IF(ISBLANK(A21),"",LOOKUP(A21,BIB!A:A,BIB!C:C))</f>
        <v/>
      </c>
      <c r="H21" s="44" t="str">
        <f>IF(AND(ISBLANK(A21),ISBLANK(B21),ISBLANK(C21)),"",IF(OR(ISBLANK(A21),ISBLANK(B21),ISBLANK(C21)),"-",LEN(Tableau4[[#This Row],[Colonne9]])))</f>
        <v/>
      </c>
      <c r="I21" s="43"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3" t="str">
        <f>IF(AND(ISBLANK(A21),ISBLANK(B21),ISBLANK(C21)),"",IF(OR(ISBLANK(A21),ISBLANK(B21),ISBLANK(C21)),"-",
LOOKUP(B21,'Type de table'!C:C,'Type de table'!E:E)
&amp;IF(ISBLANK(C21),""," "&amp;C21)
&amp;IF(ISBLANK(D21),""," "&amp;D21)
&amp;IF(ISBLANK(E21),""," "&amp;E21)
&amp;IF(ISBLANK(F21),""," "&amp;F21)
))</f>
        <v/>
      </c>
      <c r="K21" s="43"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3" t="str">
        <f t="shared" si="0"/>
        <v/>
      </c>
    </row>
    <row r="22" spans="7:12">
      <c r="G22" s="23" t="str">
        <f>IF(ISBLANK(A22),"",LOOKUP(A22,BIB!A:A,BIB!C:C))</f>
        <v/>
      </c>
      <c r="H22" s="44" t="str">
        <f>IF(AND(ISBLANK(A22),ISBLANK(B22),ISBLANK(C22)),"",IF(OR(ISBLANK(A22),ISBLANK(B22),ISBLANK(C22)),"-",LEN(Tableau4[[#This Row],[Colonne9]])))</f>
        <v/>
      </c>
      <c r="I22" s="43"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3" t="str">
        <f>IF(AND(ISBLANK(A22),ISBLANK(B22),ISBLANK(C22)),"",IF(OR(ISBLANK(A22),ISBLANK(B22),ISBLANK(C22)),"-",
LOOKUP(B22,'Type de table'!C:C,'Type de table'!E:E)
&amp;IF(ISBLANK(C22),""," "&amp;C22)
&amp;IF(ISBLANK(D22),""," "&amp;D22)
&amp;IF(ISBLANK(E22),""," "&amp;E22)
&amp;IF(ISBLANK(F22),""," "&amp;F22)
))</f>
        <v/>
      </c>
      <c r="K22" s="43"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3" t="str">
        <f t="shared" si="0"/>
        <v/>
      </c>
    </row>
    <row r="23" spans="7:12">
      <c r="G23" s="23" t="str">
        <f>IF(ISBLANK(A23),"",LOOKUP(A23,BIB!A:A,BIB!C:C))</f>
        <v/>
      </c>
      <c r="H23" s="44" t="str">
        <f>IF(AND(ISBLANK(A23),ISBLANK(B23),ISBLANK(C23)),"",IF(OR(ISBLANK(A23),ISBLANK(B23),ISBLANK(C23)),"-",LEN(Tableau4[[#This Row],[Colonne9]])))</f>
        <v/>
      </c>
      <c r="I23" s="43"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3" t="str">
        <f>IF(AND(ISBLANK(A23),ISBLANK(B23),ISBLANK(C23)),"",IF(OR(ISBLANK(A23),ISBLANK(B23),ISBLANK(C23)),"-",
LOOKUP(B23,'Type de table'!C:C,'Type de table'!E:E)
&amp;IF(ISBLANK(C23),""," "&amp;C23)
&amp;IF(ISBLANK(D23),""," "&amp;D23)
&amp;IF(ISBLANK(E23),""," "&amp;E23)
&amp;IF(ISBLANK(F23),""," "&amp;F23)
))</f>
        <v/>
      </c>
      <c r="K23" s="43"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3" t="str">
        <f t="shared" si="0"/>
        <v/>
      </c>
    </row>
    <row r="24" spans="7:12">
      <c r="G24" s="23" t="str">
        <f>IF(ISBLANK(A24),"",LOOKUP(A24,BIB!A:A,BIB!C:C))</f>
        <v/>
      </c>
      <c r="H24" s="44" t="str">
        <f>IF(AND(ISBLANK(A24),ISBLANK(B24),ISBLANK(C24)),"",IF(OR(ISBLANK(A24),ISBLANK(B24),ISBLANK(C24)),"-",LEN(Tableau4[[#This Row],[Colonne9]])))</f>
        <v/>
      </c>
      <c r="I24" s="43"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3" t="str">
        <f>IF(AND(ISBLANK(A24),ISBLANK(B24),ISBLANK(C24)),"",IF(OR(ISBLANK(A24),ISBLANK(B24),ISBLANK(C24)),"-",
LOOKUP(B24,'Type de table'!C:C,'Type de table'!E:E)
&amp;IF(ISBLANK(C24),""," "&amp;C24)
&amp;IF(ISBLANK(D24),""," "&amp;D24)
&amp;IF(ISBLANK(E24),""," "&amp;E24)
&amp;IF(ISBLANK(F24),""," "&amp;F24)
))</f>
        <v/>
      </c>
      <c r="K24" s="43"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3" t="str">
        <f t="shared" si="0"/>
        <v/>
      </c>
    </row>
    <row r="25" spans="7:12">
      <c r="G25" s="23" t="str">
        <f>IF(ISBLANK(A25),"",LOOKUP(A25,BIB!A:A,BIB!C:C))</f>
        <v/>
      </c>
      <c r="H25" s="44" t="str">
        <f>IF(AND(ISBLANK(A25),ISBLANK(B25),ISBLANK(C25)),"",IF(OR(ISBLANK(A25),ISBLANK(B25),ISBLANK(C25)),"-",LEN(Tableau4[[#This Row],[Colonne9]])))</f>
        <v/>
      </c>
      <c r="I25" s="43"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3" t="str">
        <f>IF(AND(ISBLANK(A25),ISBLANK(B25),ISBLANK(C25)),"",IF(OR(ISBLANK(A25),ISBLANK(B25),ISBLANK(C25)),"-",
LOOKUP(B25,'Type de table'!C:C,'Type de table'!E:E)
&amp;IF(ISBLANK(C25),""," "&amp;C25)
&amp;IF(ISBLANK(D25),""," "&amp;D25)
&amp;IF(ISBLANK(E25),""," "&amp;E25)
&amp;IF(ISBLANK(F25),""," "&amp;F25)
))</f>
        <v/>
      </c>
      <c r="K25" s="43"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3" t="str">
        <f t="shared" si="0"/>
        <v/>
      </c>
    </row>
    <row r="26" spans="7:12">
      <c r="G26" s="23" t="str">
        <f>IF(ISBLANK(A26),"",LOOKUP(A26,BIB!A:A,BIB!C:C))</f>
        <v/>
      </c>
      <c r="H26" s="44" t="str">
        <f>IF(AND(ISBLANK(A26),ISBLANK(B26),ISBLANK(C26)),"",IF(OR(ISBLANK(A26),ISBLANK(B26),ISBLANK(C26)),"-",LEN(Tableau4[[#This Row],[Colonne9]])))</f>
        <v/>
      </c>
      <c r="I26" s="43"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3" t="str">
        <f>IF(AND(ISBLANK(A26),ISBLANK(B26),ISBLANK(C26)),"",IF(OR(ISBLANK(A26),ISBLANK(B26),ISBLANK(C26)),"-",
LOOKUP(B26,'Type de table'!C:C,'Type de table'!E:E)
&amp;IF(ISBLANK(C26),""," "&amp;C26)
&amp;IF(ISBLANK(D26),""," "&amp;D26)
&amp;IF(ISBLANK(E26),""," "&amp;E26)
&amp;IF(ISBLANK(F26),""," "&amp;F26)
))</f>
        <v/>
      </c>
      <c r="K26" s="43"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3" t="str">
        <f t="shared" si="0"/>
        <v/>
      </c>
    </row>
    <row r="27" spans="7:12">
      <c r="G27" s="23" t="str">
        <f>IF(ISBLANK(A27),"",LOOKUP(A27,BIB!A:A,BIB!C:C))</f>
        <v/>
      </c>
      <c r="H27" s="44" t="str">
        <f>IF(AND(ISBLANK(A27),ISBLANK(B27),ISBLANK(C27)),"",IF(OR(ISBLANK(A27),ISBLANK(B27),ISBLANK(C27)),"-",LEN(Tableau4[[#This Row],[Colonne9]])))</f>
        <v/>
      </c>
      <c r="I27" s="43"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3" t="str">
        <f>IF(AND(ISBLANK(A27),ISBLANK(B27),ISBLANK(C27)),"",IF(OR(ISBLANK(A27),ISBLANK(B27),ISBLANK(C27)),"-",
LOOKUP(B27,'Type de table'!C:C,'Type de table'!E:E)
&amp;IF(ISBLANK(C27),""," "&amp;C27)
&amp;IF(ISBLANK(D27),""," "&amp;D27)
&amp;IF(ISBLANK(E27),""," "&amp;E27)
&amp;IF(ISBLANK(F27),""," "&amp;F27)
))</f>
        <v/>
      </c>
      <c r="K27" s="43"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3" t="str">
        <f t="shared" si="0"/>
        <v/>
      </c>
    </row>
    <row r="28" spans="7:12">
      <c r="G28" s="23" t="str">
        <f>IF(ISBLANK(A28),"",LOOKUP(A28,BIB!A:A,BIB!C:C))</f>
        <v/>
      </c>
      <c r="H28" s="44" t="str">
        <f>IF(AND(ISBLANK(A28),ISBLANK(B28),ISBLANK(C28)),"",IF(OR(ISBLANK(A28),ISBLANK(B28),ISBLANK(C28)),"-",LEN(Tableau4[[#This Row],[Colonne9]])))</f>
        <v/>
      </c>
      <c r="I28" s="43"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3" t="str">
        <f>IF(AND(ISBLANK(A28),ISBLANK(B28),ISBLANK(C28)),"",IF(OR(ISBLANK(A28),ISBLANK(B28),ISBLANK(C28)),"-",
LOOKUP(B28,'Type de table'!C:C,'Type de table'!E:E)
&amp;IF(ISBLANK(C28),""," "&amp;C28)
&amp;IF(ISBLANK(D28),""," "&amp;D28)
&amp;IF(ISBLANK(E28),""," "&amp;E28)
&amp;IF(ISBLANK(F28),""," "&amp;F28)
))</f>
        <v/>
      </c>
      <c r="K28" s="43"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3" t="str">
        <f t="shared" si="0"/>
        <v/>
      </c>
    </row>
    <row r="29" spans="7:12">
      <c r="G29" s="23" t="str">
        <f>IF(ISBLANK(A29),"",LOOKUP(A29,BIB!A:A,BIB!C:C))</f>
        <v/>
      </c>
      <c r="H29" s="44" t="str">
        <f>IF(AND(ISBLANK(A29),ISBLANK(B29),ISBLANK(C29)),"",IF(OR(ISBLANK(A29),ISBLANK(B29),ISBLANK(C29)),"-",LEN(Tableau4[[#This Row],[Colonne9]])))</f>
        <v/>
      </c>
      <c r="I29" s="43"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3" t="str">
        <f>IF(AND(ISBLANK(A29),ISBLANK(B29),ISBLANK(C29)),"",IF(OR(ISBLANK(A29),ISBLANK(B29),ISBLANK(C29)),"-",
LOOKUP(B29,'Type de table'!C:C,'Type de table'!E:E)
&amp;IF(ISBLANK(C29),""," "&amp;C29)
&amp;IF(ISBLANK(D29),""," "&amp;D29)
&amp;IF(ISBLANK(E29),""," "&amp;E29)
&amp;IF(ISBLANK(F29),""," "&amp;F29)
))</f>
        <v/>
      </c>
      <c r="K29" s="43"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3" t="str">
        <f t="shared" si="0"/>
        <v/>
      </c>
    </row>
    <row r="30" spans="7:12">
      <c r="G30" s="23" t="str">
        <f>IF(ISBLANK(A30),"",LOOKUP(A30,BIB!A:A,BIB!C:C))</f>
        <v/>
      </c>
      <c r="H30" s="44" t="str">
        <f>IF(AND(ISBLANK(A30),ISBLANK(B30),ISBLANK(C30)),"",IF(OR(ISBLANK(A30),ISBLANK(B30),ISBLANK(C30)),"-",LEN(Tableau4[[#This Row],[Colonne9]])))</f>
        <v/>
      </c>
      <c r="I30" s="43"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3" t="str">
        <f>IF(AND(ISBLANK(A30),ISBLANK(B30),ISBLANK(C30)),"",IF(OR(ISBLANK(A30),ISBLANK(B30),ISBLANK(C30)),"-",
LOOKUP(B30,'Type de table'!C:C,'Type de table'!E:E)
&amp;IF(ISBLANK(C30),""," "&amp;C30)
&amp;IF(ISBLANK(D30),""," "&amp;D30)
&amp;IF(ISBLANK(E30),""," "&amp;E30)
&amp;IF(ISBLANK(F30),""," "&amp;F30)
))</f>
        <v/>
      </c>
      <c r="K30" s="43"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3" t="str">
        <f t="shared" si="0"/>
        <v/>
      </c>
    </row>
    <row r="31" spans="7:12">
      <c r="G31" s="23" t="str">
        <f>IF(ISBLANK(A31),"",LOOKUP(A31,BIB!A:A,BIB!C:C))</f>
        <v/>
      </c>
      <c r="H31" s="44" t="str">
        <f>IF(AND(ISBLANK(A31),ISBLANK(B31),ISBLANK(C31)),"",IF(OR(ISBLANK(A31),ISBLANK(B31),ISBLANK(C31)),"-",LEN(Tableau4[[#This Row],[Colonne9]])))</f>
        <v/>
      </c>
      <c r="I31" s="43"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3" t="str">
        <f>IF(AND(ISBLANK(A31),ISBLANK(B31),ISBLANK(C31)),"",IF(OR(ISBLANK(A31),ISBLANK(B31),ISBLANK(C31)),"-",
LOOKUP(B31,'Type de table'!C:C,'Type de table'!E:E)
&amp;IF(ISBLANK(C31),""," "&amp;C31)
&amp;IF(ISBLANK(D31),""," "&amp;D31)
&amp;IF(ISBLANK(E31),""," "&amp;E31)
&amp;IF(ISBLANK(F31),""," "&amp;F31)
))</f>
        <v/>
      </c>
      <c r="K31" s="43"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3" t="str">
        <f t="shared" si="0"/>
        <v/>
      </c>
    </row>
    <row r="32" spans="7:12">
      <c r="G32" s="23" t="str">
        <f>IF(ISBLANK(A32),"",LOOKUP(A32,BIB!A:A,BIB!C:C))</f>
        <v/>
      </c>
      <c r="H32" s="44" t="str">
        <f>IF(AND(ISBLANK(A32),ISBLANK(B32),ISBLANK(C32)),"",IF(OR(ISBLANK(A32),ISBLANK(B32),ISBLANK(C32)),"-",LEN(Tableau4[[#This Row],[Colonne9]])))</f>
        <v/>
      </c>
      <c r="I32" s="43"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3" t="str">
        <f>IF(AND(ISBLANK(A32),ISBLANK(B32),ISBLANK(C32)),"",IF(OR(ISBLANK(A32),ISBLANK(B32),ISBLANK(C32)),"-",
LOOKUP(B32,'Type de table'!C:C,'Type de table'!E:E)
&amp;IF(ISBLANK(C32),""," "&amp;C32)
&amp;IF(ISBLANK(D32),""," "&amp;D32)
&amp;IF(ISBLANK(E32),""," "&amp;E32)
&amp;IF(ISBLANK(F32),""," "&amp;F32)
))</f>
        <v/>
      </c>
      <c r="K32" s="43"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3" t="str">
        <f t="shared" si="0"/>
        <v/>
      </c>
    </row>
    <row r="33" spans="7:12">
      <c r="G33" s="23" t="str">
        <f>IF(ISBLANK(A33),"",LOOKUP(A33,BIB!A:A,BIB!C:C))</f>
        <v/>
      </c>
      <c r="H33" s="44" t="str">
        <f>IF(AND(ISBLANK(A33),ISBLANK(B33),ISBLANK(C33)),"",IF(OR(ISBLANK(A33),ISBLANK(B33),ISBLANK(C33)),"-",LEN(Tableau4[[#This Row],[Colonne9]])))</f>
        <v/>
      </c>
      <c r="I33" s="43"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3" t="str">
        <f>IF(AND(ISBLANK(A33),ISBLANK(B33),ISBLANK(C33)),"",IF(OR(ISBLANK(A33),ISBLANK(B33),ISBLANK(C33)),"-",
LOOKUP(B33,'Type de table'!C:C,'Type de table'!E:E)
&amp;IF(ISBLANK(C33),""," "&amp;C33)
&amp;IF(ISBLANK(D33),""," "&amp;D33)
&amp;IF(ISBLANK(E33),""," "&amp;E33)
&amp;IF(ISBLANK(F33),""," "&amp;F33)
))</f>
        <v/>
      </c>
      <c r="K33" s="43"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3" t="str">
        <f t="shared" si="0"/>
        <v/>
      </c>
    </row>
    <row r="34" spans="7:12">
      <c r="G34" s="23" t="str">
        <f>IF(ISBLANK(A34),"",LOOKUP(A34,BIB!A:A,BIB!C:C))</f>
        <v/>
      </c>
      <c r="H34" s="44" t="str">
        <f>IF(AND(ISBLANK(A34),ISBLANK(B34),ISBLANK(C34)),"",IF(OR(ISBLANK(A34),ISBLANK(B34),ISBLANK(C34)),"-",LEN(Tableau4[[#This Row],[Colonne9]])))</f>
        <v/>
      </c>
      <c r="I34" s="43"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3" t="str">
        <f>IF(AND(ISBLANK(A34),ISBLANK(B34),ISBLANK(C34)),"",IF(OR(ISBLANK(A34),ISBLANK(B34),ISBLANK(C34)),"-",
LOOKUP(B34,'Type de table'!C:C,'Type de table'!E:E)
&amp;IF(ISBLANK(C34),""," "&amp;C34)
&amp;IF(ISBLANK(D34),""," "&amp;D34)
&amp;IF(ISBLANK(E34),""," "&amp;E34)
&amp;IF(ISBLANK(F34),""," "&amp;F34)
))</f>
        <v/>
      </c>
      <c r="K34" s="43"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3" t="str">
        <f t="shared" si="0"/>
        <v/>
      </c>
    </row>
    <row r="35" spans="7:12">
      <c r="G35" s="23" t="str">
        <f>IF(ISBLANK(A35),"",LOOKUP(A35,BIB!A:A,BIB!C:C))</f>
        <v/>
      </c>
      <c r="H35" s="44" t="str">
        <f>IF(AND(ISBLANK(A35),ISBLANK(B35),ISBLANK(C35)),"",IF(OR(ISBLANK(A35),ISBLANK(B35),ISBLANK(C35)),"-",LEN(Tableau4[[#This Row],[Colonne9]])))</f>
        <v/>
      </c>
      <c r="I35" s="43"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3" t="str">
        <f>IF(AND(ISBLANK(A35),ISBLANK(B35),ISBLANK(C35)),"",IF(OR(ISBLANK(A35),ISBLANK(B35),ISBLANK(C35)),"-",
LOOKUP(B35,'Type de table'!C:C,'Type de table'!E:E)
&amp;IF(ISBLANK(C35),""," "&amp;C35)
&amp;IF(ISBLANK(D35),""," "&amp;D35)
&amp;IF(ISBLANK(E35),""," "&amp;E35)
&amp;IF(ISBLANK(F35),""," "&amp;F35)
))</f>
        <v/>
      </c>
      <c r="K35" s="43"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3" t="str">
        <f t="shared" si="0"/>
        <v/>
      </c>
    </row>
    <row r="36" spans="7:12">
      <c r="G36" s="23" t="str">
        <f>IF(ISBLANK(A36),"",LOOKUP(A36,BIB!A:A,BIB!C:C))</f>
        <v/>
      </c>
      <c r="H36" s="44" t="str">
        <f>IF(AND(ISBLANK(A36),ISBLANK(B36),ISBLANK(C36)),"",IF(OR(ISBLANK(A36),ISBLANK(B36),ISBLANK(C36)),"-",LEN(Tableau4[[#This Row],[Colonne9]])))</f>
        <v/>
      </c>
      <c r="I36" s="43"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3" t="str">
        <f>IF(AND(ISBLANK(A36),ISBLANK(B36),ISBLANK(C36)),"",IF(OR(ISBLANK(A36),ISBLANK(B36),ISBLANK(C36)),"-",
LOOKUP(B36,'Type de table'!C:C,'Type de table'!E:E)
&amp;IF(ISBLANK(C36),""," "&amp;C36)
&amp;IF(ISBLANK(D36),""," "&amp;D36)
&amp;IF(ISBLANK(E36),""," "&amp;E36)
&amp;IF(ISBLANK(F36),""," "&amp;F36)
))</f>
        <v/>
      </c>
      <c r="K36" s="43"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3" t="str">
        <f t="shared" si="0"/>
        <v/>
      </c>
    </row>
    <row r="37" spans="7:12">
      <c r="G37" s="23" t="str">
        <f>IF(ISBLANK(A37),"",LOOKUP(A37,BIB!A:A,BIB!C:C))</f>
        <v/>
      </c>
      <c r="H37" s="44" t="str">
        <f>IF(AND(ISBLANK(A37),ISBLANK(B37),ISBLANK(C37)),"",IF(OR(ISBLANK(A37),ISBLANK(B37),ISBLANK(C37)),"-",LEN(Tableau4[[#This Row],[Colonne9]])))</f>
        <v/>
      </c>
      <c r="I37" s="43"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3" t="str">
        <f>IF(AND(ISBLANK(A37),ISBLANK(B37),ISBLANK(C37)),"",IF(OR(ISBLANK(A37),ISBLANK(B37),ISBLANK(C37)),"-",
LOOKUP(B37,'Type de table'!C:C,'Type de table'!E:E)
&amp;IF(ISBLANK(C37),""," "&amp;C37)
&amp;IF(ISBLANK(D37),""," "&amp;D37)
&amp;IF(ISBLANK(E37),""," "&amp;E37)
&amp;IF(ISBLANK(F37),""," "&amp;F37)
))</f>
        <v/>
      </c>
      <c r="K37" s="43"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3" t="str">
        <f t="shared" si="0"/>
        <v/>
      </c>
    </row>
    <row r="38" spans="7:12">
      <c r="G38" s="23" t="str">
        <f>IF(ISBLANK(A38),"",LOOKUP(A38,BIB!A:A,BIB!C:C))</f>
        <v/>
      </c>
      <c r="H38" s="44" t="str">
        <f>IF(AND(ISBLANK(A38),ISBLANK(B38),ISBLANK(C38)),"",IF(OR(ISBLANK(A38),ISBLANK(B38),ISBLANK(C38)),"-",LEN(Tableau4[[#This Row],[Colonne9]])))</f>
        <v/>
      </c>
      <c r="I38" s="43"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3" t="str">
        <f>IF(AND(ISBLANK(A38),ISBLANK(B38),ISBLANK(C38)),"",IF(OR(ISBLANK(A38),ISBLANK(B38),ISBLANK(C38)),"-",
LOOKUP(B38,'Type de table'!C:C,'Type de table'!E:E)
&amp;IF(ISBLANK(C38),""," "&amp;C38)
&amp;IF(ISBLANK(D38),""," "&amp;D38)
&amp;IF(ISBLANK(E38),""," "&amp;E38)
&amp;IF(ISBLANK(F38),""," "&amp;F38)
))</f>
        <v/>
      </c>
      <c r="K38" s="43"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3" t="str">
        <f t="shared" si="0"/>
        <v/>
      </c>
    </row>
    <row r="39" spans="7:12">
      <c r="G39" s="23" t="str">
        <f>IF(ISBLANK(A39),"",LOOKUP(A39,BIB!A:A,BIB!C:C))</f>
        <v/>
      </c>
      <c r="H39" s="44" t="str">
        <f>IF(AND(ISBLANK(A39),ISBLANK(B39),ISBLANK(C39)),"",IF(OR(ISBLANK(A39),ISBLANK(B39),ISBLANK(C39)),"-",LEN(Tableau4[[#This Row],[Colonne9]])))</f>
        <v/>
      </c>
      <c r="I39" s="43"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3" t="str">
        <f>IF(AND(ISBLANK(A39),ISBLANK(B39),ISBLANK(C39)),"",IF(OR(ISBLANK(A39),ISBLANK(B39),ISBLANK(C39)),"-",
LOOKUP(B39,'Type de table'!C:C,'Type de table'!E:E)
&amp;IF(ISBLANK(C39),""," "&amp;C39)
&amp;IF(ISBLANK(D39),""," "&amp;D39)
&amp;IF(ISBLANK(E39),""," "&amp;E39)
&amp;IF(ISBLANK(F39),""," "&amp;F39)
))</f>
        <v/>
      </c>
      <c r="K39" s="43"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3" t="str">
        <f t="shared" si="0"/>
        <v/>
      </c>
    </row>
    <row r="40" spans="7:12">
      <c r="G40" s="23" t="str">
        <f>IF(ISBLANK(A40),"",LOOKUP(A40,BIB!A:A,BIB!C:C))</f>
        <v/>
      </c>
      <c r="H40" s="44" t="str">
        <f>IF(AND(ISBLANK(A40),ISBLANK(B40),ISBLANK(C40)),"",IF(OR(ISBLANK(A40),ISBLANK(B40),ISBLANK(C40)),"-",LEN(Tableau4[[#This Row],[Colonne9]])))</f>
        <v/>
      </c>
      <c r="I40" s="43"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3" t="str">
        <f>IF(AND(ISBLANK(A40),ISBLANK(B40),ISBLANK(C40)),"",IF(OR(ISBLANK(A40),ISBLANK(B40),ISBLANK(C40)),"-",
LOOKUP(B40,'Type de table'!C:C,'Type de table'!E:E)
&amp;IF(ISBLANK(C40),""," "&amp;C40)
&amp;IF(ISBLANK(D40),""," "&amp;D40)
&amp;IF(ISBLANK(E40),""," "&amp;E40)
&amp;IF(ISBLANK(F40),""," "&amp;F40)
))</f>
        <v/>
      </c>
      <c r="K40" s="43"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3" t="str">
        <f t="shared" si="0"/>
        <v/>
      </c>
    </row>
    <row r="41" spans="7:12">
      <c r="G41" s="23" t="str">
        <f>IF(ISBLANK(A41),"",LOOKUP(A41,BIB!A:A,BIB!C:C))</f>
        <v/>
      </c>
      <c r="H41" s="44" t="str">
        <f>IF(AND(ISBLANK(A41),ISBLANK(B41),ISBLANK(C41)),"",IF(OR(ISBLANK(A41),ISBLANK(B41),ISBLANK(C41)),"-",LEN(Tableau4[[#This Row],[Colonne9]])))</f>
        <v/>
      </c>
      <c r="I41" s="43"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3" t="str">
        <f>IF(AND(ISBLANK(A41),ISBLANK(B41),ISBLANK(C41)),"",IF(OR(ISBLANK(A41),ISBLANK(B41),ISBLANK(C41)),"-",
LOOKUP(B41,'Type de table'!C:C,'Type de table'!E:E)
&amp;IF(ISBLANK(C41),""," "&amp;C41)
&amp;IF(ISBLANK(D41),""," "&amp;D41)
&amp;IF(ISBLANK(E41),""," "&amp;E41)
&amp;IF(ISBLANK(F41),""," "&amp;F41)
))</f>
        <v/>
      </c>
      <c r="K41" s="43"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3" t="str">
        <f t="shared" si="0"/>
        <v/>
      </c>
    </row>
    <row r="42" spans="7:12">
      <c r="G42" s="23" t="str">
        <f>IF(ISBLANK(A42),"",LOOKUP(A42,BIB!A:A,BIB!C:C))</f>
        <v/>
      </c>
      <c r="H42" s="44" t="str">
        <f>IF(AND(ISBLANK(A42),ISBLANK(B42),ISBLANK(C42)),"",IF(OR(ISBLANK(A42),ISBLANK(B42),ISBLANK(C42)),"-",LEN(Tableau4[[#This Row],[Colonne9]])))</f>
        <v/>
      </c>
      <c r="I42" s="43"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3" t="str">
        <f>IF(AND(ISBLANK(A42),ISBLANK(B42),ISBLANK(C42)),"",IF(OR(ISBLANK(A42),ISBLANK(B42),ISBLANK(C42)),"-",
LOOKUP(B42,'Type de table'!C:C,'Type de table'!E:E)
&amp;IF(ISBLANK(C42),""," "&amp;C42)
&amp;IF(ISBLANK(D42),""," "&amp;D42)
&amp;IF(ISBLANK(E42),""," "&amp;E42)
&amp;IF(ISBLANK(F42),""," "&amp;F42)
))</f>
        <v/>
      </c>
      <c r="K42" s="43"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3" t="str">
        <f t="shared" si="0"/>
        <v/>
      </c>
    </row>
    <row r="43" spans="7:12">
      <c r="G43" s="23" t="str">
        <f>IF(ISBLANK(A43),"",LOOKUP(A43,BIB!A:A,BIB!C:C))</f>
        <v/>
      </c>
      <c r="H43" s="44" t="str">
        <f>IF(AND(ISBLANK(A43),ISBLANK(B43),ISBLANK(C43)),"",IF(OR(ISBLANK(A43),ISBLANK(B43),ISBLANK(C43)),"-",LEN(Tableau4[[#This Row],[Colonne9]])))</f>
        <v/>
      </c>
      <c r="I43" s="43"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3" t="str">
        <f>IF(AND(ISBLANK(A43),ISBLANK(B43),ISBLANK(C43)),"",IF(OR(ISBLANK(A43),ISBLANK(B43),ISBLANK(C43)),"-",
LOOKUP(B43,'Type de table'!C:C,'Type de table'!E:E)
&amp;IF(ISBLANK(C43),""," "&amp;C43)
&amp;IF(ISBLANK(D43),""," "&amp;D43)
&amp;IF(ISBLANK(E43),""," "&amp;E43)
&amp;IF(ISBLANK(F43),""," "&amp;F43)
))</f>
        <v/>
      </c>
      <c r="K43" s="43"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3" t="str">
        <f t="shared" si="0"/>
        <v/>
      </c>
    </row>
    <row r="44" spans="7:12">
      <c r="G44" s="23" t="str">
        <f>IF(ISBLANK(A44),"",LOOKUP(A44,BIB!A:A,BIB!C:C))</f>
        <v/>
      </c>
      <c r="H44" s="44" t="str">
        <f>IF(AND(ISBLANK(A44),ISBLANK(B44),ISBLANK(C44)),"",IF(OR(ISBLANK(A44),ISBLANK(B44),ISBLANK(C44)),"-",LEN(Tableau4[[#This Row],[Colonne9]])))</f>
        <v/>
      </c>
      <c r="I44" s="43"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3" t="str">
        <f>IF(AND(ISBLANK(A44),ISBLANK(B44),ISBLANK(C44)),"",IF(OR(ISBLANK(A44),ISBLANK(B44),ISBLANK(C44)),"-",
LOOKUP(B44,'Type de table'!C:C,'Type de table'!E:E)
&amp;IF(ISBLANK(C44),""," "&amp;C44)
&amp;IF(ISBLANK(D44),""," "&amp;D44)
&amp;IF(ISBLANK(E44),""," "&amp;E44)
&amp;IF(ISBLANK(F44),""," "&amp;F44)
))</f>
        <v/>
      </c>
      <c r="K44" s="43"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3" t="str">
        <f t="shared" si="0"/>
        <v/>
      </c>
    </row>
    <row r="45" spans="7:12">
      <c r="G45" s="23" t="str">
        <f>IF(ISBLANK(A45),"",LOOKUP(A45,BIB!A:A,BIB!C:C))</f>
        <v/>
      </c>
      <c r="H45" s="44" t="str">
        <f>IF(AND(ISBLANK(A45),ISBLANK(B45),ISBLANK(C45)),"",IF(OR(ISBLANK(A45),ISBLANK(B45),ISBLANK(C45)),"-",LEN(Tableau4[[#This Row],[Colonne9]])))</f>
        <v/>
      </c>
      <c r="I45" s="43"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3" t="str">
        <f>IF(AND(ISBLANK(A45),ISBLANK(B45),ISBLANK(C45)),"",IF(OR(ISBLANK(A45),ISBLANK(B45),ISBLANK(C45)),"-",
LOOKUP(B45,'Type de table'!C:C,'Type de table'!E:E)
&amp;IF(ISBLANK(C45),""," "&amp;C45)
&amp;IF(ISBLANK(D45),""," "&amp;D45)
&amp;IF(ISBLANK(E45),""," "&amp;E45)
&amp;IF(ISBLANK(F45),""," "&amp;F45)
))</f>
        <v/>
      </c>
      <c r="K45" s="43"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3" t="str">
        <f t="shared" si="0"/>
        <v/>
      </c>
    </row>
    <row r="46" spans="7:12">
      <c r="G46" s="23" t="str">
        <f>IF(ISBLANK(A46),"",LOOKUP(A46,BIB!A:A,BIB!C:C))</f>
        <v/>
      </c>
      <c r="H46" s="44" t="str">
        <f>IF(AND(ISBLANK(A46),ISBLANK(B46),ISBLANK(C46)),"",IF(OR(ISBLANK(A46),ISBLANK(B46),ISBLANK(C46)),"-",LEN(Tableau4[[#This Row],[Colonne9]])))</f>
        <v/>
      </c>
      <c r="I46" s="43"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3" t="str">
        <f>IF(AND(ISBLANK(A46),ISBLANK(B46),ISBLANK(C46)),"",IF(OR(ISBLANK(A46),ISBLANK(B46),ISBLANK(C46)),"-",
LOOKUP(B46,'Type de table'!C:C,'Type de table'!E:E)
&amp;IF(ISBLANK(C46),""," "&amp;C46)
&amp;IF(ISBLANK(D46),""," "&amp;D46)
&amp;IF(ISBLANK(E46),""," "&amp;E46)
&amp;IF(ISBLANK(F46),""," "&amp;F46)
))</f>
        <v/>
      </c>
      <c r="K46" s="43"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3" t="str">
        <f t="shared" si="0"/>
        <v/>
      </c>
    </row>
    <row r="47" spans="7:12">
      <c r="G47" s="23" t="str">
        <f>IF(ISBLANK(A47),"",LOOKUP(A47,BIB!A:A,BIB!C:C))</f>
        <v/>
      </c>
      <c r="H47" s="44" t="str">
        <f>IF(AND(ISBLANK(A47),ISBLANK(B47),ISBLANK(C47)),"",IF(OR(ISBLANK(A47),ISBLANK(B47),ISBLANK(C47)),"-",LEN(Tableau4[[#This Row],[Colonne9]])))</f>
        <v/>
      </c>
      <c r="I47" s="43"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3" t="str">
        <f>IF(AND(ISBLANK(A47),ISBLANK(B47),ISBLANK(C47)),"",IF(OR(ISBLANK(A47),ISBLANK(B47),ISBLANK(C47)),"-",
LOOKUP(B47,'Type de table'!C:C,'Type de table'!E:E)
&amp;IF(ISBLANK(C47),""," "&amp;C47)
&amp;IF(ISBLANK(D47),""," "&amp;D47)
&amp;IF(ISBLANK(E47),""," "&amp;E47)
&amp;IF(ISBLANK(F47),""," "&amp;F47)
))</f>
        <v/>
      </c>
      <c r="K47" s="43"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3" t="str">
        <f t="shared" si="0"/>
        <v/>
      </c>
    </row>
    <row r="48" spans="7:12">
      <c r="G48" s="23" t="str">
        <f>IF(ISBLANK(A48),"",LOOKUP(A48,BIB!A:A,BIB!C:C))</f>
        <v/>
      </c>
      <c r="H48" s="44" t="str">
        <f>IF(AND(ISBLANK(A48),ISBLANK(B48),ISBLANK(C48)),"",IF(OR(ISBLANK(A48),ISBLANK(B48),ISBLANK(C48)),"-",LEN(Tableau4[[#This Row],[Colonne9]])))</f>
        <v/>
      </c>
      <c r="I48" s="43"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3" t="str">
        <f>IF(AND(ISBLANK(A48),ISBLANK(B48),ISBLANK(C48)),"",IF(OR(ISBLANK(A48),ISBLANK(B48),ISBLANK(C48)),"-",
LOOKUP(B48,'Type de table'!C:C,'Type de table'!E:E)
&amp;IF(ISBLANK(C48),""," "&amp;C48)
&amp;IF(ISBLANK(D48),""," "&amp;D48)
&amp;IF(ISBLANK(E48),""," "&amp;E48)
&amp;IF(ISBLANK(F48),""," "&amp;F48)
))</f>
        <v/>
      </c>
      <c r="K48" s="43"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3" t="str">
        <f t="shared" si="0"/>
        <v/>
      </c>
    </row>
    <row r="49" spans="7:12">
      <c r="G49" s="23" t="str">
        <f>IF(ISBLANK(A49),"",LOOKUP(A49,BIB!A:A,BIB!C:C))</f>
        <v/>
      </c>
      <c r="H49" s="44" t="str">
        <f>IF(AND(ISBLANK(A49),ISBLANK(B49),ISBLANK(C49)),"",IF(OR(ISBLANK(A49),ISBLANK(B49),ISBLANK(C49)),"-",LEN(Tableau4[[#This Row],[Colonne9]])))</f>
        <v/>
      </c>
      <c r="I49" s="43"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3" t="str">
        <f>IF(AND(ISBLANK(A49),ISBLANK(B49),ISBLANK(C49)),"",IF(OR(ISBLANK(A49),ISBLANK(B49),ISBLANK(C49)),"-",
LOOKUP(B49,'Type de table'!C:C,'Type de table'!E:E)
&amp;IF(ISBLANK(C49),""," "&amp;C49)
&amp;IF(ISBLANK(D49),""," "&amp;D49)
&amp;IF(ISBLANK(E49),""," "&amp;E49)
&amp;IF(ISBLANK(F49),""," "&amp;F49)
))</f>
        <v/>
      </c>
      <c r="K49" s="43"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3" t="str">
        <f t="shared" si="0"/>
        <v/>
      </c>
    </row>
    <row r="50" spans="7:12">
      <c r="G50" s="23" t="str">
        <f>IF(ISBLANK(A50),"",LOOKUP(A50,BIB!A:A,BIB!C:C))</f>
        <v/>
      </c>
      <c r="H50" s="44" t="str">
        <f>IF(AND(ISBLANK(A50),ISBLANK(B50),ISBLANK(C50)),"",IF(OR(ISBLANK(A50),ISBLANK(B50),ISBLANK(C50)),"-",LEN(Tableau4[[#This Row],[Colonne9]])))</f>
        <v/>
      </c>
      <c r="I50" s="43"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3" t="str">
        <f>IF(AND(ISBLANK(A50),ISBLANK(B50),ISBLANK(C50)),"",IF(OR(ISBLANK(A50),ISBLANK(B50),ISBLANK(C50)),"-",
LOOKUP(B50,'Type de table'!C:C,'Type de table'!E:E)
&amp;IF(ISBLANK(C50),""," "&amp;C50)
&amp;IF(ISBLANK(D50),""," "&amp;D50)
&amp;IF(ISBLANK(E50),""," "&amp;E50)
&amp;IF(ISBLANK(F50),""," "&amp;F50)
))</f>
        <v/>
      </c>
      <c r="K50" s="43"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3" t="str">
        <f t="shared" si="0"/>
        <v/>
      </c>
    </row>
    <row r="51" spans="7:12">
      <c r="G51" s="23" t="str">
        <f>IF(ISBLANK(A51),"",LOOKUP(A51,BIB!A:A,BIB!C:C))</f>
        <v/>
      </c>
      <c r="H51" s="44" t="str">
        <f>IF(AND(ISBLANK(A51),ISBLANK(B51),ISBLANK(C51)),"",IF(OR(ISBLANK(A51),ISBLANK(B51),ISBLANK(C51)),"-",LEN(Tableau4[[#This Row],[Colonne9]])))</f>
        <v/>
      </c>
      <c r="I51" s="43"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3" t="str">
        <f>IF(AND(ISBLANK(A51),ISBLANK(B51),ISBLANK(C51)),"",IF(OR(ISBLANK(A51),ISBLANK(B51),ISBLANK(C51)),"-",
LOOKUP(B51,'Type de table'!C:C,'Type de table'!E:E)
&amp;IF(ISBLANK(C51),""," "&amp;C51)
&amp;IF(ISBLANK(D51),""," "&amp;D51)
&amp;IF(ISBLANK(E51),""," "&amp;E51)
&amp;IF(ISBLANK(F51),""," "&amp;F51)
))</f>
        <v/>
      </c>
      <c r="K51" s="43"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3" t="str">
        <f t="shared" si="0"/>
        <v/>
      </c>
    </row>
    <row r="52" spans="7:12">
      <c r="G52" s="23" t="str">
        <f>IF(ISBLANK(A52),"",LOOKUP(A52,BIB!A:A,BIB!C:C))</f>
        <v/>
      </c>
      <c r="H52" s="44" t="str">
        <f>IF(AND(ISBLANK(A52),ISBLANK(B52),ISBLANK(C52)),"",IF(OR(ISBLANK(A52),ISBLANK(B52),ISBLANK(C52)),"-",LEN(Tableau4[[#This Row],[Colonne9]])))</f>
        <v/>
      </c>
      <c r="I52" s="43"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3" t="str">
        <f>IF(AND(ISBLANK(A52),ISBLANK(B52),ISBLANK(C52)),"",IF(OR(ISBLANK(A52),ISBLANK(B52),ISBLANK(C52)),"-",
LOOKUP(B52,'Type de table'!C:C,'Type de table'!E:E)
&amp;IF(ISBLANK(C52),""," "&amp;C52)
&amp;IF(ISBLANK(D52),""," "&amp;D52)
&amp;IF(ISBLANK(E52),""," "&amp;E52)
&amp;IF(ISBLANK(F52),""," "&amp;F52)
))</f>
        <v/>
      </c>
      <c r="K52" s="43"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3" t="str">
        <f t="shared" si="0"/>
        <v/>
      </c>
    </row>
    <row r="53" spans="7:12">
      <c r="G53" s="23" t="str">
        <f>IF(ISBLANK(A53),"",LOOKUP(A53,BIB!A:A,BIB!C:C))</f>
        <v/>
      </c>
      <c r="H53" s="44" t="str">
        <f>IF(AND(ISBLANK(A53),ISBLANK(B53),ISBLANK(C53)),"",IF(OR(ISBLANK(A53),ISBLANK(B53),ISBLANK(C53)),"-",LEN(Tableau4[[#This Row],[Colonne9]])))</f>
        <v/>
      </c>
      <c r="I53" s="43"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3" t="str">
        <f>IF(AND(ISBLANK(A53),ISBLANK(B53),ISBLANK(C53)),"",IF(OR(ISBLANK(A53),ISBLANK(B53),ISBLANK(C53)),"-",
LOOKUP(B53,'Type de table'!C:C,'Type de table'!E:E)
&amp;IF(ISBLANK(C53),""," "&amp;C53)
&amp;IF(ISBLANK(D53),""," "&amp;D53)
&amp;IF(ISBLANK(E53),""," "&amp;E53)
&amp;IF(ISBLANK(F53),""," "&amp;F53)
))</f>
        <v/>
      </c>
      <c r="K53" s="43"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3" t="str">
        <f t="shared" si="0"/>
        <v/>
      </c>
    </row>
    <row r="54" spans="7:12">
      <c r="G54" s="23" t="str">
        <f>IF(ISBLANK(A54),"",LOOKUP(A54,BIB!A:A,BIB!C:C))</f>
        <v/>
      </c>
      <c r="H54" s="44" t="str">
        <f>IF(AND(ISBLANK(A54),ISBLANK(B54),ISBLANK(C54)),"",IF(OR(ISBLANK(A54),ISBLANK(B54),ISBLANK(C54)),"-",LEN(Tableau4[[#This Row],[Colonne9]])))</f>
        <v/>
      </c>
      <c r="I54" s="43"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3" t="str">
        <f>IF(AND(ISBLANK(A54),ISBLANK(B54),ISBLANK(C54)),"",IF(OR(ISBLANK(A54),ISBLANK(B54),ISBLANK(C54)),"-",
LOOKUP(B54,'Type de table'!C:C,'Type de table'!E:E)
&amp;IF(ISBLANK(C54),""," "&amp;C54)
&amp;IF(ISBLANK(D54),""," "&amp;D54)
&amp;IF(ISBLANK(E54),""," "&amp;E54)
&amp;IF(ISBLANK(F54),""," "&amp;F54)
))</f>
        <v/>
      </c>
      <c r="K54" s="43"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3" t="str">
        <f t="shared" si="0"/>
        <v/>
      </c>
    </row>
    <row r="55" spans="7:12">
      <c r="G55" s="23" t="str">
        <f>IF(ISBLANK(A55),"",LOOKUP(A55,BIB!A:A,BIB!C:C))</f>
        <v/>
      </c>
      <c r="H55" s="44" t="str">
        <f>IF(AND(ISBLANK(A55),ISBLANK(B55),ISBLANK(C55)),"",IF(OR(ISBLANK(A55),ISBLANK(B55),ISBLANK(C55)),"-",LEN(Tableau4[[#This Row],[Colonne9]])))</f>
        <v/>
      </c>
      <c r="I55" s="43"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3" t="str">
        <f>IF(AND(ISBLANK(A55),ISBLANK(B55),ISBLANK(C55)),"",IF(OR(ISBLANK(A55),ISBLANK(B55),ISBLANK(C55)),"-",
LOOKUP(B55,'Type de table'!C:C,'Type de table'!E:E)
&amp;IF(ISBLANK(C55),""," "&amp;C55)
&amp;IF(ISBLANK(D55),""," "&amp;D55)
&amp;IF(ISBLANK(E55),""," "&amp;E55)
&amp;IF(ISBLANK(F55),""," "&amp;F55)
))</f>
        <v/>
      </c>
      <c r="K55" s="43"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3" t="str">
        <f t="shared" si="0"/>
        <v/>
      </c>
    </row>
    <row r="56" spans="7:12">
      <c r="G56" s="23" t="str">
        <f>IF(ISBLANK(A56),"",LOOKUP(A56,BIB!A:A,BIB!C:C))</f>
        <v/>
      </c>
      <c r="H56" s="44" t="str">
        <f>IF(AND(ISBLANK(A56),ISBLANK(B56),ISBLANK(C56)),"",IF(OR(ISBLANK(A56),ISBLANK(B56),ISBLANK(C56)),"-",LEN(Tableau4[[#This Row],[Colonne9]])))</f>
        <v/>
      </c>
      <c r="I56" s="43"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3" t="str">
        <f>IF(AND(ISBLANK(A56),ISBLANK(B56),ISBLANK(C56)),"",IF(OR(ISBLANK(A56),ISBLANK(B56),ISBLANK(C56)),"-",
LOOKUP(B56,'Type de table'!C:C,'Type de table'!E:E)
&amp;IF(ISBLANK(C56),""," "&amp;C56)
&amp;IF(ISBLANK(D56),""," "&amp;D56)
&amp;IF(ISBLANK(E56),""," "&amp;E56)
&amp;IF(ISBLANK(F56),""," "&amp;F56)
))</f>
        <v/>
      </c>
      <c r="K56" s="43"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3" t="str">
        <f t="shared" si="0"/>
        <v/>
      </c>
    </row>
    <row r="57" spans="7:12">
      <c r="G57" s="23" t="str">
        <f>IF(ISBLANK(A57),"",LOOKUP(A57,BIB!A:A,BIB!C:C))</f>
        <v/>
      </c>
      <c r="H57" s="44" t="str">
        <f>IF(AND(ISBLANK(A57),ISBLANK(B57),ISBLANK(C57)),"",IF(OR(ISBLANK(A57),ISBLANK(B57),ISBLANK(C57)),"-",LEN(Tableau4[[#This Row],[Colonne9]])))</f>
        <v/>
      </c>
      <c r="I57" s="43"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3" t="str">
        <f>IF(AND(ISBLANK(A57),ISBLANK(B57),ISBLANK(C57)),"",IF(OR(ISBLANK(A57),ISBLANK(B57),ISBLANK(C57)),"-",
LOOKUP(B57,'Type de table'!C:C,'Type de table'!E:E)
&amp;IF(ISBLANK(C57),""," "&amp;C57)
&amp;IF(ISBLANK(D57),""," "&amp;D57)
&amp;IF(ISBLANK(E57),""," "&amp;E57)
&amp;IF(ISBLANK(F57),""," "&amp;F57)
))</f>
        <v/>
      </c>
      <c r="K57" s="43"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3" t="str">
        <f t="shared" si="0"/>
        <v/>
      </c>
    </row>
    <row r="58" spans="7:12">
      <c r="G58" s="23" t="str">
        <f>IF(ISBLANK(A58),"",LOOKUP(A58,BIB!A:A,BIB!C:C))</f>
        <v/>
      </c>
      <c r="H58" s="44" t="str">
        <f>IF(AND(ISBLANK(A58),ISBLANK(B58),ISBLANK(C58)),"",IF(OR(ISBLANK(A58),ISBLANK(B58),ISBLANK(C58)),"-",LEN(Tableau4[[#This Row],[Colonne9]])))</f>
        <v/>
      </c>
      <c r="I58" s="43"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3" t="str">
        <f>IF(AND(ISBLANK(A58),ISBLANK(B58),ISBLANK(C58)),"",IF(OR(ISBLANK(A58),ISBLANK(B58),ISBLANK(C58)),"-",
LOOKUP(B58,'Type de table'!C:C,'Type de table'!E:E)
&amp;IF(ISBLANK(C58),""," "&amp;C58)
&amp;IF(ISBLANK(D58),""," "&amp;D58)
&amp;IF(ISBLANK(E58),""," "&amp;E58)
&amp;IF(ISBLANK(F58),""," "&amp;F58)
))</f>
        <v/>
      </c>
      <c r="K58" s="43"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3" t="str">
        <f t="shared" si="0"/>
        <v/>
      </c>
    </row>
    <row r="59" spans="7:12">
      <c r="G59" s="23" t="str">
        <f>IF(ISBLANK(A59),"",LOOKUP(A59,BIB!A:A,BIB!C:C))</f>
        <v/>
      </c>
      <c r="H59" s="44" t="str">
        <f>IF(AND(ISBLANK(A59),ISBLANK(B59),ISBLANK(C59)),"",IF(OR(ISBLANK(A59),ISBLANK(B59),ISBLANK(C59)),"-",LEN(Tableau4[[#This Row],[Colonne9]])))</f>
        <v/>
      </c>
      <c r="I59" s="43"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3" t="str">
        <f>IF(AND(ISBLANK(A59),ISBLANK(B59),ISBLANK(C59)),"",IF(OR(ISBLANK(A59),ISBLANK(B59),ISBLANK(C59)),"-",
LOOKUP(B59,'Type de table'!C:C,'Type de table'!E:E)
&amp;IF(ISBLANK(C59),""," "&amp;C59)
&amp;IF(ISBLANK(D59),""," "&amp;D59)
&amp;IF(ISBLANK(E59),""," "&amp;E59)
&amp;IF(ISBLANK(F59),""," "&amp;F59)
))</f>
        <v/>
      </c>
      <c r="K59" s="43"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3" t="str">
        <f t="shared" si="0"/>
        <v/>
      </c>
    </row>
    <row r="60" spans="7:12">
      <c r="G60" s="23" t="str">
        <f>IF(ISBLANK(A60),"",LOOKUP(A60,BIB!A:A,BIB!C:C))</f>
        <v/>
      </c>
      <c r="H60" s="44" t="str">
        <f>IF(AND(ISBLANK(A60),ISBLANK(B60),ISBLANK(C60)),"",IF(OR(ISBLANK(A60),ISBLANK(B60),ISBLANK(C60)),"-",LEN(Tableau4[[#This Row],[Colonne9]])))</f>
        <v/>
      </c>
      <c r="I60" s="43"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3" t="str">
        <f>IF(AND(ISBLANK(A60),ISBLANK(B60),ISBLANK(C60)),"",IF(OR(ISBLANK(A60),ISBLANK(B60),ISBLANK(C60)),"-",
LOOKUP(B60,'Type de table'!C:C,'Type de table'!E:E)
&amp;IF(ISBLANK(C60),""," "&amp;C60)
&amp;IF(ISBLANK(D60),""," "&amp;D60)
&amp;IF(ISBLANK(E60),""," "&amp;E60)
&amp;IF(ISBLANK(F60),""," "&amp;F60)
))</f>
        <v/>
      </c>
      <c r="K60" s="43"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3" t="str">
        <f t="shared" si="0"/>
        <v/>
      </c>
    </row>
    <row r="61" spans="7:12">
      <c r="G61" s="23" t="str">
        <f>IF(ISBLANK(A61),"",LOOKUP(A61,BIB!A:A,BIB!C:C))</f>
        <v/>
      </c>
      <c r="H61" s="44" t="str">
        <f>IF(AND(ISBLANK(A61),ISBLANK(B61),ISBLANK(C61)),"",IF(OR(ISBLANK(A61),ISBLANK(B61),ISBLANK(C61)),"-",LEN(Tableau4[[#This Row],[Colonne9]])))</f>
        <v/>
      </c>
      <c r="I61" s="43"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3" t="str">
        <f>IF(AND(ISBLANK(A61),ISBLANK(B61),ISBLANK(C61)),"",IF(OR(ISBLANK(A61),ISBLANK(B61),ISBLANK(C61)),"-",
LOOKUP(B61,'Type de table'!C:C,'Type de table'!E:E)
&amp;IF(ISBLANK(C61),""," "&amp;C61)
&amp;IF(ISBLANK(D61),""," "&amp;D61)
&amp;IF(ISBLANK(E61),""," "&amp;E61)
&amp;IF(ISBLANK(F61),""," "&amp;F61)
))</f>
        <v/>
      </c>
      <c r="K61" s="43"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3" t="str">
        <f t="shared" si="0"/>
        <v/>
      </c>
    </row>
    <row r="62" spans="7:12">
      <c r="G62" s="23" t="str">
        <f>IF(ISBLANK(A62),"",LOOKUP(A62,BIB!A:A,BIB!C:C))</f>
        <v/>
      </c>
      <c r="H62" s="44" t="str">
        <f>IF(AND(ISBLANK(A62),ISBLANK(B62),ISBLANK(C62)),"",IF(OR(ISBLANK(A62),ISBLANK(B62),ISBLANK(C62)),"-",LEN(Tableau4[[#This Row],[Colonne9]])))</f>
        <v/>
      </c>
      <c r="I62" s="43"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3" t="str">
        <f>IF(AND(ISBLANK(A62),ISBLANK(B62),ISBLANK(C62)),"",IF(OR(ISBLANK(A62),ISBLANK(B62),ISBLANK(C62)),"-",
LOOKUP(B62,'Type de table'!C:C,'Type de table'!E:E)
&amp;IF(ISBLANK(C62),""," "&amp;C62)
&amp;IF(ISBLANK(D62),""," "&amp;D62)
&amp;IF(ISBLANK(E62),""," "&amp;E62)
&amp;IF(ISBLANK(F62),""," "&amp;F62)
))</f>
        <v/>
      </c>
      <c r="K62" s="43"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3" t="str">
        <f t="shared" si="0"/>
        <v/>
      </c>
    </row>
    <row r="63" spans="7:12">
      <c r="G63" s="23" t="str">
        <f>IF(ISBLANK(A63),"",LOOKUP(A63,BIB!A:A,BIB!C:C))</f>
        <v/>
      </c>
      <c r="H63" s="44" t="str">
        <f>IF(AND(ISBLANK(A63),ISBLANK(B63),ISBLANK(C63)),"",IF(OR(ISBLANK(A63),ISBLANK(B63),ISBLANK(C63)),"-",LEN(Tableau4[[#This Row],[Colonne9]])))</f>
        <v/>
      </c>
      <c r="I63" s="43"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3" t="str">
        <f>IF(AND(ISBLANK(A63),ISBLANK(B63),ISBLANK(C63)),"",IF(OR(ISBLANK(A63),ISBLANK(B63),ISBLANK(C63)),"-",
LOOKUP(B63,'Type de table'!C:C,'Type de table'!E:E)
&amp;IF(ISBLANK(C63),""," "&amp;C63)
&amp;IF(ISBLANK(D63),""," "&amp;D63)
&amp;IF(ISBLANK(E63),""," "&amp;E63)
&amp;IF(ISBLANK(F63),""," "&amp;F63)
))</f>
        <v/>
      </c>
      <c r="K63" s="43"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3" t="str">
        <f t="shared" si="0"/>
        <v/>
      </c>
    </row>
    <row r="64" spans="7:12">
      <c r="G64" s="23" t="str">
        <f>IF(ISBLANK(A64),"",LOOKUP(A64,BIB!A:A,BIB!C:C))</f>
        <v/>
      </c>
      <c r="H64" s="44" t="str">
        <f>IF(AND(ISBLANK(A64),ISBLANK(B64),ISBLANK(C64)),"",IF(OR(ISBLANK(A64),ISBLANK(B64),ISBLANK(C64)),"-",LEN(Tableau4[[#This Row],[Colonne9]])))</f>
        <v/>
      </c>
      <c r="I64" s="43"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3" t="str">
        <f>IF(AND(ISBLANK(A64),ISBLANK(B64),ISBLANK(C64)),"",IF(OR(ISBLANK(A64),ISBLANK(B64),ISBLANK(C64)),"-",
LOOKUP(B64,'Type de table'!C:C,'Type de table'!E:E)
&amp;IF(ISBLANK(C64),""," "&amp;C64)
&amp;IF(ISBLANK(D64),""," "&amp;D64)
&amp;IF(ISBLANK(E64),""," "&amp;E64)
&amp;IF(ISBLANK(F64),""," "&amp;F64)
))</f>
        <v/>
      </c>
      <c r="K64" s="43"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3" t="str">
        <f t="shared" si="0"/>
        <v/>
      </c>
    </row>
    <row r="65" spans="7:12">
      <c r="G65" s="23" t="str">
        <f>IF(ISBLANK(A65),"",LOOKUP(A65,BIB!A:A,BIB!C:C))</f>
        <v/>
      </c>
      <c r="H65" s="44" t="str">
        <f>IF(AND(ISBLANK(A65),ISBLANK(B65),ISBLANK(C65)),"",IF(OR(ISBLANK(A65),ISBLANK(B65),ISBLANK(C65)),"-",LEN(Tableau4[[#This Row],[Colonne9]])))</f>
        <v/>
      </c>
      <c r="I65" s="43"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3" t="str">
        <f>IF(AND(ISBLANK(A65),ISBLANK(B65),ISBLANK(C65)),"",IF(OR(ISBLANK(A65),ISBLANK(B65),ISBLANK(C65)),"-",
LOOKUP(B65,'Type de table'!C:C,'Type de table'!E:E)
&amp;IF(ISBLANK(C65),""," "&amp;C65)
&amp;IF(ISBLANK(D65),""," "&amp;D65)
&amp;IF(ISBLANK(E65),""," "&amp;E65)
&amp;IF(ISBLANK(F65),""," "&amp;F65)
))</f>
        <v/>
      </c>
      <c r="K65" s="43"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3" t="str">
        <f t="shared" si="0"/>
        <v/>
      </c>
    </row>
    <row r="66" spans="7:12">
      <c r="G66" s="23" t="str">
        <f>IF(ISBLANK(A66),"",LOOKUP(A66,BIB!A:A,BIB!C:C))</f>
        <v/>
      </c>
      <c r="H66" s="44" t="str">
        <f>IF(AND(ISBLANK(A66),ISBLANK(B66),ISBLANK(C66)),"",IF(OR(ISBLANK(A66),ISBLANK(B66),ISBLANK(C66)),"-",LEN(Tableau4[[#This Row],[Colonne9]])))</f>
        <v/>
      </c>
      <c r="I66" s="43"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3" t="str">
        <f>IF(AND(ISBLANK(A66),ISBLANK(B66),ISBLANK(C66)),"",IF(OR(ISBLANK(A66),ISBLANK(B66),ISBLANK(C66)),"-",
LOOKUP(B66,'Type de table'!C:C,'Type de table'!E:E)
&amp;IF(ISBLANK(C66),""," "&amp;C66)
&amp;IF(ISBLANK(D66),""," "&amp;D66)
&amp;IF(ISBLANK(E66),""," "&amp;E66)
&amp;IF(ISBLANK(F66),""," "&amp;F66)
))</f>
        <v/>
      </c>
      <c r="K66" s="43"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3" t="str">
        <f t="shared" si="0"/>
        <v/>
      </c>
    </row>
    <row r="67" spans="7:12">
      <c r="G67" s="23" t="str">
        <f>IF(ISBLANK(A67),"",LOOKUP(A67,BIB!A:A,BIB!C:C))</f>
        <v/>
      </c>
      <c r="H67" s="44" t="str">
        <f>IF(AND(ISBLANK(A67),ISBLANK(B67),ISBLANK(C67)),"",IF(OR(ISBLANK(A67),ISBLANK(B67),ISBLANK(C67)),"-",LEN(Tableau4[[#This Row],[Colonne9]])))</f>
        <v/>
      </c>
      <c r="I67" s="43"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3" t="str">
        <f>IF(AND(ISBLANK(A67),ISBLANK(B67),ISBLANK(C67)),"",IF(OR(ISBLANK(A67),ISBLANK(B67),ISBLANK(C67)),"-",
LOOKUP(B67,'Type de table'!C:C,'Type de table'!E:E)
&amp;IF(ISBLANK(C67),""," "&amp;C67)
&amp;IF(ISBLANK(D67),""," "&amp;D67)
&amp;IF(ISBLANK(E67),""," "&amp;E67)
&amp;IF(ISBLANK(F67),""," "&amp;F67)
))</f>
        <v/>
      </c>
      <c r="K67" s="43"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3" t="str">
        <f t="shared" ref="L67:L74" si="1">IF(AND(ISBLANK(A67),ISBLANK(B67),ISBLANK(C67)),"",IF(OR(ISBLANK(A67),ISBLANK(B67),ISBLANK(C67)),"-",B67))</f>
        <v/>
      </c>
    </row>
    <row r="68" spans="7:12">
      <c r="G68" s="23" t="str">
        <f>IF(ISBLANK(A68),"",LOOKUP(A68,BIB!A:A,BIB!C:C))</f>
        <v/>
      </c>
      <c r="H68" s="44" t="str">
        <f>IF(AND(ISBLANK(A68),ISBLANK(B68),ISBLANK(C68)),"",IF(OR(ISBLANK(A68),ISBLANK(B68),ISBLANK(C68)),"-",LEN(Tableau4[[#This Row],[Colonne9]])))</f>
        <v/>
      </c>
      <c r="I68" s="43" t="str">
        <f>IF(AND(ISBLANK(A68),ISBLANK(B68),ISBLANK(C68)),"",IF(OR(ISBLANK(A68),ISBLANK(B68),ISBLANK(C68)),"à compléter",UPPER(LOOKUP(A68,BIB!A:A,BIB!B:B)&amp;LOOKUP(B68,'Type de table'!C:C,'Type de table'!B:B)
&amp;IF(COUNTIF('Objets de gestion'!C:C,F68)=0,"","_"&amp;LOOKUP(F68,'Objets de gestion'!C:C,'Objets de gestion'!F:F))
&amp;IF(COUNTIF('Objets de gestion'!C:C,E68)=0,"","_"&amp;LOOKUP(E68,'Objets de gestion'!C:C,'Objets de gestion'!F:F))
&amp;IF(COUNTIF('Objets de gestion'!C:C,D68)=0,"","_"&amp;LOOKUP(D68,'Objets de gestion'!C:C,'Objets de gestion'!F:F))
&amp;IF(COUNTIF('Objets de gestion'!C:C,C68)=0,"","_"&amp;LOOKUP(C68,'Objets de gestion'!C:C,'Objets de gestion'!F:F))
)))</f>
        <v/>
      </c>
      <c r="J68" s="43" t="str">
        <f>IF(AND(ISBLANK(A68),ISBLANK(B68),ISBLANK(C68)),"",IF(OR(ISBLANK(A68),ISBLANK(B68),ISBLANK(C68)),"-",
LOOKUP(B68,'Type de table'!C:C,'Type de table'!E:E)
&amp;IF(ISBLANK(C68),""," "&amp;C68)
&amp;IF(ISBLANK(D68),""," "&amp;D68)
&amp;IF(ISBLANK(E68),""," "&amp;E68)
&amp;IF(ISBLANK(F68),""," "&amp;F68)
))</f>
        <v/>
      </c>
      <c r="K68" s="43" t="str">
        <f>IF(AND(ISBLANK(A68),ISBLANK(B68),ISBLANK(C68)),"",IF(OR(ISBLANK(A68),ISBLANK(B68),ISBLANK(C68)),"-",
LOOKUP(B68,'Type de table'!C:C,'Type de table'!F:F)
&amp;IF(ISBLANK(C68),""," "&amp;LOOKUP(C68,'Objets de gestion'!C:C,'Objets de gestion'!E:E))
&amp;IF(ISBLANK(D68),""," "&amp;LOOKUP(D68,'Objets de gestion'!C:C,'Objets de gestion'!E:E))
&amp;IF(ISBLANK(E68),""," "&amp;LOOKUP(E68,'Objets de gestion'!C:C,'Objets de gestion'!E:E))
&amp;IF(ISBLANK(F68),""," "&amp;LOOKUP(F68,'Objets de gestion'!C:C,'Objets de gestion'!E:E))
))</f>
        <v/>
      </c>
      <c r="L68" s="43" t="str">
        <f t="shared" si="1"/>
        <v/>
      </c>
    </row>
    <row r="69" spans="7:12">
      <c r="G69" s="23" t="str">
        <f>IF(ISBLANK(A69),"",LOOKUP(A69,BIB!A:A,BIB!C:C))</f>
        <v/>
      </c>
      <c r="H69" s="44" t="str">
        <f>IF(AND(ISBLANK(A69),ISBLANK(B69),ISBLANK(C69)),"",IF(OR(ISBLANK(A69),ISBLANK(B69),ISBLANK(C69)),"-",LEN(Tableau4[[#This Row],[Colonne9]])))</f>
        <v/>
      </c>
      <c r="I69" s="43" t="str">
        <f>IF(AND(ISBLANK(A69),ISBLANK(B69),ISBLANK(C69)),"",IF(OR(ISBLANK(A69),ISBLANK(B69),ISBLANK(C69)),"à compléter",UPPER(LOOKUP(A69,BIB!A:A,BIB!B:B)&amp;LOOKUP(B69,'Type de table'!C:C,'Type de table'!B:B)
&amp;IF(COUNTIF('Objets de gestion'!C:C,F69)=0,"","_"&amp;LOOKUP(F69,'Objets de gestion'!C:C,'Objets de gestion'!F:F))
&amp;IF(COUNTIF('Objets de gestion'!C:C,E69)=0,"","_"&amp;LOOKUP(E69,'Objets de gestion'!C:C,'Objets de gestion'!F:F))
&amp;IF(COUNTIF('Objets de gestion'!C:C,D69)=0,"","_"&amp;LOOKUP(D69,'Objets de gestion'!C:C,'Objets de gestion'!F:F))
&amp;IF(COUNTIF('Objets de gestion'!C:C,C69)=0,"","_"&amp;LOOKUP(C69,'Objets de gestion'!C:C,'Objets de gestion'!F:F))
)))</f>
        <v/>
      </c>
      <c r="J69" s="43" t="str">
        <f>IF(AND(ISBLANK(A69),ISBLANK(B69),ISBLANK(C69)),"",IF(OR(ISBLANK(A69),ISBLANK(B69),ISBLANK(C69)),"-",
LOOKUP(B69,'Type de table'!C:C,'Type de table'!E:E)
&amp;IF(ISBLANK(C69),""," "&amp;C69)
&amp;IF(ISBLANK(D69),""," "&amp;D69)
&amp;IF(ISBLANK(E69),""," "&amp;E69)
&amp;IF(ISBLANK(F69),""," "&amp;F69)
))</f>
        <v/>
      </c>
      <c r="K69" s="43" t="str">
        <f>IF(AND(ISBLANK(A69),ISBLANK(B69),ISBLANK(C69)),"",IF(OR(ISBLANK(A69),ISBLANK(B69),ISBLANK(C69)),"-",
LOOKUP(B69,'Type de table'!C:C,'Type de table'!F:F)
&amp;IF(ISBLANK(C69),""," "&amp;LOOKUP(C69,'Objets de gestion'!C:C,'Objets de gestion'!E:E))
&amp;IF(ISBLANK(D69),""," "&amp;LOOKUP(D69,'Objets de gestion'!C:C,'Objets de gestion'!E:E))
&amp;IF(ISBLANK(E69),""," "&amp;LOOKUP(E69,'Objets de gestion'!C:C,'Objets de gestion'!E:E))
&amp;IF(ISBLANK(F69),""," "&amp;LOOKUP(F69,'Objets de gestion'!C:C,'Objets de gestion'!E:E))
))</f>
        <v/>
      </c>
      <c r="L69" s="43" t="str">
        <f t="shared" si="1"/>
        <v/>
      </c>
    </row>
    <row r="70" spans="7:12">
      <c r="G70" s="23" t="str">
        <f>IF(ISBLANK(A70),"",LOOKUP(A70,BIB!A:A,BIB!C:C))</f>
        <v/>
      </c>
      <c r="H70" s="44" t="str">
        <f>IF(AND(ISBLANK(A70),ISBLANK(B70),ISBLANK(C70)),"",IF(OR(ISBLANK(A70),ISBLANK(B70),ISBLANK(C70)),"-",LEN(Tableau4[[#This Row],[Colonne9]])))</f>
        <v/>
      </c>
      <c r="I70" s="43" t="str">
        <f>IF(AND(ISBLANK(A70),ISBLANK(B70),ISBLANK(C70)),"",IF(OR(ISBLANK(A70),ISBLANK(B70),ISBLANK(C70)),"à compléter",UPPER(LOOKUP(A70,BIB!A:A,BIB!B:B)&amp;LOOKUP(B70,'Type de table'!C:C,'Type de table'!B:B)
&amp;IF(COUNTIF('Objets de gestion'!C:C,F70)=0,"","_"&amp;LOOKUP(F70,'Objets de gestion'!C:C,'Objets de gestion'!F:F))
&amp;IF(COUNTIF('Objets de gestion'!C:C,E70)=0,"","_"&amp;LOOKUP(E70,'Objets de gestion'!C:C,'Objets de gestion'!F:F))
&amp;IF(COUNTIF('Objets de gestion'!C:C,D70)=0,"","_"&amp;LOOKUP(D70,'Objets de gestion'!C:C,'Objets de gestion'!F:F))
&amp;IF(COUNTIF('Objets de gestion'!C:C,C70)=0,"","_"&amp;LOOKUP(C70,'Objets de gestion'!C:C,'Objets de gestion'!F:F))
)))</f>
        <v/>
      </c>
      <c r="J70" s="43" t="str">
        <f>IF(AND(ISBLANK(A70),ISBLANK(B70),ISBLANK(C70)),"",IF(OR(ISBLANK(A70),ISBLANK(B70),ISBLANK(C70)),"-",
LOOKUP(B70,'Type de table'!C:C,'Type de table'!E:E)
&amp;IF(ISBLANK(C70),""," "&amp;C70)
&amp;IF(ISBLANK(D70),""," "&amp;D70)
&amp;IF(ISBLANK(E70),""," "&amp;E70)
&amp;IF(ISBLANK(F70),""," "&amp;F70)
))</f>
        <v/>
      </c>
      <c r="K70" s="43" t="str">
        <f>IF(AND(ISBLANK(A70),ISBLANK(B70),ISBLANK(C70)),"",IF(OR(ISBLANK(A70),ISBLANK(B70),ISBLANK(C70)),"-",
LOOKUP(B70,'Type de table'!C:C,'Type de table'!F:F)
&amp;IF(ISBLANK(C70),""," "&amp;LOOKUP(C70,'Objets de gestion'!C:C,'Objets de gestion'!E:E))
&amp;IF(ISBLANK(D70),""," "&amp;LOOKUP(D70,'Objets de gestion'!C:C,'Objets de gestion'!E:E))
&amp;IF(ISBLANK(E70),""," "&amp;LOOKUP(E70,'Objets de gestion'!C:C,'Objets de gestion'!E:E))
&amp;IF(ISBLANK(F70),""," "&amp;LOOKUP(F70,'Objets de gestion'!C:C,'Objets de gestion'!E:E))
))</f>
        <v/>
      </c>
      <c r="L70" s="43" t="str">
        <f t="shared" si="1"/>
        <v/>
      </c>
    </row>
    <row r="71" spans="7:12">
      <c r="G71" s="23" t="str">
        <f>IF(ISBLANK(A71),"",LOOKUP(A71,BIB!A:A,BIB!C:C))</f>
        <v/>
      </c>
      <c r="H71" s="44" t="str">
        <f>IF(AND(ISBLANK(A71),ISBLANK(B71),ISBLANK(C71)),"",IF(OR(ISBLANK(A71),ISBLANK(B71),ISBLANK(C71)),"-",LEN(Tableau4[[#This Row],[Colonne9]])))</f>
        <v/>
      </c>
      <c r="I71" s="43" t="str">
        <f>IF(AND(ISBLANK(A71),ISBLANK(B71),ISBLANK(C71)),"",IF(OR(ISBLANK(A71),ISBLANK(B71),ISBLANK(C71)),"à compléter",UPPER(LOOKUP(A71,BIB!A:A,BIB!B:B)&amp;LOOKUP(B71,'Type de table'!C:C,'Type de table'!B:B)
&amp;IF(COUNTIF('Objets de gestion'!C:C,F71)=0,"","_"&amp;LOOKUP(F71,'Objets de gestion'!C:C,'Objets de gestion'!F:F))
&amp;IF(COUNTIF('Objets de gestion'!C:C,E71)=0,"","_"&amp;LOOKUP(E71,'Objets de gestion'!C:C,'Objets de gestion'!F:F))
&amp;IF(COUNTIF('Objets de gestion'!C:C,D71)=0,"","_"&amp;LOOKUP(D71,'Objets de gestion'!C:C,'Objets de gestion'!F:F))
&amp;IF(COUNTIF('Objets de gestion'!C:C,C71)=0,"","_"&amp;LOOKUP(C71,'Objets de gestion'!C:C,'Objets de gestion'!F:F))
)))</f>
        <v/>
      </c>
      <c r="J71" s="43" t="str">
        <f>IF(AND(ISBLANK(A71),ISBLANK(B71),ISBLANK(C71)),"",IF(OR(ISBLANK(A71),ISBLANK(B71),ISBLANK(C71)),"-",
LOOKUP(B71,'Type de table'!C:C,'Type de table'!E:E)
&amp;IF(ISBLANK(C71),""," "&amp;C71)
&amp;IF(ISBLANK(D71),""," "&amp;D71)
&amp;IF(ISBLANK(E71),""," "&amp;E71)
&amp;IF(ISBLANK(F71),""," "&amp;F71)
))</f>
        <v/>
      </c>
      <c r="K71" s="43" t="str">
        <f>IF(AND(ISBLANK(A71),ISBLANK(B71),ISBLANK(C71)),"",IF(OR(ISBLANK(A71),ISBLANK(B71),ISBLANK(C71)),"-",
LOOKUP(B71,'Type de table'!C:C,'Type de table'!F:F)
&amp;IF(ISBLANK(C71),""," "&amp;LOOKUP(C71,'Objets de gestion'!C:C,'Objets de gestion'!E:E))
&amp;IF(ISBLANK(D71),""," "&amp;LOOKUP(D71,'Objets de gestion'!C:C,'Objets de gestion'!E:E))
&amp;IF(ISBLANK(E71),""," "&amp;LOOKUP(E71,'Objets de gestion'!C:C,'Objets de gestion'!E:E))
&amp;IF(ISBLANK(F71),""," "&amp;LOOKUP(F71,'Objets de gestion'!C:C,'Objets de gestion'!E:E))
))</f>
        <v/>
      </c>
      <c r="L71" s="43" t="str">
        <f t="shared" si="1"/>
        <v/>
      </c>
    </row>
    <row r="72" spans="7:12">
      <c r="G72" s="23" t="str">
        <f>IF(ISBLANK(A72),"",LOOKUP(A72,BIB!A:A,BIB!C:C))</f>
        <v/>
      </c>
      <c r="H72" s="44" t="str">
        <f>IF(AND(ISBLANK(A72),ISBLANK(B72),ISBLANK(C72)),"",IF(OR(ISBLANK(A72),ISBLANK(B72),ISBLANK(C72)),"-",LEN(Tableau4[[#This Row],[Colonne9]])))</f>
        <v/>
      </c>
      <c r="I72" s="43" t="str">
        <f>IF(AND(ISBLANK(A72),ISBLANK(B72),ISBLANK(C72)),"",IF(OR(ISBLANK(A72),ISBLANK(B72),ISBLANK(C72)),"à compléter",UPPER(LOOKUP(A72,BIB!A:A,BIB!B:B)&amp;LOOKUP(B72,'Type de table'!C:C,'Type de table'!B:B)
&amp;IF(COUNTIF('Objets de gestion'!C:C,F72)=0,"","_"&amp;LOOKUP(F72,'Objets de gestion'!C:C,'Objets de gestion'!F:F))
&amp;IF(COUNTIF('Objets de gestion'!C:C,E72)=0,"","_"&amp;LOOKUP(E72,'Objets de gestion'!C:C,'Objets de gestion'!F:F))
&amp;IF(COUNTIF('Objets de gestion'!C:C,D72)=0,"","_"&amp;LOOKUP(D72,'Objets de gestion'!C:C,'Objets de gestion'!F:F))
&amp;IF(COUNTIF('Objets de gestion'!C:C,C72)=0,"","_"&amp;LOOKUP(C72,'Objets de gestion'!C:C,'Objets de gestion'!F:F))
)))</f>
        <v/>
      </c>
      <c r="J72" s="43" t="str">
        <f>IF(AND(ISBLANK(A72),ISBLANK(B72),ISBLANK(C72)),"",IF(OR(ISBLANK(A72),ISBLANK(B72),ISBLANK(C72)),"-",
LOOKUP(B72,'Type de table'!C:C,'Type de table'!E:E)
&amp;IF(ISBLANK(C72),""," "&amp;C72)
&amp;IF(ISBLANK(D72),""," "&amp;D72)
&amp;IF(ISBLANK(E72),""," "&amp;E72)
&amp;IF(ISBLANK(F72),""," "&amp;F72)
))</f>
        <v/>
      </c>
      <c r="K72" s="43" t="str">
        <f>IF(AND(ISBLANK(A72),ISBLANK(B72),ISBLANK(C72)),"",IF(OR(ISBLANK(A72),ISBLANK(B72),ISBLANK(C72)),"-",
LOOKUP(B72,'Type de table'!C:C,'Type de table'!F:F)
&amp;IF(ISBLANK(C72),""," "&amp;LOOKUP(C72,'Objets de gestion'!C:C,'Objets de gestion'!E:E))
&amp;IF(ISBLANK(D72),""," "&amp;LOOKUP(D72,'Objets de gestion'!C:C,'Objets de gestion'!E:E))
&amp;IF(ISBLANK(E72),""," "&amp;LOOKUP(E72,'Objets de gestion'!C:C,'Objets de gestion'!E:E))
&amp;IF(ISBLANK(F72),""," "&amp;LOOKUP(F72,'Objets de gestion'!C:C,'Objets de gestion'!E:E))
))</f>
        <v/>
      </c>
      <c r="L72" s="43" t="str">
        <f t="shared" si="1"/>
        <v/>
      </c>
    </row>
    <row r="73" spans="7:12">
      <c r="G73" s="23" t="str">
        <f>IF(ISBLANK(A73),"",LOOKUP(A73,BIB!A:A,BIB!C:C))</f>
        <v/>
      </c>
      <c r="H73" s="44" t="str">
        <f>IF(AND(ISBLANK(A73),ISBLANK(B73),ISBLANK(C73)),"",IF(OR(ISBLANK(A73),ISBLANK(B73),ISBLANK(C73)),"-",LEN(Tableau4[[#This Row],[Colonne9]])))</f>
        <v/>
      </c>
      <c r="I73" s="43" t="str">
        <f>IF(AND(ISBLANK(A73),ISBLANK(B73),ISBLANK(C73)),"",IF(OR(ISBLANK(A73),ISBLANK(B73),ISBLANK(C73)),"à compléter",UPPER(LOOKUP(A73,BIB!A:A,BIB!B:B)&amp;LOOKUP(B73,'Type de table'!C:C,'Type de table'!B:B)
&amp;IF(COUNTIF('Objets de gestion'!C:C,F73)=0,"","_"&amp;LOOKUP(F73,'Objets de gestion'!C:C,'Objets de gestion'!F:F))
&amp;IF(COUNTIF('Objets de gestion'!C:C,E73)=0,"","_"&amp;LOOKUP(E73,'Objets de gestion'!C:C,'Objets de gestion'!F:F))
&amp;IF(COUNTIF('Objets de gestion'!C:C,D73)=0,"","_"&amp;LOOKUP(D73,'Objets de gestion'!C:C,'Objets de gestion'!F:F))
&amp;IF(COUNTIF('Objets de gestion'!C:C,C73)=0,"","_"&amp;LOOKUP(C73,'Objets de gestion'!C:C,'Objets de gestion'!F:F))
)))</f>
        <v/>
      </c>
      <c r="J73" s="43" t="str">
        <f>IF(AND(ISBLANK(A73),ISBLANK(B73),ISBLANK(C73)),"",IF(OR(ISBLANK(A73),ISBLANK(B73),ISBLANK(C73)),"-",
LOOKUP(B73,'Type de table'!C:C,'Type de table'!E:E)
&amp;IF(ISBLANK(C73),""," "&amp;C73)
&amp;IF(ISBLANK(D73),""," "&amp;D73)
&amp;IF(ISBLANK(E73),""," "&amp;E73)
&amp;IF(ISBLANK(F73),""," "&amp;F73)
))</f>
        <v/>
      </c>
      <c r="K73" s="43" t="str">
        <f>IF(AND(ISBLANK(A73),ISBLANK(B73),ISBLANK(C73)),"",IF(OR(ISBLANK(A73),ISBLANK(B73),ISBLANK(C73)),"-",
LOOKUP(B73,'Type de table'!C:C,'Type de table'!F:F)
&amp;IF(ISBLANK(C73),""," "&amp;LOOKUP(C73,'Objets de gestion'!C:C,'Objets de gestion'!E:E))
&amp;IF(ISBLANK(D73),""," "&amp;LOOKUP(D73,'Objets de gestion'!C:C,'Objets de gestion'!E:E))
&amp;IF(ISBLANK(E73),""," "&amp;LOOKUP(E73,'Objets de gestion'!C:C,'Objets de gestion'!E:E))
&amp;IF(ISBLANK(F73),""," "&amp;LOOKUP(F73,'Objets de gestion'!C:C,'Objets de gestion'!E:E))
))</f>
        <v/>
      </c>
      <c r="L73" s="43" t="str">
        <f t="shared" si="1"/>
        <v/>
      </c>
    </row>
    <row r="74" spans="7:12">
      <c r="G74" s="23" t="str">
        <f>IF(ISBLANK(A74),"",LOOKUP(A74,BIB!A:A,BIB!C:C))</f>
        <v/>
      </c>
      <c r="H74" s="44" t="str">
        <f>IF(AND(ISBLANK(A74),ISBLANK(B74),ISBLANK(C74)),"",IF(OR(ISBLANK(A74),ISBLANK(B74),ISBLANK(C74)),"-",LEN(Tableau4[[#This Row],[Colonne9]])))</f>
        <v/>
      </c>
      <c r="I74" s="43" t="str">
        <f>IF(AND(ISBLANK(A74),ISBLANK(B74),ISBLANK(C74)),"",IF(OR(ISBLANK(A74),ISBLANK(B74),ISBLANK(C74)),"à compléter",UPPER(LOOKUP(A74,BIB!A:A,BIB!B:B)&amp;LOOKUP(B74,'Type de table'!C:C,'Type de table'!B:B)
&amp;IF(COUNTIF('Objets de gestion'!C:C,F74)=0,"","_"&amp;LOOKUP(F74,'Objets de gestion'!C:C,'Objets de gestion'!F:F))
&amp;IF(COUNTIF('Objets de gestion'!C:C,E74)=0,"","_"&amp;LOOKUP(E74,'Objets de gestion'!C:C,'Objets de gestion'!F:F))
&amp;IF(COUNTIF('Objets de gestion'!C:C,D74)=0,"","_"&amp;LOOKUP(D74,'Objets de gestion'!C:C,'Objets de gestion'!F:F))
&amp;IF(COUNTIF('Objets de gestion'!C:C,C74)=0,"","_"&amp;LOOKUP(C74,'Objets de gestion'!C:C,'Objets de gestion'!F:F))
)))</f>
        <v/>
      </c>
      <c r="J74" s="43" t="str">
        <f>IF(AND(ISBLANK(A74),ISBLANK(B74),ISBLANK(C74)),"",IF(OR(ISBLANK(A74),ISBLANK(B74),ISBLANK(C74)),"-",
LOOKUP(B74,'Type de table'!C:C,'Type de table'!E:E)
&amp;IF(ISBLANK(C74),""," "&amp;C74)
&amp;IF(ISBLANK(D74),""," "&amp;D74)
&amp;IF(ISBLANK(E74),""," "&amp;E74)
&amp;IF(ISBLANK(F74),""," "&amp;F74)
))</f>
        <v/>
      </c>
      <c r="K74" s="43" t="str">
        <f>IF(AND(ISBLANK(A74),ISBLANK(B74),ISBLANK(C74)),"",IF(OR(ISBLANK(A74),ISBLANK(B74),ISBLANK(C74)),"-",
LOOKUP(B74,'Type de table'!C:C,'Type de table'!F:F)
&amp;IF(ISBLANK(C74),""," "&amp;LOOKUP(C74,'Objets de gestion'!C:C,'Objets de gestion'!E:E))
&amp;IF(ISBLANK(D74),""," "&amp;LOOKUP(D74,'Objets de gestion'!C:C,'Objets de gestion'!E:E))
&amp;IF(ISBLANK(E74),""," "&amp;LOOKUP(E74,'Objets de gestion'!C:C,'Objets de gestion'!E:E))
&amp;IF(ISBLANK(F74),""," "&amp;LOOKUP(F74,'Objets de gestion'!C:C,'Objets de gestion'!E:E))
))</f>
        <v/>
      </c>
      <c r="L74" s="43" t="str">
        <f t="shared" si="1"/>
        <v/>
      </c>
    </row>
  </sheetData>
  <conditionalFormatting sqref="C7">
    <cfRule type="duplicateValues" dxfId="81" priority="3" stopIfTrue="1"/>
  </conditionalFormatting>
  <conditionalFormatting sqref="F9:F15">
    <cfRule type="duplicateValues" dxfId="80" priority="2" stopIfTrue="1"/>
  </conditionalFormatting>
  <conditionalFormatting sqref="D9:D15">
    <cfRule type="duplicateValues" dxfId="79" priority="1" stopIfTrue="1"/>
  </conditionalFormatting>
  <dataValidations count="1">
    <dataValidation type="list" allowBlank="1" showInputMessage="1" showErrorMessage="1" sqref="B2">
      <formula1>$C$2:$C$16</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'Type de table'!$C$2:$C$16</xm:f>
          </x14:formula1>
          <xm:sqref>B4:B74</xm:sqref>
        </x14:dataValidation>
        <x14:dataValidation type="list" allowBlank="1" showInputMessage="1" showErrorMessage="1">
          <x14:formula1>
            <xm:f>BIB!$A$2:$A$273</xm:f>
          </x14:formula1>
          <xm:sqref>A4:A1048576 A2</xm:sqref>
        </x14:dataValidation>
        <x14:dataValidation type="list" allowBlank="1" showInputMessage="1" showErrorMessage="1">
          <x14:formula1>
            <xm:f>'Objets de gestion'!$C$2:$C$10390</xm:f>
          </x14:formula1>
          <xm:sqref>C4:F74 C2:F2</xm:sqref>
        </x14:dataValidation>
        <x14:dataValidation type="list" allowBlank="1" showInputMessage="1" showErrorMessage="1">
          <x14:formula1>
            <xm:f>'\\uf11d001\EIDDIJON\App\IBIQ\04-Application\Nomenclature\[nomenclature SIAD - Copie.xlsx]Objets de gestion'!#REF!</xm:f>
          </x14:formula1>
          <xm:sqref>C3:E3</xm:sqref>
        </x14:dataValidation>
        <x14:dataValidation type="list" allowBlank="1" showInputMessage="1" showErrorMessage="1">
          <x14:formula1>
            <xm:f>'\\uf11d001\EIDDIJON\App\IBIQ\04-Application\Nomenclature\[nomenclature SIAD - Copie.xlsx]BIB'!#REF!</xm:f>
          </x14:formula1>
          <xm:sqref>A3</xm:sqref>
        </x14:dataValidation>
        <x14:dataValidation type="list" allowBlank="1" showInputMessage="1" showErrorMessage="1">
          <x14:formula1>
            <xm:f>'\\uf11d001\EIDDIJON\App\IBIQ\04-Application\Nomenclature\[nomenclature SIAD - Copie.xlsx]Type de table'!#REF!</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R486"/>
  <sheetViews>
    <sheetView topLeftCell="P1" workbookViewId="0">
      <pane ySplit="1" topLeftCell="A2" activePane="bottomLeft" state="frozen"/>
      <selection activeCell="B1" sqref="B1"/>
      <selection pane="bottomLeft" activeCell="N20" sqref="N20:R23"/>
    </sheetView>
  </sheetViews>
  <sheetFormatPr baseColWidth="10" defaultColWidth="11.42578125" defaultRowHeight="15"/>
  <cols>
    <col min="1" max="1" width="46.140625" style="63" bestFit="1" customWidth="1"/>
    <col min="2" max="2" width="22.7109375" style="63" bestFit="1" customWidth="1"/>
    <col min="3" max="3" width="38.140625" style="63" customWidth="1"/>
    <col min="4" max="4" width="12.85546875" style="63" customWidth="1"/>
    <col min="5" max="5" width="29.42578125" style="63" customWidth="1"/>
    <col min="6" max="6" width="12.140625" style="63" customWidth="1"/>
    <col min="7" max="7" width="26.28515625" style="63" customWidth="1"/>
    <col min="8" max="8" width="12.42578125" style="63" customWidth="1"/>
    <col min="9" max="9" width="28.140625" style="63" customWidth="1"/>
    <col min="10" max="10" width="12.5703125" style="63" customWidth="1"/>
    <col min="11" max="11" width="26.42578125" style="63" customWidth="1"/>
    <col min="12" max="12" width="16.28515625" style="63" customWidth="1"/>
    <col min="13" max="13" width="11.5703125" style="75" customWidth="1"/>
    <col min="14" max="14" width="34.140625" style="63" customWidth="1"/>
    <col min="15" max="15" width="70.42578125" style="63" customWidth="1"/>
    <col min="16" max="16" width="88.7109375" style="63" customWidth="1"/>
    <col min="17" max="17" width="16.28515625" style="63" bestFit="1" customWidth="1"/>
    <col min="18" max="18" width="46.140625" style="63" bestFit="1" customWidth="1"/>
    <col min="19" max="16384" width="11.42578125" style="63"/>
  </cols>
  <sheetData>
    <row r="1" spans="1:18" s="73" customFormat="1" ht="15.75" thickBot="1">
      <c r="A1" s="69" t="s">
        <v>4527</v>
      </c>
      <c r="B1" s="69" t="s">
        <v>4541</v>
      </c>
      <c r="C1" s="69" t="s">
        <v>2544</v>
      </c>
      <c r="D1" s="70" t="s">
        <v>4528</v>
      </c>
      <c r="E1" s="70" t="s">
        <v>4519</v>
      </c>
      <c r="F1" s="70" t="s">
        <v>4529</v>
      </c>
      <c r="G1" s="70" t="s">
        <v>4520</v>
      </c>
      <c r="H1" s="70" t="s">
        <v>4530</v>
      </c>
      <c r="I1" s="70" t="s">
        <v>4521</v>
      </c>
      <c r="J1" s="70" t="s">
        <v>4531</v>
      </c>
      <c r="K1" s="70" t="s">
        <v>4522</v>
      </c>
      <c r="L1" s="70" t="s">
        <v>4532</v>
      </c>
      <c r="M1" s="71" t="s">
        <v>4517</v>
      </c>
      <c r="N1" s="72" t="s">
        <v>4518</v>
      </c>
      <c r="O1" s="72" t="s">
        <v>4524</v>
      </c>
      <c r="P1" s="72" t="s">
        <v>4523</v>
      </c>
      <c r="Q1" s="72" t="s">
        <v>4543</v>
      </c>
      <c r="R1" s="72" t="s">
        <v>4533</v>
      </c>
    </row>
    <row r="2" spans="1:18" s="73" customFormat="1">
      <c r="A2" s="92"/>
      <c r="B2" s="92"/>
      <c r="C2" s="63"/>
      <c r="D2" s="92"/>
      <c r="E2" s="92"/>
      <c r="F2" s="92"/>
      <c r="G2" s="92"/>
      <c r="H2" s="92"/>
      <c r="I2" s="92"/>
      <c r="J2" s="92"/>
      <c r="K2" s="92"/>
      <c r="L2" s="92"/>
      <c r="M2" s="75" t="str">
        <f>IF(AND(ISBLANK(A2),ISBLANK(B2),ISBLANK(E2),ISBLANK(G2),ISBLANK(L2)),"",IF(OR(ISBLANK(A2),ISBLANK(B2),ISBLANK(E2),ISBLANK(G2),ISBLANK(L2)),"-",LEN(Tableau47[[#This Row],[Code]])))</f>
        <v/>
      </c>
      <c r="N2" s="76" t="str">
        <f>IF(AND(ISBLANK(A2),ISBLANK(B2),ISBLANK(C2),ISBLANK(E2),ISBLANK(L2)),"",IF(OR(ISBLANK(A2),ISBLANK(B2),ISBLANK(C2),ISBLANK(E2),ISBLANK(L2)),"à compléter",
IF(L2="Normal",
LOOKUP(B2,'Type de champ'!B:B,'Type de champ'!A:A)
&amp;IF(COUNTIF('Objets de gestion'!C:C,K2)=0,"","_"&amp;LOOKUP(K2,'Objets de gestion'!C:C,'Objets de gestion'!F:F))
&amp;IF(COUNTIF('Objets de gestion'!C:C,I2)=0,"","_"&amp;LOOKUP(I2,'Objets de gestion'!C:C,'Objets de gestion'!F:F))
&amp;IF(COUNTIF('Objets de gestion'!C:C,G2)=0,"","_"&amp;LOOKUP(G2,'Objets de gestion'!C:C,'Objets de gestion'!F:F))
&amp;IF(COUNTIF('Objets de gestion'!C:C,E2)=0,"","_"&amp;LOOKUP(E2,'Objets de gestion'!C:C,'Objets de gestion'!F:F))
&amp;IF(OR(C2="booléen",COUNTIF('Objets de gestion'!C:C,C2)=0),"","_"&amp;LOOKUP(C2,'Objets de gestion'!C:C,'Objets de gestion'!F:F)),
IF(L2="Forcé",
LOOKUP(B2,'Type de champ'!B:B,'Type de champ'!A:A)
&amp;IF(COUNTIF('Objets de gestion'!C:C,E2)=0,"","_"&amp;LOOKUP(E2,'Objets de gestion'!C:C,'Objets de gestion'!F:F))
&amp;IF(COUNTIF('Objets de gestion'!C:C,G2)=0,"","_"&amp;LOOKUP(G2,'Objets de gestion'!C:C,'Objets de gestion'!F:F))
&amp;IF(COUNTIF('Objets de gestion'!C:C,I2)=0,"","_"&amp;LOOKUP(I2,'Objets de gestion'!C:C,'Objets de gestion'!F:F))
&amp;IF(COUNTIF('Objets de gestion'!C:C,K2)=0,"","_"&amp;LOOKUP(K2,'Objets de gestion'!C:C,'Objets de gestion'!F:F))
&amp;IF(OR(C2="booléen",COUNTIF('Objets de gestion'!C:C,C2)=0),"","_"&amp;LOOKUP(C2,'Objets de gestion'!C:C,'Objets de gestion'!F:F))
))))</f>
        <v/>
      </c>
      <c r="O2" s="63" t="str">
        <f t="shared" ref="O2:O32" si="0">IF(AND(ISBLANK(A2),ISBLANK(B2),ISBLANK(C2),ISBLANK(E2),ISBLANK(L2)),"",IF(OR(ISBLANK(A2),ISBLANK(B2),ISBLANK(C2),ISBLANK(E2),ISBLANK(L2)),"-",
C2&amp;" "&amp;IF(ISBLANK(E2),"",D2&amp;" "&amp;E2&amp;" ")&amp;IF(ISBLANK(G2),"",F2&amp;" "&amp;G2&amp;" ")&amp;IF(ISBLANK(I2),"",H2&amp;" "&amp;I2&amp;" ")&amp;IF(ISBLANK(K2),"",J2&amp;" "&amp;K2&amp;" ")))</f>
        <v/>
      </c>
      <c r="P2" s="63" t="str">
        <f>IF(AND(ISBLANK(A2),ISBLANK(B2),ISBLANK(C2),ISBLANK(E2),ISBLANK(L2)),"",IF(OR(ISBLANK(A2),ISBLANK(B2),ISBLANK(C2),ISBLANK(E2),ISBLANK(L2)),"-",
IF(ISBLANK(C2),"",LOOKUP(C2,'Objets de gestion'!C:C,'Objets de gestion'!E:E))
&amp;IF(ISBLANK(D2),""," "&amp;LOOKUP(D2,Articles!A:A,Articles!B:B))
&amp;IF(ISBLANK(E2),""," "&amp;LOOKUP(E2,'Objets de gestion'!C:C,'Objets de gestion'!E:E))
&amp;IF(ISBLANK(F2),""," "&amp;LOOKUP(F2,Articles!A:A,Articles!B:B))
&amp;IF(ISBLANK(G2),""," "&amp;LOOKUP(G2,'Objets de gestion'!C:C,'Objets de gestion'!E:E))
&amp;IF(ISBLANK(H2),""," "&amp;LOOKUP(H2,Articles!A:A,Articles!B:B))
&amp;IF(ISBLANK(I2),""," "&amp;LOOKUP(I2,'Objets de gestion'!C:C,'Objets de gestion'!E:E))
&amp;IF(ISBLANK(J2),""," "&amp;LOOKUP(J2,Articles!A:A,Articles!B:B))
&amp;IF(ISBLANK(K2),""," "&amp;LOOKUP(K2,'Objets de gestion'!C:C,'Objets de gestion'!E:E))
))</f>
        <v/>
      </c>
      <c r="Q2" s="63" t="str">
        <f>IF(AND(ISBLANK(A2),ISBLANK(B2),ISBLANK(C2),ISBLANK(E2),ISBLANK(L2)),"",IF(OR(ISBLANK(A2),ISBLANK(B2),ISBLANK(C2),ISBLANK(E2),ISBLANK(L2)),"-",
LOOKUP(B2,'Type de champ'!B:B,'Type de champ'!C:C)))</f>
        <v/>
      </c>
      <c r="R2" s="63" t="str">
        <f t="shared" ref="R2:R32" si="1">IF(AND(ISBLANK(A2),ISBLANK(B2),ISBLANK(E2),ISBLANK(G2),ISBLANK(L2)),"",IF(OR(ISBLANK(A2),ISBLANK(B2),ISBLANK(E2),ISBLANK(G2),ISBLANK(L2)),"-",
A2))</f>
        <v/>
      </c>
    </row>
    <row r="3" spans="1:18" s="73" customFormat="1">
      <c r="A3" s="92"/>
      <c r="B3" s="92"/>
      <c r="C3" s="63"/>
      <c r="D3" s="92"/>
      <c r="E3" s="92"/>
      <c r="F3" s="92"/>
      <c r="G3" s="92"/>
      <c r="H3" s="92"/>
      <c r="I3" s="92"/>
      <c r="J3" s="92"/>
      <c r="K3" s="92"/>
      <c r="L3" s="92"/>
      <c r="M3" s="75" t="str">
        <f>IF(AND(ISBLANK(A3),ISBLANK(B3),ISBLANK(E3),ISBLANK(G3),ISBLANK(L3)),"",IF(OR(ISBLANK(A3),ISBLANK(B3),ISBLANK(E3),ISBLANK(G3),ISBLANK(L3)),"-",LEN(Tableau47[[#This Row],[Code]])))</f>
        <v/>
      </c>
      <c r="N3" s="76" t="str">
        <f>IF(AND(ISBLANK(A3),ISBLANK(B3),ISBLANK(C3),ISBLANK(E3),ISBLANK(L3)),"",IF(OR(ISBLANK(A3),ISBLANK(B3),ISBLANK(C3),ISBLANK(E3),ISBLANK(L3)),"à compléter",
IF(L3="Normal",
LOOKUP(B3,'Type de champ'!B:B,'Type de champ'!A:A)
&amp;IF(COUNTIF('Objets de gestion'!C:C,K3)=0,"","_"&amp;LOOKUP(K3,'Objets de gestion'!C:C,'Objets de gestion'!F:F))
&amp;IF(COUNTIF('Objets de gestion'!C:C,I3)=0,"","_"&amp;LOOKUP(I3,'Objets de gestion'!C:C,'Objets de gestion'!F:F))
&amp;IF(COUNTIF('Objets de gestion'!C:C,G3)=0,"","_"&amp;LOOKUP(G3,'Objets de gestion'!C:C,'Objets de gestion'!F:F))
&amp;IF(COUNTIF('Objets de gestion'!C:C,E3)=0,"","_"&amp;LOOKUP(E3,'Objets de gestion'!C:C,'Objets de gestion'!F:F))
&amp;IF(OR(C3="booléen",COUNTIF('Objets de gestion'!C:C,C3)=0),"","_"&amp;LOOKUP(C3,'Objets de gestion'!C:C,'Objets de gestion'!F:F)),
IF(L3="Forcé",
LOOKUP(B3,'Type de champ'!B:B,'Type de champ'!A:A)
&amp;IF(COUNTIF('Objets de gestion'!C:C,E3)=0,"","_"&amp;LOOKUP(E3,'Objets de gestion'!C:C,'Objets de gestion'!F:F))
&amp;IF(COUNTIF('Objets de gestion'!C:C,G3)=0,"","_"&amp;LOOKUP(G3,'Objets de gestion'!C:C,'Objets de gestion'!F:F))
&amp;IF(COUNTIF('Objets de gestion'!C:C,I3)=0,"","_"&amp;LOOKUP(I3,'Objets de gestion'!C:C,'Objets de gestion'!F:F))
&amp;IF(COUNTIF('Objets de gestion'!C:C,K3)=0,"","_"&amp;LOOKUP(K3,'Objets de gestion'!C:C,'Objets de gestion'!F:F))
&amp;IF(OR(C3="booléen",COUNTIF('Objets de gestion'!C:C,C3)=0),"","_"&amp;LOOKUP(C3,'Objets de gestion'!C:C,'Objets de gestion'!F:F))
))))</f>
        <v/>
      </c>
      <c r="O3" s="63" t="str">
        <f t="shared" si="0"/>
        <v/>
      </c>
      <c r="P3" s="63" t="str">
        <f>IF(AND(ISBLANK(A3),ISBLANK(B3),ISBLANK(C3),ISBLANK(E3),ISBLANK(L3)),"",IF(OR(ISBLANK(A3),ISBLANK(B3),ISBLANK(C3),ISBLANK(E3),ISBLANK(L3)),"-",
IF(ISBLANK(C3),"",LOOKUP(C3,'Objets de gestion'!C:C,'Objets de gestion'!E:E))
&amp;IF(ISBLANK(D3),""," "&amp;LOOKUP(D3,Articles!A:A,Articles!B:B))
&amp;IF(ISBLANK(E3),""," "&amp;LOOKUP(E3,'Objets de gestion'!C:C,'Objets de gestion'!E:E))
&amp;IF(ISBLANK(F3),""," "&amp;LOOKUP(F3,Articles!A:A,Articles!B:B))
&amp;IF(ISBLANK(G3),""," "&amp;LOOKUP(G3,'Objets de gestion'!C:C,'Objets de gestion'!E:E))
&amp;IF(ISBLANK(H3),""," "&amp;LOOKUP(H3,Articles!A:A,Articles!B:B))
&amp;IF(ISBLANK(I3),""," "&amp;LOOKUP(I3,'Objets de gestion'!C:C,'Objets de gestion'!E:E))
&amp;IF(ISBLANK(J3),""," "&amp;LOOKUP(J3,Articles!A:A,Articles!B:B))
&amp;IF(ISBLANK(K3),""," "&amp;LOOKUP(K3,'Objets de gestion'!C:C,'Objets de gestion'!E:E))
))</f>
        <v/>
      </c>
      <c r="Q3" s="63" t="str">
        <f>IF(AND(ISBLANK(A3),ISBLANK(B3),ISBLANK(C3),ISBLANK(E3),ISBLANK(L3)),"",IF(OR(ISBLANK(A3),ISBLANK(B3),ISBLANK(C3),ISBLANK(E3),ISBLANK(L3)),"-",
LOOKUP(B3,'Type de champ'!B:B,'Type de champ'!C:C)))</f>
        <v/>
      </c>
      <c r="R3" s="63" t="str">
        <f t="shared" si="1"/>
        <v/>
      </c>
    </row>
    <row r="4" spans="1:18" s="73" customFormat="1">
      <c r="A4" s="92"/>
      <c r="B4" s="92"/>
      <c r="C4" s="63"/>
      <c r="D4" s="92"/>
      <c r="E4" s="92"/>
      <c r="F4" s="92"/>
      <c r="G4" s="92"/>
      <c r="H4" s="92"/>
      <c r="I4" s="92"/>
      <c r="J4" s="92"/>
      <c r="K4" s="92"/>
      <c r="L4" s="92"/>
      <c r="M4" s="75" t="str">
        <f>IF(AND(ISBLANK(A4),ISBLANK(B4),ISBLANK(E4),ISBLANK(G4),ISBLANK(L4)),"",IF(OR(ISBLANK(A4),ISBLANK(B4),ISBLANK(E4),ISBLANK(G4),ISBLANK(L4)),"-",LEN(Tableau47[[#This Row],[Code]])))</f>
        <v/>
      </c>
      <c r="N4" s="76" t="str">
        <f>IF(AND(ISBLANK(A4),ISBLANK(B4),ISBLANK(C4),ISBLANK(E4),ISBLANK(L4)),"",IF(OR(ISBLANK(A4),ISBLANK(B4),ISBLANK(C4),ISBLANK(E4),ISBLANK(L4)),"à compléter",
IF(L4="Normal",
LOOKUP(B4,'Type de champ'!B:B,'Type de champ'!A:A)
&amp;IF(COUNTIF('Objets de gestion'!C:C,K4)=0,"","_"&amp;LOOKUP(K4,'Objets de gestion'!C:C,'Objets de gestion'!F:F))
&amp;IF(COUNTIF('Objets de gestion'!C:C,I4)=0,"","_"&amp;LOOKUP(I4,'Objets de gestion'!C:C,'Objets de gestion'!F:F))
&amp;IF(COUNTIF('Objets de gestion'!C:C,G4)=0,"","_"&amp;LOOKUP(G4,'Objets de gestion'!C:C,'Objets de gestion'!F:F))
&amp;IF(COUNTIF('Objets de gestion'!C:C,E4)=0,"","_"&amp;LOOKUP(E4,'Objets de gestion'!C:C,'Objets de gestion'!F:F))
&amp;IF(OR(C4="booléen",COUNTIF('Objets de gestion'!C:C,C4)=0),"","_"&amp;LOOKUP(C4,'Objets de gestion'!C:C,'Objets de gestion'!F:F)),
IF(L4="Forcé",
LOOKUP(B4,'Type de champ'!B:B,'Type de champ'!A:A)
&amp;IF(COUNTIF('Objets de gestion'!C:C,E4)=0,"","_"&amp;LOOKUP(E4,'Objets de gestion'!C:C,'Objets de gestion'!F:F))
&amp;IF(COUNTIF('Objets de gestion'!C:C,G4)=0,"","_"&amp;LOOKUP(G4,'Objets de gestion'!C:C,'Objets de gestion'!F:F))
&amp;IF(COUNTIF('Objets de gestion'!C:C,I4)=0,"","_"&amp;LOOKUP(I4,'Objets de gestion'!C:C,'Objets de gestion'!F:F))
&amp;IF(COUNTIF('Objets de gestion'!C:C,K4)=0,"","_"&amp;LOOKUP(K4,'Objets de gestion'!C:C,'Objets de gestion'!F:F))
&amp;IF(OR(C4="booléen",COUNTIF('Objets de gestion'!C:C,C4)=0),"","_"&amp;LOOKUP(C4,'Objets de gestion'!C:C,'Objets de gestion'!F:F))
))))</f>
        <v/>
      </c>
      <c r="O4" s="63" t="str">
        <f t="shared" si="0"/>
        <v/>
      </c>
      <c r="P4" s="63" t="str">
        <f>IF(AND(ISBLANK(A4),ISBLANK(B4),ISBLANK(C4),ISBLANK(E4),ISBLANK(L4)),"",IF(OR(ISBLANK(A4),ISBLANK(B4),ISBLANK(C4),ISBLANK(E4),ISBLANK(L4)),"-",
IF(ISBLANK(C4),"",LOOKUP(C4,'Objets de gestion'!C:C,'Objets de gestion'!E:E))
&amp;IF(ISBLANK(D4),""," "&amp;LOOKUP(D4,Articles!A:A,Articles!B:B))
&amp;IF(ISBLANK(E4),""," "&amp;LOOKUP(E4,'Objets de gestion'!C:C,'Objets de gestion'!E:E))
&amp;IF(ISBLANK(F4),""," "&amp;LOOKUP(F4,Articles!A:A,Articles!B:B))
&amp;IF(ISBLANK(G4),""," "&amp;LOOKUP(G4,'Objets de gestion'!C:C,'Objets de gestion'!E:E))
&amp;IF(ISBLANK(H4),""," "&amp;LOOKUP(H4,Articles!A:A,Articles!B:B))
&amp;IF(ISBLANK(I4),""," "&amp;LOOKUP(I4,'Objets de gestion'!C:C,'Objets de gestion'!E:E))
&amp;IF(ISBLANK(J4),""," "&amp;LOOKUP(J4,Articles!A:A,Articles!B:B))
&amp;IF(ISBLANK(K4),""," "&amp;LOOKUP(K4,'Objets de gestion'!C:C,'Objets de gestion'!E:E))
))</f>
        <v/>
      </c>
      <c r="Q4" s="63" t="str">
        <f>IF(AND(ISBLANK(A4),ISBLANK(B4),ISBLANK(C4),ISBLANK(E4),ISBLANK(L4)),"",IF(OR(ISBLANK(A4),ISBLANK(B4),ISBLANK(C4),ISBLANK(E4),ISBLANK(L4)),"-",
LOOKUP(B4,'Type de champ'!B:B,'Type de champ'!C:C)))</f>
        <v/>
      </c>
      <c r="R4" s="63" t="str">
        <f t="shared" si="1"/>
        <v/>
      </c>
    </row>
    <row r="5" spans="1:18" s="73" customFormat="1">
      <c r="A5" s="92"/>
      <c r="B5" s="92"/>
      <c r="C5" s="63"/>
      <c r="D5" s="92"/>
      <c r="E5" s="92"/>
      <c r="F5" s="92"/>
      <c r="G5" s="92"/>
      <c r="H5" s="92"/>
      <c r="I5" s="92"/>
      <c r="J5" s="92"/>
      <c r="K5" s="92"/>
      <c r="L5" s="92"/>
      <c r="M5" s="75" t="str">
        <f>IF(AND(ISBLANK(A5),ISBLANK(B5),ISBLANK(E5),ISBLANK(G5),ISBLANK(L5)),"",IF(OR(ISBLANK(A5),ISBLANK(B5),ISBLANK(E5),ISBLANK(G5),ISBLANK(L5)),"-",LEN(Tableau47[[#This Row],[Code]])))</f>
        <v/>
      </c>
      <c r="N5" s="76" t="str">
        <f>IF(AND(ISBLANK(A5),ISBLANK(B5),ISBLANK(C5),ISBLANK(E5),ISBLANK(L5)),"",IF(OR(ISBLANK(A5),ISBLANK(B5),ISBLANK(C5),ISBLANK(E5),ISBLANK(L5)),"à compléter",
IF(L5="Normal",
LOOKUP(B5,'Type de champ'!B:B,'Type de champ'!A:A)
&amp;IF(COUNTIF('Objets de gestion'!C:C,K5)=0,"","_"&amp;LOOKUP(K5,'Objets de gestion'!C:C,'Objets de gestion'!F:F))
&amp;IF(COUNTIF('Objets de gestion'!C:C,I5)=0,"","_"&amp;LOOKUP(I5,'Objets de gestion'!C:C,'Objets de gestion'!F:F))
&amp;IF(COUNTIF('Objets de gestion'!C:C,G5)=0,"","_"&amp;LOOKUP(G5,'Objets de gestion'!C:C,'Objets de gestion'!F:F))
&amp;IF(COUNTIF('Objets de gestion'!C:C,E5)=0,"","_"&amp;LOOKUP(E5,'Objets de gestion'!C:C,'Objets de gestion'!F:F))
&amp;IF(OR(C5="booléen",COUNTIF('Objets de gestion'!C:C,C5)=0),"","_"&amp;LOOKUP(C5,'Objets de gestion'!C:C,'Objets de gestion'!F:F)),
IF(L5="Forcé",
LOOKUP(B5,'Type de champ'!B:B,'Type de champ'!A:A)
&amp;IF(COUNTIF('Objets de gestion'!C:C,E5)=0,"","_"&amp;LOOKUP(E5,'Objets de gestion'!C:C,'Objets de gestion'!F:F))
&amp;IF(COUNTIF('Objets de gestion'!C:C,G5)=0,"","_"&amp;LOOKUP(G5,'Objets de gestion'!C:C,'Objets de gestion'!F:F))
&amp;IF(COUNTIF('Objets de gestion'!C:C,I5)=0,"","_"&amp;LOOKUP(I5,'Objets de gestion'!C:C,'Objets de gestion'!F:F))
&amp;IF(COUNTIF('Objets de gestion'!C:C,K5)=0,"","_"&amp;LOOKUP(K5,'Objets de gestion'!C:C,'Objets de gestion'!F:F))
&amp;IF(OR(C5="booléen",COUNTIF('Objets de gestion'!C:C,C5)=0),"","_"&amp;LOOKUP(C5,'Objets de gestion'!C:C,'Objets de gestion'!F:F))
))))</f>
        <v/>
      </c>
      <c r="O5" s="63" t="str">
        <f t="shared" si="0"/>
        <v/>
      </c>
      <c r="P5" s="63" t="str">
        <f>IF(AND(ISBLANK(A5),ISBLANK(B5),ISBLANK(C5),ISBLANK(E5),ISBLANK(L5)),"",IF(OR(ISBLANK(A5),ISBLANK(B5),ISBLANK(C5),ISBLANK(E5),ISBLANK(L5)),"-",
IF(ISBLANK(C5),"",LOOKUP(C5,'Objets de gestion'!C:C,'Objets de gestion'!E:E))
&amp;IF(ISBLANK(D5),""," "&amp;LOOKUP(D5,Articles!A:A,Articles!B:B))
&amp;IF(ISBLANK(E5),""," "&amp;LOOKUP(E5,'Objets de gestion'!C:C,'Objets de gestion'!E:E))
&amp;IF(ISBLANK(F5),""," "&amp;LOOKUP(F5,Articles!A:A,Articles!B:B))
&amp;IF(ISBLANK(G5),""," "&amp;LOOKUP(G5,'Objets de gestion'!C:C,'Objets de gestion'!E:E))
&amp;IF(ISBLANK(H5),""," "&amp;LOOKUP(H5,Articles!A:A,Articles!B:B))
&amp;IF(ISBLANK(I5),""," "&amp;LOOKUP(I5,'Objets de gestion'!C:C,'Objets de gestion'!E:E))
&amp;IF(ISBLANK(J5),""," "&amp;LOOKUP(J5,Articles!A:A,Articles!B:B))
&amp;IF(ISBLANK(K5),""," "&amp;LOOKUP(K5,'Objets de gestion'!C:C,'Objets de gestion'!E:E))
))</f>
        <v/>
      </c>
      <c r="Q5" s="63" t="str">
        <f>IF(AND(ISBLANK(A5),ISBLANK(B5),ISBLANK(C5),ISBLANK(E5),ISBLANK(L5)),"",IF(OR(ISBLANK(A5),ISBLANK(B5),ISBLANK(C5),ISBLANK(E5),ISBLANK(L5)),"-",
LOOKUP(B5,'Type de champ'!B:B,'Type de champ'!C:C)))</f>
        <v/>
      </c>
      <c r="R5" s="63" t="str">
        <f t="shared" si="1"/>
        <v/>
      </c>
    </row>
    <row r="6" spans="1:18" s="73" customFormat="1">
      <c r="A6" s="92"/>
      <c r="B6" s="92"/>
      <c r="C6" s="63"/>
      <c r="D6" s="92"/>
      <c r="E6" s="92"/>
      <c r="F6" s="92"/>
      <c r="G6" s="92"/>
      <c r="H6" s="92"/>
      <c r="I6" s="92"/>
      <c r="J6" s="92"/>
      <c r="K6" s="92"/>
      <c r="L6" s="92"/>
      <c r="M6" s="75" t="str">
        <f>IF(AND(ISBLANK(A6),ISBLANK(B6),ISBLANK(E6),ISBLANK(G6),ISBLANK(L6)),"",IF(OR(ISBLANK(A6),ISBLANK(B6),ISBLANK(E6),ISBLANK(G6),ISBLANK(L6)),"-",LEN(Tableau47[[#This Row],[Code]])))</f>
        <v/>
      </c>
      <c r="N6" s="76" t="str">
        <f>IF(AND(ISBLANK(A6),ISBLANK(B6),ISBLANK(C6),ISBLANK(E6),ISBLANK(L6)),"",IF(OR(ISBLANK(A6),ISBLANK(B6),ISBLANK(C6),ISBLANK(E6),ISBLANK(L6)),"à compléter",
IF(L6="Normal",
LOOKUP(B6,'Type de champ'!B:B,'Type de champ'!A:A)
&amp;IF(COUNTIF('Objets de gestion'!C:C,K6)=0,"","_"&amp;LOOKUP(K6,'Objets de gestion'!C:C,'Objets de gestion'!F:F))
&amp;IF(COUNTIF('Objets de gestion'!C:C,I6)=0,"","_"&amp;LOOKUP(I6,'Objets de gestion'!C:C,'Objets de gestion'!F:F))
&amp;IF(COUNTIF('Objets de gestion'!C:C,G6)=0,"","_"&amp;LOOKUP(G6,'Objets de gestion'!C:C,'Objets de gestion'!F:F))
&amp;IF(COUNTIF('Objets de gestion'!C:C,E6)=0,"","_"&amp;LOOKUP(E6,'Objets de gestion'!C:C,'Objets de gestion'!F:F))
&amp;IF(OR(C6="booléen",COUNTIF('Objets de gestion'!C:C,C6)=0),"","_"&amp;LOOKUP(C6,'Objets de gestion'!C:C,'Objets de gestion'!F:F)),
IF(L6="Forcé",
LOOKUP(B6,'Type de champ'!B:B,'Type de champ'!A:A)
&amp;IF(COUNTIF('Objets de gestion'!C:C,E6)=0,"","_"&amp;LOOKUP(E6,'Objets de gestion'!C:C,'Objets de gestion'!F:F))
&amp;IF(COUNTIF('Objets de gestion'!C:C,G6)=0,"","_"&amp;LOOKUP(G6,'Objets de gestion'!C:C,'Objets de gestion'!F:F))
&amp;IF(COUNTIF('Objets de gestion'!C:C,I6)=0,"","_"&amp;LOOKUP(I6,'Objets de gestion'!C:C,'Objets de gestion'!F:F))
&amp;IF(COUNTIF('Objets de gestion'!C:C,K6)=0,"","_"&amp;LOOKUP(K6,'Objets de gestion'!C:C,'Objets de gestion'!F:F))
&amp;IF(OR(C6="booléen",COUNTIF('Objets de gestion'!C:C,C6)=0),"","_"&amp;LOOKUP(C6,'Objets de gestion'!C:C,'Objets de gestion'!F:F))
))))</f>
        <v/>
      </c>
      <c r="O6" s="63" t="str">
        <f t="shared" si="0"/>
        <v/>
      </c>
      <c r="P6" s="63" t="str">
        <f>IF(AND(ISBLANK(A6),ISBLANK(B6),ISBLANK(C6),ISBLANK(E6),ISBLANK(L6)),"",IF(OR(ISBLANK(A6),ISBLANK(B6),ISBLANK(C6),ISBLANK(E6),ISBLANK(L6)),"-",
IF(ISBLANK(C6),"",LOOKUP(C6,'Objets de gestion'!C:C,'Objets de gestion'!E:E))
&amp;IF(ISBLANK(D6),""," "&amp;LOOKUP(D6,Articles!A:A,Articles!B:B))
&amp;IF(ISBLANK(E6),""," "&amp;LOOKUP(E6,'Objets de gestion'!C:C,'Objets de gestion'!E:E))
&amp;IF(ISBLANK(F6),""," "&amp;LOOKUP(F6,Articles!A:A,Articles!B:B))
&amp;IF(ISBLANK(G6),""," "&amp;LOOKUP(G6,'Objets de gestion'!C:C,'Objets de gestion'!E:E))
&amp;IF(ISBLANK(H6),""," "&amp;LOOKUP(H6,Articles!A:A,Articles!B:B))
&amp;IF(ISBLANK(I6),""," "&amp;LOOKUP(I6,'Objets de gestion'!C:C,'Objets de gestion'!E:E))
&amp;IF(ISBLANK(J6),""," "&amp;LOOKUP(J6,Articles!A:A,Articles!B:B))
&amp;IF(ISBLANK(K6),""," "&amp;LOOKUP(K6,'Objets de gestion'!C:C,'Objets de gestion'!E:E))
))</f>
        <v/>
      </c>
      <c r="Q6" s="63" t="str">
        <f>IF(AND(ISBLANK(A6),ISBLANK(B6),ISBLANK(C6),ISBLANK(E6),ISBLANK(L6)),"",IF(OR(ISBLANK(A6),ISBLANK(B6),ISBLANK(C6),ISBLANK(E6),ISBLANK(L6)),"-",
LOOKUP(B6,'Type de champ'!B:B,'Type de champ'!C:C)))</f>
        <v/>
      </c>
      <c r="R6" s="63" t="str">
        <f t="shared" si="1"/>
        <v/>
      </c>
    </row>
    <row r="7" spans="1:18" s="73" customFormat="1">
      <c r="A7" s="92"/>
      <c r="B7" s="92"/>
      <c r="C7" s="63"/>
      <c r="D7" s="92"/>
      <c r="E7" s="92"/>
      <c r="F7" s="92"/>
      <c r="G7" s="92"/>
      <c r="H7" s="92"/>
      <c r="I7" s="92"/>
      <c r="J7" s="92"/>
      <c r="K7" s="92"/>
      <c r="L7" s="92"/>
      <c r="M7" s="75" t="str">
        <f>IF(AND(ISBLANK(A7),ISBLANK(B7),ISBLANK(E7),ISBLANK(G7),ISBLANK(L7)),"",IF(OR(ISBLANK(A7),ISBLANK(B7),ISBLANK(E7),ISBLANK(G7),ISBLANK(L7)),"-",LEN(Tableau47[[#This Row],[Code]])))</f>
        <v/>
      </c>
      <c r="N7" s="76" t="str">
        <f>IF(AND(ISBLANK(A7),ISBLANK(B7),ISBLANK(C7),ISBLANK(E7),ISBLANK(L7)),"",IF(OR(ISBLANK(A7),ISBLANK(B7),ISBLANK(C7),ISBLANK(E7),ISBLANK(L7)),"à compléter",
IF(L7="Normal",
LOOKUP(B7,'Type de champ'!B:B,'Type de champ'!A:A)
&amp;IF(COUNTIF('Objets de gestion'!C:C,K7)=0,"","_"&amp;LOOKUP(K7,'Objets de gestion'!C:C,'Objets de gestion'!F:F))
&amp;IF(COUNTIF('Objets de gestion'!C:C,I7)=0,"","_"&amp;LOOKUP(I7,'Objets de gestion'!C:C,'Objets de gestion'!F:F))
&amp;IF(COUNTIF('Objets de gestion'!C:C,G7)=0,"","_"&amp;LOOKUP(G7,'Objets de gestion'!C:C,'Objets de gestion'!F:F))
&amp;IF(COUNTIF('Objets de gestion'!C:C,E7)=0,"","_"&amp;LOOKUP(E7,'Objets de gestion'!C:C,'Objets de gestion'!F:F))
&amp;IF(OR(C7="booléen",COUNTIF('Objets de gestion'!C:C,C7)=0),"","_"&amp;LOOKUP(C7,'Objets de gestion'!C:C,'Objets de gestion'!F:F)),
IF(L7="Forcé",
LOOKUP(B7,'Type de champ'!B:B,'Type de champ'!A:A)
&amp;IF(COUNTIF('Objets de gestion'!C:C,E7)=0,"","_"&amp;LOOKUP(E7,'Objets de gestion'!C:C,'Objets de gestion'!F:F))
&amp;IF(COUNTIF('Objets de gestion'!C:C,G7)=0,"","_"&amp;LOOKUP(G7,'Objets de gestion'!C:C,'Objets de gestion'!F:F))
&amp;IF(COUNTIF('Objets de gestion'!C:C,I7)=0,"","_"&amp;LOOKUP(I7,'Objets de gestion'!C:C,'Objets de gestion'!F:F))
&amp;IF(COUNTIF('Objets de gestion'!C:C,K7)=0,"","_"&amp;LOOKUP(K7,'Objets de gestion'!C:C,'Objets de gestion'!F:F))
&amp;IF(OR(C7="booléen",COUNTIF('Objets de gestion'!C:C,C7)=0),"","_"&amp;LOOKUP(C7,'Objets de gestion'!C:C,'Objets de gestion'!F:F))
))))</f>
        <v/>
      </c>
      <c r="O7" s="63" t="str">
        <f t="shared" si="0"/>
        <v/>
      </c>
      <c r="P7" s="63" t="str">
        <f>IF(AND(ISBLANK(A7),ISBLANK(B7),ISBLANK(C7),ISBLANK(E7),ISBLANK(L7)),"",IF(OR(ISBLANK(A7),ISBLANK(B7),ISBLANK(C7),ISBLANK(E7),ISBLANK(L7)),"-",
IF(ISBLANK(C7),"",LOOKUP(C7,'Objets de gestion'!C:C,'Objets de gestion'!E:E))
&amp;IF(ISBLANK(D7),""," "&amp;LOOKUP(D7,Articles!A:A,Articles!B:B))
&amp;IF(ISBLANK(E7),""," "&amp;LOOKUP(E7,'Objets de gestion'!C:C,'Objets de gestion'!E:E))
&amp;IF(ISBLANK(F7),""," "&amp;LOOKUP(F7,Articles!A:A,Articles!B:B))
&amp;IF(ISBLANK(G7),""," "&amp;LOOKUP(G7,'Objets de gestion'!C:C,'Objets de gestion'!E:E))
&amp;IF(ISBLANK(H7),""," "&amp;LOOKUP(H7,Articles!A:A,Articles!B:B))
&amp;IF(ISBLANK(I7),""," "&amp;LOOKUP(I7,'Objets de gestion'!C:C,'Objets de gestion'!E:E))
&amp;IF(ISBLANK(J7),""," "&amp;LOOKUP(J7,Articles!A:A,Articles!B:B))
&amp;IF(ISBLANK(K7),""," "&amp;LOOKUP(K7,'Objets de gestion'!C:C,'Objets de gestion'!E:E))
))</f>
        <v/>
      </c>
      <c r="Q7" s="63" t="str">
        <f>IF(AND(ISBLANK(A7),ISBLANK(B7),ISBLANK(C7),ISBLANK(E7),ISBLANK(L7)),"",IF(OR(ISBLANK(A7),ISBLANK(B7),ISBLANK(C7),ISBLANK(E7),ISBLANK(L7)),"-",
LOOKUP(B7,'Type de champ'!B:B,'Type de champ'!C:C)))</f>
        <v/>
      </c>
      <c r="R7" s="63" t="str">
        <f t="shared" si="1"/>
        <v/>
      </c>
    </row>
    <row r="8" spans="1:18" s="73" customFormat="1">
      <c r="A8" s="92"/>
      <c r="B8" s="92"/>
      <c r="C8" s="63"/>
      <c r="D8" s="92"/>
      <c r="E8" s="92"/>
      <c r="F8" s="92"/>
      <c r="G8" s="92"/>
      <c r="H8" s="92"/>
      <c r="I8" s="92"/>
      <c r="J8" s="92"/>
      <c r="K8" s="92"/>
      <c r="L8" s="92"/>
      <c r="M8" s="75" t="str">
        <f>IF(AND(ISBLANK(A8),ISBLANK(B8),ISBLANK(E8),ISBLANK(G8),ISBLANK(L8)),"",IF(OR(ISBLANK(A8),ISBLANK(B8),ISBLANK(E8),ISBLANK(G8),ISBLANK(L8)),"-",LEN(Tableau47[[#This Row],[Code]])))</f>
        <v/>
      </c>
      <c r="N8" s="76" t="str">
        <f>IF(AND(ISBLANK(A8),ISBLANK(B8),ISBLANK(C8),ISBLANK(E8),ISBLANK(L8)),"",IF(OR(ISBLANK(A8),ISBLANK(B8),ISBLANK(C8),ISBLANK(E8),ISBLANK(L8)),"à compléter",
IF(L8="Normal",
LOOKUP(B8,'Type de champ'!B:B,'Type de champ'!A:A)
&amp;IF(COUNTIF('Objets de gestion'!C:C,K8)=0,"","_"&amp;LOOKUP(K8,'Objets de gestion'!C:C,'Objets de gestion'!F:F))
&amp;IF(COUNTIF('Objets de gestion'!C:C,I8)=0,"","_"&amp;LOOKUP(I8,'Objets de gestion'!C:C,'Objets de gestion'!F:F))
&amp;IF(COUNTIF('Objets de gestion'!C:C,G8)=0,"","_"&amp;LOOKUP(G8,'Objets de gestion'!C:C,'Objets de gestion'!F:F))
&amp;IF(COUNTIF('Objets de gestion'!C:C,E8)=0,"","_"&amp;LOOKUP(E8,'Objets de gestion'!C:C,'Objets de gestion'!F:F))
&amp;IF(OR(C8="booléen",COUNTIF('Objets de gestion'!C:C,C8)=0),"","_"&amp;LOOKUP(C8,'Objets de gestion'!C:C,'Objets de gestion'!F:F)),
IF(L8="Forcé",
LOOKUP(B8,'Type de champ'!B:B,'Type de champ'!A:A)
&amp;IF(COUNTIF('Objets de gestion'!C:C,E8)=0,"","_"&amp;LOOKUP(E8,'Objets de gestion'!C:C,'Objets de gestion'!F:F))
&amp;IF(COUNTIF('Objets de gestion'!C:C,G8)=0,"","_"&amp;LOOKUP(G8,'Objets de gestion'!C:C,'Objets de gestion'!F:F))
&amp;IF(COUNTIF('Objets de gestion'!C:C,I8)=0,"","_"&amp;LOOKUP(I8,'Objets de gestion'!C:C,'Objets de gestion'!F:F))
&amp;IF(COUNTIF('Objets de gestion'!C:C,K8)=0,"","_"&amp;LOOKUP(K8,'Objets de gestion'!C:C,'Objets de gestion'!F:F))
&amp;IF(OR(C8="booléen",COUNTIF('Objets de gestion'!C:C,C8)=0),"","_"&amp;LOOKUP(C8,'Objets de gestion'!C:C,'Objets de gestion'!F:F))
))))</f>
        <v/>
      </c>
      <c r="O8" s="63" t="str">
        <f t="shared" si="0"/>
        <v/>
      </c>
      <c r="P8" s="63" t="str">
        <f>IF(AND(ISBLANK(A8),ISBLANK(B8),ISBLANK(C8),ISBLANK(E8),ISBLANK(L8)),"",IF(OR(ISBLANK(A8),ISBLANK(B8),ISBLANK(C8),ISBLANK(E8),ISBLANK(L8)),"-",
IF(ISBLANK(C8),"",LOOKUP(C8,'Objets de gestion'!C:C,'Objets de gestion'!E:E))
&amp;IF(ISBLANK(D8),""," "&amp;LOOKUP(D8,Articles!A:A,Articles!B:B))
&amp;IF(ISBLANK(E8),""," "&amp;LOOKUP(E8,'Objets de gestion'!C:C,'Objets de gestion'!E:E))
&amp;IF(ISBLANK(F8),""," "&amp;LOOKUP(F8,Articles!A:A,Articles!B:B))
&amp;IF(ISBLANK(G8),""," "&amp;LOOKUP(G8,'Objets de gestion'!C:C,'Objets de gestion'!E:E))
&amp;IF(ISBLANK(H8),""," "&amp;LOOKUP(H8,Articles!A:A,Articles!B:B))
&amp;IF(ISBLANK(I8),""," "&amp;LOOKUP(I8,'Objets de gestion'!C:C,'Objets de gestion'!E:E))
&amp;IF(ISBLANK(J8),""," "&amp;LOOKUP(J8,Articles!A:A,Articles!B:B))
&amp;IF(ISBLANK(K8),""," "&amp;LOOKUP(K8,'Objets de gestion'!C:C,'Objets de gestion'!E:E))
))</f>
        <v/>
      </c>
      <c r="Q8" s="63" t="str">
        <f>IF(AND(ISBLANK(A8),ISBLANK(B8),ISBLANK(C8),ISBLANK(E8),ISBLANK(L8)),"",IF(OR(ISBLANK(A8),ISBLANK(B8),ISBLANK(C8),ISBLANK(E8),ISBLANK(L8)),"-",
LOOKUP(B8,'Type de champ'!B:B,'Type de champ'!C:C)))</f>
        <v/>
      </c>
      <c r="R8" s="63" t="str">
        <f t="shared" si="1"/>
        <v/>
      </c>
    </row>
    <row r="9" spans="1:18" s="73" customFormat="1">
      <c r="A9" s="92"/>
      <c r="B9" s="92"/>
      <c r="C9" s="63"/>
      <c r="D9" s="92"/>
      <c r="E9" s="92"/>
      <c r="F9" s="92"/>
      <c r="G9" s="92"/>
      <c r="H9" s="92"/>
      <c r="I9" s="92"/>
      <c r="J9" s="92"/>
      <c r="K9" s="92"/>
      <c r="L9" s="92"/>
      <c r="M9" s="75" t="str">
        <f>IF(AND(ISBLANK(A9),ISBLANK(B9),ISBLANK(E9),ISBLANK(G9),ISBLANK(L9)),"",IF(OR(ISBLANK(A9),ISBLANK(B9),ISBLANK(E9),ISBLANK(G9),ISBLANK(L9)),"-",LEN(Tableau47[[#This Row],[Code]])))</f>
        <v/>
      </c>
      <c r="N9" s="76" t="str">
        <f>IF(AND(ISBLANK(A9),ISBLANK(B9),ISBLANK(C9),ISBLANK(E9),ISBLANK(L9)),"",IF(OR(ISBLANK(A9),ISBLANK(B9),ISBLANK(C9),ISBLANK(E9),ISBLANK(L9)),"à compléter",
IF(L9="Normal",
LOOKUP(B9,'Type de champ'!B:B,'Type de champ'!A:A)
&amp;IF(COUNTIF('Objets de gestion'!C:C,K9)=0,"","_"&amp;LOOKUP(K9,'Objets de gestion'!C:C,'Objets de gestion'!F:F))
&amp;IF(COUNTIF('Objets de gestion'!C:C,I9)=0,"","_"&amp;LOOKUP(I9,'Objets de gestion'!C:C,'Objets de gestion'!F:F))
&amp;IF(COUNTIF('Objets de gestion'!C:C,G9)=0,"","_"&amp;LOOKUP(G9,'Objets de gestion'!C:C,'Objets de gestion'!F:F))
&amp;IF(COUNTIF('Objets de gestion'!C:C,E9)=0,"","_"&amp;LOOKUP(E9,'Objets de gestion'!C:C,'Objets de gestion'!F:F))
&amp;IF(OR(C9="booléen",COUNTIF('Objets de gestion'!C:C,C9)=0),"","_"&amp;LOOKUP(C9,'Objets de gestion'!C:C,'Objets de gestion'!F:F)),
IF(L9="Forcé",
LOOKUP(B9,'Type de champ'!B:B,'Type de champ'!A:A)
&amp;IF(COUNTIF('Objets de gestion'!C:C,E9)=0,"","_"&amp;LOOKUP(E9,'Objets de gestion'!C:C,'Objets de gestion'!F:F))
&amp;IF(COUNTIF('Objets de gestion'!C:C,G9)=0,"","_"&amp;LOOKUP(G9,'Objets de gestion'!C:C,'Objets de gestion'!F:F))
&amp;IF(COUNTIF('Objets de gestion'!C:C,I9)=0,"","_"&amp;LOOKUP(I9,'Objets de gestion'!C:C,'Objets de gestion'!F:F))
&amp;IF(COUNTIF('Objets de gestion'!C:C,K9)=0,"","_"&amp;LOOKUP(K9,'Objets de gestion'!C:C,'Objets de gestion'!F:F))
&amp;IF(OR(C9="booléen",COUNTIF('Objets de gestion'!C:C,C9)=0),"","_"&amp;LOOKUP(C9,'Objets de gestion'!C:C,'Objets de gestion'!F:F))
))))</f>
        <v/>
      </c>
      <c r="O9" s="63" t="str">
        <f t="shared" si="0"/>
        <v/>
      </c>
      <c r="P9" s="63" t="str">
        <f>IF(AND(ISBLANK(A9),ISBLANK(B9),ISBLANK(C9),ISBLANK(E9),ISBLANK(L9)),"",IF(OR(ISBLANK(A9),ISBLANK(B9),ISBLANK(C9),ISBLANK(E9),ISBLANK(L9)),"-",
IF(ISBLANK(C9),"",LOOKUP(C9,'Objets de gestion'!C:C,'Objets de gestion'!E:E))
&amp;IF(ISBLANK(D9),""," "&amp;LOOKUP(D9,Articles!A:A,Articles!B:B))
&amp;IF(ISBLANK(E9),""," "&amp;LOOKUP(E9,'Objets de gestion'!C:C,'Objets de gestion'!E:E))
&amp;IF(ISBLANK(F9),""," "&amp;LOOKUP(F9,Articles!A:A,Articles!B:B))
&amp;IF(ISBLANK(G9),""," "&amp;LOOKUP(G9,'Objets de gestion'!C:C,'Objets de gestion'!E:E))
&amp;IF(ISBLANK(H9),""," "&amp;LOOKUP(H9,Articles!A:A,Articles!B:B))
&amp;IF(ISBLANK(I9),""," "&amp;LOOKUP(I9,'Objets de gestion'!C:C,'Objets de gestion'!E:E))
&amp;IF(ISBLANK(J9),""," "&amp;LOOKUP(J9,Articles!A:A,Articles!B:B))
&amp;IF(ISBLANK(K9),""," "&amp;LOOKUP(K9,'Objets de gestion'!C:C,'Objets de gestion'!E:E))
))</f>
        <v/>
      </c>
      <c r="Q9" s="63" t="str">
        <f>IF(AND(ISBLANK(A9),ISBLANK(B9),ISBLANK(C9),ISBLANK(E9),ISBLANK(L9)),"",IF(OR(ISBLANK(A9),ISBLANK(B9),ISBLANK(C9),ISBLANK(E9),ISBLANK(L9)),"-",
LOOKUP(B9,'Type de champ'!B:B,'Type de champ'!C:C)))</f>
        <v/>
      </c>
      <c r="R9" s="63" t="str">
        <f t="shared" si="1"/>
        <v/>
      </c>
    </row>
    <row r="10" spans="1:18">
      <c r="M10" s="75" t="str">
        <f>IF(AND(ISBLANK(A10),ISBLANK(B10),ISBLANK(E10),ISBLANK(G10),ISBLANK(L10)),"",IF(OR(ISBLANK(A10),ISBLANK(B10),ISBLANK(E10),ISBLANK(G10),ISBLANK(L10)),"-",LEN(Tableau47[[#This Row],[Code]])))</f>
        <v/>
      </c>
      <c r="N10" s="76" t="str">
        <f>IF(AND(ISBLANK(A10),ISBLANK(B10),ISBLANK(C10),ISBLANK(E10),ISBLANK(L10)),"",IF(OR(ISBLANK(A10),ISBLANK(B10),ISBLANK(C10),ISBLANK(E10),ISBLANK(L10)),"à compléter",
IF(L10="Normal",
LOOKUP(B10,'Type de champ'!B:B,'Type de champ'!A:A)
&amp;IF(COUNTIF('Objets de gestion'!C:C,K10)=0,"","_"&amp;LOOKUP(K10,'Objets de gestion'!C:C,'Objets de gestion'!F:F))
&amp;IF(COUNTIF('Objets de gestion'!C:C,I10)=0,"","_"&amp;LOOKUP(I10,'Objets de gestion'!C:C,'Objets de gestion'!F:F))
&amp;IF(COUNTIF('Objets de gestion'!C:C,G10)=0,"","_"&amp;LOOKUP(G10,'Objets de gestion'!C:C,'Objets de gestion'!F:F))
&amp;IF(COUNTIF('Objets de gestion'!C:C,E10)=0,"","_"&amp;LOOKUP(E10,'Objets de gestion'!C:C,'Objets de gestion'!F:F))
&amp;IF(OR(C10="booléen",COUNTIF('Objets de gestion'!C:C,C10)=0),"","_"&amp;LOOKUP(C10,'Objets de gestion'!C:C,'Objets de gestion'!F:F)),
IF(L10="Forcé",
LOOKUP(B10,'Type de champ'!B:B,'Type de champ'!A:A)
&amp;IF(COUNTIF('Objets de gestion'!C:C,E10)=0,"","_"&amp;LOOKUP(E10,'Objets de gestion'!C:C,'Objets de gestion'!F:F))
&amp;IF(COUNTIF('Objets de gestion'!C:C,G10)=0,"","_"&amp;LOOKUP(G10,'Objets de gestion'!C:C,'Objets de gestion'!F:F))
&amp;IF(COUNTIF('Objets de gestion'!C:C,I10)=0,"","_"&amp;LOOKUP(I10,'Objets de gestion'!C:C,'Objets de gestion'!F:F))
&amp;IF(COUNTIF('Objets de gestion'!C:C,K10)=0,"","_"&amp;LOOKUP(K10,'Objets de gestion'!C:C,'Objets de gestion'!F:F))
&amp;IF(OR(C10="booléen",COUNTIF('Objets de gestion'!C:C,C10)=0),"","_"&amp;LOOKUP(C10,'Objets de gestion'!C:C,'Objets de gestion'!F:F))
))))</f>
        <v/>
      </c>
      <c r="O10" s="63" t="str">
        <f t="shared" si="0"/>
        <v/>
      </c>
      <c r="P10" s="63" t="str">
        <f>IF(AND(ISBLANK(A10),ISBLANK(B10),ISBLANK(C10),ISBLANK(E10),ISBLANK(L10)),"",IF(OR(ISBLANK(A10),ISBLANK(B10),ISBLANK(C10),ISBLANK(E10),ISBLANK(L10)),"-",
IF(ISBLANK(C10),"",LOOKUP(C10,'Objets de gestion'!C:C,'Objets de gestion'!E:E))
&amp;IF(ISBLANK(D10),""," "&amp;LOOKUP(D10,Articles!A:A,Articles!B:B))
&amp;IF(ISBLANK(E10),""," "&amp;LOOKUP(E10,'Objets de gestion'!C:C,'Objets de gestion'!E:E))
&amp;IF(ISBLANK(F10),""," "&amp;LOOKUP(F10,Articles!A:A,Articles!B:B))
&amp;IF(ISBLANK(G10),""," "&amp;LOOKUP(G10,'Objets de gestion'!C:C,'Objets de gestion'!E:E))
&amp;IF(ISBLANK(H10),""," "&amp;LOOKUP(H10,Articles!A:A,Articles!B:B))
&amp;IF(ISBLANK(I10),""," "&amp;LOOKUP(I10,'Objets de gestion'!C:C,'Objets de gestion'!E:E))
&amp;IF(ISBLANK(J10),""," "&amp;LOOKUP(J10,Articles!A:A,Articles!B:B))
&amp;IF(ISBLANK(K10),""," "&amp;LOOKUP(K10,'Objets de gestion'!C:C,'Objets de gestion'!E:E))
))</f>
        <v/>
      </c>
      <c r="Q10" s="63" t="str">
        <f>IF(AND(ISBLANK(A10),ISBLANK(B10),ISBLANK(C10),ISBLANK(E10),ISBLANK(L10)),"",IF(OR(ISBLANK(A10),ISBLANK(B10),ISBLANK(C10),ISBLANK(E10),ISBLANK(L10)),"-",
LOOKUP(B10,'Type de champ'!B:B,'Type de champ'!C:C)))</f>
        <v/>
      </c>
      <c r="R10" s="63" t="str">
        <f t="shared" si="1"/>
        <v/>
      </c>
    </row>
    <row r="11" spans="1:18">
      <c r="M11" s="75" t="str">
        <f>IF(AND(ISBLANK(A11),ISBLANK(B11),ISBLANK(E11),ISBLANK(G11),ISBLANK(L11)),"",IF(OR(ISBLANK(A11),ISBLANK(B11),ISBLANK(E11),ISBLANK(G11),ISBLANK(L11)),"-",LEN(Tableau47[[#This Row],[Code]])))</f>
        <v/>
      </c>
      <c r="N11" s="76" t="str">
        <f>IF(AND(ISBLANK(A11),ISBLANK(B11),ISBLANK(C11),ISBLANK(E11),ISBLANK(L11)),"",IF(OR(ISBLANK(A11),ISBLANK(B11),ISBLANK(C11),ISBLANK(E11),ISBLANK(L11)),"à compléter",
IF(L11="Normal",
LOOKUP(B11,'Type de champ'!B:B,'Type de champ'!A:A)
&amp;IF(COUNTIF('Objets de gestion'!C:C,K11)=0,"","_"&amp;LOOKUP(K11,'Objets de gestion'!C:C,'Objets de gestion'!F:F))
&amp;IF(COUNTIF('Objets de gestion'!C:C,I11)=0,"","_"&amp;LOOKUP(I11,'Objets de gestion'!C:C,'Objets de gestion'!F:F))
&amp;IF(COUNTIF('Objets de gestion'!C:C,G11)=0,"","_"&amp;LOOKUP(G11,'Objets de gestion'!C:C,'Objets de gestion'!F:F))
&amp;IF(COUNTIF('Objets de gestion'!C:C,E11)=0,"","_"&amp;LOOKUP(E11,'Objets de gestion'!C:C,'Objets de gestion'!F:F))
&amp;IF(OR(C11="booléen",COUNTIF('Objets de gestion'!C:C,C11)=0),"","_"&amp;LOOKUP(C11,'Objets de gestion'!C:C,'Objets de gestion'!F:F)),
IF(L11="Forcé",
LOOKUP(B11,'Type de champ'!B:B,'Type de champ'!A:A)
&amp;IF(COUNTIF('Objets de gestion'!C:C,E11)=0,"","_"&amp;LOOKUP(E11,'Objets de gestion'!C:C,'Objets de gestion'!F:F))
&amp;IF(COUNTIF('Objets de gestion'!C:C,G11)=0,"","_"&amp;LOOKUP(G11,'Objets de gestion'!C:C,'Objets de gestion'!F:F))
&amp;IF(COUNTIF('Objets de gestion'!C:C,I11)=0,"","_"&amp;LOOKUP(I11,'Objets de gestion'!C:C,'Objets de gestion'!F:F))
&amp;IF(COUNTIF('Objets de gestion'!C:C,K11)=0,"","_"&amp;LOOKUP(K11,'Objets de gestion'!C:C,'Objets de gestion'!F:F))
&amp;IF(OR(C11="booléen",COUNTIF('Objets de gestion'!C:C,C11)=0),"","_"&amp;LOOKUP(C11,'Objets de gestion'!C:C,'Objets de gestion'!F:F))
))))</f>
        <v/>
      </c>
      <c r="O11" s="63" t="str">
        <f t="shared" si="0"/>
        <v/>
      </c>
      <c r="P11" s="63" t="str">
        <f>IF(AND(ISBLANK(A11),ISBLANK(B11),ISBLANK(C11),ISBLANK(E11),ISBLANK(L11)),"",IF(OR(ISBLANK(A11),ISBLANK(B11),ISBLANK(C11),ISBLANK(E11),ISBLANK(L11)),"-",
IF(ISBLANK(C11),"",LOOKUP(C11,'Objets de gestion'!C:C,'Objets de gestion'!E:E))
&amp;IF(ISBLANK(D11),""," "&amp;LOOKUP(D11,Articles!A:A,Articles!B:B))
&amp;IF(ISBLANK(E11),""," "&amp;LOOKUP(E11,'Objets de gestion'!C:C,'Objets de gestion'!E:E))
&amp;IF(ISBLANK(F11),""," "&amp;LOOKUP(F11,Articles!A:A,Articles!B:B))
&amp;IF(ISBLANK(G11),""," "&amp;LOOKUP(G11,'Objets de gestion'!C:C,'Objets de gestion'!E:E))
&amp;IF(ISBLANK(H11),""," "&amp;LOOKUP(H11,Articles!A:A,Articles!B:B))
&amp;IF(ISBLANK(I11),""," "&amp;LOOKUP(I11,'Objets de gestion'!C:C,'Objets de gestion'!E:E))
&amp;IF(ISBLANK(J11),""," "&amp;LOOKUP(J11,Articles!A:A,Articles!B:B))
&amp;IF(ISBLANK(K11),""," "&amp;LOOKUP(K11,'Objets de gestion'!C:C,'Objets de gestion'!E:E))
))</f>
        <v/>
      </c>
      <c r="Q11" s="63" t="str">
        <f>IF(AND(ISBLANK(A11),ISBLANK(B11),ISBLANK(C11),ISBLANK(E11),ISBLANK(L11)),"",IF(OR(ISBLANK(A11),ISBLANK(B11),ISBLANK(C11),ISBLANK(E11),ISBLANK(L11)),"-",
LOOKUP(B11,'Type de champ'!B:B,'Type de champ'!C:C)))</f>
        <v/>
      </c>
      <c r="R11" s="63" t="str">
        <f t="shared" si="1"/>
        <v/>
      </c>
    </row>
    <row r="12" spans="1:18">
      <c r="A12" s="74" t="s">
        <v>6228</v>
      </c>
      <c r="B12" s="63" t="s">
        <v>4536</v>
      </c>
      <c r="C12" s="63" t="s">
        <v>2050</v>
      </c>
      <c r="D12" s="63" t="s">
        <v>40</v>
      </c>
      <c r="E12" s="63" t="s">
        <v>755</v>
      </c>
      <c r="F12" s="63" t="s">
        <v>42</v>
      </c>
      <c r="G12" s="63" t="s">
        <v>5602</v>
      </c>
      <c r="J12" s="92"/>
      <c r="K12" s="92"/>
      <c r="L12" s="63" t="s">
        <v>5736</v>
      </c>
      <c r="M12" s="75">
        <f>IF(AND(ISBLANK(A12),ISBLANK(B12),ISBLANK(E12),ISBLANK(G12),ISBLANK(L12)),"",IF(OR(ISBLANK(A12),ISBLANK(B12),ISBLANK(E12),ISBLANK(G12),ISBLANK(L12)),"-",LEN(Tableau47[[#This Row],[Code]])))</f>
        <v>16</v>
      </c>
      <c r="N12" s="76" t="str">
        <f>IF(AND(ISBLANK(A12),ISBLANK(B12),ISBLANK(C12),ISBLANK(E12),ISBLANK(L12)),"",IF(OR(ISBLANK(A12),ISBLANK(B12),ISBLANK(C12),ISBLANK(E12),ISBLANK(L12)),"à compléter",
IF(L12="Normal",
LOOKUP(B12,'Type de champ'!B:B,'Type de champ'!A:A)
&amp;IF(COUNTIF('Objets de gestion'!C:C,K12)=0,"","_"&amp;LOOKUP(K12,'Objets de gestion'!C:C,'Objets de gestion'!F:F))
&amp;IF(COUNTIF('Objets de gestion'!C:C,I12)=0,"","_"&amp;LOOKUP(I12,'Objets de gestion'!C:C,'Objets de gestion'!F:F))
&amp;IF(COUNTIF('Objets de gestion'!C:C,G12)=0,"","_"&amp;LOOKUP(G12,'Objets de gestion'!C:C,'Objets de gestion'!F:F))
&amp;IF(COUNTIF('Objets de gestion'!C:C,E12)=0,"","_"&amp;LOOKUP(E12,'Objets de gestion'!C:C,'Objets de gestion'!F:F))
&amp;IF(OR(C12="booléen",COUNTIF('Objets de gestion'!C:C,C12)=0),"","_"&amp;LOOKUP(C12,'Objets de gestion'!C:C,'Objets de gestion'!F:F)),
IF(L12="Forcé",
LOOKUP(B12,'Type de champ'!B:B,'Type de champ'!A:A)
&amp;IF(COUNTIF('Objets de gestion'!C:C,E12)=0,"","_"&amp;LOOKUP(E12,'Objets de gestion'!C:C,'Objets de gestion'!F:F))
&amp;IF(COUNTIF('Objets de gestion'!C:C,G12)=0,"","_"&amp;LOOKUP(G12,'Objets de gestion'!C:C,'Objets de gestion'!F:F))
&amp;IF(COUNTIF('Objets de gestion'!C:C,I12)=0,"","_"&amp;LOOKUP(I12,'Objets de gestion'!C:C,'Objets de gestion'!F:F))
&amp;IF(COUNTIF('Objets de gestion'!C:C,K12)=0,"","_"&amp;LOOKUP(K12,'Objets de gestion'!C:C,'Objets de gestion'!F:F))
&amp;IF(OR(C12="booléen",COUNTIF('Objets de gestion'!C:C,C12)=0),"","_"&amp;LOOKUP(C12,'Objets de gestion'!C:C,'Objets de gestion'!F:F))
))))</f>
        <v>K_ACCMGR_CUS_UID</v>
      </c>
      <c r="O12" s="63" t="str">
        <f t="shared" si="0"/>
        <v xml:space="preserve">Identifiant unique entre client et chargé de clientèle </v>
      </c>
      <c r="P12" s="63" t="str">
        <f>IF(AND(ISBLANK(A12),ISBLANK(B12),ISBLANK(C12),ISBLANK(E12),ISBLANK(L12)),"",IF(OR(ISBLANK(A12),ISBLANK(B12),ISBLANK(C12),ISBLANK(E12),ISBLANK(L12)),"-",
IF(ISBLANK(C12),"",LOOKUP(C12,'Objets de gestion'!C:C,'Objets de gestion'!E:E))
&amp;IF(ISBLANK(D12),""," "&amp;LOOKUP(D12,Articles!A:A,Articles!B:B))
&amp;IF(ISBLANK(E12),""," "&amp;LOOKUP(E12,'Objets de gestion'!C:C,'Objets de gestion'!E:E))
&amp;IF(ISBLANK(F12),""," "&amp;LOOKUP(F12,Articles!A:A,Articles!B:B))
&amp;IF(ISBLANK(G12),""," "&amp;LOOKUP(G12,'Objets de gestion'!C:C,'Objets de gestion'!E:E))
&amp;IF(ISBLANK(H12),""," "&amp;LOOKUP(H12,Articles!A:A,Articles!B:B))
&amp;IF(ISBLANK(I12),""," "&amp;LOOKUP(I12,'Objets de gestion'!C:C,'Objets de gestion'!E:E))
&amp;IF(ISBLANK(J12),""," "&amp;LOOKUP(J12,Articles!A:A,Articles!B:B))
&amp;IF(ISBLANK(K12),""," "&amp;LOOKUP(K12,'Objets de gestion'!C:C,'Objets de gestion'!E:E))
))</f>
        <v>Unique Identifier  between customer  and Account Manager</v>
      </c>
      <c r="Q12" s="63" t="str">
        <f>IF(AND(ISBLANK(A12),ISBLANK(B12),ISBLANK(C12),ISBLANK(E12),ISBLANK(L12)),"",IF(OR(ISBLANK(A12),ISBLANK(B12),ISBLANK(C12),ISBLANK(E12),ISBLANK(L12)),"-",
LOOKUP(B12,'Type de champ'!B:B,'Type de champ'!C:C)))</f>
        <v>Integer</v>
      </c>
      <c r="R12" s="63" t="str">
        <f t="shared" si="1"/>
        <v>Tiers</v>
      </c>
    </row>
    <row r="13" spans="1:18">
      <c r="A13" s="74" t="s">
        <v>6228</v>
      </c>
      <c r="B13" s="63" t="s">
        <v>4542</v>
      </c>
      <c r="C13" s="63" t="s">
        <v>6229</v>
      </c>
      <c r="D13" s="63" t="s">
        <v>40</v>
      </c>
      <c r="E13" s="63" t="s">
        <v>755</v>
      </c>
      <c r="F13" s="63" t="s">
        <v>42</v>
      </c>
      <c r="G13" s="63" t="s">
        <v>5602</v>
      </c>
      <c r="J13" s="92"/>
      <c r="K13" s="92"/>
      <c r="L13" s="63" t="s">
        <v>5736</v>
      </c>
      <c r="M13" s="75">
        <f>IF(AND(ISBLANK(A13),ISBLANK(B13),ISBLANK(E13),ISBLANK(G13),ISBLANK(L13)),"",IF(OR(ISBLANK(A13),ISBLANK(B13),ISBLANK(E13),ISBLANK(G13),ISBLANK(L13)),"-",LEN(Tableau47[[#This Row],[Code]])))</f>
        <v>19</v>
      </c>
      <c r="N13" s="76" t="str">
        <f>IF(AND(ISBLANK(A13),ISBLANK(B13),ISBLANK(C13),ISBLANK(E13),ISBLANK(L13)),"",IF(OR(ISBLANK(A13),ISBLANK(B13),ISBLANK(C13),ISBLANK(E13),ISBLANK(L13)),"à compléter",
IF(L13="Normal",
LOOKUP(B13,'Type de champ'!B:B,'Type de champ'!A:A)
&amp;IF(COUNTIF('Objets de gestion'!C:C,K13)=0,"","_"&amp;LOOKUP(K13,'Objets de gestion'!C:C,'Objets de gestion'!F:F))
&amp;IF(COUNTIF('Objets de gestion'!C:C,I13)=0,"","_"&amp;LOOKUP(I13,'Objets de gestion'!C:C,'Objets de gestion'!F:F))
&amp;IF(COUNTIF('Objets de gestion'!C:C,G13)=0,"","_"&amp;LOOKUP(G13,'Objets de gestion'!C:C,'Objets de gestion'!F:F))
&amp;IF(COUNTIF('Objets de gestion'!C:C,E13)=0,"","_"&amp;LOOKUP(E13,'Objets de gestion'!C:C,'Objets de gestion'!F:F))
&amp;IF(OR(C13="booléen",COUNTIF('Objets de gestion'!C:C,C13)=0),"","_"&amp;LOOKUP(C13,'Objets de gestion'!C:C,'Objets de gestion'!F:F)),
IF(L13="Forcé",
LOOKUP(B13,'Type de champ'!B:B,'Type de champ'!A:A)
&amp;IF(COUNTIF('Objets de gestion'!C:C,E13)=0,"","_"&amp;LOOKUP(E13,'Objets de gestion'!C:C,'Objets de gestion'!F:F))
&amp;IF(COUNTIF('Objets de gestion'!C:C,G13)=0,"","_"&amp;LOOKUP(G13,'Objets de gestion'!C:C,'Objets de gestion'!F:F))
&amp;IF(COUNTIF('Objets de gestion'!C:C,I13)=0,"","_"&amp;LOOKUP(I13,'Objets de gestion'!C:C,'Objets de gestion'!F:F))
&amp;IF(COUNTIF('Objets de gestion'!C:C,K13)=0,"","_"&amp;LOOKUP(K13,'Objets de gestion'!C:C,'Objets de gestion'!F:F))
&amp;IF(OR(C13="booléen",COUNTIF('Objets de gestion'!C:C,C13)=0),"","_"&amp;LOOKUP(C13,'Objets de gestion'!C:C,'Objets de gestion'!F:F))
))))</f>
        <v>X_ACCMGR_CUS_FCTIDT</v>
      </c>
      <c r="O13" s="63" t="str">
        <f t="shared" si="0"/>
        <v xml:space="preserve">Identifiant fonctionnel entre client et chargé de clientèle </v>
      </c>
      <c r="P13" s="63" t="str">
        <f>IF(AND(ISBLANK(A13),ISBLANK(B13),ISBLANK(C13),ISBLANK(E13),ISBLANK(L13)),"",IF(OR(ISBLANK(A13),ISBLANK(B13),ISBLANK(C13),ISBLANK(E13),ISBLANK(L13)),"-",
IF(ISBLANK(C13),"",LOOKUP(C13,'Objets de gestion'!C:C,'Objets de gestion'!E:E))
&amp;IF(ISBLANK(D13),""," "&amp;LOOKUP(D13,Articles!A:A,Articles!B:B))
&amp;IF(ISBLANK(E13),""," "&amp;LOOKUP(E13,'Objets de gestion'!C:C,'Objets de gestion'!E:E))
&amp;IF(ISBLANK(F13),""," "&amp;LOOKUP(F13,Articles!A:A,Articles!B:B))
&amp;IF(ISBLANK(G13),""," "&amp;LOOKUP(G13,'Objets de gestion'!C:C,'Objets de gestion'!E:E))
&amp;IF(ISBLANK(H13),""," "&amp;LOOKUP(H13,Articles!A:A,Articles!B:B))
&amp;IF(ISBLANK(I13),""," "&amp;LOOKUP(I13,'Objets de gestion'!C:C,'Objets de gestion'!E:E))
&amp;IF(ISBLANK(J13),""," "&amp;LOOKUP(J13,Articles!A:A,Articles!B:B))
&amp;IF(ISBLANK(K13),""," "&amp;LOOKUP(K13,'Objets de gestion'!C:C,'Objets de gestion'!E:E))
))</f>
        <v>functional identifier  between customer  and Account Manager</v>
      </c>
      <c r="Q13" s="63" t="str">
        <f>IF(AND(ISBLANK(A13),ISBLANK(B13),ISBLANK(C13),ISBLANK(E13),ISBLANK(L13)),"",IF(OR(ISBLANK(A13),ISBLANK(B13),ISBLANK(C13),ISBLANK(E13),ISBLANK(L13)),"-",
LOOKUP(B13,'Type de champ'!B:B,'Type de champ'!C:C)))</f>
        <v>Varchar(??)</v>
      </c>
      <c r="R13" s="63" t="str">
        <f t="shared" si="1"/>
        <v>Tiers</v>
      </c>
    </row>
    <row r="14" spans="1:18">
      <c r="A14" s="74" t="s">
        <v>6228</v>
      </c>
      <c r="B14" s="63" t="s">
        <v>4540</v>
      </c>
      <c r="C14" s="63" t="s">
        <v>4990</v>
      </c>
      <c r="D14" s="63" t="s">
        <v>40</v>
      </c>
      <c r="E14" s="63" t="s">
        <v>755</v>
      </c>
      <c r="F14" s="63" t="s">
        <v>42</v>
      </c>
      <c r="G14" s="63" t="s">
        <v>5602</v>
      </c>
      <c r="L14" s="63" t="s">
        <v>5736</v>
      </c>
      <c r="M14" s="75">
        <f>IF(AND(ISBLANK(A14),ISBLANK(B14),ISBLANK(E14),ISBLANK(G14),ISBLANK(L14)),"",IF(OR(ISBLANK(A14),ISBLANK(B14),ISBLANK(E14),ISBLANK(G14),ISBLANK(L14)),"-",LEN(Tableau47[[#This Row],[Code]])))</f>
        <v>19</v>
      </c>
      <c r="N14" s="76" t="str">
        <f>IF(AND(ISBLANK(A14),ISBLANK(B14),ISBLANK(C14),ISBLANK(E14),ISBLANK(L14)),"",IF(OR(ISBLANK(A14),ISBLANK(B14),ISBLANK(C14),ISBLANK(E14),ISBLANK(L14)),"à compléter",
IF(L14="Normal",
LOOKUP(B14,'Type de champ'!B:B,'Type de champ'!A:A)
&amp;IF(COUNTIF('Objets de gestion'!C:C,K14)=0,"","_"&amp;LOOKUP(K14,'Objets de gestion'!C:C,'Objets de gestion'!F:F))
&amp;IF(COUNTIF('Objets de gestion'!C:C,I14)=0,"","_"&amp;LOOKUP(I14,'Objets de gestion'!C:C,'Objets de gestion'!F:F))
&amp;IF(COUNTIF('Objets de gestion'!C:C,G14)=0,"","_"&amp;LOOKUP(G14,'Objets de gestion'!C:C,'Objets de gestion'!F:F))
&amp;IF(COUNTIF('Objets de gestion'!C:C,E14)=0,"","_"&amp;LOOKUP(E14,'Objets de gestion'!C:C,'Objets de gestion'!F:F))
&amp;IF(OR(C14="booléen",COUNTIF('Objets de gestion'!C:C,C14)=0),"","_"&amp;LOOKUP(C14,'Objets de gestion'!C:C,'Objets de gestion'!F:F)),
IF(L14="Forcé",
LOOKUP(B14,'Type de champ'!B:B,'Type de champ'!A:A)
&amp;IF(COUNTIF('Objets de gestion'!C:C,E14)=0,"","_"&amp;LOOKUP(E14,'Objets de gestion'!C:C,'Objets de gestion'!F:F))
&amp;IF(COUNTIF('Objets de gestion'!C:C,G14)=0,"","_"&amp;LOOKUP(G14,'Objets de gestion'!C:C,'Objets de gestion'!F:F))
&amp;IF(COUNTIF('Objets de gestion'!C:C,I14)=0,"","_"&amp;LOOKUP(I14,'Objets de gestion'!C:C,'Objets de gestion'!F:F))
&amp;IF(COUNTIF('Objets de gestion'!C:C,K14)=0,"","_"&amp;LOOKUP(K14,'Objets de gestion'!C:C,'Objets de gestion'!F:F))
&amp;IF(OR(C14="booléen",COUNTIF('Objets de gestion'!C:C,C14)=0),"","_"&amp;LOOKUP(C14,'Objets de gestion'!C:C,'Objets de gestion'!F:F))
))))</f>
        <v>T_ACCMGR_CUS_SDAUID</v>
      </c>
      <c r="O14" s="63" t="str">
        <f t="shared" si="0"/>
        <v xml:space="preserve">Date de début de l'identifiant unique entre client et chargé de clientèle </v>
      </c>
      <c r="P14" s="63" t="str">
        <f>IF(AND(ISBLANK(A14),ISBLANK(B14),ISBLANK(C14),ISBLANK(E14),ISBLANK(L14)),"",IF(OR(ISBLANK(A14),ISBLANK(B14),ISBLANK(C14),ISBLANK(E14),ISBLANK(L14)),"-",
IF(ISBLANK(C14),"",LOOKUP(C14,'Objets de gestion'!C:C,'Objets de gestion'!E:E))
&amp;IF(ISBLANK(D14),""," "&amp;LOOKUP(D14,Articles!A:A,Articles!B:B))
&amp;IF(ISBLANK(E14),""," "&amp;LOOKUP(E14,'Objets de gestion'!C:C,'Objets de gestion'!E:E))
&amp;IF(ISBLANK(F14),""," "&amp;LOOKUP(F14,Articles!A:A,Articles!B:B))
&amp;IF(ISBLANK(G14),""," "&amp;LOOKUP(G14,'Objets de gestion'!C:C,'Objets de gestion'!E:E))
&amp;IF(ISBLANK(H14),""," "&amp;LOOKUP(H14,Articles!A:A,Articles!B:B))
&amp;IF(ISBLANK(I14),""," "&amp;LOOKUP(I14,'Objets de gestion'!C:C,'Objets de gestion'!E:E))
&amp;IF(ISBLANK(J14),""," "&amp;LOOKUP(J14,Articles!A:A,Articles!B:B))
&amp;IF(ISBLANK(K14),""," "&amp;LOOKUP(K14,'Objets de gestion'!C:C,'Objets de gestion'!E:E))
))</f>
        <v>Start date of UID  between customer  and Account Manager</v>
      </c>
      <c r="Q14" s="63" t="str">
        <f>IF(AND(ISBLANK(A14),ISBLANK(B14),ISBLANK(C14),ISBLANK(E14),ISBLANK(L14)),"",IF(OR(ISBLANK(A14),ISBLANK(B14),ISBLANK(C14),ISBLANK(E14),ISBLANK(L14)),"-",
LOOKUP(B14,'Type de champ'!B:B,'Type de champ'!C:C)))</f>
        <v>Date</v>
      </c>
      <c r="R14" s="63" t="str">
        <f t="shared" si="1"/>
        <v>Tiers</v>
      </c>
    </row>
    <row r="15" spans="1:18" s="73" customFormat="1">
      <c r="A15" s="74" t="s">
        <v>6228</v>
      </c>
      <c r="B15" s="63" t="s">
        <v>4540</v>
      </c>
      <c r="C15" s="63" t="s">
        <v>4996</v>
      </c>
      <c r="D15" s="63" t="s">
        <v>40</v>
      </c>
      <c r="E15" s="63" t="s">
        <v>755</v>
      </c>
      <c r="F15" s="63" t="s">
        <v>42</v>
      </c>
      <c r="G15" s="63" t="s">
        <v>5602</v>
      </c>
      <c r="J15" s="92"/>
      <c r="K15" s="92"/>
      <c r="L15" s="63" t="s">
        <v>5736</v>
      </c>
      <c r="M15" s="75">
        <f>IF(AND(ISBLANK(A15),ISBLANK(B15),ISBLANK(E15),ISBLANK(G15),ISBLANK(L15)),"",IF(OR(ISBLANK(A15),ISBLANK(B15),ISBLANK(E15),ISBLANK(G15),ISBLANK(L15)),"-",LEN(Tableau47[[#This Row],[Code]])))</f>
        <v>19</v>
      </c>
      <c r="N15" s="76" t="str">
        <f>IF(AND(ISBLANK(A15),ISBLANK(B15),ISBLANK(C15),ISBLANK(E15),ISBLANK(L15)),"",IF(OR(ISBLANK(A15),ISBLANK(B15),ISBLANK(C15),ISBLANK(E15),ISBLANK(L15)),"à compléter",
IF(L15="Normal",
LOOKUP(B15,'Type de champ'!B:B,'Type de champ'!A:A)
&amp;IF(COUNTIF('Objets de gestion'!C:C,K15)=0,"","_"&amp;LOOKUP(K15,'Objets de gestion'!C:C,'Objets de gestion'!F:F))
&amp;IF(COUNTIF('Objets de gestion'!C:C,I15)=0,"","_"&amp;LOOKUP(I15,'Objets de gestion'!C:C,'Objets de gestion'!F:F))
&amp;IF(COUNTIF('Objets de gestion'!C:C,G15)=0,"","_"&amp;LOOKUP(G15,'Objets de gestion'!C:C,'Objets de gestion'!F:F))
&amp;IF(COUNTIF('Objets de gestion'!C:C,E15)=0,"","_"&amp;LOOKUP(E15,'Objets de gestion'!C:C,'Objets de gestion'!F:F))
&amp;IF(OR(C15="booléen",COUNTIF('Objets de gestion'!C:C,C15)=0),"","_"&amp;LOOKUP(C15,'Objets de gestion'!C:C,'Objets de gestion'!F:F)),
IF(L15="Forcé",
LOOKUP(B15,'Type de champ'!B:B,'Type de champ'!A:A)
&amp;IF(COUNTIF('Objets de gestion'!C:C,E15)=0,"","_"&amp;LOOKUP(E15,'Objets de gestion'!C:C,'Objets de gestion'!F:F))
&amp;IF(COUNTIF('Objets de gestion'!C:C,G15)=0,"","_"&amp;LOOKUP(G15,'Objets de gestion'!C:C,'Objets de gestion'!F:F))
&amp;IF(COUNTIF('Objets de gestion'!C:C,I15)=0,"","_"&amp;LOOKUP(I15,'Objets de gestion'!C:C,'Objets de gestion'!F:F))
&amp;IF(COUNTIF('Objets de gestion'!C:C,K15)=0,"","_"&amp;LOOKUP(K15,'Objets de gestion'!C:C,'Objets de gestion'!F:F))
&amp;IF(OR(C15="booléen",COUNTIF('Objets de gestion'!C:C,C15)=0),"","_"&amp;LOOKUP(C15,'Objets de gestion'!C:C,'Objets de gestion'!F:F))
))))</f>
        <v>T_ACCMGR_CUS_EDAUID</v>
      </c>
      <c r="O15" s="63" t="str">
        <f t="shared" si="0"/>
        <v xml:space="preserve">Date de fin de l'identifiant unique entre client et chargé de clientèle </v>
      </c>
      <c r="P15" s="63" t="str">
        <f>IF(AND(ISBLANK(A15),ISBLANK(B15),ISBLANK(C15),ISBLANK(E15),ISBLANK(L15)),"",IF(OR(ISBLANK(A15),ISBLANK(B15),ISBLANK(C15),ISBLANK(E15),ISBLANK(L15)),"-",
IF(ISBLANK(C15),"",LOOKUP(C15,'Objets de gestion'!C:C,'Objets de gestion'!E:E))
&amp;IF(ISBLANK(D15),""," "&amp;LOOKUP(D15,Articles!A:A,Articles!B:B))
&amp;IF(ISBLANK(E15),""," "&amp;LOOKUP(E15,'Objets de gestion'!C:C,'Objets de gestion'!E:E))
&amp;IF(ISBLANK(F15),""," "&amp;LOOKUP(F15,Articles!A:A,Articles!B:B))
&amp;IF(ISBLANK(G15),""," "&amp;LOOKUP(G15,'Objets de gestion'!C:C,'Objets de gestion'!E:E))
&amp;IF(ISBLANK(H15),""," "&amp;LOOKUP(H15,Articles!A:A,Articles!B:B))
&amp;IF(ISBLANK(I15),""," "&amp;LOOKUP(I15,'Objets de gestion'!C:C,'Objets de gestion'!E:E))
&amp;IF(ISBLANK(J15),""," "&amp;LOOKUP(J15,Articles!A:A,Articles!B:B))
&amp;IF(ISBLANK(K15),""," "&amp;LOOKUP(K15,'Objets de gestion'!C:C,'Objets de gestion'!E:E))
))</f>
        <v>End date of UID  between customer  and Account Manager</v>
      </c>
      <c r="Q15" s="63" t="str">
        <f>IF(AND(ISBLANK(A15),ISBLANK(B15),ISBLANK(C15),ISBLANK(E15),ISBLANK(L15)),"",IF(OR(ISBLANK(A15),ISBLANK(B15),ISBLANK(C15),ISBLANK(E15),ISBLANK(L15)),"-",
LOOKUP(B15,'Type de champ'!B:B,'Type de champ'!C:C)))</f>
        <v>Date</v>
      </c>
      <c r="R15" s="63" t="str">
        <f t="shared" si="1"/>
        <v>Tiers</v>
      </c>
    </row>
    <row r="16" spans="1:18" ht="21" customHeight="1">
      <c r="A16" s="74" t="s">
        <v>6228</v>
      </c>
      <c r="B16" s="63" t="s">
        <v>4534</v>
      </c>
      <c r="C16" s="63" t="s">
        <v>4534</v>
      </c>
      <c r="D16" s="63" t="s">
        <v>26</v>
      </c>
      <c r="E16" s="63" t="s">
        <v>4587</v>
      </c>
      <c r="F16" s="63" t="s">
        <v>40</v>
      </c>
      <c r="G16" s="63" t="s">
        <v>755</v>
      </c>
      <c r="H16" s="63" t="s">
        <v>42</v>
      </c>
      <c r="I16" s="63" t="s">
        <v>5602</v>
      </c>
      <c r="L16" s="63" t="s">
        <v>5736</v>
      </c>
      <c r="M16" s="75">
        <f>IF(AND(ISBLANK(A16),ISBLANK(B16),ISBLANK(E16),ISBLANK(G16),ISBLANK(L16)),"",IF(OR(ISBLANK(A16),ISBLANK(B16),ISBLANK(E16),ISBLANK(G16),ISBLANK(L16)),"-",LEN(Tableau47[[#This Row],[Code]])))</f>
        <v>16</v>
      </c>
      <c r="N16" s="76" t="str">
        <f>IF(AND(ISBLANK(A16),ISBLANK(B16),ISBLANK(C16),ISBLANK(E16),ISBLANK(L16)),"",IF(OR(ISBLANK(A16),ISBLANK(B16),ISBLANK(C16),ISBLANK(E16),ISBLANK(L16)),"à compléter",
IF(L16="Normal",
LOOKUP(B16,'Type de champ'!B:B,'Type de champ'!A:A)
&amp;IF(COUNTIF('Objets de gestion'!C:C,K16)=0,"","_"&amp;LOOKUP(K16,'Objets de gestion'!C:C,'Objets de gestion'!F:F))
&amp;IF(COUNTIF('Objets de gestion'!C:C,I16)=0,"","_"&amp;LOOKUP(I16,'Objets de gestion'!C:C,'Objets de gestion'!F:F))
&amp;IF(COUNTIF('Objets de gestion'!C:C,G16)=0,"","_"&amp;LOOKUP(G16,'Objets de gestion'!C:C,'Objets de gestion'!F:F))
&amp;IF(COUNTIF('Objets de gestion'!C:C,E16)=0,"","_"&amp;LOOKUP(E16,'Objets de gestion'!C:C,'Objets de gestion'!F:F))
&amp;IF(OR(C16="booléen",COUNTIF('Objets de gestion'!C:C,C16)=0),"","_"&amp;LOOKUP(C16,'Objets de gestion'!C:C,'Objets de gestion'!F:F)),
IF(L16="Forcé",
LOOKUP(B16,'Type de champ'!B:B,'Type de champ'!A:A)
&amp;IF(COUNTIF('Objets de gestion'!C:C,E16)=0,"","_"&amp;LOOKUP(E16,'Objets de gestion'!C:C,'Objets de gestion'!F:F))
&amp;IF(COUNTIF('Objets de gestion'!C:C,G16)=0,"","_"&amp;LOOKUP(G16,'Objets de gestion'!C:C,'Objets de gestion'!F:F))
&amp;IF(COUNTIF('Objets de gestion'!C:C,I16)=0,"","_"&amp;LOOKUP(I16,'Objets de gestion'!C:C,'Objets de gestion'!F:F))
&amp;IF(COUNTIF('Objets de gestion'!C:C,K16)=0,"","_"&amp;LOOKUP(K16,'Objets de gestion'!C:C,'Objets de gestion'!F:F))
&amp;IF(OR(C16="booléen",COUNTIF('Objets de gestion'!C:C,C16)=0),"","_"&amp;LOOKUP(C16,'Objets de gestion'!C:C,'Objets de gestion'!F:F))
))))</f>
        <v>B_ACCMGR_CUS_LTI</v>
      </c>
      <c r="O16" s="63" t="str">
        <f t="shared" si="0"/>
        <v xml:space="preserve">Booléen de dernière image entre client et chargé de clientèle </v>
      </c>
      <c r="P16" s="63" t="str">
        <f>IF(AND(ISBLANK(A16),ISBLANK(B16),ISBLANK(C16),ISBLANK(E16),ISBLANK(L16)),"",IF(OR(ISBLANK(A16),ISBLANK(B16),ISBLANK(C16),ISBLANK(E16),ISBLANK(L16)),"-",
IF(ISBLANK(C16),"",LOOKUP(C16,'Objets de gestion'!C:C,'Objets de gestion'!E:E))
&amp;IF(ISBLANK(D16),""," "&amp;LOOKUP(D16,Articles!A:A,Articles!B:B))
&amp;IF(ISBLANK(E16),""," "&amp;LOOKUP(E16,'Objets de gestion'!C:C,'Objets de gestion'!E:E))
&amp;IF(ISBLANK(F16),""," "&amp;LOOKUP(F16,Articles!A:A,Articles!B:B))
&amp;IF(ISBLANK(G16),""," "&amp;LOOKUP(G16,'Objets de gestion'!C:C,'Objets de gestion'!E:E))
&amp;IF(ISBLANK(H16),""," "&amp;LOOKUP(H16,Articles!A:A,Articles!B:B))
&amp;IF(ISBLANK(I16),""," "&amp;LOOKUP(I16,'Objets de gestion'!C:C,'Objets de gestion'!E:E))
&amp;IF(ISBLANK(J16),""," "&amp;LOOKUP(J16,Articles!A:A,Articles!B:B))
&amp;IF(ISBLANK(K16),""," "&amp;LOOKUP(K16,'Objets de gestion'!C:C,'Objets de gestion'!E:E))
))</f>
        <v>boolean  of the last image  between customer  and Account Manager</v>
      </c>
      <c r="Q16" s="63" t="str">
        <f>IF(AND(ISBLANK(A16),ISBLANK(B16),ISBLANK(C16),ISBLANK(E16),ISBLANK(L16)),"",IF(OR(ISBLANK(A16),ISBLANK(B16),ISBLANK(C16),ISBLANK(E16),ISBLANK(L16)),"-",
LOOKUP(B16,'Type de champ'!B:B,'Type de champ'!C:C)))</f>
        <v>Boolean</v>
      </c>
      <c r="R16" s="63" t="str">
        <f t="shared" si="1"/>
        <v>Tiers</v>
      </c>
    </row>
    <row r="17" spans="1:18">
      <c r="A17" s="74" t="s">
        <v>3881</v>
      </c>
      <c r="B17" s="63" t="s">
        <v>4542</v>
      </c>
      <c r="C17" s="63" t="s">
        <v>783</v>
      </c>
      <c r="D17" s="63" t="s">
        <v>34</v>
      </c>
      <c r="E17" s="63" t="s">
        <v>5602</v>
      </c>
      <c r="L17" s="63" t="s">
        <v>5736</v>
      </c>
      <c r="M17" s="75" t="str">
        <f>IF(AND(ISBLANK(A17),ISBLANK(B17),ISBLANK(E17),ISBLANK(G17),ISBLANK(L17)),"",IF(OR(ISBLANK(A17),ISBLANK(B17),ISBLANK(E17),ISBLANK(G17),ISBLANK(L17)),"-",LEN(Tableau47[[#This Row],[Code]])))</f>
        <v>-</v>
      </c>
      <c r="N17" s="76" t="str">
        <f>IF(AND(ISBLANK(A17),ISBLANK(B17),ISBLANK(C17),ISBLANK(E17),ISBLANK(L17)),"",IF(OR(ISBLANK(A17),ISBLANK(B17),ISBLANK(C17),ISBLANK(E17),ISBLANK(L17)),"à compléter",
IF(L17="Normal",
LOOKUP(B17,'Type de champ'!B:B,'Type de champ'!A:A)
&amp;IF(COUNTIF('Objets de gestion'!C:C,K17)=0,"","_"&amp;LOOKUP(K17,'Objets de gestion'!C:C,'Objets de gestion'!F:F))
&amp;IF(COUNTIF('Objets de gestion'!C:C,I17)=0,"","_"&amp;LOOKUP(I17,'Objets de gestion'!C:C,'Objets de gestion'!F:F))
&amp;IF(COUNTIF('Objets de gestion'!C:C,G17)=0,"","_"&amp;LOOKUP(G17,'Objets de gestion'!C:C,'Objets de gestion'!F:F))
&amp;IF(COUNTIF('Objets de gestion'!C:C,E17)=0,"","_"&amp;LOOKUP(E17,'Objets de gestion'!C:C,'Objets de gestion'!F:F))
&amp;IF(OR(C17="booléen",COUNTIF('Objets de gestion'!C:C,C17)=0),"","_"&amp;LOOKUP(C17,'Objets de gestion'!C:C,'Objets de gestion'!F:F)),
IF(L17="Forcé",
LOOKUP(B17,'Type de champ'!B:B,'Type de champ'!A:A)
&amp;IF(COUNTIF('Objets de gestion'!C:C,E17)=0,"","_"&amp;LOOKUP(E17,'Objets de gestion'!C:C,'Objets de gestion'!F:F))
&amp;IF(COUNTIF('Objets de gestion'!C:C,G17)=0,"","_"&amp;LOOKUP(G17,'Objets de gestion'!C:C,'Objets de gestion'!F:F))
&amp;IF(COUNTIF('Objets de gestion'!C:C,I17)=0,"","_"&amp;LOOKUP(I17,'Objets de gestion'!C:C,'Objets de gestion'!F:F))
&amp;IF(COUNTIF('Objets de gestion'!C:C,K17)=0,"","_"&amp;LOOKUP(K17,'Objets de gestion'!C:C,'Objets de gestion'!F:F))
&amp;IF(OR(C17="booléen",COUNTIF('Objets de gestion'!C:C,C17)=0),"","_"&amp;LOOKUP(C17,'Objets de gestion'!C:C,'Objets de gestion'!F:F))
))))</f>
        <v>X_ACCMGR_SASCOD</v>
      </c>
      <c r="O17" s="63" t="str">
        <f t="shared" si="0"/>
        <v xml:space="preserve">code SAS du chargé de clientèle </v>
      </c>
      <c r="P17" s="63" t="str">
        <f>IF(AND(ISBLANK(A17),ISBLANK(B17),ISBLANK(C17),ISBLANK(E17),ISBLANK(L17)),"",IF(OR(ISBLANK(A17),ISBLANK(B17),ISBLANK(C17),ISBLANK(E17),ISBLANK(L17)),"-",
IF(ISBLANK(C17),"",LOOKUP(C17,'Objets de gestion'!C:C,'Objets de gestion'!E:E))
&amp;IF(ISBLANK(D17),""," "&amp;LOOKUP(D17,Articles!A:A,Articles!B:B))
&amp;IF(ISBLANK(E17),""," "&amp;LOOKUP(E17,'Objets de gestion'!C:C,'Objets de gestion'!E:E))
&amp;IF(ISBLANK(F17),""," "&amp;LOOKUP(F17,Articles!A:A,Articles!B:B))
&amp;IF(ISBLANK(G17),""," "&amp;LOOKUP(G17,'Objets de gestion'!C:C,'Objets de gestion'!E:E))
&amp;IF(ISBLANK(H17),""," "&amp;LOOKUP(H17,Articles!A:A,Articles!B:B))
&amp;IF(ISBLANK(I17),""," "&amp;LOOKUP(I17,'Objets de gestion'!C:C,'Objets de gestion'!E:E))
&amp;IF(ISBLANK(J17),""," "&amp;LOOKUP(J17,Articles!A:A,Articles!B:B))
&amp;IF(ISBLANK(K17),""," "&amp;LOOKUP(K17,'Objets de gestion'!C:C,'Objets de gestion'!E:E))
))</f>
        <v>SAS code  of the Account Manager</v>
      </c>
      <c r="Q17" s="63" t="str">
        <f>IF(AND(ISBLANK(A17),ISBLANK(B17),ISBLANK(C17),ISBLANK(E17),ISBLANK(L17)),"",IF(OR(ISBLANK(A17),ISBLANK(B17),ISBLANK(C17),ISBLANK(E17),ISBLANK(L17)),"-",
LOOKUP(B17,'Type de champ'!B:B,'Type de champ'!C:C)))</f>
        <v>Varchar(??)</v>
      </c>
      <c r="R17" s="63" t="str">
        <f t="shared" si="1"/>
        <v>-</v>
      </c>
    </row>
    <row r="18" spans="1:18">
      <c r="A18" s="74" t="s">
        <v>3881</v>
      </c>
      <c r="B18" s="63" t="s">
        <v>4542</v>
      </c>
      <c r="C18" s="63" t="s">
        <v>768</v>
      </c>
      <c r="D18" s="63" t="s">
        <v>27</v>
      </c>
      <c r="E18" s="63" t="s">
        <v>1581</v>
      </c>
      <c r="F18" s="63" t="s">
        <v>34</v>
      </c>
      <c r="G18" s="63" t="s">
        <v>3881</v>
      </c>
      <c r="L18" s="63" t="s">
        <v>5736</v>
      </c>
      <c r="M18" s="75">
        <f>IF(AND(ISBLANK(A18),ISBLANK(B18),ISBLANK(E18),ISBLANK(G18),ISBLANK(L18)),"",IF(OR(ISBLANK(A18),ISBLANK(B18),ISBLANK(E18),ISBLANK(G18),ISBLANK(L18)),"-",LEN(Tableau47[[#This Row],[Code]])))</f>
        <v>16</v>
      </c>
      <c r="N18" s="76" t="str">
        <f>IF(AND(ISBLANK(A18),ISBLANK(B18),ISBLANK(C18),ISBLANK(E18),ISBLANK(L18)),"",IF(OR(ISBLANK(A18),ISBLANK(B18),ISBLANK(C18),ISBLANK(E18),ISBLANK(L18)),"à compléter",
IF(L18="Normal",
LOOKUP(B18,'Type de champ'!B:B,'Type de champ'!A:A)
&amp;IF(COUNTIF('Objets de gestion'!C:C,K18)=0,"","_"&amp;LOOKUP(K18,'Objets de gestion'!C:C,'Objets de gestion'!F:F))
&amp;IF(COUNTIF('Objets de gestion'!C:C,I18)=0,"","_"&amp;LOOKUP(I18,'Objets de gestion'!C:C,'Objets de gestion'!F:F))
&amp;IF(COUNTIF('Objets de gestion'!C:C,G18)=0,"","_"&amp;LOOKUP(G18,'Objets de gestion'!C:C,'Objets de gestion'!F:F))
&amp;IF(COUNTIF('Objets de gestion'!C:C,E18)=0,"","_"&amp;LOOKUP(E18,'Objets de gestion'!C:C,'Objets de gestion'!F:F))
&amp;IF(OR(C18="booléen",COUNTIF('Objets de gestion'!C:C,C18)=0),"","_"&amp;LOOKUP(C18,'Objets de gestion'!C:C,'Objets de gestion'!F:F)),
IF(L18="Forcé",
LOOKUP(B18,'Type de champ'!B:B,'Type de champ'!A:A)
&amp;IF(COUNTIF('Objets de gestion'!C:C,E18)=0,"","_"&amp;LOOKUP(E18,'Objets de gestion'!C:C,'Objets de gestion'!F:F))
&amp;IF(COUNTIF('Objets de gestion'!C:C,G18)=0,"","_"&amp;LOOKUP(G18,'Objets de gestion'!C:C,'Objets de gestion'!F:F))
&amp;IF(COUNTIF('Objets de gestion'!C:C,I18)=0,"","_"&amp;LOOKUP(I18,'Objets de gestion'!C:C,'Objets de gestion'!F:F))
&amp;IF(COUNTIF('Objets de gestion'!C:C,K18)=0,"","_"&amp;LOOKUP(K18,'Objets de gestion'!C:C,'Objets de gestion'!F:F))
&amp;IF(OR(C18="booléen",COUNTIF('Objets de gestion'!C:C,C18)=0),"","_"&amp;LOOKUP(C18,'Objets de gestion'!C:C,'Objets de gestion'!F:F))
))))</f>
        <v>X_TDP_NTTMGT_COD</v>
      </c>
      <c r="O18" s="63" t="str">
        <f t="shared" si="0"/>
        <v xml:space="preserve">code de l' Entité gestionnaire du tiers </v>
      </c>
      <c r="P18" s="63" t="str">
        <f>IF(AND(ISBLANK(A18),ISBLANK(B18),ISBLANK(C18),ISBLANK(E18),ISBLANK(L18)),"",IF(OR(ISBLANK(A18),ISBLANK(B18),ISBLANK(C18),ISBLANK(E18),ISBLANK(L18)),"-",
IF(ISBLANK(C18),"",LOOKUP(C18,'Objets de gestion'!C:C,'Objets de gestion'!E:E))
&amp;IF(ISBLANK(D18),""," "&amp;LOOKUP(D18,Articles!A:A,Articles!B:B))
&amp;IF(ISBLANK(E18),""," "&amp;LOOKUP(E18,'Objets de gestion'!C:C,'Objets de gestion'!E:E))
&amp;IF(ISBLANK(F18),""," "&amp;LOOKUP(F18,Articles!A:A,Articles!B:B))
&amp;IF(ISBLANK(G18),""," "&amp;LOOKUP(G18,'Objets de gestion'!C:C,'Objets de gestion'!E:E))
&amp;IF(ISBLANK(H18),""," "&amp;LOOKUP(H18,Articles!A:A,Articles!B:B))
&amp;IF(ISBLANK(I18),""," "&amp;LOOKUP(I18,'Objets de gestion'!C:C,'Objets de gestion'!E:E))
&amp;IF(ISBLANK(J18),""," "&amp;LOOKUP(J18,Articles!A:A,Articles!B:B))
&amp;IF(ISBLANK(K18),""," "&amp;LOOKUP(K18,'Objets de gestion'!C:C,'Objets de gestion'!E:E))
))</f>
        <v>code  of the Management Entity  of the third party</v>
      </c>
      <c r="Q18" s="63" t="str">
        <f>IF(AND(ISBLANK(A18),ISBLANK(B18),ISBLANK(C18),ISBLANK(E18),ISBLANK(L18)),"",IF(OR(ISBLANK(A18),ISBLANK(B18),ISBLANK(C18),ISBLANK(E18),ISBLANK(L18)),"-",
LOOKUP(B18,'Type de champ'!B:B,'Type de champ'!C:C)))</f>
        <v>Varchar(??)</v>
      </c>
      <c r="R18" s="63" t="str">
        <f t="shared" si="1"/>
        <v>tiers</v>
      </c>
    </row>
    <row r="19" spans="1:18">
      <c r="A19" s="74" t="s">
        <v>3881</v>
      </c>
      <c r="B19" s="63" t="s">
        <v>4542</v>
      </c>
      <c r="C19" s="63" t="s">
        <v>2047</v>
      </c>
      <c r="D19" s="63" t="s">
        <v>34</v>
      </c>
      <c r="E19" s="63" t="s">
        <v>3881</v>
      </c>
      <c r="L19" s="63" t="s">
        <v>5736</v>
      </c>
      <c r="M19" s="75" t="str">
        <f>IF(AND(ISBLANK(A19),ISBLANK(B19),ISBLANK(E19),ISBLANK(G19),ISBLANK(L19)),"",IF(OR(ISBLANK(A19),ISBLANK(B19),ISBLANK(E19),ISBLANK(G19),ISBLANK(L19)),"-",LEN(Tableau47[[#This Row],[Code]])))</f>
        <v>-</v>
      </c>
      <c r="N19" s="76" t="str">
        <f>IF(AND(ISBLANK(A19),ISBLANK(B19),ISBLANK(C19),ISBLANK(E19),ISBLANK(L19)),"",IF(OR(ISBLANK(A19),ISBLANK(B19),ISBLANK(C19),ISBLANK(E19),ISBLANK(L19)),"à compléter",
IF(L19="Normal",
LOOKUP(B19,'Type de champ'!B:B,'Type de champ'!A:A)
&amp;IF(COUNTIF('Objets de gestion'!C:C,K19)=0,"","_"&amp;LOOKUP(K19,'Objets de gestion'!C:C,'Objets de gestion'!F:F))
&amp;IF(COUNTIF('Objets de gestion'!C:C,I19)=0,"","_"&amp;LOOKUP(I19,'Objets de gestion'!C:C,'Objets de gestion'!F:F))
&amp;IF(COUNTIF('Objets de gestion'!C:C,G19)=0,"","_"&amp;LOOKUP(G19,'Objets de gestion'!C:C,'Objets de gestion'!F:F))
&amp;IF(COUNTIF('Objets de gestion'!C:C,E19)=0,"","_"&amp;LOOKUP(E19,'Objets de gestion'!C:C,'Objets de gestion'!F:F))
&amp;IF(OR(C19="booléen",COUNTIF('Objets de gestion'!C:C,C19)=0),"","_"&amp;LOOKUP(C19,'Objets de gestion'!C:C,'Objets de gestion'!F:F)),
IF(L19="Forcé",
LOOKUP(B19,'Type de champ'!B:B,'Type de champ'!A:A)
&amp;IF(COUNTIF('Objets de gestion'!C:C,E19)=0,"","_"&amp;LOOKUP(E19,'Objets de gestion'!C:C,'Objets de gestion'!F:F))
&amp;IF(COUNTIF('Objets de gestion'!C:C,G19)=0,"","_"&amp;LOOKUP(G19,'Objets de gestion'!C:C,'Objets de gestion'!F:F))
&amp;IF(COUNTIF('Objets de gestion'!C:C,I19)=0,"","_"&amp;LOOKUP(I19,'Objets de gestion'!C:C,'Objets de gestion'!F:F))
&amp;IF(COUNTIF('Objets de gestion'!C:C,K19)=0,"","_"&amp;LOOKUP(K19,'Objets de gestion'!C:C,'Objets de gestion'!F:F))
&amp;IF(OR(C19="booléen",COUNTIF('Objets de gestion'!C:C,C19)=0),"","_"&amp;LOOKUP(C19,'Objets de gestion'!C:C,'Objets de gestion'!F:F))
))))</f>
        <v>X_TDP_FCTIDT</v>
      </c>
      <c r="O19" s="63" t="str">
        <f t="shared" si="0"/>
        <v xml:space="preserve">identifiant fonctionnel du tiers </v>
      </c>
      <c r="P19" s="63" t="str">
        <f>IF(AND(ISBLANK(A19),ISBLANK(B19),ISBLANK(C19),ISBLANK(E19),ISBLANK(L19)),"",IF(OR(ISBLANK(A19),ISBLANK(B19),ISBLANK(C19),ISBLANK(E19),ISBLANK(L19)),"-",
IF(ISBLANK(C19),"",LOOKUP(C19,'Objets de gestion'!C:C,'Objets de gestion'!E:E))
&amp;IF(ISBLANK(D19),""," "&amp;LOOKUP(D19,Articles!A:A,Articles!B:B))
&amp;IF(ISBLANK(E19),""," "&amp;LOOKUP(E19,'Objets de gestion'!C:C,'Objets de gestion'!E:E))
&amp;IF(ISBLANK(F19),""," "&amp;LOOKUP(F19,Articles!A:A,Articles!B:B))
&amp;IF(ISBLANK(G19),""," "&amp;LOOKUP(G19,'Objets de gestion'!C:C,'Objets de gestion'!E:E))
&amp;IF(ISBLANK(H19),""," "&amp;LOOKUP(H19,Articles!A:A,Articles!B:B))
&amp;IF(ISBLANK(I19),""," "&amp;LOOKUP(I19,'Objets de gestion'!C:C,'Objets de gestion'!E:E))
&amp;IF(ISBLANK(J19),""," "&amp;LOOKUP(J19,Articles!A:A,Articles!B:B))
&amp;IF(ISBLANK(K19),""," "&amp;LOOKUP(K19,'Objets de gestion'!C:C,'Objets de gestion'!E:E))
))</f>
        <v>functional identifier  of the third party</v>
      </c>
      <c r="Q19" s="63" t="str">
        <f>IF(AND(ISBLANK(A19),ISBLANK(B19),ISBLANK(C19),ISBLANK(E19),ISBLANK(L19)),"",IF(OR(ISBLANK(A19),ISBLANK(B19),ISBLANK(C19),ISBLANK(E19),ISBLANK(L19)),"-",
LOOKUP(B19,'Type de champ'!B:B,'Type de champ'!C:C)))</f>
        <v>Varchar(??)</v>
      </c>
      <c r="R19" s="63" t="str">
        <f t="shared" si="1"/>
        <v>-</v>
      </c>
    </row>
    <row r="20" spans="1:18">
      <c r="A20" s="74" t="s">
        <v>3881</v>
      </c>
      <c r="B20" s="63" t="s">
        <v>4542</v>
      </c>
      <c r="C20" s="63" t="s">
        <v>768</v>
      </c>
      <c r="D20" s="63" t="s">
        <v>28</v>
      </c>
      <c r="E20" s="63" t="s">
        <v>6221</v>
      </c>
      <c r="F20" s="63" t="s">
        <v>34</v>
      </c>
      <c r="G20" s="63" t="s">
        <v>3881</v>
      </c>
      <c r="L20" s="63" t="s">
        <v>5736</v>
      </c>
      <c r="M20" s="75">
        <f>IF(AND(ISBLANK(A20),ISBLANK(B20),ISBLANK(E20),ISBLANK(G20),ISBLANK(L20)),"",IF(OR(ISBLANK(A20),ISBLANK(B20),ISBLANK(E20),ISBLANK(G20),ISBLANK(L20)),"-",LEN(Tableau47[[#This Row],[Code]])))</f>
        <v>13</v>
      </c>
      <c r="N20" s="76" t="str">
        <f>IF(AND(ISBLANK(A20),ISBLANK(B20),ISBLANK(C20),ISBLANK(E20),ISBLANK(L20)),"",IF(OR(ISBLANK(A20),ISBLANK(B20),ISBLANK(C20),ISBLANK(E20),ISBLANK(L20)),"à compléter",
IF(L20="Normal",
LOOKUP(B20,'Type de champ'!B:B,'Type de champ'!A:A)
&amp;IF(COUNTIF('Objets de gestion'!C:C,K20)=0,"","_"&amp;LOOKUP(K20,'Objets de gestion'!C:C,'Objets de gestion'!F:F))
&amp;IF(COUNTIF('Objets de gestion'!C:C,I20)=0,"","_"&amp;LOOKUP(I20,'Objets de gestion'!C:C,'Objets de gestion'!F:F))
&amp;IF(COUNTIF('Objets de gestion'!C:C,G20)=0,"","_"&amp;LOOKUP(G20,'Objets de gestion'!C:C,'Objets de gestion'!F:F))
&amp;IF(COUNTIF('Objets de gestion'!C:C,E20)=0,"","_"&amp;LOOKUP(E20,'Objets de gestion'!C:C,'Objets de gestion'!F:F))
&amp;IF(OR(C20="booléen",COUNTIF('Objets de gestion'!C:C,C20)=0),"","_"&amp;LOOKUP(C20,'Objets de gestion'!C:C,'Objets de gestion'!F:F)),
IF(L20="Forcé",
LOOKUP(B20,'Type de champ'!B:B,'Type de champ'!A:A)
&amp;IF(COUNTIF('Objets de gestion'!C:C,E20)=0,"","_"&amp;LOOKUP(E20,'Objets de gestion'!C:C,'Objets de gestion'!F:F))
&amp;IF(COUNTIF('Objets de gestion'!C:C,G20)=0,"","_"&amp;LOOKUP(G20,'Objets de gestion'!C:C,'Objets de gestion'!F:F))
&amp;IF(COUNTIF('Objets de gestion'!C:C,I20)=0,"","_"&amp;LOOKUP(I20,'Objets de gestion'!C:C,'Objets de gestion'!F:F))
&amp;IF(COUNTIF('Objets de gestion'!C:C,K20)=0,"","_"&amp;LOOKUP(K20,'Objets de gestion'!C:C,'Objets de gestion'!F:F))
&amp;IF(OR(C20="booléen",COUNTIF('Objets de gestion'!C:C,C20)=0),"","_"&amp;LOOKUP(C20,'Objets de gestion'!C:C,'Objets de gestion'!F:F))
))))</f>
        <v>X_TDP_FED_COD</v>
      </c>
      <c r="O20" s="63" t="str">
        <f t="shared" si="0"/>
        <v xml:space="preserve">code de la fédération du tiers </v>
      </c>
      <c r="P20" s="63" t="str">
        <f>IF(AND(ISBLANK(A20),ISBLANK(B20),ISBLANK(C20),ISBLANK(E20),ISBLANK(L20)),"",IF(OR(ISBLANK(A20),ISBLANK(B20),ISBLANK(C20),ISBLANK(E20),ISBLANK(L20)),"-",
IF(ISBLANK(C20),"",LOOKUP(C20,'Objets de gestion'!C:C,'Objets de gestion'!E:E))
&amp;IF(ISBLANK(D20),""," "&amp;LOOKUP(D20,Articles!A:A,Articles!B:B))
&amp;IF(ISBLANK(E20),""," "&amp;LOOKUP(E20,'Objets de gestion'!C:C,'Objets de gestion'!E:E))
&amp;IF(ISBLANK(F20),""," "&amp;LOOKUP(F20,Articles!A:A,Articles!B:B))
&amp;IF(ISBLANK(G20),""," "&amp;LOOKUP(G20,'Objets de gestion'!C:C,'Objets de gestion'!E:E))
&amp;IF(ISBLANK(H20),""," "&amp;LOOKUP(H20,Articles!A:A,Articles!B:B))
&amp;IF(ISBLANK(I20),""," "&amp;LOOKUP(I20,'Objets de gestion'!C:C,'Objets de gestion'!E:E))
&amp;IF(ISBLANK(J20),""," "&amp;LOOKUP(J20,Articles!A:A,Articles!B:B))
&amp;IF(ISBLANK(K20),""," "&amp;LOOKUP(K20,'Objets de gestion'!C:C,'Objets de gestion'!E:E))
))</f>
        <v>code  of the Federation  of the third party</v>
      </c>
      <c r="Q20" s="63" t="str">
        <f>IF(AND(ISBLANK(A20),ISBLANK(B20),ISBLANK(C20),ISBLANK(E20),ISBLANK(L20)),"",IF(OR(ISBLANK(A20),ISBLANK(B20),ISBLANK(C20),ISBLANK(E20),ISBLANK(L20)),"-",
LOOKUP(B20,'Type de champ'!B:B,'Type de champ'!C:C)))</f>
        <v>Varchar(??)</v>
      </c>
      <c r="R20" s="63" t="str">
        <f t="shared" si="1"/>
        <v>tiers</v>
      </c>
    </row>
    <row r="21" spans="1:18">
      <c r="A21" s="74" t="s">
        <v>3881</v>
      </c>
      <c r="B21" s="63" t="s">
        <v>4542</v>
      </c>
      <c r="C21" s="63" t="s">
        <v>768</v>
      </c>
      <c r="D21" s="63" t="s">
        <v>27</v>
      </c>
      <c r="E21" s="63" t="s">
        <v>1630</v>
      </c>
      <c r="F21" s="63" t="s">
        <v>34</v>
      </c>
      <c r="G21" s="63" t="s">
        <v>3881</v>
      </c>
      <c r="L21" s="63" t="s">
        <v>5736</v>
      </c>
      <c r="M21" s="75">
        <f>IF(AND(ISBLANK(A21),ISBLANK(B21),ISBLANK(E21),ISBLANK(G21),ISBLANK(L21)),"",IF(OR(ISBLANK(A21),ISBLANK(B21),ISBLANK(E21),ISBLANK(G21),ISBLANK(L21)),"-",LEN(Tableau47[[#This Row],[Code]])))</f>
        <v>13</v>
      </c>
      <c r="N21" s="76" t="str">
        <f>IF(AND(ISBLANK(A21),ISBLANK(B21),ISBLANK(C21),ISBLANK(E21),ISBLANK(L21)),"",IF(OR(ISBLANK(A21),ISBLANK(B21),ISBLANK(C21),ISBLANK(E21),ISBLANK(L21)),"à compléter",
IF(L21="Normal",
LOOKUP(B21,'Type de champ'!B:B,'Type de champ'!A:A)
&amp;IF(COUNTIF('Objets de gestion'!C:C,K21)=0,"","_"&amp;LOOKUP(K21,'Objets de gestion'!C:C,'Objets de gestion'!F:F))
&amp;IF(COUNTIF('Objets de gestion'!C:C,I21)=0,"","_"&amp;LOOKUP(I21,'Objets de gestion'!C:C,'Objets de gestion'!F:F))
&amp;IF(COUNTIF('Objets de gestion'!C:C,G21)=0,"","_"&amp;LOOKUP(G21,'Objets de gestion'!C:C,'Objets de gestion'!F:F))
&amp;IF(COUNTIF('Objets de gestion'!C:C,E21)=0,"","_"&amp;LOOKUP(E21,'Objets de gestion'!C:C,'Objets de gestion'!F:F))
&amp;IF(OR(C21="booléen",COUNTIF('Objets de gestion'!C:C,C21)=0),"","_"&amp;LOOKUP(C21,'Objets de gestion'!C:C,'Objets de gestion'!F:F)),
IF(L21="Forcé",
LOOKUP(B21,'Type de champ'!B:B,'Type de champ'!A:A)
&amp;IF(COUNTIF('Objets de gestion'!C:C,E21)=0,"","_"&amp;LOOKUP(E21,'Objets de gestion'!C:C,'Objets de gestion'!F:F))
&amp;IF(COUNTIF('Objets de gestion'!C:C,G21)=0,"","_"&amp;LOOKUP(G21,'Objets de gestion'!C:C,'Objets de gestion'!F:F))
&amp;IF(COUNTIF('Objets de gestion'!C:C,I21)=0,"","_"&amp;LOOKUP(I21,'Objets de gestion'!C:C,'Objets de gestion'!F:F))
&amp;IF(COUNTIF('Objets de gestion'!C:C,K21)=0,"","_"&amp;LOOKUP(K21,'Objets de gestion'!C:C,'Objets de gestion'!F:F))
&amp;IF(OR(C21="booléen",COUNTIF('Objets de gestion'!C:C,C21)=0),"","_"&amp;LOOKUP(C21,'Objets de gestion'!C:C,'Objets de gestion'!F:F))
))))</f>
        <v>X_TDP_EST_COD</v>
      </c>
      <c r="O21" s="63" t="str">
        <f t="shared" si="0"/>
        <v xml:space="preserve">code de l' établissement du tiers </v>
      </c>
      <c r="P21" s="63" t="str">
        <f>IF(AND(ISBLANK(A21),ISBLANK(B21),ISBLANK(C21),ISBLANK(E21),ISBLANK(L21)),"",IF(OR(ISBLANK(A21),ISBLANK(B21),ISBLANK(C21),ISBLANK(E21),ISBLANK(L21)),"-",
IF(ISBLANK(C21),"",LOOKUP(C21,'Objets de gestion'!C:C,'Objets de gestion'!E:E))
&amp;IF(ISBLANK(D21),""," "&amp;LOOKUP(D21,Articles!A:A,Articles!B:B))
&amp;IF(ISBLANK(E21),""," "&amp;LOOKUP(E21,'Objets de gestion'!C:C,'Objets de gestion'!E:E))
&amp;IF(ISBLANK(F21),""," "&amp;LOOKUP(F21,Articles!A:A,Articles!B:B))
&amp;IF(ISBLANK(G21),""," "&amp;LOOKUP(G21,'Objets de gestion'!C:C,'Objets de gestion'!E:E))
&amp;IF(ISBLANK(H21),""," "&amp;LOOKUP(H21,Articles!A:A,Articles!B:B))
&amp;IF(ISBLANK(I21),""," "&amp;LOOKUP(I21,'Objets de gestion'!C:C,'Objets de gestion'!E:E))
&amp;IF(ISBLANK(J21),""," "&amp;LOOKUP(J21,Articles!A:A,Articles!B:B))
&amp;IF(ISBLANK(K21),""," "&amp;LOOKUP(K21,'Objets de gestion'!C:C,'Objets de gestion'!E:E))
))</f>
        <v>code  of the establishment  of the third party</v>
      </c>
      <c r="Q21" s="63" t="str">
        <f>IF(AND(ISBLANK(A21),ISBLANK(B21),ISBLANK(C21),ISBLANK(E21),ISBLANK(L21)),"",IF(OR(ISBLANK(A21),ISBLANK(B21),ISBLANK(C21),ISBLANK(E21),ISBLANK(L21)),"-",
LOOKUP(B21,'Type de champ'!B:B,'Type de champ'!C:C)))</f>
        <v>Varchar(??)</v>
      </c>
      <c r="R21" s="63" t="str">
        <f t="shared" si="1"/>
        <v>tiers</v>
      </c>
    </row>
    <row r="22" spans="1:18">
      <c r="A22" s="74" t="s">
        <v>3881</v>
      </c>
      <c r="B22" s="63" t="s">
        <v>4542</v>
      </c>
      <c r="C22" s="63" t="s">
        <v>768</v>
      </c>
      <c r="D22" s="63" t="s">
        <v>34</v>
      </c>
      <c r="E22" s="63" t="s">
        <v>4612</v>
      </c>
      <c r="F22" s="63" t="s">
        <v>34</v>
      </c>
      <c r="G22" s="63" t="s">
        <v>3881</v>
      </c>
      <c r="L22" s="63" t="s">
        <v>5736</v>
      </c>
      <c r="M22" s="75">
        <f>IF(AND(ISBLANK(A22),ISBLANK(B22),ISBLANK(E22),ISBLANK(G22),ISBLANK(L22)),"",IF(OR(ISBLANK(A22),ISBLANK(B22),ISBLANK(E22),ISBLANK(G22),ISBLANK(L22)),"-",LEN(Tableau47[[#This Row],[Code]])))</f>
        <v>13</v>
      </c>
      <c r="N22" s="76" t="str">
        <f>IF(AND(ISBLANK(A22),ISBLANK(B22),ISBLANK(C22),ISBLANK(E22),ISBLANK(L22)),"",IF(OR(ISBLANK(A22),ISBLANK(B22),ISBLANK(C22),ISBLANK(E22),ISBLANK(L22)),"à compléter",
IF(L22="Normal",
LOOKUP(B22,'Type de champ'!B:B,'Type de champ'!A:A)
&amp;IF(COUNTIF('Objets de gestion'!C:C,K22)=0,"","_"&amp;LOOKUP(K22,'Objets de gestion'!C:C,'Objets de gestion'!F:F))
&amp;IF(COUNTIF('Objets de gestion'!C:C,I22)=0,"","_"&amp;LOOKUP(I22,'Objets de gestion'!C:C,'Objets de gestion'!F:F))
&amp;IF(COUNTIF('Objets de gestion'!C:C,G22)=0,"","_"&amp;LOOKUP(G22,'Objets de gestion'!C:C,'Objets de gestion'!F:F))
&amp;IF(COUNTIF('Objets de gestion'!C:C,E22)=0,"","_"&amp;LOOKUP(E22,'Objets de gestion'!C:C,'Objets de gestion'!F:F))
&amp;IF(OR(C22="booléen",COUNTIF('Objets de gestion'!C:C,C22)=0),"","_"&amp;LOOKUP(C22,'Objets de gestion'!C:C,'Objets de gestion'!F:F)),
IF(L22="Forcé",
LOOKUP(B22,'Type de champ'!B:B,'Type de champ'!A:A)
&amp;IF(COUNTIF('Objets de gestion'!C:C,E22)=0,"","_"&amp;LOOKUP(E22,'Objets de gestion'!C:C,'Objets de gestion'!F:F))
&amp;IF(COUNTIF('Objets de gestion'!C:C,G22)=0,"","_"&amp;LOOKUP(G22,'Objets de gestion'!C:C,'Objets de gestion'!F:F))
&amp;IF(COUNTIF('Objets de gestion'!C:C,I22)=0,"","_"&amp;LOOKUP(I22,'Objets de gestion'!C:C,'Objets de gestion'!F:F))
&amp;IF(COUNTIF('Objets de gestion'!C:C,K22)=0,"","_"&amp;LOOKUP(K22,'Objets de gestion'!C:C,'Objets de gestion'!F:F))
&amp;IF(OR(C22="booléen",COUNTIF('Objets de gestion'!C:C,C22)=0),"","_"&amp;LOOKUP(C22,'Objets de gestion'!C:C,'Objets de gestion'!F:F))
))))</f>
        <v>X_TDP_BRC_COD</v>
      </c>
      <c r="O22" s="63" t="str">
        <f t="shared" si="0"/>
        <v xml:space="preserve">code du guichet du tiers </v>
      </c>
      <c r="P22" s="63" t="str">
        <f>IF(AND(ISBLANK(A22),ISBLANK(B22),ISBLANK(C22),ISBLANK(E22),ISBLANK(L22)),"",IF(OR(ISBLANK(A22),ISBLANK(B22),ISBLANK(C22),ISBLANK(E22),ISBLANK(L22)),"-",
IF(ISBLANK(C22),"",LOOKUP(C22,'Objets de gestion'!C:C,'Objets de gestion'!E:E))
&amp;IF(ISBLANK(D22),""," "&amp;LOOKUP(D22,Articles!A:A,Articles!B:B))
&amp;IF(ISBLANK(E22),""," "&amp;LOOKUP(E22,'Objets de gestion'!C:C,'Objets de gestion'!E:E))
&amp;IF(ISBLANK(F22),""," "&amp;LOOKUP(F22,Articles!A:A,Articles!B:B))
&amp;IF(ISBLANK(G22),""," "&amp;LOOKUP(G22,'Objets de gestion'!C:C,'Objets de gestion'!E:E))
&amp;IF(ISBLANK(H22),""," "&amp;LOOKUP(H22,Articles!A:A,Articles!B:B))
&amp;IF(ISBLANK(I22),""," "&amp;LOOKUP(I22,'Objets de gestion'!C:C,'Objets de gestion'!E:E))
&amp;IF(ISBLANK(J22),""," "&amp;LOOKUP(J22,Articles!A:A,Articles!B:B))
&amp;IF(ISBLANK(K22),""," "&amp;LOOKUP(K22,'Objets de gestion'!C:C,'Objets de gestion'!E:E))
))</f>
        <v>code  of the branches  of the third party</v>
      </c>
      <c r="Q22" s="63" t="str">
        <f>IF(AND(ISBLANK(A22),ISBLANK(B22),ISBLANK(C22),ISBLANK(E22),ISBLANK(L22)),"",IF(OR(ISBLANK(A22),ISBLANK(B22),ISBLANK(C22),ISBLANK(E22),ISBLANK(L22)),"-",
LOOKUP(B22,'Type de champ'!B:B,'Type de champ'!C:C)))</f>
        <v>Varchar(??)</v>
      </c>
      <c r="R22" s="63" t="str">
        <f t="shared" si="1"/>
        <v>tiers</v>
      </c>
    </row>
    <row r="23" spans="1:18">
      <c r="A23" s="74" t="s">
        <v>3881</v>
      </c>
      <c r="B23" s="63" t="s">
        <v>4542</v>
      </c>
      <c r="C23" s="63" t="s">
        <v>768</v>
      </c>
      <c r="D23" s="63" t="s">
        <v>34</v>
      </c>
      <c r="E23" s="63" t="s">
        <v>4567</v>
      </c>
      <c r="F23" s="63" t="s">
        <v>34</v>
      </c>
      <c r="G23" s="63" t="s">
        <v>3881</v>
      </c>
      <c r="L23" s="63" t="s">
        <v>5736</v>
      </c>
      <c r="M23" s="75">
        <f>IF(AND(ISBLANK(A23),ISBLANK(B23),ISBLANK(E23),ISBLANK(G23),ISBLANK(L23)),"",IF(OR(ISBLANK(A23),ISBLANK(B23),ISBLANK(E23),ISBLANK(G23),ISBLANK(L23)),"-",LEN(Tableau47[[#This Row],[Code]])))</f>
        <v>13</v>
      </c>
      <c r="N23" s="76" t="str">
        <f>IF(AND(ISBLANK(A23),ISBLANK(B23),ISBLANK(C23),ISBLANK(E23),ISBLANK(L23)),"",IF(OR(ISBLANK(A23),ISBLANK(B23),ISBLANK(C23),ISBLANK(E23),ISBLANK(L23)),"à compléter",
IF(L23="Normal",
LOOKUP(B23,'Type de champ'!B:B,'Type de champ'!A:A)
&amp;IF(COUNTIF('Objets de gestion'!C:C,K23)=0,"","_"&amp;LOOKUP(K23,'Objets de gestion'!C:C,'Objets de gestion'!F:F))
&amp;IF(COUNTIF('Objets de gestion'!C:C,I23)=0,"","_"&amp;LOOKUP(I23,'Objets de gestion'!C:C,'Objets de gestion'!F:F))
&amp;IF(COUNTIF('Objets de gestion'!C:C,G23)=0,"","_"&amp;LOOKUP(G23,'Objets de gestion'!C:C,'Objets de gestion'!F:F))
&amp;IF(COUNTIF('Objets de gestion'!C:C,E23)=0,"","_"&amp;LOOKUP(E23,'Objets de gestion'!C:C,'Objets de gestion'!F:F))
&amp;IF(OR(C23="booléen",COUNTIF('Objets de gestion'!C:C,C23)=0),"","_"&amp;LOOKUP(C23,'Objets de gestion'!C:C,'Objets de gestion'!F:F)),
IF(L23="Forcé",
LOOKUP(B23,'Type de champ'!B:B,'Type de champ'!A:A)
&amp;IF(COUNTIF('Objets de gestion'!C:C,E23)=0,"","_"&amp;LOOKUP(E23,'Objets de gestion'!C:C,'Objets de gestion'!F:F))
&amp;IF(COUNTIF('Objets de gestion'!C:C,G23)=0,"","_"&amp;LOOKUP(G23,'Objets de gestion'!C:C,'Objets de gestion'!F:F))
&amp;IF(COUNTIF('Objets de gestion'!C:C,I23)=0,"","_"&amp;LOOKUP(I23,'Objets de gestion'!C:C,'Objets de gestion'!F:F))
&amp;IF(COUNTIF('Objets de gestion'!C:C,K23)=0,"","_"&amp;LOOKUP(K23,'Objets de gestion'!C:C,'Objets de gestion'!F:F))
&amp;IF(OR(C23="booléen",COUNTIF('Objets de gestion'!C:C,C23)=0),"","_"&amp;LOOKUP(C23,'Objets de gestion'!C:C,'Objets de gestion'!F:F))
))))</f>
        <v>X_TDP_OFC_COD</v>
      </c>
      <c r="O23" s="63" t="str">
        <f t="shared" si="0"/>
        <v xml:space="preserve">code du bureau du tiers </v>
      </c>
      <c r="P23" s="63" t="str">
        <f>IF(AND(ISBLANK(A23),ISBLANK(B23),ISBLANK(C23),ISBLANK(E23),ISBLANK(L23)),"",IF(OR(ISBLANK(A23),ISBLANK(B23),ISBLANK(C23),ISBLANK(E23),ISBLANK(L23)),"-",
IF(ISBLANK(C23),"",LOOKUP(C23,'Objets de gestion'!C:C,'Objets de gestion'!E:E))
&amp;IF(ISBLANK(D23),""," "&amp;LOOKUP(D23,Articles!A:A,Articles!B:B))
&amp;IF(ISBLANK(E23),""," "&amp;LOOKUP(E23,'Objets de gestion'!C:C,'Objets de gestion'!E:E))
&amp;IF(ISBLANK(F23),""," "&amp;LOOKUP(F23,Articles!A:A,Articles!B:B))
&amp;IF(ISBLANK(G23),""," "&amp;LOOKUP(G23,'Objets de gestion'!C:C,'Objets de gestion'!E:E))
&amp;IF(ISBLANK(H23),""," "&amp;LOOKUP(H23,Articles!A:A,Articles!B:B))
&amp;IF(ISBLANK(I23),""," "&amp;LOOKUP(I23,'Objets de gestion'!C:C,'Objets de gestion'!E:E))
&amp;IF(ISBLANK(J23),""," "&amp;LOOKUP(J23,Articles!A:A,Articles!B:B))
&amp;IF(ISBLANK(K23),""," "&amp;LOOKUP(K23,'Objets de gestion'!C:C,'Objets de gestion'!E:E))
))</f>
        <v>code  of the office  of the third party</v>
      </c>
      <c r="Q23" s="63" t="str">
        <f>IF(AND(ISBLANK(A23),ISBLANK(B23),ISBLANK(C23),ISBLANK(E23),ISBLANK(L23)),"",IF(OR(ISBLANK(A23),ISBLANK(B23),ISBLANK(C23),ISBLANK(E23),ISBLANK(L23)),"-",
LOOKUP(B23,'Type de champ'!B:B,'Type de champ'!C:C)))</f>
        <v>Varchar(??)</v>
      </c>
      <c r="R23" s="63" t="str">
        <f t="shared" si="1"/>
        <v>tiers</v>
      </c>
    </row>
    <row r="24" spans="1:18">
      <c r="A24" s="74" t="s">
        <v>3881</v>
      </c>
      <c r="B24" s="63" t="s">
        <v>4542</v>
      </c>
      <c r="C24" s="63" t="s">
        <v>768</v>
      </c>
      <c r="D24" s="63" t="s">
        <v>34</v>
      </c>
      <c r="E24" s="63" t="s">
        <v>2879</v>
      </c>
      <c r="F24" s="63" t="s">
        <v>26</v>
      </c>
      <c r="G24" s="63" t="s">
        <v>4676</v>
      </c>
      <c r="L24" s="63" t="s">
        <v>5736</v>
      </c>
      <c r="M24" s="75">
        <f>IF(AND(ISBLANK(A24),ISBLANK(B24),ISBLANK(E24),ISBLANK(G24),ISBLANK(L24)),"",IF(OR(ISBLANK(A24),ISBLANK(B24),ISBLANK(E24),ISBLANK(G24),ISBLANK(L24)),"-",LEN(Tableau47[[#This Row],[Code]])))</f>
        <v>13</v>
      </c>
      <c r="N24" s="76" t="str">
        <f>IF(AND(ISBLANK(A24),ISBLANK(B24),ISBLANK(C24),ISBLANK(E24),ISBLANK(L24)),"",IF(OR(ISBLANK(A24),ISBLANK(B24),ISBLANK(C24),ISBLANK(E24),ISBLANK(L24)),"à compléter",
IF(L24="Normal",
LOOKUP(B24,'Type de champ'!B:B,'Type de champ'!A:A)
&amp;IF(COUNTIF('Objets de gestion'!C:C,K24)=0,"","_"&amp;LOOKUP(K24,'Objets de gestion'!C:C,'Objets de gestion'!F:F))
&amp;IF(COUNTIF('Objets de gestion'!C:C,I24)=0,"","_"&amp;LOOKUP(I24,'Objets de gestion'!C:C,'Objets de gestion'!F:F))
&amp;IF(COUNTIF('Objets de gestion'!C:C,G24)=0,"","_"&amp;LOOKUP(G24,'Objets de gestion'!C:C,'Objets de gestion'!F:F))
&amp;IF(COUNTIF('Objets de gestion'!C:C,E24)=0,"","_"&amp;LOOKUP(E24,'Objets de gestion'!C:C,'Objets de gestion'!F:F))
&amp;IF(OR(C24="booléen",COUNTIF('Objets de gestion'!C:C,C24)=0),"","_"&amp;LOOKUP(C24,'Objets de gestion'!C:C,'Objets de gestion'!F:F)),
IF(L24="Forcé",
LOOKUP(B24,'Type de champ'!B:B,'Type de champ'!A:A)
&amp;IF(COUNTIF('Objets de gestion'!C:C,E24)=0,"","_"&amp;LOOKUP(E24,'Objets de gestion'!C:C,'Objets de gestion'!F:F))
&amp;IF(COUNTIF('Objets de gestion'!C:C,G24)=0,"","_"&amp;LOOKUP(G24,'Objets de gestion'!C:C,'Objets de gestion'!F:F))
&amp;IF(COUNTIF('Objets de gestion'!C:C,I24)=0,"","_"&amp;LOOKUP(I24,'Objets de gestion'!C:C,'Objets de gestion'!F:F))
&amp;IF(COUNTIF('Objets de gestion'!C:C,K24)=0,"","_"&amp;LOOKUP(K24,'Objets de gestion'!C:C,'Objets de gestion'!F:F))
&amp;IF(OR(C24="booléen",COUNTIF('Objets de gestion'!C:C,C24)=0),"","_"&amp;LOOKUP(C24,'Objets de gestion'!C:C,'Objets de gestion'!F:F))
))))</f>
        <v>X_ATT_PTF_COD</v>
      </c>
      <c r="O24" s="63" t="str">
        <f t="shared" si="0"/>
        <v xml:space="preserve">code du portefeuille de rattachement </v>
      </c>
      <c r="P24" s="63" t="str">
        <f>IF(AND(ISBLANK(A24),ISBLANK(B24),ISBLANK(C24),ISBLANK(E24),ISBLANK(L24)),"",IF(OR(ISBLANK(A24),ISBLANK(B24),ISBLANK(C24),ISBLANK(E24),ISBLANK(L24)),"-",
IF(ISBLANK(C24),"",LOOKUP(C24,'Objets de gestion'!C:C,'Objets de gestion'!E:E))
&amp;IF(ISBLANK(D24),""," "&amp;LOOKUP(D24,Articles!A:A,Articles!B:B))
&amp;IF(ISBLANK(E24),""," "&amp;LOOKUP(E24,'Objets de gestion'!C:C,'Objets de gestion'!E:E))
&amp;IF(ISBLANK(F24),""," "&amp;LOOKUP(F24,Articles!A:A,Articles!B:B))
&amp;IF(ISBLANK(G24),""," "&amp;LOOKUP(G24,'Objets de gestion'!C:C,'Objets de gestion'!E:E))
&amp;IF(ISBLANK(H24),""," "&amp;LOOKUP(H24,Articles!A:A,Articles!B:B))
&amp;IF(ISBLANK(I24),""," "&amp;LOOKUP(I24,'Objets de gestion'!C:C,'Objets de gestion'!E:E))
&amp;IF(ISBLANK(J24),""," "&amp;LOOKUP(J24,Articles!A:A,Articles!B:B))
&amp;IF(ISBLANK(K24),""," "&amp;LOOKUP(K24,'Objets de gestion'!C:C,'Objets de gestion'!E:E))
))</f>
        <v>code  of the portfolio  of the attachment</v>
      </c>
      <c r="Q24" s="63" t="str">
        <f>IF(AND(ISBLANK(A24),ISBLANK(B24),ISBLANK(C24),ISBLANK(E24),ISBLANK(L24)),"",IF(OR(ISBLANK(A24),ISBLANK(B24),ISBLANK(C24),ISBLANK(E24),ISBLANK(L24)),"-",
LOOKUP(B24,'Type de champ'!B:B,'Type de champ'!C:C)))</f>
        <v>Varchar(??)</v>
      </c>
      <c r="R24" s="63" t="str">
        <f t="shared" si="1"/>
        <v>tiers</v>
      </c>
    </row>
    <row r="25" spans="1:18">
      <c r="A25" s="74" t="s">
        <v>3881</v>
      </c>
      <c r="B25" s="63" t="s">
        <v>4542</v>
      </c>
      <c r="C25" s="63" t="s">
        <v>5083</v>
      </c>
      <c r="D25" s="63" t="s">
        <v>34</v>
      </c>
      <c r="E25" s="63" t="s">
        <v>2879</v>
      </c>
      <c r="F25" s="63" t="s">
        <v>26</v>
      </c>
      <c r="G25" s="63" t="s">
        <v>4676</v>
      </c>
      <c r="L25" s="63" t="s">
        <v>5736</v>
      </c>
      <c r="M25" s="75">
        <f>IF(AND(ISBLANK(A25),ISBLANK(B25),ISBLANK(E25),ISBLANK(G25),ISBLANK(L25)),"",IF(OR(ISBLANK(A25),ISBLANK(B25),ISBLANK(E25),ISBLANK(G25),ISBLANK(L25)),"-",LEN(Tableau47[[#This Row],[Code]])))</f>
        <v>13</v>
      </c>
      <c r="N25" s="76" t="str">
        <f>IF(AND(ISBLANK(A25),ISBLANK(B25),ISBLANK(C25),ISBLANK(E25),ISBLANK(L25)),"",IF(OR(ISBLANK(A25),ISBLANK(B25),ISBLANK(C25),ISBLANK(E25),ISBLANK(L25)),"à compléter",
IF(L25="Normal",
LOOKUP(B25,'Type de champ'!B:B,'Type de champ'!A:A)
&amp;IF(COUNTIF('Objets de gestion'!C:C,K25)=0,"","_"&amp;LOOKUP(K25,'Objets de gestion'!C:C,'Objets de gestion'!F:F))
&amp;IF(COUNTIF('Objets de gestion'!C:C,I25)=0,"","_"&amp;LOOKUP(I25,'Objets de gestion'!C:C,'Objets de gestion'!F:F))
&amp;IF(COUNTIF('Objets de gestion'!C:C,G25)=0,"","_"&amp;LOOKUP(G25,'Objets de gestion'!C:C,'Objets de gestion'!F:F))
&amp;IF(COUNTIF('Objets de gestion'!C:C,E25)=0,"","_"&amp;LOOKUP(E25,'Objets de gestion'!C:C,'Objets de gestion'!F:F))
&amp;IF(OR(C25="booléen",COUNTIF('Objets de gestion'!C:C,C25)=0),"","_"&amp;LOOKUP(C25,'Objets de gestion'!C:C,'Objets de gestion'!F:F)),
IF(L25="Forcé",
LOOKUP(B25,'Type de champ'!B:B,'Type de champ'!A:A)
&amp;IF(COUNTIF('Objets de gestion'!C:C,E25)=0,"","_"&amp;LOOKUP(E25,'Objets de gestion'!C:C,'Objets de gestion'!F:F))
&amp;IF(COUNTIF('Objets de gestion'!C:C,G25)=0,"","_"&amp;LOOKUP(G25,'Objets de gestion'!C:C,'Objets de gestion'!F:F))
&amp;IF(COUNTIF('Objets de gestion'!C:C,I25)=0,"","_"&amp;LOOKUP(I25,'Objets de gestion'!C:C,'Objets de gestion'!F:F))
&amp;IF(COUNTIF('Objets de gestion'!C:C,K25)=0,"","_"&amp;LOOKUP(K25,'Objets de gestion'!C:C,'Objets de gestion'!F:F))
&amp;IF(OR(C25="booléen",COUNTIF('Objets de gestion'!C:C,C25)=0),"","_"&amp;LOOKUP(C25,'Objets de gestion'!C:C,'Objets de gestion'!F:F))
))))</f>
        <v>X_ATT_PTF_WRD</v>
      </c>
      <c r="O25" s="63" t="str">
        <f t="shared" si="0"/>
        <v xml:space="preserve">Libellé du portefeuille de rattachement </v>
      </c>
      <c r="P25" s="63" t="str">
        <f>IF(AND(ISBLANK(A25),ISBLANK(B25),ISBLANK(C25),ISBLANK(E25),ISBLANK(L25)),"",IF(OR(ISBLANK(A25),ISBLANK(B25),ISBLANK(C25),ISBLANK(E25),ISBLANK(L25)),"-",
IF(ISBLANK(C25),"",LOOKUP(C25,'Objets de gestion'!C:C,'Objets de gestion'!E:E))
&amp;IF(ISBLANK(D25),""," "&amp;LOOKUP(D25,Articles!A:A,Articles!B:B))
&amp;IF(ISBLANK(E25),""," "&amp;LOOKUP(E25,'Objets de gestion'!C:C,'Objets de gestion'!E:E))
&amp;IF(ISBLANK(F25),""," "&amp;LOOKUP(F25,Articles!A:A,Articles!B:B))
&amp;IF(ISBLANK(G25),""," "&amp;LOOKUP(G25,'Objets de gestion'!C:C,'Objets de gestion'!E:E))
&amp;IF(ISBLANK(H25),""," "&amp;LOOKUP(H25,Articles!A:A,Articles!B:B))
&amp;IF(ISBLANK(I25),""," "&amp;LOOKUP(I25,'Objets de gestion'!C:C,'Objets de gestion'!E:E))
&amp;IF(ISBLANK(J25),""," "&amp;LOOKUP(J25,Articles!A:A,Articles!B:B))
&amp;IF(ISBLANK(K25),""," "&amp;LOOKUP(K25,'Objets de gestion'!C:C,'Objets de gestion'!E:E))
))</f>
        <v>Wording  of the portfolio  of the attachment</v>
      </c>
      <c r="Q25" s="63" t="str">
        <f>IF(AND(ISBLANK(A25),ISBLANK(B25),ISBLANK(C25),ISBLANK(E25),ISBLANK(L25)),"",IF(OR(ISBLANK(A25),ISBLANK(B25),ISBLANK(C25),ISBLANK(E25),ISBLANK(L25)),"-",
LOOKUP(B25,'Type de champ'!B:B,'Type de champ'!C:C)))</f>
        <v>Varchar(??)</v>
      </c>
      <c r="R25" s="63" t="str">
        <f t="shared" si="1"/>
        <v>tiers</v>
      </c>
    </row>
    <row r="26" spans="1:18">
      <c r="A26" s="74" t="s">
        <v>3881</v>
      </c>
      <c r="B26" s="63" t="s">
        <v>4542</v>
      </c>
      <c r="C26" s="63" t="s">
        <v>5785</v>
      </c>
      <c r="D26" s="63" t="s">
        <v>26</v>
      </c>
      <c r="E26" s="63" t="s">
        <v>4676</v>
      </c>
      <c r="F26" s="63" t="s">
        <v>34</v>
      </c>
      <c r="G26" s="63" t="s">
        <v>3881</v>
      </c>
      <c r="H26" s="63" t="s">
        <v>12</v>
      </c>
      <c r="I26" s="63" t="s">
        <v>2879</v>
      </c>
      <c r="L26" s="63" t="s">
        <v>5736</v>
      </c>
      <c r="M26" s="75">
        <f>IF(AND(ISBLANK(A26),ISBLANK(B26),ISBLANK(E26),ISBLANK(G26),ISBLANK(L26)),"",IF(OR(ISBLANK(A26),ISBLANK(B26),ISBLANK(E26),ISBLANK(G26),ISBLANK(L26)),"-",LEN(Tableau47[[#This Row],[Code]])))</f>
        <v>17</v>
      </c>
      <c r="N26" s="76" t="str">
        <f>IF(AND(ISBLANK(A26),ISBLANK(B26),ISBLANK(C26),ISBLANK(E26),ISBLANK(L26)),"",IF(OR(ISBLANK(A26),ISBLANK(B26),ISBLANK(C26),ISBLANK(E26),ISBLANK(L26)),"à compléter",
IF(L26="Normal",
LOOKUP(B26,'Type de champ'!B:B,'Type de champ'!A:A)
&amp;IF(COUNTIF('Objets de gestion'!C:C,K26)=0,"","_"&amp;LOOKUP(K26,'Objets de gestion'!C:C,'Objets de gestion'!F:F))
&amp;IF(COUNTIF('Objets de gestion'!C:C,I26)=0,"","_"&amp;LOOKUP(I26,'Objets de gestion'!C:C,'Objets de gestion'!F:F))
&amp;IF(COUNTIF('Objets de gestion'!C:C,G26)=0,"","_"&amp;LOOKUP(G26,'Objets de gestion'!C:C,'Objets de gestion'!F:F))
&amp;IF(COUNTIF('Objets de gestion'!C:C,E26)=0,"","_"&amp;LOOKUP(E26,'Objets de gestion'!C:C,'Objets de gestion'!F:F))
&amp;IF(OR(C26="booléen",COUNTIF('Objets de gestion'!C:C,C26)=0),"","_"&amp;LOOKUP(C26,'Objets de gestion'!C:C,'Objets de gestion'!F:F)),
IF(L26="Forcé",
LOOKUP(B26,'Type de champ'!B:B,'Type de champ'!A:A)
&amp;IF(COUNTIF('Objets de gestion'!C:C,E26)=0,"","_"&amp;LOOKUP(E26,'Objets de gestion'!C:C,'Objets de gestion'!F:F))
&amp;IF(COUNTIF('Objets de gestion'!C:C,G26)=0,"","_"&amp;LOOKUP(G26,'Objets de gestion'!C:C,'Objets de gestion'!F:F))
&amp;IF(COUNTIF('Objets de gestion'!C:C,I26)=0,"","_"&amp;LOOKUP(I26,'Objets de gestion'!C:C,'Objets de gestion'!F:F))
&amp;IF(COUNTIF('Objets de gestion'!C:C,K26)=0,"","_"&amp;LOOKUP(K26,'Objets de gestion'!C:C,'Objets de gestion'!F:F))
&amp;IF(OR(C26="booléen",COUNTIF('Objets de gestion'!C:C,C26)=0),"","_"&amp;LOOKUP(C26,'Objets de gestion'!C:C,'Objets de gestion'!F:F))
))))</f>
        <v>X_PTF_TDP_ATT_TYP</v>
      </c>
      <c r="O26" s="63" t="str">
        <f t="shared" si="0"/>
        <v xml:space="preserve">type de rattachement du tiers au portefeuille </v>
      </c>
      <c r="P26" s="63" t="str">
        <f>IF(AND(ISBLANK(A26),ISBLANK(B26),ISBLANK(C26),ISBLANK(E26),ISBLANK(L26)),"",IF(OR(ISBLANK(A26),ISBLANK(B26),ISBLANK(C26),ISBLANK(E26),ISBLANK(L26)),"-",
IF(ISBLANK(C26),"",LOOKUP(C26,'Objets de gestion'!C:C,'Objets de gestion'!E:E))
&amp;IF(ISBLANK(D26),""," "&amp;LOOKUP(D26,Articles!A:A,Articles!B:B))
&amp;IF(ISBLANK(E26),""," "&amp;LOOKUP(E26,'Objets de gestion'!C:C,'Objets de gestion'!E:E))
&amp;IF(ISBLANK(F26),""," "&amp;LOOKUP(F26,Articles!A:A,Articles!B:B))
&amp;IF(ISBLANK(G26),""," "&amp;LOOKUP(G26,'Objets de gestion'!C:C,'Objets de gestion'!E:E))
&amp;IF(ISBLANK(H26),""," "&amp;LOOKUP(H26,Articles!A:A,Articles!B:B))
&amp;IF(ISBLANK(I26),""," "&amp;LOOKUP(I26,'Objets de gestion'!C:C,'Objets de gestion'!E:E))
&amp;IF(ISBLANK(J26),""," "&amp;LOOKUP(J26,Articles!A:A,Articles!B:B))
&amp;IF(ISBLANK(K26),""," "&amp;LOOKUP(K26,'Objets de gestion'!C:C,'Objets de gestion'!E:E))
))</f>
        <v>Type  of the attachment  of the third party  to portfolio</v>
      </c>
      <c r="Q26" s="63" t="str">
        <f>IF(AND(ISBLANK(A26),ISBLANK(B26),ISBLANK(C26),ISBLANK(E26),ISBLANK(L26)),"",IF(OR(ISBLANK(A26),ISBLANK(B26),ISBLANK(C26),ISBLANK(E26),ISBLANK(L26)),"-",
LOOKUP(B26,'Type de champ'!B:B,'Type de champ'!C:C)))</f>
        <v>Varchar(??)</v>
      </c>
      <c r="R26" s="63" t="str">
        <f t="shared" si="1"/>
        <v>tiers</v>
      </c>
    </row>
    <row r="27" spans="1:18">
      <c r="A27" s="74" t="s">
        <v>3881</v>
      </c>
      <c r="B27" s="63" t="s">
        <v>4542</v>
      </c>
      <c r="C27" s="63" t="s">
        <v>768</v>
      </c>
      <c r="D27" s="63" t="s">
        <v>34</v>
      </c>
      <c r="E27" s="63" t="s">
        <v>4037</v>
      </c>
      <c r="F27" s="63" t="s">
        <v>26</v>
      </c>
      <c r="G27" s="63" t="s">
        <v>4676</v>
      </c>
      <c r="H27" s="63" t="s">
        <v>34</v>
      </c>
      <c r="I27" s="63" t="s">
        <v>3881</v>
      </c>
      <c r="J27" s="63" t="s">
        <v>12</v>
      </c>
      <c r="K27" s="63" t="s">
        <v>2879</v>
      </c>
      <c r="L27" s="63" t="s">
        <v>5736</v>
      </c>
      <c r="M27" s="75">
        <f>IF(AND(ISBLANK(A27),ISBLANK(B27),ISBLANK(E27),ISBLANK(G27),ISBLANK(L27)),"",IF(OR(ISBLANK(A27),ISBLANK(B27),ISBLANK(E27),ISBLANK(G27),ISBLANK(L27)),"-",LEN(Tableau47[[#This Row],[Code]])))</f>
        <v>24</v>
      </c>
      <c r="N27" s="76" t="str">
        <f>IF(AND(ISBLANK(A27),ISBLANK(B27),ISBLANK(C27),ISBLANK(E27),ISBLANK(L27)),"",IF(OR(ISBLANK(A27),ISBLANK(B27),ISBLANK(C27),ISBLANK(E27),ISBLANK(L27)),"à compléter",
IF(L27="Normal",
LOOKUP(B27,'Type de champ'!B:B,'Type de champ'!A:A)
&amp;IF(COUNTIF('Objets de gestion'!C:C,K27)=0,"","_"&amp;LOOKUP(K27,'Objets de gestion'!C:C,'Objets de gestion'!F:F))
&amp;IF(COUNTIF('Objets de gestion'!C:C,I27)=0,"","_"&amp;LOOKUP(I27,'Objets de gestion'!C:C,'Objets de gestion'!F:F))
&amp;IF(COUNTIF('Objets de gestion'!C:C,G27)=0,"","_"&amp;LOOKUP(G27,'Objets de gestion'!C:C,'Objets de gestion'!F:F))
&amp;IF(COUNTIF('Objets de gestion'!C:C,E27)=0,"","_"&amp;LOOKUP(E27,'Objets de gestion'!C:C,'Objets de gestion'!F:F))
&amp;IF(OR(C27="booléen",COUNTIF('Objets de gestion'!C:C,C27)=0),"","_"&amp;LOOKUP(C27,'Objets de gestion'!C:C,'Objets de gestion'!F:F)),
IF(L27="Forcé",
LOOKUP(B27,'Type de champ'!B:B,'Type de champ'!A:A)
&amp;IF(COUNTIF('Objets de gestion'!C:C,E27)=0,"","_"&amp;LOOKUP(E27,'Objets de gestion'!C:C,'Objets de gestion'!F:F))
&amp;IF(COUNTIF('Objets de gestion'!C:C,G27)=0,"","_"&amp;LOOKUP(G27,'Objets de gestion'!C:C,'Objets de gestion'!F:F))
&amp;IF(COUNTIF('Objets de gestion'!C:C,I27)=0,"","_"&amp;LOOKUP(I27,'Objets de gestion'!C:C,'Objets de gestion'!F:F))
&amp;IF(COUNTIF('Objets de gestion'!C:C,K27)=0,"","_"&amp;LOOKUP(K27,'Objets de gestion'!C:C,'Objets de gestion'!F:F))
&amp;IF(OR(C27="booléen",COUNTIF('Objets de gestion'!C:C,C27)=0),"","_"&amp;LOOKUP(C27,'Objets de gestion'!C:C,'Objets de gestion'!F:F))
))))</f>
        <v>X_PTF_TDP_ATT_STRTYP_COD</v>
      </c>
      <c r="O27" s="63" t="str">
        <f t="shared" si="0"/>
        <v xml:space="preserve">code du type de structure de rattachement du tiers au portefeuille </v>
      </c>
      <c r="P27" s="63" t="str">
        <f>IF(AND(ISBLANK(A27),ISBLANK(B27),ISBLANK(C27),ISBLANK(E27),ISBLANK(L27)),"",IF(OR(ISBLANK(A27),ISBLANK(B27),ISBLANK(C27),ISBLANK(E27),ISBLANK(L27)),"-",
IF(ISBLANK(C27),"",LOOKUP(C27,'Objets de gestion'!C:C,'Objets de gestion'!E:E))
&amp;IF(ISBLANK(D27),""," "&amp;LOOKUP(D27,Articles!A:A,Articles!B:B))
&amp;IF(ISBLANK(E27),""," "&amp;LOOKUP(E27,'Objets de gestion'!C:C,'Objets de gestion'!E:E))
&amp;IF(ISBLANK(F27),""," "&amp;LOOKUP(F27,Articles!A:A,Articles!B:B))
&amp;IF(ISBLANK(G27),""," "&amp;LOOKUP(G27,'Objets de gestion'!C:C,'Objets de gestion'!E:E))
&amp;IF(ISBLANK(H27),""," "&amp;LOOKUP(H27,Articles!A:A,Articles!B:B))
&amp;IF(ISBLANK(I27),""," "&amp;LOOKUP(I27,'Objets de gestion'!C:C,'Objets de gestion'!E:E))
&amp;IF(ISBLANK(J27),""," "&amp;LOOKUP(J27,Articles!A:A,Articles!B:B))
&amp;IF(ISBLANK(K27),""," "&amp;LOOKUP(K27,'Objets de gestion'!C:C,'Objets de gestion'!E:E))
))</f>
        <v>code  of the structure type  of the attachment  of the third party  to portfolio</v>
      </c>
      <c r="Q27" s="63" t="str">
        <f>IF(AND(ISBLANK(A27),ISBLANK(B27),ISBLANK(C27),ISBLANK(E27),ISBLANK(L27)),"",IF(OR(ISBLANK(A27),ISBLANK(B27),ISBLANK(C27),ISBLANK(E27),ISBLANK(L27)),"-",
LOOKUP(B27,'Type de champ'!B:B,'Type de champ'!C:C)))</f>
        <v>Varchar(??)</v>
      </c>
      <c r="R27" s="63" t="str">
        <f t="shared" si="1"/>
        <v>tiers</v>
      </c>
    </row>
    <row r="28" spans="1:18">
      <c r="A28" s="74" t="s">
        <v>3881</v>
      </c>
      <c r="B28" s="63" t="s">
        <v>4540</v>
      </c>
      <c r="C28" s="63" t="s">
        <v>4996</v>
      </c>
      <c r="D28" s="63" t="s">
        <v>34</v>
      </c>
      <c r="E28" s="63" t="s">
        <v>2219</v>
      </c>
      <c r="F28" s="63" t="s">
        <v>40</v>
      </c>
      <c r="G28" s="63" t="s">
        <v>3881</v>
      </c>
      <c r="H28" s="63" t="s">
        <v>42</v>
      </c>
      <c r="I28" s="63" t="s">
        <v>5602</v>
      </c>
      <c r="L28" s="63" t="s">
        <v>5736</v>
      </c>
      <c r="M28" s="75">
        <f>IF(AND(ISBLANK(A28),ISBLANK(B28),ISBLANK(E28),ISBLANK(G28),ISBLANK(L28)),"",IF(OR(ISBLANK(A28),ISBLANK(B28),ISBLANK(E28),ISBLANK(G28),ISBLANK(L28)),"-",LEN(Tableau47[[#This Row],[Code]])))</f>
        <v>23</v>
      </c>
      <c r="N28" s="76" t="str">
        <f>IF(AND(ISBLANK(A28),ISBLANK(B28),ISBLANK(C28),ISBLANK(E28),ISBLANK(L28)),"",IF(OR(ISBLANK(A28),ISBLANK(B28),ISBLANK(C28),ISBLANK(E28),ISBLANK(L28)),"à compléter",
IF(L28="Normal",
LOOKUP(B28,'Type de champ'!B:B,'Type de champ'!A:A)
&amp;IF(COUNTIF('Objets de gestion'!C:C,K28)=0,"","_"&amp;LOOKUP(K28,'Objets de gestion'!C:C,'Objets de gestion'!F:F))
&amp;IF(COUNTIF('Objets de gestion'!C:C,I28)=0,"","_"&amp;LOOKUP(I28,'Objets de gestion'!C:C,'Objets de gestion'!F:F))
&amp;IF(COUNTIF('Objets de gestion'!C:C,G28)=0,"","_"&amp;LOOKUP(G28,'Objets de gestion'!C:C,'Objets de gestion'!F:F))
&amp;IF(COUNTIF('Objets de gestion'!C:C,E28)=0,"","_"&amp;LOOKUP(E28,'Objets de gestion'!C:C,'Objets de gestion'!F:F))
&amp;IF(OR(C28="booléen",COUNTIF('Objets de gestion'!C:C,C28)=0),"","_"&amp;LOOKUP(C28,'Objets de gestion'!C:C,'Objets de gestion'!F:F)),
IF(L28="Forcé",
LOOKUP(B28,'Type de champ'!B:B,'Type de champ'!A:A)
&amp;IF(COUNTIF('Objets de gestion'!C:C,E28)=0,"","_"&amp;LOOKUP(E28,'Objets de gestion'!C:C,'Objets de gestion'!F:F))
&amp;IF(COUNTIF('Objets de gestion'!C:C,G28)=0,"","_"&amp;LOOKUP(G28,'Objets de gestion'!C:C,'Objets de gestion'!F:F))
&amp;IF(COUNTIF('Objets de gestion'!C:C,I28)=0,"","_"&amp;LOOKUP(I28,'Objets de gestion'!C:C,'Objets de gestion'!F:F))
&amp;IF(COUNTIF('Objets de gestion'!C:C,K28)=0,"","_"&amp;LOOKUP(K28,'Objets de gestion'!C:C,'Objets de gestion'!F:F))
&amp;IF(OR(C28="booléen",COUNTIF('Objets de gestion'!C:C,C28)=0),"","_"&amp;LOOKUP(C28,'Objets de gestion'!C:C,'Objets de gestion'!F:F))
))))</f>
        <v>T_ACCMGR_TDP_LNK_EDAUID</v>
      </c>
      <c r="O28" s="63" t="str">
        <f t="shared" si="0"/>
        <v xml:space="preserve">Date de fin de l'identifiant unique du Lien entre tiers et chargé de clientèle </v>
      </c>
      <c r="P28" s="63" t="str">
        <f>IF(AND(ISBLANK(A28),ISBLANK(B28),ISBLANK(C28),ISBLANK(E28),ISBLANK(L28)),"",IF(OR(ISBLANK(A28),ISBLANK(B28),ISBLANK(C28),ISBLANK(E28),ISBLANK(L28)),"-",
IF(ISBLANK(C28),"",LOOKUP(C28,'Objets de gestion'!C:C,'Objets de gestion'!E:E))
&amp;IF(ISBLANK(D28),""," "&amp;LOOKUP(D28,Articles!A:A,Articles!B:B))
&amp;IF(ISBLANK(E28),""," "&amp;LOOKUP(E28,'Objets de gestion'!C:C,'Objets de gestion'!E:E))
&amp;IF(ISBLANK(F28),""," "&amp;LOOKUP(F28,Articles!A:A,Articles!B:B))
&amp;IF(ISBLANK(G28),""," "&amp;LOOKUP(G28,'Objets de gestion'!C:C,'Objets de gestion'!E:E))
&amp;IF(ISBLANK(H28),""," "&amp;LOOKUP(H28,Articles!A:A,Articles!B:B))
&amp;IF(ISBLANK(I28),""," "&amp;LOOKUP(I28,'Objets de gestion'!C:C,'Objets de gestion'!E:E))
&amp;IF(ISBLANK(J28),""," "&amp;LOOKUP(J28,Articles!A:A,Articles!B:B))
&amp;IF(ISBLANK(K28),""," "&amp;LOOKUP(K28,'Objets de gestion'!C:C,'Objets de gestion'!E:E))
))</f>
        <v>End date of UID  of the Link  between third party  and Account Manager</v>
      </c>
      <c r="Q28" s="63" t="str">
        <f>IF(AND(ISBLANK(A28),ISBLANK(B28),ISBLANK(C28),ISBLANK(E28),ISBLANK(L28)),"",IF(OR(ISBLANK(A28),ISBLANK(B28),ISBLANK(C28),ISBLANK(E28),ISBLANK(L28)),"-",
LOOKUP(B28,'Type de champ'!B:B,'Type de champ'!C:C)))</f>
        <v>Date</v>
      </c>
      <c r="R28" s="63" t="str">
        <f t="shared" si="1"/>
        <v>tiers</v>
      </c>
    </row>
    <row r="29" spans="1:18">
      <c r="A29" s="74"/>
      <c r="M29" s="75" t="str">
        <f>IF(AND(ISBLANK(A29),ISBLANK(B29),ISBLANK(E29),ISBLANK(G29),ISBLANK(L29)),"",IF(OR(ISBLANK(A29),ISBLANK(B29),ISBLANK(E29),ISBLANK(G29),ISBLANK(L29)),"-",LEN(Tableau47[[#This Row],[Code]])))</f>
        <v/>
      </c>
      <c r="N29" s="76" t="str">
        <f>IF(AND(ISBLANK(A29),ISBLANK(B29),ISBLANK(C29),ISBLANK(E29),ISBLANK(L29)),"",IF(OR(ISBLANK(A29),ISBLANK(B29),ISBLANK(C29),ISBLANK(E29),ISBLANK(L29)),"à compléter",
IF(L29="Normal",
LOOKUP(B29,'Type de champ'!B:B,'Type de champ'!A:A)
&amp;IF(COUNTIF('Objets de gestion'!C:C,K29)=0,"","_"&amp;LOOKUP(K29,'Objets de gestion'!C:C,'Objets de gestion'!F:F))
&amp;IF(COUNTIF('Objets de gestion'!C:C,I29)=0,"","_"&amp;LOOKUP(I29,'Objets de gestion'!C:C,'Objets de gestion'!F:F))
&amp;IF(COUNTIF('Objets de gestion'!C:C,G29)=0,"","_"&amp;LOOKUP(G29,'Objets de gestion'!C:C,'Objets de gestion'!F:F))
&amp;IF(COUNTIF('Objets de gestion'!C:C,E29)=0,"","_"&amp;LOOKUP(E29,'Objets de gestion'!C:C,'Objets de gestion'!F:F))
&amp;IF(OR(C29="booléen",COUNTIF('Objets de gestion'!C:C,C29)=0),"","_"&amp;LOOKUP(C29,'Objets de gestion'!C:C,'Objets de gestion'!F:F)),
IF(L29="Forcé",
LOOKUP(B29,'Type de champ'!B:B,'Type de champ'!A:A)
&amp;IF(COUNTIF('Objets de gestion'!C:C,E29)=0,"","_"&amp;LOOKUP(E29,'Objets de gestion'!C:C,'Objets de gestion'!F:F))
&amp;IF(COUNTIF('Objets de gestion'!C:C,G29)=0,"","_"&amp;LOOKUP(G29,'Objets de gestion'!C:C,'Objets de gestion'!F:F))
&amp;IF(COUNTIF('Objets de gestion'!C:C,I29)=0,"","_"&amp;LOOKUP(I29,'Objets de gestion'!C:C,'Objets de gestion'!F:F))
&amp;IF(COUNTIF('Objets de gestion'!C:C,K29)=0,"","_"&amp;LOOKUP(K29,'Objets de gestion'!C:C,'Objets de gestion'!F:F))
&amp;IF(OR(C29="booléen",COUNTIF('Objets de gestion'!C:C,C29)=0),"","_"&amp;LOOKUP(C29,'Objets de gestion'!C:C,'Objets de gestion'!F:F))
))))</f>
        <v/>
      </c>
      <c r="O29" s="63" t="str">
        <f t="shared" si="0"/>
        <v/>
      </c>
      <c r="P29" s="63" t="str">
        <f>IF(AND(ISBLANK(A29),ISBLANK(B29),ISBLANK(C29),ISBLANK(E29),ISBLANK(L29)),"",IF(OR(ISBLANK(A29),ISBLANK(B29),ISBLANK(C29),ISBLANK(E29),ISBLANK(L29)),"-",
IF(ISBLANK(C29),"",LOOKUP(C29,'Objets de gestion'!C:C,'Objets de gestion'!E:E))
&amp;IF(ISBLANK(D29),""," "&amp;LOOKUP(D29,Articles!A:A,Articles!B:B))
&amp;IF(ISBLANK(E29),""," "&amp;LOOKUP(E29,'Objets de gestion'!C:C,'Objets de gestion'!E:E))
&amp;IF(ISBLANK(F29),""," "&amp;LOOKUP(F29,Articles!A:A,Articles!B:B))
&amp;IF(ISBLANK(G29),""," "&amp;LOOKUP(G29,'Objets de gestion'!C:C,'Objets de gestion'!E:E))
&amp;IF(ISBLANK(H29),""," "&amp;LOOKUP(H29,Articles!A:A,Articles!B:B))
&amp;IF(ISBLANK(I29),""," "&amp;LOOKUP(I29,'Objets de gestion'!C:C,'Objets de gestion'!E:E))
&amp;IF(ISBLANK(J29),""," "&amp;LOOKUP(J29,Articles!A:A,Articles!B:B))
&amp;IF(ISBLANK(K29),""," "&amp;LOOKUP(K29,'Objets de gestion'!C:C,'Objets de gestion'!E:E))
))</f>
        <v/>
      </c>
      <c r="Q29" s="63" t="str">
        <f>IF(AND(ISBLANK(A29),ISBLANK(B29),ISBLANK(C29),ISBLANK(E29),ISBLANK(L29)),"",IF(OR(ISBLANK(A29),ISBLANK(B29),ISBLANK(C29),ISBLANK(E29),ISBLANK(L29)),"-",
LOOKUP(B29,'Type de champ'!B:B,'Type de champ'!C:C)))</f>
        <v/>
      </c>
      <c r="R29" s="63" t="str">
        <f t="shared" si="1"/>
        <v/>
      </c>
    </row>
    <row r="30" spans="1:18">
      <c r="A30" s="74" t="s">
        <v>3881</v>
      </c>
      <c r="B30" s="63" t="s">
        <v>4540</v>
      </c>
      <c r="C30" s="63" t="s">
        <v>6218</v>
      </c>
      <c r="D30" s="63" t="s">
        <v>34</v>
      </c>
      <c r="E30" s="63" t="s">
        <v>3881</v>
      </c>
      <c r="F30" s="63" t="s">
        <v>12</v>
      </c>
      <c r="G30" s="63" t="s">
        <v>2879</v>
      </c>
      <c r="L30" s="63" t="s">
        <v>5736</v>
      </c>
      <c r="M30" s="75">
        <f>IF(AND(ISBLANK(A30),ISBLANK(B30),ISBLANK(E30),ISBLANK(G30),ISBLANK(L30)),"",IF(OR(ISBLANK(A30),ISBLANK(B30),ISBLANK(E30),ISBLANK(G30),ISBLANK(L30)),"-",LEN(Tableau47[[#This Row],[Code]])))</f>
        <v>16</v>
      </c>
      <c r="N30" s="76" t="str">
        <f>IF(AND(ISBLANK(A30),ISBLANK(B30),ISBLANK(C30),ISBLANK(E30),ISBLANK(L30)),"",IF(OR(ISBLANK(A30),ISBLANK(B30),ISBLANK(C30),ISBLANK(E30),ISBLANK(L30)),"à compléter",
IF(L30="Normal",
LOOKUP(B30,'Type de champ'!B:B,'Type de champ'!A:A)
&amp;IF(COUNTIF('Objets de gestion'!C:C,K30)=0,"","_"&amp;LOOKUP(K30,'Objets de gestion'!C:C,'Objets de gestion'!F:F))
&amp;IF(COUNTIF('Objets de gestion'!C:C,I30)=0,"","_"&amp;LOOKUP(I30,'Objets de gestion'!C:C,'Objets de gestion'!F:F))
&amp;IF(COUNTIF('Objets de gestion'!C:C,G30)=0,"","_"&amp;LOOKUP(G30,'Objets de gestion'!C:C,'Objets de gestion'!F:F))
&amp;IF(COUNTIF('Objets de gestion'!C:C,E30)=0,"","_"&amp;LOOKUP(E30,'Objets de gestion'!C:C,'Objets de gestion'!F:F))
&amp;IF(OR(C30="booléen",COUNTIF('Objets de gestion'!C:C,C30)=0),"","_"&amp;LOOKUP(C30,'Objets de gestion'!C:C,'Objets de gestion'!F:F)),
IF(L30="Forcé",
LOOKUP(B30,'Type de champ'!B:B,'Type de champ'!A:A)
&amp;IF(COUNTIF('Objets de gestion'!C:C,E30)=0,"","_"&amp;LOOKUP(E30,'Objets de gestion'!C:C,'Objets de gestion'!F:F))
&amp;IF(COUNTIF('Objets de gestion'!C:C,G30)=0,"","_"&amp;LOOKUP(G30,'Objets de gestion'!C:C,'Objets de gestion'!F:F))
&amp;IF(COUNTIF('Objets de gestion'!C:C,I30)=0,"","_"&amp;LOOKUP(I30,'Objets de gestion'!C:C,'Objets de gestion'!F:F))
&amp;IF(COUNTIF('Objets de gestion'!C:C,K30)=0,"","_"&amp;LOOKUP(K30,'Objets de gestion'!C:C,'Objets de gestion'!F:F))
&amp;IF(OR(C30="booléen",COUNTIF('Objets de gestion'!C:C,C30)=0),"","_"&amp;LOOKUP(C30,'Objets de gestion'!C:C,'Objets de gestion'!F:F))
))))</f>
        <v>T_PTF_TDP_ATTDAT</v>
      </c>
      <c r="O30" s="63" t="str">
        <f t="shared" si="0"/>
        <v xml:space="preserve">date de rattachement du tiers au portefeuille </v>
      </c>
      <c r="P30" s="63" t="str">
        <f>IF(AND(ISBLANK(A30),ISBLANK(B30),ISBLANK(C30),ISBLANK(E30),ISBLANK(L30)),"",IF(OR(ISBLANK(A30),ISBLANK(B30),ISBLANK(C30),ISBLANK(E30),ISBLANK(L30)),"-",
IF(ISBLANK(C30),"",LOOKUP(C30,'Objets de gestion'!C:C,'Objets de gestion'!E:E))
&amp;IF(ISBLANK(D30),""," "&amp;LOOKUP(D30,Articles!A:A,Articles!B:B))
&amp;IF(ISBLANK(E30),""," "&amp;LOOKUP(E30,'Objets de gestion'!C:C,'Objets de gestion'!E:E))
&amp;IF(ISBLANK(F30),""," "&amp;LOOKUP(F30,Articles!A:A,Articles!B:B))
&amp;IF(ISBLANK(G30),""," "&amp;LOOKUP(G30,'Objets de gestion'!C:C,'Objets de gestion'!E:E))
&amp;IF(ISBLANK(H30),""," "&amp;LOOKUP(H30,Articles!A:A,Articles!B:B))
&amp;IF(ISBLANK(I30),""," "&amp;LOOKUP(I30,'Objets de gestion'!C:C,'Objets de gestion'!E:E))
&amp;IF(ISBLANK(J30),""," "&amp;LOOKUP(J30,Articles!A:A,Articles!B:B))
&amp;IF(ISBLANK(K30),""," "&amp;LOOKUP(K30,'Objets de gestion'!C:C,'Objets de gestion'!E:E))
))</f>
        <v>attachment date  of the third party  to portfolio</v>
      </c>
      <c r="Q30" s="63" t="str">
        <f>IF(AND(ISBLANK(A30),ISBLANK(B30),ISBLANK(C30),ISBLANK(E30),ISBLANK(L30)),"",IF(OR(ISBLANK(A30),ISBLANK(B30),ISBLANK(C30),ISBLANK(E30),ISBLANK(L30)),"-",
LOOKUP(B30,'Type de champ'!B:B,'Type de champ'!C:C)))</f>
        <v>Date</v>
      </c>
      <c r="R30" s="63" t="str">
        <f t="shared" si="1"/>
        <v>tiers</v>
      </c>
    </row>
    <row r="31" spans="1:18">
      <c r="A31" s="74" t="s">
        <v>3881</v>
      </c>
      <c r="B31" s="63" t="s">
        <v>4534</v>
      </c>
      <c r="C31" s="63" t="s">
        <v>4534</v>
      </c>
      <c r="D31" s="63" t="s">
        <v>26</v>
      </c>
      <c r="E31" s="63" t="s">
        <v>4587</v>
      </c>
      <c r="F31" s="63" t="s">
        <v>34</v>
      </c>
      <c r="G31" s="63" t="s">
        <v>2219</v>
      </c>
      <c r="H31" s="63" t="s">
        <v>40</v>
      </c>
      <c r="I31" s="63" t="s">
        <v>3881</v>
      </c>
      <c r="J31" s="63" t="s">
        <v>42</v>
      </c>
      <c r="K31" s="63" t="s">
        <v>5602</v>
      </c>
      <c r="L31" s="63" t="s">
        <v>5736</v>
      </c>
      <c r="M31" s="75">
        <f>IF(AND(ISBLANK(A31),ISBLANK(B31),ISBLANK(E31),ISBLANK(G31),ISBLANK(L31)),"",IF(OR(ISBLANK(A31),ISBLANK(B31),ISBLANK(E31),ISBLANK(G31),ISBLANK(L31)),"-",LEN(Tableau47[[#This Row],[Code]])))</f>
        <v>20</v>
      </c>
      <c r="N31" s="76" t="str">
        <f>IF(AND(ISBLANK(A31),ISBLANK(B31),ISBLANK(C31),ISBLANK(E31),ISBLANK(L31)),"",IF(OR(ISBLANK(A31),ISBLANK(B31),ISBLANK(C31),ISBLANK(E31),ISBLANK(L31)),"à compléter",
IF(L31="Normal",
LOOKUP(B31,'Type de champ'!B:B,'Type de champ'!A:A)
&amp;IF(COUNTIF('Objets de gestion'!C:C,K31)=0,"","_"&amp;LOOKUP(K31,'Objets de gestion'!C:C,'Objets de gestion'!F:F))
&amp;IF(COUNTIF('Objets de gestion'!C:C,I31)=0,"","_"&amp;LOOKUP(I31,'Objets de gestion'!C:C,'Objets de gestion'!F:F))
&amp;IF(COUNTIF('Objets de gestion'!C:C,G31)=0,"","_"&amp;LOOKUP(G31,'Objets de gestion'!C:C,'Objets de gestion'!F:F))
&amp;IF(COUNTIF('Objets de gestion'!C:C,E31)=0,"","_"&amp;LOOKUP(E31,'Objets de gestion'!C:C,'Objets de gestion'!F:F))
&amp;IF(OR(C31="booléen",COUNTIF('Objets de gestion'!C:C,C31)=0),"","_"&amp;LOOKUP(C31,'Objets de gestion'!C:C,'Objets de gestion'!F:F)),
IF(L31="Forcé",
LOOKUP(B31,'Type de champ'!B:B,'Type de champ'!A:A)
&amp;IF(COUNTIF('Objets de gestion'!C:C,E31)=0,"","_"&amp;LOOKUP(E31,'Objets de gestion'!C:C,'Objets de gestion'!F:F))
&amp;IF(COUNTIF('Objets de gestion'!C:C,G31)=0,"","_"&amp;LOOKUP(G31,'Objets de gestion'!C:C,'Objets de gestion'!F:F))
&amp;IF(COUNTIF('Objets de gestion'!C:C,I31)=0,"","_"&amp;LOOKUP(I31,'Objets de gestion'!C:C,'Objets de gestion'!F:F))
&amp;IF(COUNTIF('Objets de gestion'!C:C,K31)=0,"","_"&amp;LOOKUP(K31,'Objets de gestion'!C:C,'Objets de gestion'!F:F))
&amp;IF(OR(C31="booléen",COUNTIF('Objets de gestion'!C:C,C31)=0),"","_"&amp;LOOKUP(C31,'Objets de gestion'!C:C,'Objets de gestion'!F:F))
))))</f>
        <v>B_ACCMGR_TDP_LNK_LTI</v>
      </c>
      <c r="O31" s="63" t="str">
        <f t="shared" si="0"/>
        <v xml:space="preserve">Booléen de dernière image du Lien entre tiers et chargé de clientèle </v>
      </c>
      <c r="P31" s="63" t="str">
        <f>IF(AND(ISBLANK(A31),ISBLANK(B31),ISBLANK(C31),ISBLANK(E31),ISBLANK(L31)),"",IF(OR(ISBLANK(A31),ISBLANK(B31),ISBLANK(C31),ISBLANK(E31),ISBLANK(L31)),"-",
IF(ISBLANK(C31),"",LOOKUP(C31,'Objets de gestion'!C:C,'Objets de gestion'!E:E))
&amp;IF(ISBLANK(D31),""," "&amp;LOOKUP(D31,Articles!A:A,Articles!B:B))
&amp;IF(ISBLANK(E31),""," "&amp;LOOKUP(E31,'Objets de gestion'!C:C,'Objets de gestion'!E:E))
&amp;IF(ISBLANK(F31),""," "&amp;LOOKUP(F31,Articles!A:A,Articles!B:B))
&amp;IF(ISBLANK(G31),""," "&amp;LOOKUP(G31,'Objets de gestion'!C:C,'Objets de gestion'!E:E))
&amp;IF(ISBLANK(H31),""," "&amp;LOOKUP(H31,Articles!A:A,Articles!B:B))
&amp;IF(ISBLANK(I31),""," "&amp;LOOKUP(I31,'Objets de gestion'!C:C,'Objets de gestion'!E:E))
&amp;IF(ISBLANK(J31),""," "&amp;LOOKUP(J31,Articles!A:A,Articles!B:B))
&amp;IF(ISBLANK(K31),""," "&amp;LOOKUP(K31,'Objets de gestion'!C:C,'Objets de gestion'!E:E))
))</f>
        <v>boolean  of the last image  of the Link  between third party  and Account Manager</v>
      </c>
      <c r="Q31" s="63" t="str">
        <f>IF(AND(ISBLANK(A31),ISBLANK(B31),ISBLANK(C31),ISBLANK(E31),ISBLANK(L31)),"",IF(OR(ISBLANK(A31),ISBLANK(B31),ISBLANK(C31),ISBLANK(E31),ISBLANK(L31)),"-",
LOOKUP(B31,'Type de champ'!B:B,'Type de champ'!C:C)))</f>
        <v>Boolean</v>
      </c>
      <c r="R31" s="63" t="str">
        <f t="shared" si="1"/>
        <v>tiers</v>
      </c>
    </row>
    <row r="32" spans="1:18">
      <c r="A32" s="74" t="s">
        <v>3881</v>
      </c>
      <c r="B32" s="63" t="s">
        <v>4540</v>
      </c>
      <c r="C32" s="63" t="s">
        <v>4990</v>
      </c>
      <c r="D32" s="63" t="s">
        <v>34</v>
      </c>
      <c r="E32" s="63" t="s">
        <v>2219</v>
      </c>
      <c r="F32" s="63" t="s">
        <v>40</v>
      </c>
      <c r="G32" s="63" t="s">
        <v>3881</v>
      </c>
      <c r="H32" s="63" t="s">
        <v>42</v>
      </c>
      <c r="I32" s="63" t="s">
        <v>5602</v>
      </c>
      <c r="L32" s="63" t="s">
        <v>5736</v>
      </c>
      <c r="M32" s="75">
        <f>IF(AND(ISBLANK(A32),ISBLANK(B32),ISBLANK(E32),ISBLANK(G32),ISBLANK(L32)),"",IF(OR(ISBLANK(A32),ISBLANK(B32),ISBLANK(E32),ISBLANK(G32),ISBLANK(L32)),"-",LEN(Tableau47[[#This Row],[Code]])))</f>
        <v>23</v>
      </c>
      <c r="N32" s="76" t="str">
        <f>IF(AND(ISBLANK(A32),ISBLANK(B32),ISBLANK(C32),ISBLANK(E32),ISBLANK(L32)),"",IF(OR(ISBLANK(A32),ISBLANK(B32),ISBLANK(C32),ISBLANK(E32),ISBLANK(L32)),"à compléter",
IF(L32="Normal",
LOOKUP(B32,'Type de champ'!B:B,'Type de champ'!A:A)
&amp;IF(COUNTIF('Objets de gestion'!C:C,K32)=0,"","_"&amp;LOOKUP(K32,'Objets de gestion'!C:C,'Objets de gestion'!F:F))
&amp;IF(COUNTIF('Objets de gestion'!C:C,I32)=0,"","_"&amp;LOOKUP(I32,'Objets de gestion'!C:C,'Objets de gestion'!F:F))
&amp;IF(COUNTIF('Objets de gestion'!C:C,G32)=0,"","_"&amp;LOOKUP(G32,'Objets de gestion'!C:C,'Objets de gestion'!F:F))
&amp;IF(COUNTIF('Objets de gestion'!C:C,E32)=0,"","_"&amp;LOOKUP(E32,'Objets de gestion'!C:C,'Objets de gestion'!F:F))
&amp;IF(OR(C32="booléen",COUNTIF('Objets de gestion'!C:C,C32)=0),"","_"&amp;LOOKUP(C32,'Objets de gestion'!C:C,'Objets de gestion'!F:F)),
IF(L32="Forcé",
LOOKUP(B32,'Type de champ'!B:B,'Type de champ'!A:A)
&amp;IF(COUNTIF('Objets de gestion'!C:C,E32)=0,"","_"&amp;LOOKUP(E32,'Objets de gestion'!C:C,'Objets de gestion'!F:F))
&amp;IF(COUNTIF('Objets de gestion'!C:C,G32)=0,"","_"&amp;LOOKUP(G32,'Objets de gestion'!C:C,'Objets de gestion'!F:F))
&amp;IF(COUNTIF('Objets de gestion'!C:C,I32)=0,"","_"&amp;LOOKUP(I32,'Objets de gestion'!C:C,'Objets de gestion'!F:F))
&amp;IF(COUNTIF('Objets de gestion'!C:C,K32)=0,"","_"&amp;LOOKUP(K32,'Objets de gestion'!C:C,'Objets de gestion'!F:F))
&amp;IF(OR(C32="booléen",COUNTIF('Objets de gestion'!C:C,C32)=0),"","_"&amp;LOOKUP(C32,'Objets de gestion'!C:C,'Objets de gestion'!F:F))
))))</f>
        <v>T_ACCMGR_TDP_LNK_SDAUID</v>
      </c>
      <c r="O32" s="63" t="str">
        <f t="shared" si="0"/>
        <v xml:space="preserve">Date de début de l'identifiant unique du Lien entre tiers et chargé de clientèle </v>
      </c>
      <c r="P32" s="63" t="str">
        <f>IF(AND(ISBLANK(A32),ISBLANK(B32),ISBLANK(C32),ISBLANK(E32),ISBLANK(L32)),"",IF(OR(ISBLANK(A32),ISBLANK(B32),ISBLANK(C32),ISBLANK(E32),ISBLANK(L32)),"-",
IF(ISBLANK(C32),"",LOOKUP(C32,'Objets de gestion'!C:C,'Objets de gestion'!E:E))
&amp;IF(ISBLANK(D32),""," "&amp;LOOKUP(D32,Articles!A:A,Articles!B:B))
&amp;IF(ISBLANK(E32),""," "&amp;LOOKUP(E32,'Objets de gestion'!C:C,'Objets de gestion'!E:E))
&amp;IF(ISBLANK(F32),""," "&amp;LOOKUP(F32,Articles!A:A,Articles!B:B))
&amp;IF(ISBLANK(G32),""," "&amp;LOOKUP(G32,'Objets de gestion'!C:C,'Objets de gestion'!E:E))
&amp;IF(ISBLANK(H32),""," "&amp;LOOKUP(H32,Articles!A:A,Articles!B:B))
&amp;IF(ISBLANK(I32),""," "&amp;LOOKUP(I32,'Objets de gestion'!C:C,'Objets de gestion'!E:E))
&amp;IF(ISBLANK(J32),""," "&amp;LOOKUP(J32,Articles!A:A,Articles!B:B))
&amp;IF(ISBLANK(K32),""," "&amp;LOOKUP(K32,'Objets de gestion'!C:C,'Objets de gestion'!E:E))
))</f>
        <v>Start date of UID  of the Link  between third party  and Account Manager</v>
      </c>
      <c r="Q32" s="63" t="str">
        <f>IF(AND(ISBLANK(A32),ISBLANK(B32),ISBLANK(C32),ISBLANK(E32),ISBLANK(L32)),"",IF(OR(ISBLANK(A32),ISBLANK(B32),ISBLANK(C32),ISBLANK(E32),ISBLANK(L32)),"-",
LOOKUP(B32,'Type de champ'!B:B,'Type de champ'!C:C)))</f>
        <v>Date</v>
      </c>
      <c r="R32" s="63" t="str">
        <f t="shared" si="1"/>
        <v>tiers</v>
      </c>
    </row>
    <row r="33" spans="1:18">
      <c r="A33" s="74" t="s">
        <v>3881</v>
      </c>
      <c r="B33" s="63" t="s">
        <v>4536</v>
      </c>
      <c r="C33" s="63" t="s">
        <v>2050</v>
      </c>
      <c r="D33" s="63" t="s">
        <v>34</v>
      </c>
      <c r="E33" s="63" t="s">
        <v>2219</v>
      </c>
      <c r="F33" s="63" t="s">
        <v>40</v>
      </c>
      <c r="G33" s="63" t="s">
        <v>3881</v>
      </c>
      <c r="H33" s="63" t="s">
        <v>42</v>
      </c>
      <c r="I33" s="63" t="s">
        <v>5602</v>
      </c>
      <c r="L33" s="63" t="s">
        <v>5736</v>
      </c>
      <c r="M33" s="75">
        <f>IF(AND(ISBLANK(A33),ISBLANK(B33),ISBLANK(E33),ISBLANK(G33),ISBLANK(L33)),"",IF(OR(ISBLANK(A33),ISBLANK(B33),ISBLANK(E33),ISBLANK(G33),ISBLANK(L33)),"-",LEN(Tableau47[[#This Row],[Code]])))</f>
        <v>20</v>
      </c>
      <c r="N33" s="76" t="str">
        <f>IF(AND(ISBLANK(A33),ISBLANK(B33),ISBLANK(C33),ISBLANK(E33),ISBLANK(L33)),"",IF(OR(ISBLANK(A33),ISBLANK(B33),ISBLANK(C33),ISBLANK(E33),ISBLANK(L33)),"à compléter",
IF(L33="Normal",
LOOKUP(B33,'Type de champ'!B:B,'Type de champ'!A:A)
&amp;IF(COUNTIF('Objets de gestion'!C:C,K33)=0,"","_"&amp;LOOKUP(K33,'Objets de gestion'!C:C,'Objets de gestion'!F:F))
&amp;IF(COUNTIF('Objets de gestion'!C:C,I33)=0,"","_"&amp;LOOKUP(I33,'Objets de gestion'!C:C,'Objets de gestion'!F:F))
&amp;IF(COUNTIF('Objets de gestion'!C:C,G33)=0,"","_"&amp;LOOKUP(G33,'Objets de gestion'!C:C,'Objets de gestion'!F:F))
&amp;IF(COUNTIF('Objets de gestion'!C:C,E33)=0,"","_"&amp;LOOKUP(E33,'Objets de gestion'!C:C,'Objets de gestion'!F:F))
&amp;IF(OR(C33="booléen",COUNTIF('Objets de gestion'!C:C,C33)=0),"","_"&amp;LOOKUP(C33,'Objets de gestion'!C:C,'Objets de gestion'!F:F)),
IF(L33="Forcé",
LOOKUP(B33,'Type de champ'!B:B,'Type de champ'!A:A)
&amp;IF(COUNTIF('Objets de gestion'!C:C,E33)=0,"","_"&amp;LOOKUP(E33,'Objets de gestion'!C:C,'Objets de gestion'!F:F))
&amp;IF(COUNTIF('Objets de gestion'!C:C,G33)=0,"","_"&amp;LOOKUP(G33,'Objets de gestion'!C:C,'Objets de gestion'!F:F))
&amp;IF(COUNTIF('Objets de gestion'!C:C,I33)=0,"","_"&amp;LOOKUP(I33,'Objets de gestion'!C:C,'Objets de gestion'!F:F))
&amp;IF(COUNTIF('Objets de gestion'!C:C,K33)=0,"","_"&amp;LOOKUP(K33,'Objets de gestion'!C:C,'Objets de gestion'!F:F))
&amp;IF(OR(C33="booléen",COUNTIF('Objets de gestion'!C:C,C33)=0),"","_"&amp;LOOKUP(C33,'Objets de gestion'!C:C,'Objets de gestion'!F:F))
))))</f>
        <v>K_ACCMGR_TDP_LNK_UID</v>
      </c>
      <c r="O33" s="63" t="str">
        <f t="shared" ref="O33" si="2">IF(AND(ISBLANK(A33),ISBLANK(B33),ISBLANK(C33),ISBLANK(E33),ISBLANK(L33)),"",IF(OR(ISBLANK(A33),ISBLANK(B33),ISBLANK(C33),ISBLANK(E33),ISBLANK(L33)),"-",
C33&amp;" "&amp;IF(ISBLANK(E33),"",D33&amp;" "&amp;E33&amp;" ")&amp;IF(ISBLANK(G33),"",F33&amp;" "&amp;G33&amp;" ")&amp;IF(ISBLANK(I33),"",H33&amp;" "&amp;I33&amp;" ")&amp;IF(ISBLANK(K33),"",J33&amp;" "&amp;K33&amp;" ")))</f>
        <v xml:space="preserve">Identifiant unique du Lien entre tiers et chargé de clientèle </v>
      </c>
      <c r="P33" s="63" t="str">
        <f>IF(AND(ISBLANK(A33),ISBLANK(B33),ISBLANK(C33),ISBLANK(E33),ISBLANK(L33)),"",IF(OR(ISBLANK(A33),ISBLANK(B33),ISBLANK(C33),ISBLANK(E33),ISBLANK(L33)),"-",
IF(ISBLANK(C33),"",LOOKUP(C33,'Objets de gestion'!C:C,'Objets de gestion'!E:E))
&amp;IF(ISBLANK(D33),""," "&amp;LOOKUP(D33,Articles!A:A,Articles!B:B))
&amp;IF(ISBLANK(E33),""," "&amp;LOOKUP(E33,'Objets de gestion'!C:C,'Objets de gestion'!E:E))
&amp;IF(ISBLANK(F33),""," "&amp;LOOKUP(F33,Articles!A:A,Articles!B:B))
&amp;IF(ISBLANK(G33),""," "&amp;LOOKUP(G33,'Objets de gestion'!C:C,'Objets de gestion'!E:E))
&amp;IF(ISBLANK(H33),""," "&amp;LOOKUP(H33,Articles!A:A,Articles!B:B))
&amp;IF(ISBLANK(I33),""," "&amp;LOOKUP(I33,'Objets de gestion'!C:C,'Objets de gestion'!E:E))
&amp;IF(ISBLANK(J33),""," "&amp;LOOKUP(J33,Articles!A:A,Articles!B:B))
&amp;IF(ISBLANK(K33),""," "&amp;LOOKUP(K33,'Objets de gestion'!C:C,'Objets de gestion'!E:E))
))</f>
        <v>Unique Identifier  of the Link  between third party  and Account Manager</v>
      </c>
      <c r="Q33" s="63" t="str">
        <f>IF(AND(ISBLANK(A33),ISBLANK(B33),ISBLANK(C33),ISBLANK(E33),ISBLANK(L33)),"",IF(OR(ISBLANK(A33),ISBLANK(B33),ISBLANK(C33),ISBLANK(E33),ISBLANK(L33)),"-",
LOOKUP(B33,'Type de champ'!B:B,'Type de champ'!C:C)))</f>
        <v>Integer</v>
      </c>
      <c r="R33" s="63" t="str">
        <f t="shared" ref="R33" si="3">IF(AND(ISBLANK(A33),ISBLANK(B33),ISBLANK(E33),ISBLANK(G33),ISBLANK(L33)),"",IF(OR(ISBLANK(A33),ISBLANK(B33),ISBLANK(E33),ISBLANK(G33),ISBLANK(L33)),"-",
A33))</f>
        <v>tiers</v>
      </c>
    </row>
    <row r="34" spans="1:18" ht="15.75" thickBot="1">
      <c r="A34" s="74" t="s">
        <v>3881</v>
      </c>
      <c r="B34" s="63" t="s">
        <v>4542</v>
      </c>
      <c r="C34" s="63" t="s">
        <v>2047</v>
      </c>
      <c r="D34" s="63" t="s">
        <v>34</v>
      </c>
      <c r="E34" s="63" t="s">
        <v>2219</v>
      </c>
      <c r="F34" s="63" t="s">
        <v>40</v>
      </c>
      <c r="G34" s="63" t="s">
        <v>3881</v>
      </c>
      <c r="H34" s="63" t="s">
        <v>42</v>
      </c>
      <c r="I34" s="63" t="s">
        <v>5602</v>
      </c>
      <c r="L34" s="63" t="s">
        <v>5736</v>
      </c>
      <c r="M34" s="75">
        <f>IF(AND(ISBLANK(A34),ISBLANK(B34),ISBLANK(E34),ISBLANK(G34),ISBLANK(L34)),"",IF(OR(ISBLANK(A34),ISBLANK(B34),ISBLANK(E34),ISBLANK(G34),ISBLANK(L34)),"-",LEN(Tableau47[[#This Row],[Code]])))</f>
        <v>23</v>
      </c>
      <c r="N34" s="76" t="str">
        <f>IF(AND(ISBLANK(A34),ISBLANK(B34),ISBLANK(C34),ISBLANK(E34),ISBLANK(L34)),"",IF(OR(ISBLANK(A34),ISBLANK(B34),ISBLANK(C34),ISBLANK(E34),ISBLANK(L34)),"à compléter",
IF(L34="Normal",
LOOKUP(B34,'Type de champ'!B:B,'Type de champ'!A:A)
&amp;IF(COUNTIF('Objets de gestion'!C:C,K34)=0,"","_"&amp;LOOKUP(K34,'Objets de gestion'!C:C,'Objets de gestion'!F:F))
&amp;IF(COUNTIF('Objets de gestion'!C:C,I34)=0,"","_"&amp;LOOKUP(I34,'Objets de gestion'!C:C,'Objets de gestion'!F:F))
&amp;IF(COUNTIF('Objets de gestion'!C:C,G34)=0,"","_"&amp;LOOKUP(G34,'Objets de gestion'!C:C,'Objets de gestion'!F:F))
&amp;IF(COUNTIF('Objets de gestion'!C:C,E34)=0,"","_"&amp;LOOKUP(E34,'Objets de gestion'!C:C,'Objets de gestion'!F:F))
&amp;IF(OR(C34="booléen",COUNTIF('Objets de gestion'!C:C,C34)=0),"","_"&amp;LOOKUP(C34,'Objets de gestion'!C:C,'Objets de gestion'!F:F)),
IF(L34="Forcé",
LOOKUP(B34,'Type de champ'!B:B,'Type de champ'!A:A)
&amp;IF(COUNTIF('Objets de gestion'!C:C,E34)=0,"","_"&amp;LOOKUP(E34,'Objets de gestion'!C:C,'Objets de gestion'!F:F))
&amp;IF(COUNTIF('Objets de gestion'!C:C,G34)=0,"","_"&amp;LOOKUP(G34,'Objets de gestion'!C:C,'Objets de gestion'!F:F))
&amp;IF(COUNTIF('Objets de gestion'!C:C,I34)=0,"","_"&amp;LOOKUP(I34,'Objets de gestion'!C:C,'Objets de gestion'!F:F))
&amp;IF(COUNTIF('Objets de gestion'!C:C,K34)=0,"","_"&amp;LOOKUP(K34,'Objets de gestion'!C:C,'Objets de gestion'!F:F))
&amp;IF(OR(C34="booléen",COUNTIF('Objets de gestion'!C:C,C34)=0),"","_"&amp;LOOKUP(C34,'Objets de gestion'!C:C,'Objets de gestion'!F:F))
))))</f>
        <v>X_ACCMGR_TDP_LNK_FCTIDT</v>
      </c>
      <c r="O34" s="63" t="str">
        <f t="shared" ref="O34" si="4">IF(AND(ISBLANK(A34),ISBLANK(B34),ISBLANK(C34),ISBLANK(E34),ISBLANK(L34)),"",IF(OR(ISBLANK(A34),ISBLANK(B34),ISBLANK(C34),ISBLANK(E34),ISBLANK(L34)),"-",
C34&amp;" "&amp;IF(ISBLANK(E34),"",D34&amp;" "&amp;E34&amp;" ")&amp;IF(ISBLANK(G34),"",F34&amp;" "&amp;G34&amp;" ")&amp;IF(ISBLANK(I34),"",H34&amp;" "&amp;I34&amp;" ")&amp;IF(ISBLANK(K34),"",J34&amp;" "&amp;K34&amp;" ")))</f>
        <v xml:space="preserve">identifiant fonctionnel du Lien entre tiers et chargé de clientèle </v>
      </c>
      <c r="P34" s="63" t="str">
        <f>IF(AND(ISBLANK(A34),ISBLANK(B34),ISBLANK(C34),ISBLANK(E34),ISBLANK(L34)),"",IF(OR(ISBLANK(A34),ISBLANK(B34),ISBLANK(C34),ISBLANK(E34),ISBLANK(L34)),"-",
IF(ISBLANK(C34),"",LOOKUP(C34,'Objets de gestion'!C:C,'Objets de gestion'!E:E))
&amp;IF(ISBLANK(D34),""," "&amp;LOOKUP(D34,Articles!A:A,Articles!B:B))
&amp;IF(ISBLANK(E34),""," "&amp;LOOKUP(E34,'Objets de gestion'!C:C,'Objets de gestion'!E:E))
&amp;IF(ISBLANK(F34),""," "&amp;LOOKUP(F34,Articles!A:A,Articles!B:B))
&amp;IF(ISBLANK(G34),""," "&amp;LOOKUP(G34,'Objets de gestion'!C:C,'Objets de gestion'!E:E))
&amp;IF(ISBLANK(H34),""," "&amp;LOOKUP(H34,Articles!A:A,Articles!B:B))
&amp;IF(ISBLANK(I34),""," "&amp;LOOKUP(I34,'Objets de gestion'!C:C,'Objets de gestion'!E:E))
&amp;IF(ISBLANK(J34),""," "&amp;LOOKUP(J34,Articles!A:A,Articles!B:B))
&amp;IF(ISBLANK(K34),""," "&amp;LOOKUP(K34,'Objets de gestion'!C:C,'Objets de gestion'!E:E))
))</f>
        <v>functional identifier  of the Link  between third party  and Account Manager</v>
      </c>
      <c r="Q34" s="63" t="str">
        <f>IF(AND(ISBLANK(A34),ISBLANK(B34),ISBLANK(C34),ISBLANK(E34),ISBLANK(L34)),"",IF(OR(ISBLANK(A34),ISBLANK(B34),ISBLANK(C34),ISBLANK(E34),ISBLANK(L34)),"-",
LOOKUP(B34,'Type de champ'!B:B,'Type de champ'!C:C)))</f>
        <v>Varchar(??)</v>
      </c>
      <c r="R34" s="63" t="str">
        <f t="shared" ref="R34" si="5">IF(AND(ISBLANK(A34),ISBLANK(B34),ISBLANK(E34),ISBLANK(G34),ISBLANK(L34)),"",IF(OR(ISBLANK(A34),ISBLANK(B34),ISBLANK(E34),ISBLANK(G34),ISBLANK(L34)),"-",
A34))</f>
        <v>tiers</v>
      </c>
    </row>
    <row r="35" spans="1:18" ht="15.75" thickBot="1">
      <c r="A35" s="74"/>
      <c r="M35" s="89"/>
      <c r="N35" s="76"/>
    </row>
    <row r="36" spans="1:18">
      <c r="A36" s="74"/>
      <c r="N36" s="76"/>
    </row>
    <row r="37" spans="1:18">
      <c r="A37" s="74"/>
      <c r="N37" s="76"/>
    </row>
    <row r="38" spans="1:18">
      <c r="A38" s="74"/>
      <c r="N38" s="76"/>
    </row>
    <row r="39" spans="1:18">
      <c r="A39" s="74"/>
      <c r="N39" s="76"/>
    </row>
    <row r="40" spans="1:18">
      <c r="A40" s="74"/>
      <c r="N40" s="76"/>
    </row>
    <row r="41" spans="1:18">
      <c r="A41" s="74"/>
      <c r="N41" s="76"/>
    </row>
    <row r="42" spans="1:18">
      <c r="A42" s="74"/>
      <c r="N42" s="76"/>
    </row>
    <row r="43" spans="1:18">
      <c r="A43" s="74"/>
      <c r="N43" s="76"/>
    </row>
    <row r="44" spans="1:18">
      <c r="A44" s="74"/>
      <c r="N44" s="76"/>
    </row>
    <row r="45" spans="1:18">
      <c r="A45" s="74"/>
      <c r="N45" s="76"/>
    </row>
    <row r="46" spans="1:18">
      <c r="A46" s="74"/>
      <c r="N46" s="76"/>
    </row>
    <row r="47" spans="1:18">
      <c r="A47" s="74"/>
      <c r="N47" s="76"/>
    </row>
    <row r="48" spans="1:18">
      <c r="A48" s="74"/>
      <c r="N48" s="76"/>
    </row>
    <row r="49" spans="1:14">
      <c r="A49" s="74"/>
      <c r="N49" s="76"/>
    </row>
    <row r="50" spans="1:14">
      <c r="A50" s="74"/>
      <c r="N50" s="76"/>
    </row>
    <row r="51" spans="1:14">
      <c r="A51" s="74"/>
      <c r="N51" s="76"/>
    </row>
    <row r="52" spans="1:14">
      <c r="A52" s="74"/>
      <c r="N52" s="76"/>
    </row>
    <row r="53" spans="1:14">
      <c r="A53" s="74"/>
      <c r="N53" s="76"/>
    </row>
    <row r="54" spans="1:14">
      <c r="A54" s="74"/>
      <c r="N54" s="76"/>
    </row>
    <row r="55" spans="1:14">
      <c r="A55" s="74"/>
      <c r="N55" s="76"/>
    </row>
    <row r="56" spans="1:14">
      <c r="A56" s="74"/>
      <c r="N56" s="76"/>
    </row>
    <row r="57" spans="1:14">
      <c r="A57" s="74"/>
      <c r="N57" s="76"/>
    </row>
    <row r="58" spans="1:14">
      <c r="A58" s="74"/>
      <c r="N58" s="76"/>
    </row>
    <row r="59" spans="1:14">
      <c r="A59" s="74"/>
      <c r="N59" s="76"/>
    </row>
    <row r="60" spans="1:14">
      <c r="A60" s="74"/>
      <c r="N60" s="76"/>
    </row>
    <row r="61" spans="1:14">
      <c r="A61" s="74"/>
      <c r="N61" s="76"/>
    </row>
    <row r="62" spans="1:14">
      <c r="A62" s="74"/>
      <c r="N62" s="76"/>
    </row>
    <row r="63" spans="1:14">
      <c r="A63" s="74"/>
      <c r="N63" s="76"/>
    </row>
    <row r="64" spans="1:14">
      <c r="A64" s="74"/>
      <c r="N64" s="76"/>
    </row>
    <row r="65" spans="1:14">
      <c r="A65" s="74"/>
      <c r="N65" s="76"/>
    </row>
    <row r="66" spans="1:14">
      <c r="A66" s="74"/>
      <c r="N66" s="76"/>
    </row>
    <row r="67" spans="1:14">
      <c r="A67" s="74"/>
      <c r="N67" s="76"/>
    </row>
    <row r="68" spans="1:14">
      <c r="A68" s="74"/>
      <c r="N68" s="76"/>
    </row>
    <row r="69" spans="1:14">
      <c r="A69" s="74"/>
      <c r="N69" s="76"/>
    </row>
    <row r="70" spans="1:14">
      <c r="A70" s="74"/>
      <c r="N70" s="76"/>
    </row>
    <row r="71" spans="1:14">
      <c r="A71" s="74"/>
      <c r="N71" s="76"/>
    </row>
    <row r="72" spans="1:14">
      <c r="A72" s="74"/>
      <c r="N72" s="76"/>
    </row>
    <row r="73" spans="1:14">
      <c r="A73" s="74"/>
      <c r="N73" s="76"/>
    </row>
    <row r="74" spans="1:14">
      <c r="A74" s="74"/>
      <c r="N74" s="76"/>
    </row>
    <row r="75" spans="1:14">
      <c r="A75" s="74"/>
      <c r="N75" s="76"/>
    </row>
    <row r="76" spans="1:14">
      <c r="A76" s="74"/>
      <c r="N76" s="76"/>
    </row>
    <row r="77" spans="1:14">
      <c r="A77" s="74"/>
      <c r="N77" s="76"/>
    </row>
    <row r="78" spans="1:14">
      <c r="A78" s="74"/>
      <c r="N78" s="76"/>
    </row>
    <row r="79" spans="1:14">
      <c r="A79" s="74"/>
      <c r="N79" s="76"/>
    </row>
    <row r="80" spans="1:14">
      <c r="A80" s="74"/>
      <c r="N80" s="76"/>
    </row>
    <row r="81" spans="1:14">
      <c r="A81" s="74"/>
      <c r="N81" s="76"/>
    </row>
    <row r="82" spans="1:14">
      <c r="A82" s="74"/>
      <c r="N82" s="76"/>
    </row>
    <row r="83" spans="1:14">
      <c r="A83" s="74"/>
      <c r="N83" s="76"/>
    </row>
    <row r="84" spans="1:14">
      <c r="A84" s="74"/>
      <c r="N84" s="76"/>
    </row>
    <row r="85" spans="1:14">
      <c r="A85" s="74"/>
      <c r="N85" s="76"/>
    </row>
    <row r="86" spans="1:14">
      <c r="A86" s="74"/>
      <c r="N86" s="76"/>
    </row>
    <row r="87" spans="1:14">
      <c r="A87" s="74"/>
      <c r="N87" s="76"/>
    </row>
    <row r="88" spans="1:14">
      <c r="A88" s="74"/>
      <c r="N88" s="76"/>
    </row>
    <row r="89" spans="1:14">
      <c r="A89" s="74"/>
      <c r="N89" s="76"/>
    </row>
    <row r="90" spans="1:14">
      <c r="A90" s="74"/>
      <c r="N90" s="76"/>
    </row>
    <row r="91" spans="1:14">
      <c r="A91" s="74"/>
      <c r="N91" s="76"/>
    </row>
    <row r="92" spans="1:14">
      <c r="A92" s="74"/>
      <c r="N92" s="76"/>
    </row>
    <row r="93" spans="1:14">
      <c r="A93" s="74"/>
      <c r="N93" s="76"/>
    </row>
    <row r="94" spans="1:14">
      <c r="A94" s="74"/>
      <c r="N94" s="76"/>
    </row>
    <row r="95" spans="1:14">
      <c r="A95" s="74"/>
      <c r="N95" s="76"/>
    </row>
    <row r="96" spans="1:14">
      <c r="A96" s="74"/>
      <c r="N96" s="76"/>
    </row>
    <row r="97" spans="1:14">
      <c r="A97" s="74"/>
      <c r="N97" s="76"/>
    </row>
    <row r="98" spans="1:14">
      <c r="A98" s="74"/>
      <c r="E98" s="27"/>
      <c r="N98" s="76"/>
    </row>
    <row r="99" spans="1:14">
      <c r="A99" s="74"/>
      <c r="N99" s="76"/>
    </row>
    <row r="100" spans="1:14">
      <c r="A100" s="74"/>
      <c r="N100" s="76"/>
    </row>
    <row r="101" spans="1:14">
      <c r="A101" s="74"/>
      <c r="N101" s="76"/>
    </row>
    <row r="102" spans="1:14">
      <c r="A102" s="74"/>
      <c r="N102" s="76"/>
    </row>
    <row r="103" spans="1:14">
      <c r="A103" s="74"/>
      <c r="N103" s="76"/>
    </row>
    <row r="104" spans="1:14">
      <c r="A104" s="74"/>
      <c r="N104" s="76"/>
    </row>
    <row r="105" spans="1:14">
      <c r="A105" s="74"/>
      <c r="N105" s="76"/>
    </row>
    <row r="106" spans="1:14">
      <c r="A106" s="74"/>
      <c r="N106" s="76"/>
    </row>
    <row r="107" spans="1:14">
      <c r="A107" s="74"/>
      <c r="N107" s="76"/>
    </row>
    <row r="108" spans="1:14">
      <c r="A108" s="74"/>
      <c r="N108" s="76"/>
    </row>
    <row r="109" spans="1:14">
      <c r="A109" s="74"/>
      <c r="N109" s="76"/>
    </row>
    <row r="110" spans="1:14">
      <c r="A110" s="74"/>
      <c r="N110" s="76"/>
    </row>
    <row r="111" spans="1:14">
      <c r="A111" s="74"/>
      <c r="N111" s="76"/>
    </row>
    <row r="112" spans="1:14">
      <c r="A112" s="74"/>
      <c r="N112" s="76"/>
    </row>
    <row r="113" spans="1:14">
      <c r="A113" s="74"/>
      <c r="N113" s="76"/>
    </row>
    <row r="114" spans="1:14">
      <c r="A114" s="74"/>
      <c r="N114" s="76"/>
    </row>
    <row r="115" spans="1:14" ht="16.5" customHeight="1">
      <c r="A115" s="74"/>
      <c r="N115" s="76"/>
    </row>
    <row r="116" spans="1:14" ht="16.5" customHeight="1">
      <c r="A116" s="74"/>
      <c r="N116" s="76"/>
    </row>
    <row r="117" spans="1:14" ht="16.5" customHeight="1">
      <c r="A117" s="74"/>
      <c r="N117" s="76"/>
    </row>
    <row r="118" spans="1:14" ht="16.5" customHeight="1">
      <c r="A118" s="74"/>
      <c r="N118" s="76"/>
    </row>
    <row r="119" spans="1:14" ht="16.5" customHeight="1">
      <c r="A119" s="74"/>
      <c r="N119" s="76"/>
    </row>
    <row r="120" spans="1:14" ht="16.5" customHeight="1">
      <c r="A120" s="74"/>
      <c r="N120" s="76"/>
    </row>
    <row r="121" spans="1:14" ht="16.5" customHeight="1">
      <c r="A121" s="74"/>
      <c r="N121" s="76"/>
    </row>
    <row r="122" spans="1:14" ht="16.5" customHeight="1">
      <c r="A122" s="74"/>
      <c r="N122" s="76"/>
    </row>
    <row r="123" spans="1:14" ht="16.5" customHeight="1">
      <c r="A123" s="74"/>
      <c r="N123" s="76"/>
    </row>
    <row r="124" spans="1:14">
      <c r="A124" s="74"/>
      <c r="N124" s="76"/>
    </row>
    <row r="125" spans="1:14">
      <c r="A125" s="74"/>
      <c r="N125" s="76"/>
    </row>
    <row r="126" spans="1:14">
      <c r="A126" s="74"/>
      <c r="N126" s="76"/>
    </row>
    <row r="127" spans="1:14">
      <c r="A127" s="74"/>
      <c r="N127" s="76"/>
    </row>
    <row r="128" spans="1:14">
      <c r="A128" s="74"/>
      <c r="N128" s="76"/>
    </row>
    <row r="129" spans="1:14">
      <c r="A129" s="74"/>
      <c r="N129" s="76"/>
    </row>
    <row r="130" spans="1:14">
      <c r="A130" s="74"/>
      <c r="N130" s="76"/>
    </row>
    <row r="131" spans="1:14">
      <c r="A131" s="74"/>
      <c r="N131" s="76"/>
    </row>
    <row r="132" spans="1:14">
      <c r="A132" s="74"/>
      <c r="N132" s="76"/>
    </row>
    <row r="133" spans="1:14">
      <c r="A133" s="74"/>
      <c r="N133" s="76"/>
    </row>
    <row r="134" spans="1:14">
      <c r="A134" s="74"/>
      <c r="N134" s="76"/>
    </row>
    <row r="135" spans="1:14">
      <c r="A135" s="74"/>
      <c r="N135" s="76"/>
    </row>
    <row r="136" spans="1:14">
      <c r="A136" s="74"/>
      <c r="N136" s="76"/>
    </row>
    <row r="137" spans="1:14">
      <c r="A137" s="74"/>
      <c r="N137" s="76"/>
    </row>
    <row r="138" spans="1:14" ht="15.75">
      <c r="A138" s="74"/>
      <c r="E138" s="77"/>
      <c r="N138" s="76"/>
    </row>
    <row r="139" spans="1:14">
      <c r="A139" s="74"/>
      <c r="N139" s="76"/>
    </row>
    <row r="140" spans="1:14">
      <c r="A140" s="74"/>
      <c r="N140" s="76"/>
    </row>
    <row r="141" spans="1:14">
      <c r="A141" s="74"/>
      <c r="N141" s="76"/>
    </row>
    <row r="142" spans="1:14">
      <c r="A142" s="74"/>
      <c r="N142" s="76"/>
    </row>
    <row r="143" spans="1:14">
      <c r="A143" s="74"/>
      <c r="N143" s="76"/>
    </row>
    <row r="144" spans="1:14">
      <c r="A144" s="74"/>
      <c r="N144" s="76"/>
    </row>
    <row r="145" spans="1:14">
      <c r="A145" s="74"/>
      <c r="N145" s="76"/>
    </row>
    <row r="146" spans="1:14">
      <c r="A146" s="74"/>
      <c r="N146" s="76"/>
    </row>
    <row r="147" spans="1:14">
      <c r="A147" s="74"/>
      <c r="N147" s="76"/>
    </row>
    <row r="148" spans="1:14">
      <c r="A148" s="74"/>
      <c r="N148" s="76"/>
    </row>
    <row r="149" spans="1:14">
      <c r="A149" s="74"/>
      <c r="N149" s="76"/>
    </row>
    <row r="150" spans="1:14">
      <c r="A150" s="74"/>
      <c r="N150" s="76"/>
    </row>
    <row r="151" spans="1:14">
      <c r="A151" s="74"/>
      <c r="N151" s="76"/>
    </row>
    <row r="152" spans="1:14">
      <c r="A152" s="74"/>
      <c r="N152" s="76"/>
    </row>
    <row r="153" spans="1:14">
      <c r="A153" s="74"/>
      <c r="N153" s="76"/>
    </row>
    <row r="154" spans="1:14">
      <c r="A154" s="74"/>
      <c r="N154" s="76"/>
    </row>
    <row r="155" spans="1:14">
      <c r="A155" s="74"/>
      <c r="N155" s="76"/>
    </row>
    <row r="156" spans="1:14">
      <c r="A156" s="74"/>
      <c r="N156" s="76"/>
    </row>
    <row r="157" spans="1:14">
      <c r="A157" s="74"/>
      <c r="N157" s="76"/>
    </row>
    <row r="158" spans="1:14">
      <c r="A158" s="74"/>
      <c r="N158" s="76"/>
    </row>
    <row r="159" spans="1:14">
      <c r="A159" s="74"/>
      <c r="N159" s="76"/>
    </row>
    <row r="160" spans="1:14">
      <c r="A160" s="74"/>
      <c r="N160" s="76"/>
    </row>
    <row r="161" spans="1:14">
      <c r="A161" s="74"/>
      <c r="N161" s="76"/>
    </row>
    <row r="162" spans="1:14">
      <c r="A162" s="74"/>
      <c r="N162" s="76"/>
    </row>
    <row r="163" spans="1:14">
      <c r="A163" s="74"/>
      <c r="N163" s="76"/>
    </row>
    <row r="164" spans="1:14">
      <c r="A164" s="74"/>
      <c r="N164" s="76"/>
    </row>
    <row r="165" spans="1:14">
      <c r="A165" s="74"/>
      <c r="N165" s="76"/>
    </row>
    <row r="166" spans="1:14">
      <c r="A166" s="74"/>
      <c r="N166" s="76"/>
    </row>
    <row r="167" spans="1:14">
      <c r="A167" s="74"/>
      <c r="N167" s="76"/>
    </row>
    <row r="168" spans="1:14">
      <c r="A168" s="74"/>
      <c r="N168" s="76"/>
    </row>
    <row r="169" spans="1:14">
      <c r="A169" s="74"/>
      <c r="N169" s="76"/>
    </row>
    <row r="170" spans="1:14">
      <c r="A170" s="74"/>
      <c r="N170" s="76"/>
    </row>
    <row r="171" spans="1:14">
      <c r="A171" s="74"/>
      <c r="N171" s="76"/>
    </row>
    <row r="172" spans="1:14">
      <c r="A172" s="74"/>
      <c r="N172" s="76"/>
    </row>
    <row r="173" spans="1:14">
      <c r="A173" s="74"/>
      <c r="N173" s="76"/>
    </row>
    <row r="174" spans="1:14">
      <c r="A174" s="74"/>
      <c r="N174" s="76"/>
    </row>
    <row r="175" spans="1:14">
      <c r="A175" s="74"/>
      <c r="N175" s="76"/>
    </row>
    <row r="176" spans="1:14">
      <c r="A176" s="74"/>
      <c r="N176" s="76"/>
    </row>
    <row r="177" spans="1:14">
      <c r="A177" s="74"/>
      <c r="N177" s="76"/>
    </row>
    <row r="178" spans="1:14">
      <c r="A178" s="74"/>
      <c r="N178" s="76"/>
    </row>
    <row r="179" spans="1:14">
      <c r="A179" s="74"/>
      <c r="N179" s="76"/>
    </row>
    <row r="180" spans="1:14">
      <c r="A180" s="74"/>
      <c r="N180" s="76"/>
    </row>
    <row r="181" spans="1:14">
      <c r="A181" s="74"/>
      <c r="N181" s="76"/>
    </row>
    <row r="182" spans="1:14">
      <c r="A182" s="74"/>
      <c r="N182" s="76"/>
    </row>
    <row r="183" spans="1:14">
      <c r="A183" s="74"/>
      <c r="N183" s="76"/>
    </row>
    <row r="184" spans="1:14">
      <c r="A184" s="74"/>
      <c r="N184" s="76"/>
    </row>
    <row r="185" spans="1:14">
      <c r="A185" s="74"/>
      <c r="N185" s="76"/>
    </row>
    <row r="186" spans="1:14">
      <c r="A186" s="74"/>
      <c r="N186" s="76"/>
    </row>
    <row r="187" spans="1:14">
      <c r="A187" s="74"/>
      <c r="N187" s="76"/>
    </row>
    <row r="188" spans="1:14">
      <c r="A188" s="74"/>
      <c r="N188" s="76"/>
    </row>
    <row r="189" spans="1:14">
      <c r="A189" s="74"/>
      <c r="N189" s="76"/>
    </row>
    <row r="190" spans="1:14">
      <c r="A190" s="74"/>
      <c r="N190" s="76"/>
    </row>
    <row r="191" spans="1:14">
      <c r="A191" s="74"/>
      <c r="N191" s="76"/>
    </row>
    <row r="192" spans="1:14">
      <c r="A192" s="74"/>
      <c r="N192" s="76"/>
    </row>
    <row r="193" spans="1:14">
      <c r="A193" s="74"/>
      <c r="N193" s="76"/>
    </row>
    <row r="194" spans="1:14">
      <c r="A194" s="74"/>
      <c r="N194" s="76"/>
    </row>
    <row r="195" spans="1:14">
      <c r="A195" s="74"/>
      <c r="N195" s="76"/>
    </row>
    <row r="196" spans="1:14">
      <c r="A196" s="74"/>
      <c r="N196" s="76"/>
    </row>
    <row r="197" spans="1:14">
      <c r="A197" s="74"/>
      <c r="N197" s="76"/>
    </row>
    <row r="198" spans="1:14">
      <c r="A198" s="74"/>
      <c r="N198" s="76"/>
    </row>
    <row r="199" spans="1:14">
      <c r="A199" s="74"/>
      <c r="N199" s="76"/>
    </row>
    <row r="200" spans="1:14">
      <c r="A200" s="74"/>
      <c r="N200" s="76"/>
    </row>
    <row r="201" spans="1:14">
      <c r="A201" s="74"/>
      <c r="N201" s="76"/>
    </row>
    <row r="202" spans="1:14">
      <c r="A202" s="74"/>
      <c r="N202" s="76"/>
    </row>
    <row r="203" spans="1:14">
      <c r="A203" s="74"/>
      <c r="N203" s="76"/>
    </row>
    <row r="204" spans="1:14">
      <c r="A204" s="74"/>
      <c r="N204" s="76"/>
    </row>
    <row r="205" spans="1:14">
      <c r="A205" s="74"/>
      <c r="N205" s="76"/>
    </row>
    <row r="206" spans="1:14">
      <c r="A206" s="74"/>
      <c r="N206" s="76"/>
    </row>
    <row r="207" spans="1:14">
      <c r="A207" s="74"/>
      <c r="N207" s="76"/>
    </row>
    <row r="208" spans="1:14">
      <c r="A208" s="74"/>
      <c r="N208" s="76"/>
    </row>
    <row r="209" spans="1:14">
      <c r="A209" s="74"/>
      <c r="N209" s="76"/>
    </row>
    <row r="210" spans="1:14">
      <c r="A210" s="74"/>
      <c r="N210" s="76"/>
    </row>
    <row r="211" spans="1:14">
      <c r="A211" s="74"/>
      <c r="N211" s="76"/>
    </row>
    <row r="212" spans="1:14">
      <c r="A212" s="74"/>
      <c r="N212" s="76"/>
    </row>
    <row r="213" spans="1:14">
      <c r="A213" s="74"/>
      <c r="N213" s="76"/>
    </row>
    <row r="214" spans="1:14">
      <c r="A214" s="74"/>
      <c r="N214" s="76"/>
    </row>
    <row r="215" spans="1:14">
      <c r="A215" s="74"/>
      <c r="N215" s="76"/>
    </row>
    <row r="216" spans="1:14">
      <c r="A216" s="74"/>
      <c r="N216" s="76"/>
    </row>
    <row r="217" spans="1:14">
      <c r="A217" s="74"/>
      <c r="N217" s="76"/>
    </row>
    <row r="218" spans="1:14">
      <c r="A218" s="74"/>
      <c r="N218" s="76"/>
    </row>
    <row r="219" spans="1:14">
      <c r="A219" s="74"/>
      <c r="N219" s="76"/>
    </row>
    <row r="220" spans="1:14">
      <c r="A220" s="74"/>
      <c r="N220" s="76"/>
    </row>
    <row r="221" spans="1:14">
      <c r="A221" s="74"/>
      <c r="N221" s="76"/>
    </row>
    <row r="222" spans="1:14">
      <c r="A222" s="74"/>
      <c r="N222" s="76"/>
    </row>
    <row r="223" spans="1:14">
      <c r="A223" s="74"/>
      <c r="N223" s="76"/>
    </row>
    <row r="224" spans="1:14">
      <c r="A224" s="74"/>
      <c r="N224" s="76"/>
    </row>
    <row r="225" spans="1:14">
      <c r="A225" s="74"/>
      <c r="N225" s="76"/>
    </row>
    <row r="226" spans="1:14">
      <c r="A226" s="74"/>
      <c r="N226" s="76"/>
    </row>
    <row r="227" spans="1:14">
      <c r="A227" s="74"/>
      <c r="N227" s="76"/>
    </row>
    <row r="228" spans="1:14">
      <c r="A228" s="74"/>
      <c r="N228" s="76"/>
    </row>
    <row r="229" spans="1:14">
      <c r="A229" s="74"/>
      <c r="N229" s="76"/>
    </row>
    <row r="230" spans="1:14">
      <c r="A230" s="74"/>
      <c r="N230" s="76"/>
    </row>
    <row r="231" spans="1:14">
      <c r="A231" s="74"/>
      <c r="N231" s="76"/>
    </row>
    <row r="232" spans="1:14">
      <c r="A232" s="74"/>
      <c r="N232" s="76"/>
    </row>
    <row r="233" spans="1:14">
      <c r="A233" s="74"/>
      <c r="N233" s="76"/>
    </row>
    <row r="234" spans="1:14">
      <c r="A234" s="74"/>
      <c r="N234" s="76"/>
    </row>
    <row r="235" spans="1:14">
      <c r="A235" s="74"/>
      <c r="N235" s="76"/>
    </row>
    <row r="236" spans="1:14">
      <c r="A236" s="74"/>
      <c r="N236" s="76"/>
    </row>
    <row r="237" spans="1:14">
      <c r="A237" s="74"/>
      <c r="N237" s="76"/>
    </row>
    <row r="238" spans="1:14">
      <c r="A238" s="74"/>
      <c r="N238" s="76"/>
    </row>
    <row r="239" spans="1:14">
      <c r="A239" s="74"/>
      <c r="N239" s="76"/>
    </row>
    <row r="240" spans="1:14">
      <c r="A240" s="74"/>
      <c r="N240" s="76"/>
    </row>
    <row r="241" spans="1:14">
      <c r="A241" s="74"/>
      <c r="N241" s="76"/>
    </row>
    <row r="242" spans="1:14">
      <c r="A242" s="74"/>
      <c r="N242" s="76"/>
    </row>
    <row r="243" spans="1:14">
      <c r="A243" s="74"/>
      <c r="N243" s="76"/>
    </row>
    <row r="244" spans="1:14">
      <c r="A244" s="74"/>
      <c r="N244" s="76"/>
    </row>
    <row r="245" spans="1:14">
      <c r="A245" s="74"/>
      <c r="N245" s="76"/>
    </row>
    <row r="246" spans="1:14">
      <c r="A246" s="74"/>
      <c r="N246" s="76"/>
    </row>
    <row r="247" spans="1:14">
      <c r="A247" s="74"/>
      <c r="N247" s="76"/>
    </row>
    <row r="248" spans="1:14">
      <c r="A248" s="74"/>
      <c r="N248" s="76"/>
    </row>
    <row r="249" spans="1:14">
      <c r="A249" s="74"/>
      <c r="N249" s="76"/>
    </row>
    <row r="250" spans="1:14">
      <c r="A250" s="74"/>
      <c r="N250" s="76"/>
    </row>
    <row r="251" spans="1:14">
      <c r="A251" s="74"/>
      <c r="N251" s="76"/>
    </row>
    <row r="252" spans="1:14">
      <c r="A252" s="74"/>
      <c r="G252" s="27"/>
      <c r="N252" s="76"/>
    </row>
    <row r="253" spans="1:14">
      <c r="A253" s="74"/>
      <c r="N253" s="76"/>
    </row>
    <row r="254" spans="1:14">
      <c r="A254" s="74"/>
      <c r="N254" s="76"/>
    </row>
    <row r="255" spans="1:14">
      <c r="A255" s="74"/>
      <c r="N255" s="76"/>
    </row>
    <row r="256" spans="1:14">
      <c r="A256" s="74"/>
      <c r="N256" s="76"/>
    </row>
    <row r="257" spans="1:14">
      <c r="A257" s="74"/>
      <c r="N257" s="76"/>
    </row>
    <row r="258" spans="1:14">
      <c r="A258" s="74"/>
      <c r="N258" s="76"/>
    </row>
    <row r="259" spans="1:14">
      <c r="A259" s="74"/>
      <c r="N259" s="76"/>
    </row>
    <row r="260" spans="1:14">
      <c r="A260" s="74"/>
      <c r="N260" s="76"/>
    </row>
    <row r="261" spans="1:14">
      <c r="A261" s="74"/>
      <c r="N261" s="76"/>
    </row>
    <row r="262" spans="1:14">
      <c r="A262" s="74"/>
      <c r="N262" s="76"/>
    </row>
    <row r="263" spans="1:14">
      <c r="A263" s="74"/>
      <c r="N263" s="76"/>
    </row>
    <row r="264" spans="1:14">
      <c r="A264" s="74"/>
      <c r="N264" s="76"/>
    </row>
    <row r="265" spans="1:14">
      <c r="A265" s="74"/>
      <c r="N265" s="76"/>
    </row>
    <row r="266" spans="1:14">
      <c r="A266" s="74"/>
      <c r="N266" s="76"/>
    </row>
    <row r="267" spans="1:14">
      <c r="A267" s="74"/>
      <c r="N267" s="76"/>
    </row>
    <row r="268" spans="1:14">
      <c r="A268" s="74"/>
      <c r="N268" s="76"/>
    </row>
    <row r="269" spans="1:14">
      <c r="A269" s="74"/>
      <c r="N269" s="76"/>
    </row>
    <row r="270" spans="1:14">
      <c r="A270" s="74"/>
      <c r="N270" s="76"/>
    </row>
    <row r="271" spans="1:14">
      <c r="A271" s="74"/>
      <c r="N271" s="76"/>
    </row>
    <row r="272" spans="1:14">
      <c r="A272" s="74"/>
      <c r="N272" s="76"/>
    </row>
    <row r="273" spans="1:14">
      <c r="A273" s="74"/>
      <c r="N273" s="76"/>
    </row>
    <row r="274" spans="1:14">
      <c r="A274" s="74"/>
      <c r="N274" s="76"/>
    </row>
    <row r="275" spans="1:14">
      <c r="A275" s="74"/>
      <c r="N275" s="76"/>
    </row>
    <row r="276" spans="1:14">
      <c r="A276" s="74"/>
      <c r="N276" s="76"/>
    </row>
    <row r="277" spans="1:14">
      <c r="A277" s="74"/>
      <c r="N277" s="76"/>
    </row>
    <row r="278" spans="1:14">
      <c r="A278" s="74"/>
      <c r="N278" s="76"/>
    </row>
    <row r="279" spans="1:14">
      <c r="A279" s="74"/>
      <c r="N279" s="76"/>
    </row>
    <row r="280" spans="1:14">
      <c r="A280" s="74"/>
      <c r="N280" s="76"/>
    </row>
    <row r="281" spans="1:14">
      <c r="A281" s="74"/>
      <c r="N281" s="76"/>
    </row>
    <row r="282" spans="1:14">
      <c r="A282" s="74"/>
      <c r="N282" s="76"/>
    </row>
    <row r="283" spans="1:14">
      <c r="A283" s="74"/>
      <c r="N283" s="76"/>
    </row>
    <row r="284" spans="1:14">
      <c r="A284" s="74"/>
      <c r="N284" s="76"/>
    </row>
    <row r="285" spans="1:14">
      <c r="A285" s="74"/>
      <c r="N285" s="76"/>
    </row>
    <row r="286" spans="1:14">
      <c r="A286" s="74"/>
      <c r="N286" s="76"/>
    </row>
    <row r="287" spans="1:14">
      <c r="A287" s="74"/>
      <c r="N287" s="76"/>
    </row>
    <row r="288" spans="1:14">
      <c r="A288" s="74"/>
      <c r="N288" s="76"/>
    </row>
    <row r="289" spans="1:14">
      <c r="A289" s="74"/>
      <c r="N289" s="76"/>
    </row>
    <row r="290" spans="1:14">
      <c r="A290" s="74"/>
      <c r="N290" s="76"/>
    </row>
    <row r="291" spans="1:14">
      <c r="A291" s="74"/>
      <c r="N291" s="76"/>
    </row>
    <row r="292" spans="1:14">
      <c r="A292" s="74"/>
      <c r="N292" s="76"/>
    </row>
    <row r="293" spans="1:14">
      <c r="A293" s="74"/>
      <c r="N293" s="76"/>
    </row>
    <row r="294" spans="1:14">
      <c r="A294" s="74"/>
      <c r="N294" s="76"/>
    </row>
    <row r="295" spans="1:14">
      <c r="A295" s="74"/>
      <c r="N295" s="76"/>
    </row>
    <row r="296" spans="1:14">
      <c r="A296" s="74"/>
      <c r="N296" s="76"/>
    </row>
    <row r="297" spans="1:14">
      <c r="A297" s="74"/>
      <c r="N297" s="76"/>
    </row>
    <row r="298" spans="1:14">
      <c r="A298" s="74"/>
      <c r="N298" s="76"/>
    </row>
    <row r="299" spans="1:14">
      <c r="A299" s="74"/>
      <c r="N299" s="76"/>
    </row>
    <row r="300" spans="1:14">
      <c r="A300" s="74"/>
      <c r="N300" s="76"/>
    </row>
    <row r="301" spans="1:14">
      <c r="A301" s="74"/>
      <c r="N301" s="76"/>
    </row>
    <row r="302" spans="1:14">
      <c r="A302" s="74"/>
      <c r="N302" s="76"/>
    </row>
    <row r="303" spans="1:14">
      <c r="A303" s="74"/>
      <c r="N303" s="76"/>
    </row>
    <row r="304" spans="1:14">
      <c r="A304" s="74"/>
      <c r="N304" s="76"/>
    </row>
    <row r="305" spans="1:14">
      <c r="A305" s="74"/>
      <c r="N305" s="76"/>
    </row>
    <row r="306" spans="1:14">
      <c r="A306" s="74"/>
      <c r="N306" s="76"/>
    </row>
    <row r="307" spans="1:14">
      <c r="A307" s="74"/>
      <c r="N307" s="76"/>
    </row>
    <row r="308" spans="1:14">
      <c r="A308" s="74"/>
      <c r="N308" s="76"/>
    </row>
    <row r="309" spans="1:14">
      <c r="A309" s="74"/>
      <c r="N309" s="76"/>
    </row>
    <row r="310" spans="1:14">
      <c r="A310" s="74"/>
      <c r="N310" s="76"/>
    </row>
    <row r="311" spans="1:14">
      <c r="A311" s="74"/>
      <c r="N311" s="76"/>
    </row>
    <row r="312" spans="1:14">
      <c r="A312" s="74"/>
      <c r="N312" s="76"/>
    </row>
    <row r="313" spans="1:14">
      <c r="A313" s="74"/>
      <c r="N313" s="76"/>
    </row>
    <row r="314" spans="1:14">
      <c r="A314" s="74"/>
      <c r="N314" s="76"/>
    </row>
    <row r="315" spans="1:14">
      <c r="A315" s="74"/>
      <c r="N315" s="76"/>
    </row>
    <row r="316" spans="1:14">
      <c r="A316" s="74"/>
      <c r="N316" s="76"/>
    </row>
    <row r="317" spans="1:14" ht="15.75">
      <c r="A317" s="74"/>
      <c r="C317" s="77"/>
      <c r="E317" s="77"/>
      <c r="N317" s="76"/>
    </row>
    <row r="318" spans="1:14">
      <c r="A318" s="74"/>
      <c r="N318" s="76"/>
    </row>
    <row r="319" spans="1:14">
      <c r="A319" s="74"/>
      <c r="N319" s="76"/>
    </row>
    <row r="320" spans="1:14">
      <c r="A320" s="74"/>
      <c r="N320" s="76"/>
    </row>
    <row r="321" spans="1:14">
      <c r="A321" s="74"/>
      <c r="N321" s="76"/>
    </row>
    <row r="322" spans="1:14">
      <c r="A322" s="74"/>
      <c r="N322" s="76"/>
    </row>
    <row r="323" spans="1:14">
      <c r="A323" s="74"/>
      <c r="N323" s="76"/>
    </row>
    <row r="324" spans="1:14">
      <c r="A324" s="74"/>
      <c r="N324" s="76"/>
    </row>
    <row r="325" spans="1:14">
      <c r="A325" s="74"/>
      <c r="N325" s="76"/>
    </row>
    <row r="326" spans="1:14">
      <c r="A326" s="74"/>
      <c r="N326" s="76"/>
    </row>
    <row r="327" spans="1:14">
      <c r="A327" s="74"/>
      <c r="N327" s="76"/>
    </row>
    <row r="328" spans="1:14">
      <c r="A328" s="74"/>
      <c r="N328" s="76"/>
    </row>
    <row r="329" spans="1:14">
      <c r="A329" s="74"/>
      <c r="N329" s="76"/>
    </row>
    <row r="330" spans="1:14">
      <c r="A330" s="74"/>
      <c r="N330" s="76"/>
    </row>
    <row r="331" spans="1:14">
      <c r="A331" s="74"/>
      <c r="N331" s="76"/>
    </row>
    <row r="332" spans="1:14">
      <c r="A332" s="74"/>
      <c r="N332" s="76"/>
    </row>
    <row r="333" spans="1:14">
      <c r="A333" s="74"/>
      <c r="N333" s="76"/>
    </row>
    <row r="334" spans="1:14">
      <c r="A334" s="74"/>
      <c r="N334" s="76"/>
    </row>
    <row r="335" spans="1:14">
      <c r="A335" s="74"/>
      <c r="N335" s="76"/>
    </row>
    <row r="336" spans="1:14">
      <c r="A336" s="74"/>
      <c r="N336" s="76"/>
    </row>
    <row r="337" spans="1:14">
      <c r="A337" s="74"/>
      <c r="N337" s="76"/>
    </row>
    <row r="338" spans="1:14">
      <c r="A338" s="74"/>
      <c r="N338" s="76"/>
    </row>
    <row r="339" spans="1:14">
      <c r="A339" s="74"/>
      <c r="N339" s="76"/>
    </row>
    <row r="340" spans="1:14">
      <c r="A340" s="74"/>
      <c r="N340" s="76"/>
    </row>
    <row r="341" spans="1:14">
      <c r="A341" s="74"/>
      <c r="G341" s="27"/>
      <c r="N341" s="76"/>
    </row>
    <row r="342" spans="1:14">
      <c r="A342" s="74"/>
      <c r="N342" s="76"/>
    </row>
    <row r="343" spans="1:14">
      <c r="A343" s="74"/>
      <c r="N343" s="76"/>
    </row>
    <row r="344" spans="1:14">
      <c r="A344" s="74"/>
      <c r="N344" s="76"/>
    </row>
    <row r="345" spans="1:14">
      <c r="A345" s="74"/>
      <c r="N345" s="76"/>
    </row>
    <row r="346" spans="1:14">
      <c r="A346" s="74"/>
      <c r="N346" s="76"/>
    </row>
    <row r="347" spans="1:14">
      <c r="A347" s="74"/>
      <c r="I347" s="27"/>
      <c r="N347" s="76"/>
    </row>
    <row r="348" spans="1:14">
      <c r="A348" s="74"/>
      <c r="N348" s="76"/>
    </row>
    <row r="349" spans="1:14">
      <c r="A349" s="74"/>
      <c r="N349" s="76"/>
    </row>
    <row r="350" spans="1:14">
      <c r="A350" s="74"/>
      <c r="N350" s="76"/>
    </row>
    <row r="351" spans="1:14">
      <c r="A351" s="74"/>
      <c r="N351" s="76"/>
    </row>
    <row r="352" spans="1:14">
      <c r="A352" s="74"/>
      <c r="N352" s="76"/>
    </row>
    <row r="353" spans="1:14">
      <c r="A353" s="74"/>
      <c r="N353" s="76"/>
    </row>
    <row r="354" spans="1:14">
      <c r="A354" s="74"/>
      <c r="N354" s="76"/>
    </row>
    <row r="355" spans="1:14">
      <c r="A355" s="74"/>
      <c r="N355" s="76"/>
    </row>
    <row r="356" spans="1:14">
      <c r="A356" s="74"/>
      <c r="N356" s="76"/>
    </row>
    <row r="357" spans="1:14">
      <c r="A357" s="74"/>
      <c r="N357" s="76"/>
    </row>
    <row r="358" spans="1:14">
      <c r="A358" s="74"/>
      <c r="N358" s="76"/>
    </row>
    <row r="359" spans="1:14">
      <c r="A359" s="74"/>
      <c r="N359" s="76"/>
    </row>
    <row r="360" spans="1:14">
      <c r="A360" s="74"/>
      <c r="N360" s="76"/>
    </row>
    <row r="361" spans="1:14">
      <c r="A361" s="74"/>
      <c r="N361" s="76"/>
    </row>
    <row r="362" spans="1:14">
      <c r="A362" s="74"/>
      <c r="N362" s="76"/>
    </row>
    <row r="363" spans="1:14">
      <c r="A363" s="74"/>
      <c r="N363" s="76"/>
    </row>
    <row r="364" spans="1:14">
      <c r="A364" s="74"/>
      <c r="N364" s="76"/>
    </row>
    <row r="365" spans="1:14">
      <c r="A365" s="74"/>
      <c r="N365" s="76"/>
    </row>
    <row r="366" spans="1:14">
      <c r="A366" s="74"/>
      <c r="N366" s="76"/>
    </row>
    <row r="367" spans="1:14">
      <c r="A367" s="74"/>
      <c r="N367" s="76"/>
    </row>
    <row r="368" spans="1:14">
      <c r="A368" s="74"/>
      <c r="N368" s="76"/>
    </row>
    <row r="369" spans="1:14">
      <c r="A369" s="74"/>
      <c r="N369" s="76"/>
    </row>
    <row r="370" spans="1:14">
      <c r="A370" s="74"/>
      <c r="N370" s="76"/>
    </row>
    <row r="371" spans="1:14">
      <c r="A371" s="74"/>
      <c r="N371" s="76"/>
    </row>
    <row r="372" spans="1:14">
      <c r="A372" s="74"/>
      <c r="N372" s="76"/>
    </row>
    <row r="373" spans="1:14">
      <c r="A373" s="74"/>
      <c r="N373" s="76"/>
    </row>
    <row r="374" spans="1:14">
      <c r="A374" s="74"/>
      <c r="N374" s="76"/>
    </row>
    <row r="375" spans="1:14">
      <c r="A375" s="74"/>
      <c r="N375" s="76"/>
    </row>
    <row r="376" spans="1:14">
      <c r="A376" s="74"/>
      <c r="N376" s="76"/>
    </row>
    <row r="377" spans="1:14">
      <c r="A377" s="74"/>
      <c r="N377" s="76"/>
    </row>
    <row r="378" spans="1:14">
      <c r="A378" s="74"/>
      <c r="N378" s="76"/>
    </row>
    <row r="379" spans="1:14">
      <c r="A379" s="74"/>
      <c r="N379" s="76"/>
    </row>
    <row r="380" spans="1:14">
      <c r="A380" s="74"/>
      <c r="N380" s="76"/>
    </row>
    <row r="381" spans="1:14">
      <c r="A381" s="74"/>
      <c r="N381" s="76"/>
    </row>
    <row r="382" spans="1:14">
      <c r="A382" s="74"/>
      <c r="N382" s="76"/>
    </row>
    <row r="383" spans="1:14">
      <c r="A383" s="74"/>
      <c r="N383" s="76"/>
    </row>
    <row r="384" spans="1:14">
      <c r="A384" s="74"/>
      <c r="N384" s="76"/>
    </row>
    <row r="385" spans="1:14">
      <c r="A385" s="74"/>
      <c r="N385" s="76"/>
    </row>
    <row r="386" spans="1:14">
      <c r="A386" s="74"/>
      <c r="E386" s="68"/>
      <c r="N386" s="76"/>
    </row>
    <row r="387" spans="1:14">
      <c r="A387" s="74"/>
      <c r="N387" s="76"/>
    </row>
    <row r="388" spans="1:14">
      <c r="A388" s="74"/>
      <c r="N388" s="76"/>
    </row>
    <row r="389" spans="1:14">
      <c r="A389" s="74"/>
      <c r="N389" s="76"/>
    </row>
    <row r="390" spans="1:14">
      <c r="A390" s="74"/>
      <c r="N390" s="76"/>
    </row>
    <row r="391" spans="1:14">
      <c r="A391" s="74"/>
      <c r="N391" s="76"/>
    </row>
    <row r="392" spans="1:14">
      <c r="A392" s="74"/>
      <c r="N392" s="76"/>
    </row>
    <row r="393" spans="1:14">
      <c r="A393" s="74"/>
      <c r="N393" s="76"/>
    </row>
    <row r="394" spans="1:14">
      <c r="A394" s="74"/>
      <c r="N394" s="76"/>
    </row>
    <row r="395" spans="1:14">
      <c r="A395" s="74"/>
      <c r="N395" s="76"/>
    </row>
    <row r="396" spans="1:14">
      <c r="A396" s="74"/>
      <c r="N396" s="76"/>
    </row>
    <row r="397" spans="1:14">
      <c r="A397" s="74"/>
      <c r="N397" s="76"/>
    </row>
    <row r="398" spans="1:14">
      <c r="A398" s="74"/>
      <c r="N398" s="76"/>
    </row>
    <row r="399" spans="1:14">
      <c r="A399" s="74"/>
      <c r="N399" s="76"/>
    </row>
    <row r="400" spans="1:14">
      <c r="A400" s="74"/>
      <c r="N400" s="76"/>
    </row>
    <row r="401" spans="1:14">
      <c r="A401" s="74"/>
      <c r="N401" s="76"/>
    </row>
    <row r="402" spans="1:14">
      <c r="A402" s="74"/>
      <c r="N402" s="76"/>
    </row>
    <row r="403" spans="1:14">
      <c r="A403" s="74"/>
      <c r="N403" s="76"/>
    </row>
    <row r="404" spans="1:14">
      <c r="A404" s="74"/>
      <c r="N404" s="76"/>
    </row>
    <row r="405" spans="1:14">
      <c r="A405" s="74"/>
      <c r="N405" s="76"/>
    </row>
    <row r="406" spans="1:14">
      <c r="A406" s="74"/>
      <c r="N406" s="76"/>
    </row>
    <row r="407" spans="1:14">
      <c r="A407" s="74"/>
      <c r="N407" s="76"/>
    </row>
    <row r="408" spans="1:14">
      <c r="A408" s="74"/>
      <c r="N408" s="76"/>
    </row>
    <row r="409" spans="1:14">
      <c r="A409" s="74"/>
      <c r="N409" s="76"/>
    </row>
    <row r="410" spans="1:14">
      <c r="A410" s="74"/>
      <c r="N410" s="76"/>
    </row>
    <row r="411" spans="1:14">
      <c r="A411" s="74"/>
      <c r="N411" s="76"/>
    </row>
    <row r="412" spans="1:14">
      <c r="A412" s="74"/>
      <c r="N412" s="76"/>
    </row>
    <row r="413" spans="1:14">
      <c r="A413" s="74"/>
      <c r="N413" s="76"/>
    </row>
    <row r="414" spans="1:14">
      <c r="A414" s="74"/>
      <c r="N414" s="76"/>
    </row>
    <row r="415" spans="1:14">
      <c r="A415" s="74"/>
      <c r="N415" s="76"/>
    </row>
    <row r="416" spans="1:14">
      <c r="A416" s="74"/>
      <c r="N416" s="76"/>
    </row>
    <row r="417" spans="1:16">
      <c r="A417" s="74"/>
      <c r="N417" s="76"/>
    </row>
    <row r="418" spans="1:16">
      <c r="A418" s="74"/>
      <c r="N418" s="76"/>
    </row>
    <row r="419" spans="1:16">
      <c r="A419" s="74"/>
      <c r="N419" s="76"/>
    </row>
    <row r="420" spans="1:16">
      <c r="A420" s="74"/>
      <c r="N420" s="76"/>
    </row>
    <row r="421" spans="1:16">
      <c r="A421" s="74"/>
      <c r="N421" s="76"/>
    </row>
    <row r="422" spans="1:16">
      <c r="A422" s="81"/>
      <c r="F422" s="80"/>
      <c r="G422" s="80"/>
      <c r="H422" s="80"/>
      <c r="I422" s="80"/>
      <c r="J422" s="80"/>
      <c r="K422" s="80"/>
      <c r="N422" s="80"/>
      <c r="O422" s="80"/>
      <c r="P422" s="80"/>
    </row>
    <row r="423" spans="1:16">
      <c r="A423" s="81"/>
      <c r="D423" s="80"/>
      <c r="E423" s="80"/>
      <c r="F423" s="80"/>
      <c r="G423" s="80"/>
      <c r="H423" s="80"/>
      <c r="I423" s="80"/>
      <c r="J423" s="80"/>
      <c r="K423" s="80"/>
      <c r="N423" s="80"/>
      <c r="O423" s="80"/>
      <c r="P423" s="80"/>
    </row>
    <row r="424" spans="1:16">
      <c r="A424" s="81"/>
      <c r="D424" s="80"/>
      <c r="E424" s="80"/>
      <c r="F424" s="80"/>
      <c r="G424" s="80"/>
      <c r="H424" s="80"/>
      <c r="I424" s="80"/>
      <c r="J424" s="80"/>
      <c r="K424" s="80"/>
      <c r="N424" s="80"/>
      <c r="O424" s="80"/>
      <c r="P424" s="80"/>
    </row>
    <row r="425" spans="1:16" ht="15.75">
      <c r="A425" s="81"/>
      <c r="E425" s="82"/>
      <c r="G425" s="82"/>
      <c r="I425" s="83"/>
      <c r="N425" s="80"/>
      <c r="O425" s="80"/>
      <c r="P425" s="80"/>
    </row>
    <row r="426" spans="1:16" ht="15.75">
      <c r="A426" s="81"/>
      <c r="E426" s="82"/>
      <c r="G426" s="82"/>
      <c r="I426" s="83"/>
      <c r="N426" s="80"/>
      <c r="O426" s="80"/>
      <c r="P426" s="80"/>
    </row>
    <row r="427" spans="1:16" ht="15.75">
      <c r="A427" s="81"/>
      <c r="E427" s="82"/>
      <c r="G427" s="82"/>
      <c r="I427" s="83"/>
      <c r="N427" s="80"/>
      <c r="O427" s="80"/>
      <c r="P427" s="80"/>
    </row>
    <row r="428" spans="1:16" ht="15.75">
      <c r="A428" s="81"/>
      <c r="E428" s="82"/>
      <c r="G428" s="82"/>
      <c r="I428" s="83"/>
      <c r="N428" s="80"/>
      <c r="O428" s="80"/>
      <c r="P428" s="80"/>
    </row>
    <row r="429" spans="1:16" ht="15.75">
      <c r="A429" s="81"/>
      <c r="E429" s="82"/>
      <c r="G429" s="82"/>
      <c r="I429" s="83"/>
      <c r="N429" s="80"/>
      <c r="O429" s="80"/>
      <c r="P429" s="80"/>
    </row>
    <row r="430" spans="1:16" ht="15.75">
      <c r="A430" s="81"/>
      <c r="E430" s="82"/>
      <c r="G430" s="82"/>
      <c r="I430" s="83"/>
      <c r="N430" s="80"/>
      <c r="O430" s="80"/>
      <c r="P430" s="80"/>
    </row>
    <row r="431" spans="1:16" ht="15.75">
      <c r="A431" s="81"/>
      <c r="E431" s="82"/>
      <c r="G431" s="82"/>
      <c r="I431" s="83"/>
      <c r="N431" s="80"/>
      <c r="O431" s="80"/>
      <c r="P431" s="80"/>
    </row>
    <row r="432" spans="1:16" ht="15.75">
      <c r="A432" s="81"/>
      <c r="E432" s="82"/>
      <c r="G432" s="27"/>
      <c r="I432" s="83"/>
      <c r="N432" s="80"/>
      <c r="O432" s="80"/>
      <c r="P432" s="80"/>
    </row>
    <row r="433" spans="1:16" ht="15.75">
      <c r="A433" s="81"/>
      <c r="E433" s="82"/>
      <c r="G433" s="27"/>
      <c r="I433" s="83"/>
      <c r="N433" s="80"/>
      <c r="O433" s="80"/>
      <c r="P433" s="80"/>
    </row>
    <row r="434" spans="1:16" ht="15.75">
      <c r="A434" s="81"/>
      <c r="E434" s="82"/>
      <c r="G434" s="27"/>
      <c r="I434" s="83"/>
      <c r="N434" s="80"/>
      <c r="O434" s="80"/>
      <c r="P434" s="80"/>
    </row>
    <row r="435" spans="1:16" ht="15.75">
      <c r="A435" s="81"/>
      <c r="E435" s="82"/>
      <c r="G435" s="27"/>
      <c r="I435" s="83"/>
      <c r="N435" s="80"/>
      <c r="O435" s="80"/>
      <c r="P435" s="80"/>
    </row>
    <row r="436" spans="1:16" ht="15.75">
      <c r="A436" s="81"/>
      <c r="E436" s="82"/>
      <c r="G436" s="27"/>
      <c r="I436" s="83"/>
      <c r="N436" s="80"/>
      <c r="O436" s="80"/>
      <c r="P436" s="80"/>
    </row>
    <row r="437" spans="1:16" ht="15.75">
      <c r="A437" s="81"/>
      <c r="E437" s="82"/>
      <c r="G437" s="27"/>
      <c r="I437" s="83"/>
      <c r="N437" s="80"/>
      <c r="O437" s="80"/>
      <c r="P437" s="80"/>
    </row>
    <row r="438" spans="1:16" ht="15.75">
      <c r="A438" s="81"/>
      <c r="E438" s="82"/>
      <c r="G438" s="27"/>
      <c r="I438" s="83"/>
      <c r="N438" s="80"/>
      <c r="O438" s="80"/>
      <c r="P438" s="80"/>
    </row>
    <row r="439" spans="1:16" ht="15.75">
      <c r="A439" s="81"/>
      <c r="E439" s="82"/>
      <c r="G439" s="82"/>
      <c r="I439" s="83"/>
      <c r="K439" s="83"/>
      <c r="P439" s="80"/>
    </row>
    <row r="440" spans="1:16" ht="15.75">
      <c r="A440" s="81"/>
      <c r="E440" s="82"/>
      <c r="G440" s="82"/>
      <c r="I440" s="83"/>
      <c r="P440" s="80"/>
    </row>
    <row r="441" spans="1:16" ht="15.75">
      <c r="A441" s="81"/>
      <c r="E441" s="82"/>
      <c r="G441" s="82"/>
      <c r="I441" s="83"/>
      <c r="P441" s="80"/>
    </row>
    <row r="442" spans="1:16" ht="15.75">
      <c r="A442" s="81"/>
      <c r="E442" s="82"/>
      <c r="G442" s="82"/>
      <c r="I442" s="83"/>
      <c r="J442" s="80"/>
      <c r="K442" s="80"/>
      <c r="N442" s="80"/>
      <c r="O442" s="80"/>
      <c r="P442" s="80"/>
    </row>
    <row r="443" spans="1:16" ht="15.75">
      <c r="A443" s="81"/>
      <c r="E443" s="82"/>
      <c r="G443" s="82"/>
      <c r="I443" s="83"/>
      <c r="J443" s="80"/>
      <c r="K443" s="80"/>
      <c r="N443" s="80"/>
      <c r="O443" s="80"/>
      <c r="P443" s="80"/>
    </row>
    <row r="444" spans="1:16" ht="15.75">
      <c r="A444" s="81"/>
      <c r="E444" s="82"/>
      <c r="G444" s="82"/>
      <c r="I444" s="83"/>
      <c r="J444" s="80"/>
      <c r="K444" s="80"/>
      <c r="N444" s="80"/>
      <c r="O444" s="80"/>
      <c r="P444" s="80"/>
    </row>
    <row r="445" spans="1:16" ht="15.75">
      <c r="A445" s="81"/>
      <c r="E445" s="82"/>
      <c r="G445" s="82"/>
      <c r="I445" s="83"/>
      <c r="J445" s="80"/>
      <c r="K445" s="80"/>
      <c r="N445" s="80"/>
      <c r="O445" s="80"/>
      <c r="P445" s="80"/>
    </row>
    <row r="446" spans="1:16" ht="15.75">
      <c r="A446" s="81"/>
      <c r="E446" s="82"/>
      <c r="G446" s="27"/>
      <c r="I446" s="83"/>
      <c r="J446" s="80"/>
      <c r="K446" s="80"/>
      <c r="N446" s="80"/>
      <c r="O446" s="80"/>
      <c r="P446" s="80"/>
    </row>
    <row r="447" spans="1:16" ht="15.75">
      <c r="A447" s="81"/>
      <c r="E447" s="82"/>
      <c r="G447" s="27"/>
      <c r="I447" s="83"/>
      <c r="J447" s="80"/>
      <c r="K447" s="80"/>
      <c r="N447" s="80"/>
      <c r="O447" s="80"/>
      <c r="P447" s="80"/>
    </row>
    <row r="448" spans="1:16" ht="15.75">
      <c r="A448" s="81"/>
      <c r="E448" s="82"/>
      <c r="G448" s="27"/>
      <c r="I448" s="83"/>
      <c r="J448" s="80"/>
      <c r="K448" s="80"/>
      <c r="N448" s="80"/>
      <c r="O448" s="80"/>
      <c r="P448" s="80"/>
    </row>
    <row r="449" spans="1:16" ht="15.75">
      <c r="A449" s="81"/>
      <c r="E449" s="82"/>
      <c r="G449" s="27"/>
      <c r="I449" s="83"/>
      <c r="J449" s="80"/>
      <c r="K449" s="80"/>
      <c r="N449" s="80"/>
      <c r="O449" s="80"/>
      <c r="P449" s="80"/>
    </row>
    <row r="450" spans="1:16" ht="15.75">
      <c r="A450" s="81"/>
      <c r="E450" s="82"/>
      <c r="G450" s="27"/>
      <c r="I450" s="83"/>
      <c r="J450" s="80"/>
      <c r="K450" s="80"/>
      <c r="N450" s="80"/>
      <c r="O450" s="80"/>
      <c r="P450" s="80"/>
    </row>
    <row r="451" spans="1:16" ht="15.75">
      <c r="A451" s="81"/>
      <c r="E451" s="82"/>
      <c r="G451" s="27"/>
      <c r="I451" s="83"/>
      <c r="J451" s="80"/>
      <c r="K451" s="80"/>
      <c r="N451" s="80"/>
      <c r="O451" s="80"/>
      <c r="P451" s="80"/>
    </row>
    <row r="452" spans="1:16" ht="15.75">
      <c r="A452" s="81"/>
      <c r="E452" s="82"/>
      <c r="G452" s="27"/>
      <c r="I452" s="83"/>
      <c r="J452" s="80"/>
      <c r="K452" s="80"/>
      <c r="N452" s="80"/>
      <c r="O452" s="80"/>
      <c r="P452" s="80"/>
    </row>
    <row r="453" spans="1:16" ht="15.75">
      <c r="A453" s="81"/>
      <c r="E453" s="82"/>
      <c r="G453" s="82"/>
      <c r="I453" s="83"/>
      <c r="J453" s="80"/>
      <c r="K453" s="80"/>
      <c r="N453" s="80"/>
      <c r="O453" s="80"/>
      <c r="P453" s="80"/>
    </row>
    <row r="454" spans="1:16" ht="15.75">
      <c r="A454" s="81"/>
      <c r="E454" s="82"/>
      <c r="G454" s="82"/>
      <c r="I454" s="83"/>
      <c r="J454" s="80"/>
      <c r="K454" s="80"/>
      <c r="N454" s="80"/>
      <c r="O454" s="80"/>
      <c r="P454" s="80"/>
    </row>
    <row r="455" spans="1:16" ht="15.75">
      <c r="A455" s="81"/>
      <c r="E455" s="82"/>
      <c r="G455" s="82"/>
      <c r="I455" s="84"/>
      <c r="P455" s="80"/>
    </row>
    <row r="456" spans="1:16" ht="15.75">
      <c r="A456" s="81"/>
      <c r="E456" s="82"/>
      <c r="G456" s="82"/>
      <c r="I456" s="84"/>
      <c r="P456" s="80"/>
    </row>
    <row r="457" spans="1:16" ht="15.75">
      <c r="A457" s="81"/>
      <c r="E457" s="82"/>
      <c r="G457" s="82"/>
      <c r="I457" s="84"/>
      <c r="P457" s="80"/>
    </row>
    <row r="458" spans="1:16" ht="15.75">
      <c r="A458" s="81"/>
      <c r="E458" s="82"/>
      <c r="G458" s="82"/>
      <c r="I458" s="84"/>
      <c r="P458" s="80"/>
    </row>
    <row r="459" spans="1:16" ht="15.75">
      <c r="A459" s="81"/>
      <c r="E459" s="82"/>
      <c r="G459" s="82"/>
      <c r="I459" s="84"/>
      <c r="P459" s="80"/>
    </row>
    <row r="460" spans="1:16" ht="15.75">
      <c r="A460" s="81"/>
      <c r="E460" s="82"/>
      <c r="G460" s="27"/>
      <c r="I460" s="84"/>
      <c r="P460" s="80"/>
    </row>
    <row r="461" spans="1:16" ht="15.75">
      <c r="A461" s="81"/>
      <c r="E461" s="82"/>
      <c r="G461" s="27"/>
      <c r="I461" s="84"/>
      <c r="P461" s="80"/>
    </row>
    <row r="462" spans="1:16" ht="15.75">
      <c r="A462" s="81"/>
      <c r="E462" s="82"/>
      <c r="G462" s="27"/>
      <c r="I462" s="84"/>
      <c r="P462" s="80"/>
    </row>
    <row r="463" spans="1:16" ht="15.75">
      <c r="A463" s="81"/>
      <c r="E463" s="82"/>
      <c r="G463" s="27"/>
      <c r="I463" s="84"/>
      <c r="P463" s="80"/>
    </row>
    <row r="464" spans="1:16" ht="15.75">
      <c r="A464" s="81"/>
      <c r="E464" s="82"/>
      <c r="G464" s="27"/>
      <c r="I464" s="84"/>
      <c r="P464" s="80"/>
    </row>
    <row r="465" spans="1:16" ht="15.75">
      <c r="A465" s="81"/>
      <c r="E465" s="82"/>
      <c r="G465" s="27"/>
      <c r="I465" s="84"/>
      <c r="P465" s="80"/>
    </row>
    <row r="466" spans="1:16" ht="15.75">
      <c r="A466" s="81"/>
      <c r="E466" s="82"/>
      <c r="G466" s="27"/>
      <c r="I466" s="85"/>
      <c r="J466" s="80"/>
      <c r="K466" s="80"/>
      <c r="N466" s="80"/>
      <c r="O466" s="80"/>
      <c r="P466" s="80"/>
    </row>
    <row r="467" spans="1:16">
      <c r="A467" s="81"/>
      <c r="D467" s="80"/>
      <c r="G467" s="82"/>
      <c r="I467" s="82"/>
      <c r="J467" s="80"/>
      <c r="K467" s="80"/>
      <c r="N467" s="80"/>
      <c r="O467" s="80"/>
      <c r="P467" s="80"/>
    </row>
    <row r="468" spans="1:16">
      <c r="A468" s="81"/>
      <c r="D468" s="80"/>
      <c r="G468" s="82"/>
      <c r="I468" s="82"/>
      <c r="J468" s="80"/>
      <c r="K468" s="80"/>
      <c r="N468" s="80"/>
      <c r="O468" s="80"/>
      <c r="P468" s="80"/>
    </row>
    <row r="469" spans="1:16">
      <c r="A469" s="81"/>
      <c r="D469" s="80"/>
      <c r="G469" s="82"/>
      <c r="I469" s="82"/>
      <c r="J469" s="80"/>
      <c r="K469" s="80"/>
      <c r="N469" s="80"/>
      <c r="O469" s="80"/>
      <c r="P469" s="80"/>
    </row>
    <row r="470" spans="1:16">
      <c r="A470" s="81"/>
      <c r="D470" s="80"/>
      <c r="G470" s="82"/>
      <c r="I470" s="82"/>
      <c r="J470" s="80"/>
      <c r="K470" s="80"/>
      <c r="N470" s="80"/>
      <c r="O470" s="80"/>
      <c r="P470" s="80"/>
    </row>
    <row r="471" spans="1:16">
      <c r="A471" s="81"/>
      <c r="D471" s="80"/>
      <c r="G471" s="82"/>
      <c r="I471" s="82"/>
      <c r="J471" s="80"/>
      <c r="K471" s="80"/>
      <c r="N471" s="80"/>
      <c r="O471" s="80"/>
      <c r="P471" s="80"/>
    </row>
    <row r="472" spans="1:16">
      <c r="A472" s="81"/>
      <c r="D472" s="80"/>
      <c r="G472" s="82"/>
      <c r="I472" s="82"/>
      <c r="J472" s="80"/>
      <c r="K472" s="80"/>
      <c r="N472" s="80"/>
      <c r="O472" s="80"/>
      <c r="P472" s="80"/>
    </row>
    <row r="473" spans="1:16">
      <c r="A473" s="81"/>
      <c r="D473" s="80"/>
      <c r="G473" s="82"/>
      <c r="I473" s="82"/>
      <c r="J473" s="80"/>
      <c r="K473" s="80"/>
      <c r="N473" s="80"/>
      <c r="O473" s="80"/>
      <c r="P473" s="80"/>
    </row>
    <row r="474" spans="1:16">
      <c r="A474" s="81"/>
      <c r="D474" s="80"/>
      <c r="G474" s="82"/>
      <c r="I474" s="27"/>
      <c r="J474" s="80"/>
      <c r="K474" s="80"/>
      <c r="N474" s="80"/>
      <c r="O474" s="80"/>
      <c r="P474" s="80"/>
    </row>
    <row r="475" spans="1:16">
      <c r="A475" s="81"/>
      <c r="D475" s="80"/>
      <c r="G475" s="82"/>
      <c r="I475" s="27"/>
      <c r="J475" s="80"/>
      <c r="K475" s="80"/>
      <c r="N475" s="80"/>
      <c r="O475" s="80"/>
      <c r="P475" s="80"/>
    </row>
    <row r="476" spans="1:16">
      <c r="A476" s="81"/>
      <c r="D476" s="80"/>
      <c r="G476" s="82"/>
      <c r="I476" s="27"/>
      <c r="J476" s="80"/>
      <c r="K476" s="80"/>
      <c r="N476" s="80"/>
      <c r="O476" s="80"/>
      <c r="P476" s="80"/>
    </row>
    <row r="477" spans="1:16">
      <c r="A477" s="81"/>
      <c r="D477" s="80"/>
      <c r="G477" s="82"/>
      <c r="I477" s="27"/>
      <c r="J477" s="80"/>
      <c r="K477" s="80"/>
      <c r="N477" s="80"/>
      <c r="O477" s="80"/>
      <c r="P477" s="80"/>
    </row>
    <row r="478" spans="1:16">
      <c r="A478" s="81"/>
      <c r="D478" s="80"/>
      <c r="G478" s="82"/>
      <c r="I478" s="27"/>
      <c r="J478" s="80"/>
      <c r="K478" s="80"/>
      <c r="N478" s="80"/>
      <c r="O478" s="80"/>
      <c r="P478" s="80"/>
    </row>
    <row r="479" spans="1:16">
      <c r="A479" s="81"/>
      <c r="D479" s="80"/>
      <c r="G479" s="82"/>
      <c r="I479" s="27"/>
      <c r="J479" s="80"/>
      <c r="K479" s="80"/>
      <c r="N479" s="80"/>
      <c r="O479" s="80"/>
      <c r="P479" s="80"/>
    </row>
    <row r="480" spans="1:16">
      <c r="A480" s="81"/>
      <c r="D480" s="80"/>
      <c r="G480" s="82"/>
      <c r="I480" s="27"/>
      <c r="J480" s="80"/>
      <c r="K480" s="80"/>
      <c r="N480" s="80"/>
      <c r="O480" s="80"/>
      <c r="P480" s="80"/>
    </row>
    <row r="481" spans="1:16">
      <c r="A481" s="81"/>
      <c r="E481" s="27"/>
      <c r="P481" s="80"/>
    </row>
    <row r="482" spans="1:16">
      <c r="A482" s="81"/>
      <c r="E482" s="27"/>
      <c r="P482" s="80"/>
    </row>
    <row r="483" spans="1:16">
      <c r="A483" s="81"/>
      <c r="E483" s="27"/>
      <c r="P483" s="80"/>
    </row>
    <row r="484" spans="1:16">
      <c r="A484" s="81"/>
      <c r="E484" s="27"/>
      <c r="G484" s="27"/>
      <c r="I484" s="27"/>
      <c r="P484" s="80"/>
    </row>
    <row r="485" spans="1:16">
      <c r="A485" s="81"/>
      <c r="E485" s="27"/>
      <c r="G485" s="27"/>
      <c r="P485" s="80"/>
    </row>
    <row r="486" spans="1:16">
      <c r="A486" s="81"/>
      <c r="D486" s="80"/>
      <c r="E486" s="27"/>
      <c r="F486" s="80"/>
      <c r="G486" s="80"/>
      <c r="H486" s="80"/>
      <c r="I486" s="80"/>
      <c r="J486" s="80"/>
      <c r="K486" s="80"/>
      <c r="O486" s="80"/>
      <c r="P486" s="80"/>
    </row>
  </sheetData>
  <conditionalFormatting sqref="C69">
    <cfRule type="duplicateValues" dxfId="78" priority="68" stopIfTrue="1"/>
  </conditionalFormatting>
  <conditionalFormatting sqref="E70">
    <cfRule type="duplicateValues" dxfId="77" priority="67" stopIfTrue="1"/>
  </conditionalFormatting>
  <conditionalFormatting sqref="G73">
    <cfRule type="duplicateValues" dxfId="76" priority="66" stopIfTrue="1"/>
  </conditionalFormatting>
  <conditionalFormatting sqref="G96">
    <cfRule type="duplicateValues" dxfId="75" priority="65" stopIfTrue="1"/>
  </conditionalFormatting>
  <conditionalFormatting sqref="K157">
    <cfRule type="duplicateValues" dxfId="74" priority="64" stopIfTrue="1"/>
  </conditionalFormatting>
  <conditionalFormatting sqref="G158">
    <cfRule type="duplicateValues" dxfId="73" priority="63" stopIfTrue="1"/>
  </conditionalFormatting>
  <conditionalFormatting sqref="G159">
    <cfRule type="duplicateValues" dxfId="72" priority="62" stopIfTrue="1"/>
  </conditionalFormatting>
  <conditionalFormatting sqref="E160">
    <cfRule type="duplicateValues" dxfId="71" priority="61" stopIfTrue="1"/>
  </conditionalFormatting>
  <conditionalFormatting sqref="K161">
    <cfRule type="duplicateValues" dxfId="70" priority="59" stopIfTrue="1"/>
  </conditionalFormatting>
  <conditionalFormatting sqref="K162">
    <cfRule type="duplicateValues" dxfId="69" priority="58" stopIfTrue="1"/>
  </conditionalFormatting>
  <conditionalFormatting sqref="I162">
    <cfRule type="duplicateValues" dxfId="68" priority="57" stopIfTrue="1"/>
  </conditionalFormatting>
  <conditionalFormatting sqref="G164">
    <cfRule type="duplicateValues" dxfId="67" priority="53" stopIfTrue="1"/>
  </conditionalFormatting>
  <conditionalFormatting sqref="E169">
    <cfRule type="duplicateValues" dxfId="66" priority="52" stopIfTrue="1"/>
  </conditionalFormatting>
  <conditionalFormatting sqref="C171">
    <cfRule type="duplicateValues" dxfId="65" priority="51" stopIfTrue="1"/>
  </conditionalFormatting>
  <conditionalFormatting sqref="C175">
    <cfRule type="duplicateValues" dxfId="64" priority="49" stopIfTrue="1"/>
  </conditionalFormatting>
  <conditionalFormatting sqref="E108">
    <cfRule type="duplicateValues" dxfId="63" priority="46" stopIfTrue="1"/>
  </conditionalFormatting>
  <conditionalFormatting sqref="E109">
    <cfRule type="duplicateValues" dxfId="62" priority="45" stopIfTrue="1"/>
  </conditionalFormatting>
  <conditionalFormatting sqref="G110">
    <cfRule type="duplicateValues" dxfId="61" priority="44" stopIfTrue="1"/>
  </conditionalFormatting>
  <conditionalFormatting sqref="G111">
    <cfRule type="duplicateValues" dxfId="60" priority="43" stopIfTrue="1"/>
  </conditionalFormatting>
  <conditionalFormatting sqref="E112">
    <cfRule type="duplicateValues" dxfId="59" priority="42" stopIfTrue="1"/>
  </conditionalFormatting>
  <conditionalFormatting sqref="E113">
    <cfRule type="duplicateValues" dxfId="58" priority="41" stopIfTrue="1"/>
  </conditionalFormatting>
  <conditionalFormatting sqref="G165">
    <cfRule type="duplicateValues" dxfId="57" priority="40" stopIfTrue="1"/>
  </conditionalFormatting>
  <conditionalFormatting sqref="C312">
    <cfRule type="duplicateValues" dxfId="56" priority="39" stopIfTrue="1"/>
  </conditionalFormatting>
  <conditionalFormatting sqref="K312">
    <cfRule type="duplicateValues" dxfId="55" priority="38" stopIfTrue="1"/>
  </conditionalFormatting>
  <conditionalFormatting sqref="E374">
    <cfRule type="duplicateValues" dxfId="54" priority="37" stopIfTrue="1"/>
  </conditionalFormatting>
  <conditionalFormatting sqref="C176">
    <cfRule type="duplicateValues" dxfId="53" priority="36" stopIfTrue="1"/>
  </conditionalFormatting>
  <conditionalFormatting sqref="E72">
    <cfRule type="duplicateValues" dxfId="52" priority="35" stopIfTrue="1"/>
  </conditionalFormatting>
  <conditionalFormatting sqref="C72">
    <cfRule type="duplicateValues" dxfId="51" priority="34" stopIfTrue="1"/>
  </conditionalFormatting>
  <conditionalFormatting sqref="G341">
    <cfRule type="duplicateValues" dxfId="50" priority="33" stopIfTrue="1"/>
  </conditionalFormatting>
  <conditionalFormatting sqref="G252">
    <cfRule type="duplicateValues" dxfId="49" priority="31" stopIfTrue="1"/>
  </conditionalFormatting>
  <conditionalFormatting sqref="I347">
    <cfRule type="duplicateValues" dxfId="48" priority="30" stopIfTrue="1"/>
  </conditionalFormatting>
  <conditionalFormatting sqref="E97">
    <cfRule type="duplicateValues" dxfId="47" priority="29" stopIfTrue="1"/>
  </conditionalFormatting>
  <conditionalFormatting sqref="E98">
    <cfRule type="duplicateValues" dxfId="46" priority="27" stopIfTrue="1"/>
  </conditionalFormatting>
  <conditionalFormatting sqref="E386">
    <cfRule type="duplicateValues" dxfId="45" priority="26" stopIfTrue="1"/>
  </conditionalFormatting>
  <conditionalFormatting sqref="E481">
    <cfRule type="duplicateValues" dxfId="44" priority="25" stopIfTrue="1"/>
  </conditionalFormatting>
  <conditionalFormatting sqref="E482">
    <cfRule type="duplicateValues" dxfId="43" priority="24" stopIfTrue="1"/>
  </conditionalFormatting>
  <conditionalFormatting sqref="E483:E484">
    <cfRule type="duplicateValues" dxfId="42" priority="22" stopIfTrue="1"/>
  </conditionalFormatting>
  <conditionalFormatting sqref="G484">
    <cfRule type="duplicateValues" dxfId="41" priority="21" stopIfTrue="1"/>
  </conditionalFormatting>
  <conditionalFormatting sqref="I484">
    <cfRule type="duplicateValues" dxfId="40" priority="20" stopIfTrue="1"/>
  </conditionalFormatting>
  <conditionalFormatting sqref="E485">
    <cfRule type="duplicateValues" dxfId="39" priority="19" stopIfTrue="1"/>
  </conditionalFormatting>
  <conditionalFormatting sqref="G485">
    <cfRule type="duplicateValues" dxfId="38" priority="18" stopIfTrue="1"/>
  </conditionalFormatting>
  <conditionalFormatting sqref="E486">
    <cfRule type="duplicateValues" dxfId="37" priority="17" stopIfTrue="1"/>
  </conditionalFormatting>
  <conditionalFormatting sqref="E430">
    <cfRule type="duplicateValues" dxfId="36" priority="14" stopIfTrue="1"/>
  </conditionalFormatting>
  <conditionalFormatting sqref="G432:G438">
    <cfRule type="duplicateValues" dxfId="35" priority="13" stopIfTrue="1"/>
  </conditionalFormatting>
  <conditionalFormatting sqref="G446:G452">
    <cfRule type="duplicateValues" dxfId="34" priority="12" stopIfTrue="1"/>
  </conditionalFormatting>
  <conditionalFormatting sqref="G460:G466">
    <cfRule type="duplicateValues" dxfId="33" priority="11" stopIfTrue="1"/>
  </conditionalFormatting>
  <conditionalFormatting sqref="I474:I480">
    <cfRule type="duplicateValues" dxfId="32" priority="10" stopIfTrue="1"/>
  </conditionalFormatting>
  <conditionalFormatting sqref="E444">
    <cfRule type="duplicateValues" dxfId="31" priority="9" stopIfTrue="1"/>
  </conditionalFormatting>
  <conditionalFormatting sqref="E458">
    <cfRule type="duplicateValues" dxfId="30" priority="8" stopIfTrue="1"/>
  </conditionalFormatting>
  <conditionalFormatting sqref="G472">
    <cfRule type="duplicateValues" dxfId="29" priority="7" stopIfTrue="1"/>
  </conditionalFormatting>
  <dataValidations count="1">
    <dataValidation type="list" allowBlank="1" showInputMessage="1" showErrorMessage="1" sqref="L12:L486 L2:L9">
      <formula1>"Normal,Forcé"</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14:formula1>
            <xm:f>Articles!$A:$A</xm:f>
          </x14:formula1>
          <xm:sqref>H312:H351 D118:D119 D137:D138 D140 D152:D153 D168:D175 F180 D181 H192:H193 H195:H196 D210:D214 D216:D218 H219:H220 H223 D221:D222 D277:D278 D280 D309 D312:D313 D315:D317 D322:D325 D327:D328 D330:D331 D340 D352:D353 D359:D361 D302:D304 D363:D376 D379:D380 D384:D387 D392:D393 D74 D76:D84 D319 F108:F120 H101:H130 D101:D107 D122:D135 D145 F122:F144 F146 D147:D150 H132:H147 H149:H154 D155:D161 H186:H190 D185 D188 F214:F220 D228:D231 D234:D236 D238 D240 D179 D259 D261:D264 D284:D286 D290 D288 D296 D294 H225:H270 D270:D271 F245:F421 J98:J107 H157:H184 F182:F212 H198:H212 D334:D336 D244:D250 D356:D357 D43:D72 F148:F178 D225:D226 D242 F222:F243 H272:H310 H354:H377 J110:J421 H379:H421 D396:D422 H38:H99 J34:J36 F38:F106 J38:J96 D38:D41 F32:F36 J30:J31 D35:D36 D12:D15 J14 D17 D19 D21:D26 H21:H36 F20:F30 F12:F18 H16:H19 J17:J27</xm:sqref>
        </x14:dataValidation>
        <x14:dataValidation type="list" allowBlank="1" showInputMessage="1" showErrorMessage="1">
          <x14:formula1>
            <xm:f>'Objets de gestion'!$C:$C</xm:f>
          </x14:formula1>
          <xm:sqref>C102:C107 C356:C357 C345:C354 I354:I377 C296:C300 E261:E314 I272:I310 C270:C271 G245:G275 E232:E259 C242 G233:G243 G222:G231 C225:C231 C221:C223 E139:E181 G148:G178 C43:C55 C396:C486 I312:I351 C334:C336 I225:I270 C188:C213 I198:I212 E183:E220 G182:G207 C99:C100 K98:K107 G72:G106 C318:C319 C321:C325 C244:C250 E221:F221 C240 E222:E229 C238 C234:C236 C179:C181 G108:G113 C69:C72 C80:C83 C76:C77 C74 C374:C389 C273:C274 C302:C309 C367 C363 C359:C361 C340 C330:C331 C327:C328 C315:C316 C312:C313 C259:C261 C391 I223 I219:I220 C215:C218 G209:G212 I195:I196 I192:I193 C169:C176 C167 C140:C142 C393:C394 C58:C66 C257 C277:C280 C116:C127 C129:C138 I132:I145 G115:G144 E100:E137 G146 I147 C145:C161 I149:I154 K110:K155 I101:I130 I186:I190 C185 I156:I184 G214:G220 C286 C292 C294 I379:I421 K157:K421 G277:G421 E318:E422 E467:E486 G481:G483 K34:K36 C38:C41 G38:G70 K38:K96 I38:I99 C24:C26 C30 K30:K31 C35:C36 K14 C19 C2:C17 I21:I36 E21:E98 G20:G36 E12:E19 G12:G18 I16:I19 K17:K27</xm:sqref>
        </x14:dataValidation>
        <x14:dataValidation type="list" allowBlank="1" showInputMessage="1" showErrorMessage="1">
          <x14:formula1>
            <xm:f>BIB!$A$2:$A$273</xm:f>
          </x14:formula1>
          <xm:sqref>A487:C1048576</xm:sqref>
        </x14:dataValidation>
        <x14:dataValidation type="list" allowBlank="1" showInputMessage="1" showErrorMessage="1">
          <x14:formula1>
            <xm:f>'Objets de gestion'!$C$2:$C$10390</xm:f>
          </x14:formula1>
          <xm:sqref>I467:I480 E425:E466 G425:G480</xm:sqref>
        </x14:dataValidation>
        <x14:dataValidation type="list" allowBlank="1" showInputMessage="1" showErrorMessage="1">
          <x14:formula1>
            <xm:f>'Type de champ'!$B$2:$B$8</xm:f>
          </x14:formula1>
          <xm:sqref>B34:B486 B13 B17:B27 B30</xm:sqref>
        </x14:dataValidation>
        <x14:dataValidation type="list" allowBlank="1" showInputMessage="1" showErrorMessage="1">
          <x14:formula1>
            <xm:f>'\\uf11d001\EIDDIJON\App\IBIQ\04-Application\Nomenclature\[nomenclature SIAD - Copie.xlsx]Objets de gestion'!#REF!</xm:f>
          </x14:formula1>
          <xm:sqref>C28:C29 C31:C33</xm:sqref>
        </x14:dataValidation>
        <x14:dataValidation type="list" allowBlank="1" showInputMessage="1" showErrorMessage="1">
          <x14:formula1>
            <xm:f>'\\uf11d001\EIDDIJON\App\IBIQ\04-Application\Nomenclature\[nomenclature SIAD - Copie.xlsx]Type de champ'!#REF!</xm:f>
          </x14:formula1>
          <xm:sqref>B12 B14:B16 B28:B29 B31:B33</xm:sqref>
        </x14:dataValidation>
        <x14:dataValidation type="list" allowBlank="1" showInputMessage="1" showErrorMessage="1">
          <x14:formula1>
            <xm:f>BIB!$A:$A</xm:f>
          </x14:formula1>
          <xm:sqref>A12:A486 A2:A9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F2048"/>
  <sheetViews>
    <sheetView topLeftCell="A273" workbookViewId="0">
      <selection activeCell="C287" sqref="C287"/>
    </sheetView>
  </sheetViews>
  <sheetFormatPr baseColWidth="10" defaultRowHeight="15"/>
  <cols>
    <col min="1" max="1" width="13.42578125" style="38" customWidth="1"/>
    <col min="2" max="2" width="8" customWidth="1"/>
    <col min="3" max="3" width="42.7109375" bestFit="1" customWidth="1"/>
    <col min="4" max="4" width="53.85546875" bestFit="1" customWidth="1"/>
    <col min="5" max="5" width="23.85546875" customWidth="1"/>
    <col min="6" max="6" width="13" customWidth="1"/>
  </cols>
  <sheetData>
    <row r="1" spans="1:6" s="25" customFormat="1" ht="24" customHeight="1">
      <c r="A1" s="37" t="s">
        <v>67</v>
      </c>
      <c r="B1" s="24" t="s">
        <v>68</v>
      </c>
      <c r="C1" s="24" t="s">
        <v>69</v>
      </c>
      <c r="D1" s="24" t="s">
        <v>70</v>
      </c>
      <c r="E1" s="24" t="s">
        <v>71</v>
      </c>
      <c r="F1" s="24" t="s">
        <v>72</v>
      </c>
    </row>
    <row r="2" spans="1:6">
      <c r="A2" s="39">
        <v>44510</v>
      </c>
      <c r="B2" s="27"/>
      <c r="C2" s="27">
        <v>1</v>
      </c>
      <c r="D2" s="27"/>
      <c r="E2" s="27">
        <v>1</v>
      </c>
      <c r="F2" s="27">
        <v>1</v>
      </c>
    </row>
    <row r="3" spans="1:6">
      <c r="A3" s="39">
        <v>44510</v>
      </c>
      <c r="B3" s="27"/>
      <c r="C3" s="27">
        <v>2</v>
      </c>
      <c r="D3" s="27"/>
      <c r="E3" s="27">
        <v>2</v>
      </c>
      <c r="F3" s="27">
        <v>2</v>
      </c>
    </row>
    <row r="4" spans="1:6">
      <c r="A4" s="39">
        <v>44510</v>
      </c>
      <c r="B4" s="27"/>
      <c r="C4" s="27">
        <v>3</v>
      </c>
      <c r="D4" s="27"/>
      <c r="E4" s="27">
        <v>3</v>
      </c>
      <c r="F4" s="27">
        <v>3</v>
      </c>
    </row>
    <row r="5" spans="1:6">
      <c r="A5" s="39">
        <v>44510</v>
      </c>
      <c r="B5" s="27"/>
      <c r="C5" s="27">
        <v>4</v>
      </c>
      <c r="D5" s="27"/>
      <c r="E5" s="27">
        <v>4</v>
      </c>
      <c r="F5" s="27">
        <v>4</v>
      </c>
    </row>
    <row r="6" spans="1:6">
      <c r="A6" s="39">
        <v>44510</v>
      </c>
      <c r="B6" s="27"/>
      <c r="C6" s="27">
        <v>5</v>
      </c>
      <c r="D6" s="27"/>
      <c r="E6" s="27">
        <v>5</v>
      </c>
      <c r="F6" s="27">
        <v>5</v>
      </c>
    </row>
    <row r="7" spans="1:6">
      <c r="A7" s="39">
        <v>44510</v>
      </c>
      <c r="B7" s="27"/>
      <c r="C7" s="27">
        <v>6</v>
      </c>
      <c r="D7" s="27"/>
      <c r="E7" s="27">
        <v>6</v>
      </c>
      <c r="F7" s="27">
        <v>6</v>
      </c>
    </row>
    <row r="8" spans="1:6">
      <c r="A8" s="39">
        <v>44510</v>
      </c>
      <c r="B8" s="27"/>
      <c r="C8" s="27">
        <v>7</v>
      </c>
      <c r="D8" s="27"/>
      <c r="E8" s="27">
        <v>7</v>
      </c>
      <c r="F8" s="27">
        <v>7</v>
      </c>
    </row>
    <row r="9" spans="1:6" s="59" customFormat="1">
      <c r="A9" s="39">
        <v>44510</v>
      </c>
      <c r="B9" s="27"/>
      <c r="C9" s="27">
        <v>8</v>
      </c>
      <c r="D9" s="27"/>
      <c r="E9" s="27">
        <v>8</v>
      </c>
      <c r="F9" s="27">
        <v>8</v>
      </c>
    </row>
    <row r="10" spans="1:6" ht="15.75" customHeight="1">
      <c r="A10" s="39">
        <v>44510</v>
      </c>
      <c r="B10" s="27"/>
      <c r="C10" s="27">
        <v>9</v>
      </c>
      <c r="D10" s="27"/>
      <c r="E10" s="27">
        <v>9</v>
      </c>
      <c r="F10" s="27">
        <v>9</v>
      </c>
    </row>
    <row r="11" spans="1:6">
      <c r="A11" s="38">
        <v>43868</v>
      </c>
      <c r="B11" s="61"/>
      <c r="C11" s="61" t="s">
        <v>73</v>
      </c>
      <c r="D11" s="61"/>
      <c r="E11" s="61" t="s">
        <v>74</v>
      </c>
      <c r="F11" s="61" t="s">
        <v>75</v>
      </c>
    </row>
    <row r="12" spans="1:6">
      <c r="A12" s="38">
        <v>43868</v>
      </c>
      <c r="B12" s="79"/>
      <c r="C12" s="79" t="s">
        <v>76</v>
      </c>
      <c r="D12" s="79"/>
      <c r="E12" s="79" t="s">
        <v>77</v>
      </c>
      <c r="F12" s="79" t="s">
        <v>78</v>
      </c>
    </row>
    <row r="13" spans="1:6">
      <c r="A13" s="38">
        <v>43867</v>
      </c>
      <c r="C13" t="s">
        <v>79</v>
      </c>
      <c r="E13" t="s">
        <v>80</v>
      </c>
      <c r="F13" t="s">
        <v>81</v>
      </c>
    </row>
    <row r="14" spans="1:6">
      <c r="A14" s="38">
        <v>43868</v>
      </c>
      <c r="B14" s="79"/>
      <c r="C14" s="79" t="s">
        <v>82</v>
      </c>
      <c r="D14" s="79"/>
      <c r="E14" s="79" t="s">
        <v>83</v>
      </c>
      <c r="F14" s="79" t="s">
        <v>84</v>
      </c>
    </row>
    <row r="15" spans="1:6">
      <c r="A15" s="38">
        <v>43868</v>
      </c>
      <c r="B15" s="79"/>
      <c r="C15" s="79" t="s">
        <v>85</v>
      </c>
      <c r="D15" s="79"/>
      <c r="E15" s="79" t="s">
        <v>86</v>
      </c>
      <c r="F15" s="79" t="s">
        <v>87</v>
      </c>
    </row>
    <row r="16" spans="1:6">
      <c r="A16" s="38">
        <v>43392</v>
      </c>
      <c r="C16" t="s">
        <v>88</v>
      </c>
      <c r="E16" t="s">
        <v>88</v>
      </c>
      <c r="F16" t="s">
        <v>89</v>
      </c>
    </row>
    <row r="17" spans="1:6">
      <c r="A17" s="39">
        <v>44512</v>
      </c>
      <c r="B17" s="27"/>
      <c r="C17" s="27" t="s">
        <v>5944</v>
      </c>
      <c r="D17" s="27"/>
      <c r="E17" s="27"/>
      <c r="F17" s="27" t="s">
        <v>5970</v>
      </c>
    </row>
    <row r="18" spans="1:6">
      <c r="A18" s="38">
        <v>44018</v>
      </c>
      <c r="B18" s="62"/>
      <c r="C18" s="62" t="s">
        <v>90</v>
      </c>
      <c r="D18" s="62"/>
      <c r="E18" s="62" t="s">
        <v>91</v>
      </c>
      <c r="F18" s="62" t="s">
        <v>92</v>
      </c>
    </row>
    <row r="19" spans="1:6">
      <c r="A19" s="39">
        <v>44199</v>
      </c>
      <c r="B19" s="27"/>
      <c r="C19" s="27" t="s">
        <v>4547</v>
      </c>
      <c r="D19" s="27"/>
      <c r="E19" s="27" t="s">
        <v>4707</v>
      </c>
      <c r="F19" s="27" t="s">
        <v>3424</v>
      </c>
    </row>
    <row r="20" spans="1:6">
      <c r="A20" s="39">
        <v>44199</v>
      </c>
      <c r="B20" s="27"/>
      <c r="C20" s="27" t="s">
        <v>4548</v>
      </c>
      <c r="D20" s="27"/>
      <c r="E20" s="27" t="s">
        <v>3726</v>
      </c>
      <c r="F20" s="27" t="s">
        <v>3727</v>
      </c>
    </row>
    <row r="21" spans="1:6">
      <c r="A21" s="39">
        <v>44199</v>
      </c>
      <c r="B21" s="27"/>
      <c r="C21" s="27" t="s">
        <v>4549</v>
      </c>
      <c r="D21" s="27"/>
      <c r="E21" s="27" t="s">
        <v>4549</v>
      </c>
      <c r="F21" s="27" t="s">
        <v>4708</v>
      </c>
    </row>
    <row r="22" spans="1:6">
      <c r="A22" s="38">
        <v>43724</v>
      </c>
      <c r="B22" s="62"/>
      <c r="C22" s="62" t="s">
        <v>93</v>
      </c>
      <c r="D22" s="62" t="s">
        <v>94</v>
      </c>
      <c r="E22" s="62" t="s">
        <v>93</v>
      </c>
      <c r="F22" s="62" t="s">
        <v>95</v>
      </c>
    </row>
    <row r="23" spans="1:6">
      <c r="A23" s="38">
        <v>44082</v>
      </c>
      <c r="B23" s="61"/>
      <c r="C23" s="61" t="s">
        <v>97</v>
      </c>
      <c r="D23" s="61"/>
      <c r="E23" s="61" t="s">
        <v>98</v>
      </c>
      <c r="F23" s="61" t="s">
        <v>99</v>
      </c>
    </row>
    <row r="24" spans="1:6">
      <c r="A24" s="38">
        <v>44082</v>
      </c>
      <c r="C24" t="s">
        <v>100</v>
      </c>
      <c r="E24" t="s">
        <v>101</v>
      </c>
      <c r="F24" t="s">
        <v>102</v>
      </c>
    </row>
    <row r="25" spans="1:6">
      <c r="A25" s="38">
        <v>44040</v>
      </c>
      <c r="C25" t="s">
        <v>103</v>
      </c>
      <c r="E25" t="s">
        <v>103</v>
      </c>
      <c r="F25" t="s">
        <v>104</v>
      </c>
    </row>
    <row r="26" spans="1:6">
      <c r="A26" s="38">
        <v>44054</v>
      </c>
      <c r="B26" s="79"/>
      <c r="C26" s="79" t="s">
        <v>105</v>
      </c>
      <c r="D26" s="79"/>
      <c r="E26" s="79" t="s">
        <v>106</v>
      </c>
      <c r="F26" s="79" t="s">
        <v>107</v>
      </c>
    </row>
    <row r="27" spans="1:6">
      <c r="A27" s="38">
        <v>44012</v>
      </c>
      <c r="C27" t="s">
        <v>108</v>
      </c>
      <c r="E27" t="s">
        <v>109</v>
      </c>
      <c r="F27" t="s">
        <v>110</v>
      </c>
    </row>
    <row r="28" spans="1:6">
      <c r="A28" s="38">
        <v>44049</v>
      </c>
      <c r="C28" t="s">
        <v>111</v>
      </c>
      <c r="E28" t="s">
        <v>112</v>
      </c>
      <c r="F28" t="s">
        <v>113</v>
      </c>
    </row>
    <row r="29" spans="1:6">
      <c r="A29" s="38">
        <v>43719</v>
      </c>
      <c r="C29" t="s">
        <v>114</v>
      </c>
      <c r="D29" t="s">
        <v>115</v>
      </c>
      <c r="E29" t="s">
        <v>116</v>
      </c>
      <c r="F29" t="s">
        <v>117</v>
      </c>
    </row>
    <row r="30" spans="1:6">
      <c r="A30" s="38">
        <v>43721</v>
      </c>
      <c r="B30" s="79"/>
      <c r="C30" s="79" t="s">
        <v>118</v>
      </c>
      <c r="D30" s="79"/>
      <c r="E30" s="79" t="s">
        <v>119</v>
      </c>
      <c r="F30" s="79" t="s">
        <v>120</v>
      </c>
    </row>
    <row r="31" spans="1:6">
      <c r="A31" s="39">
        <v>44510</v>
      </c>
      <c r="B31" s="27"/>
      <c r="C31" s="57" t="s">
        <v>5806</v>
      </c>
      <c r="D31" s="27"/>
      <c r="E31" s="27" t="s">
        <v>5807</v>
      </c>
      <c r="F31" s="27" t="s">
        <v>6104</v>
      </c>
    </row>
    <row r="32" spans="1:6">
      <c r="A32" s="38">
        <v>43860</v>
      </c>
      <c r="B32" s="62"/>
      <c r="C32" s="62" t="s">
        <v>122</v>
      </c>
      <c r="D32" s="62"/>
      <c r="E32" s="62" t="s">
        <v>123</v>
      </c>
      <c r="F32" s="62" t="s">
        <v>124</v>
      </c>
    </row>
    <row r="33" spans="1:6">
      <c r="A33" s="38">
        <v>43448</v>
      </c>
      <c r="B33" s="79"/>
      <c r="C33" s="79" t="s">
        <v>126</v>
      </c>
      <c r="D33" s="79"/>
      <c r="E33" s="79" t="s">
        <v>126</v>
      </c>
      <c r="F33" s="79" t="s">
        <v>126</v>
      </c>
    </row>
    <row r="34" spans="1:6">
      <c r="A34" s="38">
        <v>43760</v>
      </c>
      <c r="B34" s="42"/>
      <c r="C34" s="42" t="s">
        <v>127</v>
      </c>
      <c r="D34" s="42"/>
      <c r="E34" s="42" t="s">
        <v>127</v>
      </c>
      <c r="F34" s="42" t="s">
        <v>128</v>
      </c>
    </row>
    <row r="35" spans="1:6">
      <c r="A35" s="39">
        <v>44199</v>
      </c>
      <c r="B35" s="27"/>
      <c r="C35" s="27" t="s">
        <v>4550</v>
      </c>
      <c r="D35" s="27"/>
      <c r="E35" s="27" t="s">
        <v>4550</v>
      </c>
      <c r="F35" s="27" t="s">
        <v>4709</v>
      </c>
    </row>
    <row r="36" spans="1:6">
      <c r="A36" s="38">
        <v>43740</v>
      </c>
      <c r="B36" s="79"/>
      <c r="C36" s="79" t="s">
        <v>129</v>
      </c>
      <c r="D36" s="79"/>
      <c r="E36" s="79" t="s">
        <v>130</v>
      </c>
      <c r="F36" s="79" t="s">
        <v>131</v>
      </c>
    </row>
    <row r="37" spans="1:6">
      <c r="A37" s="38">
        <v>43741</v>
      </c>
      <c r="B37" s="79"/>
      <c r="C37" s="79" t="s">
        <v>132</v>
      </c>
      <c r="D37" s="79"/>
      <c r="E37" s="79" t="s">
        <v>133</v>
      </c>
      <c r="F37" s="79" t="s">
        <v>134</v>
      </c>
    </row>
    <row r="38" spans="1:6">
      <c r="A38" s="38">
        <v>43465</v>
      </c>
      <c r="B38" s="79"/>
      <c r="C38" s="79" t="s">
        <v>135</v>
      </c>
      <c r="D38" s="79"/>
      <c r="E38" s="79" t="s">
        <v>136</v>
      </c>
      <c r="F38" s="79" t="s">
        <v>137</v>
      </c>
    </row>
    <row r="39" spans="1:6">
      <c r="A39" s="38">
        <v>43465</v>
      </c>
      <c r="C39" t="s">
        <v>138</v>
      </c>
      <c r="E39" t="s">
        <v>139</v>
      </c>
      <c r="F39" t="s">
        <v>140</v>
      </c>
    </row>
    <row r="40" spans="1:6">
      <c r="A40" s="39">
        <v>44301</v>
      </c>
      <c r="B40" s="27">
        <v>1</v>
      </c>
      <c r="C40" s="27" t="s">
        <v>5574</v>
      </c>
      <c r="D40" s="27"/>
      <c r="E40" s="27" t="s">
        <v>5575</v>
      </c>
      <c r="F40" s="27" t="s">
        <v>5576</v>
      </c>
    </row>
    <row r="41" spans="1:6">
      <c r="A41" s="38">
        <v>43448</v>
      </c>
      <c r="B41" s="62"/>
      <c r="C41" s="62" t="s">
        <v>141</v>
      </c>
      <c r="D41" s="62" t="s">
        <v>142</v>
      </c>
      <c r="E41" s="62" t="s">
        <v>143</v>
      </c>
      <c r="F41" s="62" t="s">
        <v>144</v>
      </c>
    </row>
    <row r="42" spans="1:6">
      <c r="A42" s="38">
        <v>43887</v>
      </c>
      <c r="B42" s="79"/>
      <c r="C42" s="79" t="s">
        <v>145</v>
      </c>
      <c r="D42" s="79"/>
      <c r="E42" s="79" t="s">
        <v>146</v>
      </c>
      <c r="F42" s="79" t="s">
        <v>147</v>
      </c>
    </row>
    <row r="43" spans="1:6">
      <c r="A43" s="38">
        <v>43469</v>
      </c>
      <c r="C43" t="s">
        <v>148</v>
      </c>
      <c r="E43" t="s">
        <v>149</v>
      </c>
      <c r="F43" t="s">
        <v>150</v>
      </c>
    </row>
    <row r="44" spans="1:6">
      <c r="A44" s="39">
        <v>44199</v>
      </c>
      <c r="B44" s="27"/>
      <c r="C44" s="27" t="s">
        <v>4551</v>
      </c>
      <c r="D44" s="27"/>
      <c r="E44" s="27" t="s">
        <v>4710</v>
      </c>
      <c r="F44" s="27" t="s">
        <v>4711</v>
      </c>
    </row>
    <row r="45" spans="1:6">
      <c r="A45" s="38">
        <v>44172</v>
      </c>
      <c r="B45" s="62"/>
      <c r="C45" s="62" t="s">
        <v>151</v>
      </c>
      <c r="D45" s="62"/>
      <c r="E45" s="62" t="s">
        <v>152</v>
      </c>
      <c r="F45" s="62" t="s">
        <v>153</v>
      </c>
    </row>
    <row r="46" spans="1:6">
      <c r="A46" s="38">
        <v>43608</v>
      </c>
      <c r="B46" s="79"/>
      <c r="C46" s="79" t="s">
        <v>154</v>
      </c>
      <c r="D46" s="79"/>
      <c r="E46" s="79" t="s">
        <v>154</v>
      </c>
      <c r="F46" s="79" t="s">
        <v>155</v>
      </c>
    </row>
    <row r="47" spans="1:6">
      <c r="A47" s="38">
        <v>44083</v>
      </c>
      <c r="B47" s="79"/>
      <c r="C47" s="79" t="s">
        <v>156</v>
      </c>
      <c r="D47" s="79"/>
      <c r="E47" s="79" t="s">
        <v>157</v>
      </c>
      <c r="F47" s="79" t="s">
        <v>158</v>
      </c>
    </row>
    <row r="48" spans="1:6">
      <c r="A48" s="38">
        <v>43815</v>
      </c>
      <c r="B48" s="79"/>
      <c r="C48" s="79" t="s">
        <v>159</v>
      </c>
      <c r="D48" s="79"/>
      <c r="E48" s="79" t="s">
        <v>160</v>
      </c>
      <c r="F48" s="79" t="s">
        <v>161</v>
      </c>
    </row>
    <row r="49" spans="1:6">
      <c r="A49" s="38">
        <v>43868</v>
      </c>
      <c r="B49" s="79"/>
      <c r="C49" s="79" t="s">
        <v>162</v>
      </c>
      <c r="D49" s="79"/>
      <c r="E49" s="79" t="s">
        <v>163</v>
      </c>
      <c r="F49" s="79" t="s">
        <v>164</v>
      </c>
    </row>
    <row r="50" spans="1:6">
      <c r="A50" s="38">
        <v>43384</v>
      </c>
      <c r="B50" s="53"/>
      <c r="C50" s="53" t="s">
        <v>165</v>
      </c>
      <c r="D50" s="53"/>
      <c r="E50" s="53" t="s">
        <v>166</v>
      </c>
      <c r="F50" s="53" t="s">
        <v>167</v>
      </c>
    </row>
    <row r="51" spans="1:6">
      <c r="A51" s="38">
        <v>44055</v>
      </c>
      <c r="B51" s="53"/>
      <c r="C51" s="53" t="s">
        <v>168</v>
      </c>
      <c r="D51" s="53"/>
      <c r="E51" s="53" t="s">
        <v>169</v>
      </c>
      <c r="F51" s="53" t="s">
        <v>170</v>
      </c>
    </row>
    <row r="52" spans="1:6">
      <c r="A52" s="38">
        <v>44049</v>
      </c>
      <c r="B52" s="53"/>
      <c r="C52" s="53" t="s">
        <v>171</v>
      </c>
      <c r="D52" s="53"/>
      <c r="E52" s="53" t="s">
        <v>172</v>
      </c>
      <c r="F52" s="53" t="s">
        <v>173</v>
      </c>
    </row>
    <row r="53" spans="1:6">
      <c r="A53" s="38">
        <v>44049</v>
      </c>
      <c r="B53" s="53"/>
      <c r="C53" s="53" t="s">
        <v>175</v>
      </c>
      <c r="D53" s="53"/>
      <c r="E53" s="53" t="s">
        <v>176</v>
      </c>
      <c r="F53" s="53" t="s">
        <v>177</v>
      </c>
    </row>
    <row r="54" spans="1:6">
      <c r="A54" s="39">
        <v>44510</v>
      </c>
      <c r="B54" s="27"/>
      <c r="C54" s="27" t="s">
        <v>6095</v>
      </c>
      <c r="D54" s="27" t="s">
        <v>6096</v>
      </c>
      <c r="E54" s="27" t="s">
        <v>5810</v>
      </c>
      <c r="F54" s="27" t="s">
        <v>6097</v>
      </c>
    </row>
    <row r="55" spans="1:6">
      <c r="A55" s="39">
        <v>44199</v>
      </c>
      <c r="B55" s="27"/>
      <c r="C55" s="27" t="s">
        <v>4552</v>
      </c>
      <c r="D55" s="27"/>
      <c r="E55" s="27" t="s">
        <v>1169</v>
      </c>
      <c r="F55" s="27" t="s">
        <v>1170</v>
      </c>
    </row>
    <row r="56" spans="1:6">
      <c r="A56" s="38">
        <v>43724</v>
      </c>
      <c r="B56" s="62"/>
      <c r="C56" s="62" t="s">
        <v>178</v>
      </c>
      <c r="D56" s="62"/>
      <c r="E56" s="62" t="s">
        <v>179</v>
      </c>
      <c r="F56" s="62" t="s">
        <v>180</v>
      </c>
    </row>
    <row r="57" spans="1:6">
      <c r="A57" s="38">
        <v>43724</v>
      </c>
      <c r="B57" s="61"/>
      <c r="C57" s="61" t="s">
        <v>181</v>
      </c>
      <c r="D57" s="61"/>
      <c r="E57" s="61" t="s">
        <v>181</v>
      </c>
      <c r="F57" s="61" t="s">
        <v>182</v>
      </c>
    </row>
    <row r="58" spans="1:6">
      <c r="A58" s="38">
        <v>43523</v>
      </c>
      <c r="B58" s="53"/>
      <c r="C58" s="53" t="s">
        <v>183</v>
      </c>
      <c r="D58" s="53"/>
      <c r="E58" s="53" t="s">
        <v>184</v>
      </c>
      <c r="F58" s="53" t="s">
        <v>185</v>
      </c>
    </row>
    <row r="59" spans="1:6">
      <c r="A59" s="39">
        <v>44301</v>
      </c>
      <c r="B59" s="27">
        <v>1</v>
      </c>
      <c r="C59" s="27" t="s">
        <v>5577</v>
      </c>
      <c r="D59" s="27"/>
      <c r="E59" s="27" t="s">
        <v>5578</v>
      </c>
      <c r="F59" s="27" t="s">
        <v>189</v>
      </c>
    </row>
    <row r="60" spans="1:6">
      <c r="A60" s="38">
        <v>43756</v>
      </c>
      <c r="B60" s="62"/>
      <c r="C60" s="62" t="s">
        <v>187</v>
      </c>
      <c r="D60" s="62"/>
      <c r="E60" s="62" t="s">
        <v>188</v>
      </c>
      <c r="F60" s="62" t="s">
        <v>189</v>
      </c>
    </row>
    <row r="61" spans="1:6">
      <c r="A61" s="39">
        <v>44301</v>
      </c>
      <c r="B61" s="27">
        <v>1</v>
      </c>
      <c r="C61" s="27" t="s">
        <v>5579</v>
      </c>
      <c r="D61" s="27"/>
      <c r="E61" s="27" t="s">
        <v>5580</v>
      </c>
      <c r="F61" s="27" t="s">
        <v>5581</v>
      </c>
    </row>
    <row r="62" spans="1:6">
      <c r="A62" s="38">
        <v>43755</v>
      </c>
      <c r="B62" s="79"/>
      <c r="C62" s="79" t="s">
        <v>190</v>
      </c>
      <c r="D62" s="79"/>
      <c r="E62" s="79" t="s">
        <v>191</v>
      </c>
      <c r="F62" s="79" t="s">
        <v>192</v>
      </c>
    </row>
    <row r="63" spans="1:6">
      <c r="A63" s="38">
        <v>43867</v>
      </c>
      <c r="B63" s="79"/>
      <c r="C63" s="79" t="s">
        <v>193</v>
      </c>
      <c r="D63" s="79"/>
      <c r="E63" s="79" t="s">
        <v>194</v>
      </c>
      <c r="F63" s="79" t="s">
        <v>195</v>
      </c>
    </row>
    <row r="64" spans="1:6">
      <c r="A64" s="38">
        <v>44173</v>
      </c>
      <c r="B64" s="79"/>
      <c r="C64" s="79" t="s">
        <v>196</v>
      </c>
      <c r="D64" s="79"/>
      <c r="E64" s="79" t="s">
        <v>197</v>
      </c>
      <c r="F64" s="79" t="s">
        <v>198</v>
      </c>
    </row>
    <row r="65" spans="1:6">
      <c r="A65" s="38">
        <v>43732</v>
      </c>
      <c r="B65" s="79"/>
      <c r="C65" s="79" t="s">
        <v>199</v>
      </c>
      <c r="D65" s="79" t="s">
        <v>200</v>
      </c>
      <c r="E65" s="79" t="s">
        <v>201</v>
      </c>
      <c r="F65" s="79" t="s">
        <v>202</v>
      </c>
    </row>
    <row r="66" spans="1:6">
      <c r="A66" s="38">
        <v>43732</v>
      </c>
      <c r="B66" s="79"/>
      <c r="C66" s="79" t="s">
        <v>203</v>
      </c>
      <c r="D66" s="79"/>
      <c r="E66" s="79" t="s">
        <v>204</v>
      </c>
      <c r="F66" s="79" t="s">
        <v>205</v>
      </c>
    </row>
    <row r="67" spans="1:6">
      <c r="A67" s="38">
        <v>44120</v>
      </c>
      <c r="B67" s="79"/>
      <c r="C67" s="79" t="s">
        <v>206</v>
      </c>
      <c r="D67" s="79"/>
      <c r="E67" s="79" t="s">
        <v>207</v>
      </c>
      <c r="F67" s="79" t="s">
        <v>208</v>
      </c>
    </row>
    <row r="68" spans="1:6">
      <c r="A68" s="39">
        <v>44200</v>
      </c>
      <c r="B68" s="27"/>
      <c r="C68" s="27" t="s">
        <v>4955</v>
      </c>
      <c r="D68" s="27"/>
      <c r="E68" s="27" t="s">
        <v>5129</v>
      </c>
      <c r="F68" s="27" t="s">
        <v>5293</v>
      </c>
    </row>
    <row r="69" spans="1:6">
      <c r="A69" s="39">
        <v>44200</v>
      </c>
      <c r="B69" s="27"/>
      <c r="C69" s="27" t="s">
        <v>4956</v>
      </c>
      <c r="D69" s="27"/>
      <c r="E69" s="27" t="s">
        <v>5130</v>
      </c>
      <c r="F69" s="27" t="s">
        <v>5294</v>
      </c>
    </row>
    <row r="70" spans="1:6">
      <c r="A70" s="39">
        <v>44200</v>
      </c>
      <c r="B70" s="27"/>
      <c r="C70" s="27" t="s">
        <v>4957</v>
      </c>
      <c r="D70" s="27"/>
      <c r="E70" s="27" t="s">
        <v>5131</v>
      </c>
      <c r="F70" s="27" t="s">
        <v>5295</v>
      </c>
    </row>
    <row r="71" spans="1:6">
      <c r="A71" s="39">
        <v>44200</v>
      </c>
      <c r="B71" s="27"/>
      <c r="C71" s="27" t="s">
        <v>4958</v>
      </c>
      <c r="D71" s="27"/>
      <c r="E71" s="27" t="s">
        <v>5132</v>
      </c>
      <c r="F71" s="27" t="s">
        <v>5296</v>
      </c>
    </row>
    <row r="72" spans="1:6">
      <c r="A72" s="39">
        <v>44200</v>
      </c>
      <c r="B72" s="27"/>
      <c r="C72" s="27" t="s">
        <v>4959</v>
      </c>
      <c r="D72" s="27"/>
      <c r="E72" s="27" t="s">
        <v>5133</v>
      </c>
      <c r="F72" s="27" t="s">
        <v>5297</v>
      </c>
    </row>
    <row r="73" spans="1:6">
      <c r="A73" s="39">
        <v>44200</v>
      </c>
      <c r="B73" s="27"/>
      <c r="C73" s="27" t="s">
        <v>4960</v>
      </c>
      <c r="D73" s="27"/>
      <c r="E73" s="27" t="s">
        <v>5134</v>
      </c>
      <c r="F73" s="27" t="s">
        <v>5298</v>
      </c>
    </row>
    <row r="74" spans="1:6">
      <c r="A74" s="39">
        <v>44200</v>
      </c>
      <c r="B74" s="27"/>
      <c r="C74" s="27" t="s">
        <v>4961</v>
      </c>
      <c r="D74" s="27"/>
      <c r="E74" s="27" t="s">
        <v>5135</v>
      </c>
      <c r="F74" s="27" t="s">
        <v>5299</v>
      </c>
    </row>
    <row r="75" spans="1:6">
      <c r="A75" s="39">
        <v>44200</v>
      </c>
      <c r="B75" s="27"/>
      <c r="C75" s="27" t="s">
        <v>4962</v>
      </c>
      <c r="D75" s="27"/>
      <c r="E75" s="27" t="s">
        <v>5136</v>
      </c>
      <c r="F75" s="27" t="s">
        <v>2293</v>
      </c>
    </row>
    <row r="76" spans="1:6">
      <c r="A76" s="38">
        <v>44011</v>
      </c>
      <c r="B76" s="62"/>
      <c r="C76" s="62" t="s">
        <v>209</v>
      </c>
      <c r="D76" s="62"/>
      <c r="E76" s="62" t="s">
        <v>210</v>
      </c>
      <c r="F76" s="62" t="s">
        <v>211</v>
      </c>
    </row>
    <row r="77" spans="1:6">
      <c r="A77" s="38">
        <v>44000</v>
      </c>
      <c r="B77" s="61"/>
      <c r="C77" s="61" t="s">
        <v>212</v>
      </c>
      <c r="D77" s="61"/>
      <c r="E77" s="61" t="s">
        <v>213</v>
      </c>
      <c r="F77" s="61" t="s">
        <v>214</v>
      </c>
    </row>
    <row r="78" spans="1:6">
      <c r="A78" s="39">
        <v>44301</v>
      </c>
      <c r="B78" s="27">
        <v>1</v>
      </c>
      <c r="C78" s="27" t="s">
        <v>5582</v>
      </c>
      <c r="D78" s="27"/>
      <c r="E78" s="27" t="s">
        <v>5583</v>
      </c>
      <c r="F78" s="27" t="s">
        <v>5584</v>
      </c>
    </row>
    <row r="79" spans="1:6">
      <c r="A79" s="38">
        <v>43965</v>
      </c>
      <c r="B79" s="79"/>
      <c r="C79" s="79" t="s">
        <v>215</v>
      </c>
      <c r="D79" s="79"/>
      <c r="E79" s="79" t="s">
        <v>216</v>
      </c>
      <c r="F79" s="79" t="s">
        <v>217</v>
      </c>
    </row>
    <row r="80" spans="1:6">
      <c r="A80" s="38">
        <v>44049</v>
      </c>
      <c r="B80" s="61"/>
      <c r="C80" s="61" t="s">
        <v>218</v>
      </c>
      <c r="D80" s="61"/>
      <c r="E80" s="61" t="s">
        <v>219</v>
      </c>
      <c r="F80" s="61" t="s">
        <v>220</v>
      </c>
    </row>
    <row r="81" spans="1:6">
      <c r="A81" s="39">
        <v>44199</v>
      </c>
      <c r="B81" s="27"/>
      <c r="C81" s="27" t="s">
        <v>4553</v>
      </c>
      <c r="D81" s="27"/>
      <c r="E81" s="27" t="s">
        <v>4712</v>
      </c>
      <c r="F81" s="27" t="s">
        <v>4713</v>
      </c>
    </row>
    <row r="82" spans="1:6">
      <c r="A82" s="39">
        <v>44200</v>
      </c>
      <c r="B82" s="27"/>
      <c r="C82" s="27" t="s">
        <v>4963</v>
      </c>
      <c r="D82" s="27"/>
      <c r="E82" s="27" t="s">
        <v>4963</v>
      </c>
      <c r="F82" s="27" t="s">
        <v>5300</v>
      </c>
    </row>
    <row r="83" spans="1:6" s="50" customFormat="1">
      <c r="A83" s="38">
        <v>43655</v>
      </c>
      <c r="B83" s="62"/>
      <c r="C83" s="62" t="s">
        <v>222</v>
      </c>
      <c r="D83" s="62"/>
      <c r="E83" s="62" t="s">
        <v>223</v>
      </c>
      <c r="F83" s="62" t="s">
        <v>224</v>
      </c>
    </row>
    <row r="84" spans="1:6">
      <c r="A84" s="39">
        <v>44512</v>
      </c>
      <c r="B84" s="27"/>
      <c r="C84" s="27" t="s">
        <v>5941</v>
      </c>
      <c r="D84" s="27"/>
      <c r="E84" s="27" t="s">
        <v>5942</v>
      </c>
      <c r="F84" s="27" t="s">
        <v>5943</v>
      </c>
    </row>
    <row r="85" spans="1:6">
      <c r="A85" s="38">
        <v>43867</v>
      </c>
      <c r="B85" s="62"/>
      <c r="C85" s="62" t="s">
        <v>225</v>
      </c>
      <c r="D85" s="62"/>
      <c r="E85" s="62" t="s">
        <v>226</v>
      </c>
      <c r="F85" s="62" t="s">
        <v>227</v>
      </c>
    </row>
    <row r="86" spans="1:6">
      <c r="A86" s="38">
        <v>43910</v>
      </c>
      <c r="B86" s="61"/>
      <c r="C86" s="61" t="s">
        <v>228</v>
      </c>
      <c r="D86" s="61"/>
      <c r="E86" s="61" t="s">
        <v>229</v>
      </c>
      <c r="F86" s="61" t="s">
        <v>230</v>
      </c>
    </row>
    <row r="87" spans="1:6">
      <c r="A87" s="38">
        <v>43662</v>
      </c>
      <c r="B87" s="52"/>
      <c r="C87" s="52" t="s">
        <v>231</v>
      </c>
      <c r="D87" s="52"/>
      <c r="E87" s="52" t="s">
        <v>232</v>
      </c>
      <c r="F87" s="52" t="s">
        <v>227</v>
      </c>
    </row>
    <row r="88" spans="1:6">
      <c r="A88" s="39">
        <v>44199</v>
      </c>
      <c r="B88" s="27"/>
      <c r="C88" s="27" t="s">
        <v>4554</v>
      </c>
      <c r="D88" s="27"/>
      <c r="E88" s="27" t="s">
        <v>4714</v>
      </c>
      <c r="F88" s="27" t="s">
        <v>4715</v>
      </c>
    </row>
    <row r="89" spans="1:6">
      <c r="A89" s="38">
        <v>43724</v>
      </c>
      <c r="B89" s="79"/>
      <c r="C89" s="79" t="s">
        <v>233</v>
      </c>
      <c r="D89" s="79"/>
      <c r="E89" s="79" t="s">
        <v>234</v>
      </c>
      <c r="F89" s="79" t="s">
        <v>235</v>
      </c>
    </row>
    <row r="90" spans="1:6">
      <c r="A90" s="38">
        <v>43644</v>
      </c>
      <c r="B90" s="61"/>
      <c r="C90" s="61" t="s">
        <v>236</v>
      </c>
      <c r="D90" s="61"/>
      <c r="E90" s="61" t="s">
        <v>237</v>
      </c>
      <c r="F90" s="61" t="s">
        <v>238</v>
      </c>
    </row>
    <row r="91" spans="1:6">
      <c r="A91" s="38">
        <v>43644</v>
      </c>
      <c r="B91" s="52"/>
      <c r="C91" s="52" t="s">
        <v>239</v>
      </c>
      <c r="D91" s="52"/>
      <c r="E91" s="52" t="s">
        <v>240</v>
      </c>
      <c r="F91" s="52" t="s">
        <v>241</v>
      </c>
    </row>
    <row r="92" spans="1:6">
      <c r="A92" s="38">
        <v>44019</v>
      </c>
      <c r="B92" s="79"/>
      <c r="C92" s="79" t="s">
        <v>242</v>
      </c>
      <c r="D92" s="79"/>
      <c r="E92" s="79" t="s">
        <v>243</v>
      </c>
      <c r="F92" s="79" t="s">
        <v>244</v>
      </c>
    </row>
    <row r="93" spans="1:6">
      <c r="A93" s="39">
        <v>44199</v>
      </c>
      <c r="B93" s="27"/>
      <c r="C93" s="27" t="s">
        <v>4555</v>
      </c>
      <c r="D93" s="27"/>
      <c r="E93" s="27" t="s">
        <v>4555</v>
      </c>
      <c r="F93" s="27" t="s">
        <v>4716</v>
      </c>
    </row>
    <row r="94" spans="1:6">
      <c r="A94" s="39">
        <v>44512</v>
      </c>
      <c r="B94" s="27"/>
      <c r="C94" s="27" t="s">
        <v>6035</v>
      </c>
      <c r="D94" s="27"/>
      <c r="E94" s="27" t="s">
        <v>6035</v>
      </c>
      <c r="F94" s="27" t="s">
        <v>6035</v>
      </c>
    </row>
    <row r="95" spans="1:6">
      <c r="A95" s="39">
        <v>44512</v>
      </c>
      <c r="B95" s="27"/>
      <c r="C95" s="27" t="s">
        <v>6003</v>
      </c>
      <c r="D95" s="27"/>
      <c r="E95" s="27" t="s">
        <v>6003</v>
      </c>
      <c r="F95" s="27" t="s">
        <v>6004</v>
      </c>
    </row>
    <row r="96" spans="1:6">
      <c r="A96" s="39">
        <v>44199</v>
      </c>
      <c r="B96" s="27"/>
      <c r="C96" s="27" t="s">
        <v>4556</v>
      </c>
      <c r="D96" s="27"/>
      <c r="E96" s="27" t="s">
        <v>4717</v>
      </c>
      <c r="F96" s="27" t="s">
        <v>4718</v>
      </c>
    </row>
    <row r="97" spans="1:6">
      <c r="A97" s="39">
        <v>44509</v>
      </c>
      <c r="B97" s="27"/>
      <c r="C97" s="27" t="s">
        <v>5749</v>
      </c>
      <c r="D97" s="27"/>
      <c r="E97" s="27" t="s">
        <v>5750</v>
      </c>
      <c r="F97" s="27" t="s">
        <v>5751</v>
      </c>
    </row>
    <row r="98" spans="1:6">
      <c r="A98" s="39">
        <v>44199</v>
      </c>
      <c r="B98" s="27"/>
      <c r="C98" s="27" t="s">
        <v>4557</v>
      </c>
      <c r="D98" s="27"/>
      <c r="E98" s="27" t="s">
        <v>4719</v>
      </c>
      <c r="F98" s="27" t="s">
        <v>654</v>
      </c>
    </row>
    <row r="99" spans="1:6">
      <c r="A99" s="38">
        <v>43612</v>
      </c>
      <c r="B99" s="62"/>
      <c r="C99" s="62" t="s">
        <v>245</v>
      </c>
      <c r="D99" s="62"/>
      <c r="E99" s="62" t="s">
        <v>246</v>
      </c>
      <c r="F99" s="62" t="s">
        <v>247</v>
      </c>
    </row>
    <row r="100" spans="1:6">
      <c r="A100" s="39">
        <v>44199</v>
      </c>
      <c r="B100" s="27"/>
      <c r="C100" s="27" t="s">
        <v>4558</v>
      </c>
      <c r="D100" s="27"/>
      <c r="E100" s="27" t="s">
        <v>4720</v>
      </c>
      <c r="F100" s="27" t="s">
        <v>4721</v>
      </c>
    </row>
    <row r="101" spans="1:6">
      <c r="B101" s="62"/>
      <c r="C101" s="62" t="s">
        <v>248</v>
      </c>
      <c r="D101" s="62"/>
      <c r="E101" s="62" t="s">
        <v>249</v>
      </c>
      <c r="F101" s="62" t="s">
        <v>250</v>
      </c>
    </row>
    <row r="102" spans="1:6">
      <c r="A102" s="38">
        <v>43489</v>
      </c>
      <c r="B102" s="61"/>
      <c r="C102" s="61" t="s">
        <v>251</v>
      </c>
      <c r="D102" s="61"/>
      <c r="E102" s="61" t="s">
        <v>252</v>
      </c>
      <c r="F102" s="61" t="s">
        <v>253</v>
      </c>
    </row>
    <row r="103" spans="1:6">
      <c r="A103" s="39">
        <v>44200</v>
      </c>
      <c r="B103" s="27"/>
      <c r="C103" s="27" t="s">
        <v>4964</v>
      </c>
      <c r="D103" s="27"/>
      <c r="E103" s="27" t="s">
        <v>5137</v>
      </c>
      <c r="F103" s="27" t="s">
        <v>5301</v>
      </c>
    </row>
    <row r="104" spans="1:6">
      <c r="A104" s="38">
        <v>43465</v>
      </c>
      <c r="B104" s="62"/>
      <c r="C104" s="62" t="s">
        <v>255</v>
      </c>
      <c r="D104" s="62"/>
      <c r="E104" s="62" t="s">
        <v>256</v>
      </c>
      <c r="F104" s="62" t="s">
        <v>257</v>
      </c>
    </row>
    <row r="105" spans="1:6">
      <c r="A105" s="39">
        <v>44200</v>
      </c>
      <c r="B105" s="27"/>
      <c r="C105" s="27" t="s">
        <v>4965</v>
      </c>
      <c r="D105" s="27"/>
      <c r="E105" s="27" t="s">
        <v>5138</v>
      </c>
      <c r="F105" s="27" t="s">
        <v>5302</v>
      </c>
    </row>
    <row r="106" spans="1:6">
      <c r="A106" s="38">
        <v>43700</v>
      </c>
      <c r="B106" s="62"/>
      <c r="C106" s="62" t="s">
        <v>258</v>
      </c>
      <c r="D106" s="62"/>
      <c r="E106" s="62" t="s">
        <v>259</v>
      </c>
      <c r="F106" s="62" t="s">
        <v>260</v>
      </c>
    </row>
    <row r="107" spans="1:6">
      <c r="A107" s="38">
        <v>44148</v>
      </c>
      <c r="B107" s="61"/>
      <c r="C107" s="61" t="s">
        <v>261</v>
      </c>
      <c r="D107" s="61"/>
      <c r="E107" s="61" t="s">
        <v>262</v>
      </c>
      <c r="F107" s="61" t="s">
        <v>263</v>
      </c>
    </row>
    <row r="108" spans="1:6">
      <c r="A108" s="38">
        <v>43493</v>
      </c>
      <c r="B108" s="79"/>
      <c r="C108" s="79" t="s">
        <v>264</v>
      </c>
      <c r="D108" s="79"/>
      <c r="E108" s="79" t="s">
        <v>265</v>
      </c>
      <c r="F108" s="79" t="s">
        <v>266</v>
      </c>
    </row>
    <row r="109" spans="1:6">
      <c r="A109" s="38">
        <v>43493</v>
      </c>
      <c r="B109" s="53"/>
      <c r="C109" s="53" t="s">
        <v>267</v>
      </c>
      <c r="D109" s="53"/>
      <c r="E109" s="53" t="s">
        <v>268</v>
      </c>
      <c r="F109" s="53" t="s">
        <v>269</v>
      </c>
    </row>
    <row r="110" spans="1:6">
      <c r="A110" s="39">
        <v>44200</v>
      </c>
      <c r="B110" s="27"/>
      <c r="C110" s="27" t="s">
        <v>4966</v>
      </c>
      <c r="D110" s="27"/>
      <c r="E110" s="27" t="s">
        <v>5139</v>
      </c>
      <c r="F110" s="27" t="s">
        <v>5303</v>
      </c>
    </row>
    <row r="111" spans="1:6">
      <c r="A111" s="39">
        <v>44199</v>
      </c>
      <c r="B111" s="27"/>
      <c r="C111" s="27" t="s">
        <v>4559</v>
      </c>
      <c r="D111" s="27"/>
      <c r="E111" s="27" t="s">
        <v>4722</v>
      </c>
      <c r="F111" s="27" t="s">
        <v>253</v>
      </c>
    </row>
    <row r="112" spans="1:6">
      <c r="A112" s="38">
        <v>43461</v>
      </c>
      <c r="B112" s="62"/>
      <c r="C112" s="62" t="s">
        <v>270</v>
      </c>
      <c r="D112" s="62"/>
      <c r="E112" s="62" t="s">
        <v>271</v>
      </c>
      <c r="F112" s="62" t="s">
        <v>272</v>
      </c>
    </row>
    <row r="113" spans="1:6">
      <c r="A113" s="39">
        <v>44199</v>
      </c>
      <c r="B113" s="27"/>
      <c r="C113" s="27" t="s">
        <v>4560</v>
      </c>
      <c r="D113" s="27"/>
      <c r="E113" s="27" t="s">
        <v>4723</v>
      </c>
      <c r="F113" s="27" t="s">
        <v>272</v>
      </c>
    </row>
    <row r="114" spans="1:6">
      <c r="A114" s="38">
        <v>43465</v>
      </c>
      <c r="B114" s="79"/>
      <c r="C114" s="79" t="s">
        <v>273</v>
      </c>
      <c r="D114" s="79"/>
      <c r="E114" s="79" t="s">
        <v>274</v>
      </c>
      <c r="F114" s="79" t="s">
        <v>275</v>
      </c>
    </row>
    <row r="115" spans="1:6">
      <c r="A115" s="38">
        <v>43761</v>
      </c>
      <c r="B115" s="61"/>
      <c r="C115" s="61" t="s">
        <v>276</v>
      </c>
      <c r="D115" s="61"/>
      <c r="E115" s="61" t="s">
        <v>277</v>
      </c>
      <c r="F115" s="61" t="s">
        <v>278</v>
      </c>
    </row>
    <row r="116" spans="1:6">
      <c r="A116" s="38">
        <v>44151</v>
      </c>
      <c r="C116" t="s">
        <v>279</v>
      </c>
      <c r="E116" t="s">
        <v>279</v>
      </c>
      <c r="F116" t="s">
        <v>280</v>
      </c>
    </row>
    <row r="117" spans="1:6">
      <c r="A117" s="38">
        <v>44159</v>
      </c>
      <c r="B117" s="42"/>
      <c r="C117" s="42" t="s">
        <v>281</v>
      </c>
      <c r="D117" s="42"/>
      <c r="E117" s="42" t="s">
        <v>282</v>
      </c>
      <c r="F117" s="42" t="s">
        <v>280</v>
      </c>
    </row>
    <row r="118" spans="1:6">
      <c r="A118" s="38">
        <v>43899</v>
      </c>
      <c r="B118" s="53"/>
      <c r="C118" s="53" t="s">
        <v>283</v>
      </c>
      <c r="D118" s="53"/>
      <c r="E118" s="53" t="s">
        <v>283</v>
      </c>
      <c r="F118" s="53" t="s">
        <v>284</v>
      </c>
    </row>
    <row r="119" spans="1:6">
      <c r="A119" s="38">
        <v>43899</v>
      </c>
      <c r="B119" s="79"/>
      <c r="C119" s="79" t="s">
        <v>285</v>
      </c>
      <c r="D119" s="79"/>
      <c r="E119" s="79" t="s">
        <v>285</v>
      </c>
      <c r="F119" s="79" t="s">
        <v>286</v>
      </c>
    </row>
    <row r="120" spans="1:6">
      <c r="A120" s="38">
        <v>44055</v>
      </c>
      <c r="B120" s="79"/>
      <c r="C120" s="79" t="s">
        <v>287</v>
      </c>
      <c r="D120" s="79"/>
      <c r="E120" s="79" t="s">
        <v>287</v>
      </c>
      <c r="F120" s="79" t="s">
        <v>288</v>
      </c>
    </row>
    <row r="121" spans="1:6">
      <c r="A121" s="38">
        <v>43937</v>
      </c>
      <c r="B121" s="79"/>
      <c r="C121" s="79" t="s">
        <v>289</v>
      </c>
      <c r="D121" s="79"/>
      <c r="E121" s="79" t="s">
        <v>290</v>
      </c>
      <c r="F121" s="79" t="s">
        <v>291</v>
      </c>
    </row>
    <row r="122" spans="1:6">
      <c r="A122" s="38">
        <v>44000</v>
      </c>
      <c r="B122" s="52"/>
      <c r="C122" s="52" t="s">
        <v>292</v>
      </c>
      <c r="D122" s="52"/>
      <c r="E122" s="52" t="s">
        <v>292</v>
      </c>
      <c r="F122" s="52" t="s">
        <v>293</v>
      </c>
    </row>
    <row r="123" spans="1:6" s="50" customFormat="1">
      <c r="A123" s="38">
        <v>43530</v>
      </c>
      <c r="B123"/>
      <c r="C123" t="s">
        <v>294</v>
      </c>
      <c r="D123"/>
      <c r="E123" t="s">
        <v>295</v>
      </c>
      <c r="F123" t="s">
        <v>296</v>
      </c>
    </row>
    <row r="124" spans="1:6">
      <c r="A124" s="38">
        <v>43530</v>
      </c>
      <c r="B124" s="53"/>
      <c r="C124" s="53" t="s">
        <v>297</v>
      </c>
      <c r="D124" s="53"/>
      <c r="E124" s="53" t="s">
        <v>298</v>
      </c>
      <c r="F124" s="53" t="s">
        <v>299</v>
      </c>
    </row>
    <row r="125" spans="1:6">
      <c r="A125" s="38">
        <v>44054</v>
      </c>
      <c r="C125" t="s">
        <v>300</v>
      </c>
      <c r="E125" t="s">
        <v>301</v>
      </c>
      <c r="F125" t="s">
        <v>302</v>
      </c>
    </row>
    <row r="126" spans="1:6">
      <c r="A126" s="38">
        <v>43490</v>
      </c>
      <c r="B126" s="53"/>
      <c r="C126" s="53" t="s">
        <v>303</v>
      </c>
      <c r="D126" s="53"/>
      <c r="E126" s="53" t="s">
        <v>304</v>
      </c>
      <c r="F126" s="53" t="s">
        <v>305</v>
      </c>
    </row>
    <row r="127" spans="1:6">
      <c r="A127" s="38">
        <v>44173</v>
      </c>
      <c r="B127" s="53"/>
      <c r="C127" s="53" t="s">
        <v>2847</v>
      </c>
      <c r="D127" s="53"/>
      <c r="E127" s="53" t="s">
        <v>2848</v>
      </c>
      <c r="F127" s="53" t="s">
        <v>287</v>
      </c>
    </row>
    <row r="128" spans="1:6">
      <c r="A128" s="38">
        <v>43644</v>
      </c>
      <c r="B128" s="52"/>
      <c r="C128" s="52" t="s">
        <v>306</v>
      </c>
      <c r="D128" s="52"/>
      <c r="E128" s="52" t="s">
        <v>307</v>
      </c>
      <c r="F128" s="52" t="s">
        <v>308</v>
      </c>
    </row>
    <row r="129" spans="1:6">
      <c r="A129" s="38">
        <v>43644</v>
      </c>
      <c r="B129" s="52"/>
      <c r="C129" s="52" t="s">
        <v>309</v>
      </c>
      <c r="D129" s="52" t="s">
        <v>310</v>
      </c>
      <c r="E129" s="52" t="s">
        <v>311</v>
      </c>
      <c r="F129" s="52" t="s">
        <v>312</v>
      </c>
    </row>
    <row r="130" spans="1:6">
      <c r="A130" s="38">
        <v>43644</v>
      </c>
      <c r="B130" s="53"/>
      <c r="C130" s="53" t="s">
        <v>313</v>
      </c>
      <c r="D130" s="53" t="s">
        <v>314</v>
      </c>
      <c r="E130" s="53" t="s">
        <v>315</v>
      </c>
      <c r="F130" s="53" t="s">
        <v>316</v>
      </c>
    </row>
    <row r="131" spans="1:6">
      <c r="A131" s="38">
        <v>44169</v>
      </c>
      <c r="B131" s="79"/>
      <c r="C131" s="79" t="s">
        <v>317</v>
      </c>
      <c r="D131" s="79"/>
      <c r="E131" s="79" t="s">
        <v>318</v>
      </c>
      <c r="F131" s="79" t="s">
        <v>319</v>
      </c>
    </row>
    <row r="132" spans="1:6">
      <c r="A132" s="39">
        <v>44509</v>
      </c>
      <c r="B132" s="27"/>
      <c r="C132" s="27" t="s">
        <v>5752</v>
      </c>
      <c r="D132" s="27" t="s">
        <v>5753</v>
      </c>
      <c r="E132" s="27" t="s">
        <v>5752</v>
      </c>
      <c r="F132" s="27" t="s">
        <v>2012</v>
      </c>
    </row>
    <row r="133" spans="1:6">
      <c r="A133" s="38">
        <v>43811</v>
      </c>
      <c r="B133" s="62"/>
      <c r="C133" s="62" t="s">
        <v>320</v>
      </c>
      <c r="D133" s="62"/>
      <c r="E133" s="62" t="s">
        <v>321</v>
      </c>
      <c r="F133" s="62" t="s">
        <v>322</v>
      </c>
    </row>
    <row r="134" spans="1:6">
      <c r="A134" s="38">
        <v>44081</v>
      </c>
      <c r="B134" s="59"/>
      <c r="C134" s="59" t="s">
        <v>323</v>
      </c>
      <c r="D134" s="59"/>
      <c r="E134" s="59" t="s">
        <v>324</v>
      </c>
      <c r="F134" s="59" t="s">
        <v>325</v>
      </c>
    </row>
    <row r="135" spans="1:6">
      <c r="A135" s="39">
        <v>44199</v>
      </c>
      <c r="B135" s="27"/>
      <c r="C135" s="27" t="s">
        <v>4561</v>
      </c>
      <c r="D135" s="27"/>
      <c r="E135" s="27" t="s">
        <v>4724</v>
      </c>
      <c r="F135" s="27" t="s">
        <v>4725</v>
      </c>
    </row>
    <row r="136" spans="1:6">
      <c r="A136" s="38">
        <v>44049</v>
      </c>
      <c r="B136" s="62"/>
      <c r="C136" s="62" t="s">
        <v>326</v>
      </c>
      <c r="D136" s="62"/>
      <c r="E136" s="62" t="s">
        <v>327</v>
      </c>
      <c r="F136" s="62" t="s">
        <v>328</v>
      </c>
    </row>
    <row r="137" spans="1:6">
      <c r="A137" s="38">
        <v>43725</v>
      </c>
      <c r="B137" s="61"/>
      <c r="C137" s="61" t="s">
        <v>329</v>
      </c>
      <c r="D137" s="61"/>
      <c r="E137" s="61" t="s">
        <v>330</v>
      </c>
      <c r="F137" s="61" t="s">
        <v>331</v>
      </c>
    </row>
    <row r="138" spans="1:6">
      <c r="A138" s="38">
        <v>43950</v>
      </c>
      <c r="B138" s="53"/>
      <c r="C138" s="53" t="s">
        <v>332</v>
      </c>
      <c r="D138" s="53"/>
      <c r="E138" s="53" t="s">
        <v>333</v>
      </c>
      <c r="F138" s="53" t="s">
        <v>334</v>
      </c>
    </row>
    <row r="139" spans="1:6" s="41" customFormat="1">
      <c r="A139" s="38">
        <v>43384</v>
      </c>
      <c r="B139" s="52"/>
      <c r="C139" s="52" t="s">
        <v>335</v>
      </c>
      <c r="D139" s="52"/>
      <c r="E139" s="52" t="s">
        <v>335</v>
      </c>
      <c r="F139" s="52" t="s">
        <v>336</v>
      </c>
    </row>
    <row r="140" spans="1:6">
      <c r="A140" s="38">
        <v>43868</v>
      </c>
      <c r="B140" s="53"/>
      <c r="C140" s="53" t="s">
        <v>337</v>
      </c>
      <c r="D140" s="53"/>
      <c r="E140" s="53" t="s">
        <v>338</v>
      </c>
      <c r="F140" s="53" t="s">
        <v>339</v>
      </c>
    </row>
    <row r="141" spans="1:6">
      <c r="A141" s="38">
        <v>44069</v>
      </c>
      <c r="B141" s="79"/>
      <c r="C141" s="79" t="s">
        <v>340</v>
      </c>
      <c r="D141" s="79"/>
      <c r="E141" s="79" t="s">
        <v>341</v>
      </c>
      <c r="F141" s="79" t="s">
        <v>342</v>
      </c>
    </row>
    <row r="142" spans="1:6">
      <c r="A142" s="38">
        <v>43565</v>
      </c>
      <c r="C142" t="s">
        <v>343</v>
      </c>
      <c r="E142" t="s">
        <v>344</v>
      </c>
      <c r="F142" t="s">
        <v>345</v>
      </c>
    </row>
    <row r="143" spans="1:6">
      <c r="A143" s="38">
        <v>43565</v>
      </c>
      <c r="B143" s="52"/>
      <c r="C143" s="52" t="s">
        <v>346</v>
      </c>
      <c r="D143" s="52"/>
      <c r="E143" s="52" t="s">
        <v>347</v>
      </c>
      <c r="F143" s="52" t="s">
        <v>348</v>
      </c>
    </row>
    <row r="144" spans="1:6">
      <c r="A144" s="38">
        <v>43609</v>
      </c>
      <c r="B144" s="52"/>
      <c r="C144" s="52" t="s">
        <v>349</v>
      </c>
      <c r="D144" s="52"/>
      <c r="E144" s="52" t="s">
        <v>350</v>
      </c>
      <c r="F144" s="52" t="s">
        <v>351</v>
      </c>
    </row>
    <row r="145" spans="1:6">
      <c r="A145" s="38">
        <v>43461</v>
      </c>
      <c r="B145" s="53"/>
      <c r="C145" s="53" t="s">
        <v>353</v>
      </c>
      <c r="D145" s="53"/>
      <c r="E145" s="53" t="s">
        <v>354</v>
      </c>
      <c r="F145" s="53" t="s">
        <v>355</v>
      </c>
    </row>
    <row r="146" spans="1:6">
      <c r="B146" s="79"/>
      <c r="C146" s="79" t="s">
        <v>356</v>
      </c>
      <c r="D146" s="79"/>
      <c r="E146" s="79" t="s">
        <v>357</v>
      </c>
      <c r="F146" s="79" t="s">
        <v>358</v>
      </c>
    </row>
    <row r="147" spans="1:6">
      <c r="A147" s="39">
        <v>44199</v>
      </c>
      <c r="B147" s="27"/>
      <c r="C147" s="27" t="s">
        <v>4562</v>
      </c>
      <c r="D147" s="27"/>
      <c r="E147" s="27" t="s">
        <v>4726</v>
      </c>
      <c r="F147" s="27" t="s">
        <v>4727</v>
      </c>
    </row>
    <row r="148" spans="1:6">
      <c r="A148" s="38">
        <v>44068</v>
      </c>
      <c r="B148" s="62"/>
      <c r="C148" s="62" t="s">
        <v>360</v>
      </c>
      <c r="D148" s="62"/>
      <c r="E148" s="62" t="s">
        <v>361</v>
      </c>
      <c r="F148" s="62" t="s">
        <v>362</v>
      </c>
    </row>
    <row r="149" spans="1:6">
      <c r="A149" s="38">
        <v>43761</v>
      </c>
      <c r="B149" s="61"/>
      <c r="C149" s="61" t="s">
        <v>363</v>
      </c>
      <c r="D149" s="61"/>
      <c r="E149" s="61" t="s">
        <v>364</v>
      </c>
      <c r="F149" s="61" t="s">
        <v>365</v>
      </c>
    </row>
    <row r="150" spans="1:6">
      <c r="A150" s="39">
        <v>44200</v>
      </c>
      <c r="B150" s="27"/>
      <c r="C150" s="27" t="s">
        <v>4967</v>
      </c>
      <c r="D150" s="27"/>
      <c r="E150" s="27" t="s">
        <v>5140</v>
      </c>
      <c r="F150" s="27" t="s">
        <v>5304</v>
      </c>
    </row>
    <row r="151" spans="1:6">
      <c r="A151" s="39">
        <v>44509</v>
      </c>
      <c r="B151" s="27"/>
      <c r="C151" s="27" t="s">
        <v>5766</v>
      </c>
      <c r="D151" s="27"/>
      <c r="E151" s="27" t="s">
        <v>5766</v>
      </c>
      <c r="F151" s="27" t="s">
        <v>5767</v>
      </c>
    </row>
    <row r="152" spans="1:6">
      <c r="A152" s="39">
        <v>44509</v>
      </c>
      <c r="B152" s="27"/>
      <c r="C152" s="27" t="s">
        <v>5772</v>
      </c>
      <c r="D152" s="27"/>
      <c r="E152" s="27" t="s">
        <v>5772</v>
      </c>
      <c r="F152" s="27" t="s">
        <v>5774</v>
      </c>
    </row>
    <row r="153" spans="1:6">
      <c r="A153" s="38">
        <v>43840</v>
      </c>
      <c r="B153" s="62"/>
      <c r="C153" s="62" t="s">
        <v>366</v>
      </c>
      <c r="D153" s="62"/>
      <c r="E153" s="62" t="s">
        <v>367</v>
      </c>
      <c r="F153" s="62" t="s">
        <v>368</v>
      </c>
    </row>
    <row r="154" spans="1:6">
      <c r="A154" s="38">
        <v>43587</v>
      </c>
      <c r="B154" s="61"/>
      <c r="C154" s="61" t="s">
        <v>369</v>
      </c>
      <c r="D154" s="61"/>
      <c r="E154" s="61" t="s">
        <v>370</v>
      </c>
      <c r="F154" s="61" t="s">
        <v>371</v>
      </c>
    </row>
    <row r="155" spans="1:6">
      <c r="A155" s="38">
        <v>43815</v>
      </c>
      <c r="B155" s="79"/>
      <c r="C155" s="79" t="s">
        <v>372</v>
      </c>
      <c r="D155" s="79"/>
      <c r="E155" s="79" t="s">
        <v>373</v>
      </c>
      <c r="F155" s="79" t="s">
        <v>374</v>
      </c>
    </row>
    <row r="156" spans="1:6">
      <c r="A156" s="39">
        <v>44512</v>
      </c>
      <c r="B156" s="27"/>
      <c r="C156" s="27" t="s">
        <v>6162</v>
      </c>
      <c r="D156" s="27"/>
      <c r="E156" s="27" t="s">
        <v>2017</v>
      </c>
      <c r="F156" s="54" t="s">
        <v>2018</v>
      </c>
    </row>
    <row r="157" spans="1:6">
      <c r="A157" s="39">
        <v>44199</v>
      </c>
      <c r="B157" s="27"/>
      <c r="C157" s="27" t="s">
        <v>4563</v>
      </c>
      <c r="D157" s="27"/>
      <c r="E157" s="27" t="s">
        <v>4728</v>
      </c>
      <c r="F157" s="27" t="s">
        <v>2018</v>
      </c>
    </row>
    <row r="158" spans="1:6">
      <c r="B158" s="62"/>
      <c r="C158" s="62" t="s">
        <v>375</v>
      </c>
      <c r="D158" s="62"/>
      <c r="E158" s="62" t="s">
        <v>376</v>
      </c>
      <c r="F158" s="62" t="s">
        <v>377</v>
      </c>
    </row>
    <row r="159" spans="1:6">
      <c r="A159" s="38">
        <v>43741</v>
      </c>
      <c r="B159" s="79"/>
      <c r="C159" s="79" t="s">
        <v>378</v>
      </c>
      <c r="D159" s="79"/>
      <c r="E159" s="79" t="s">
        <v>379</v>
      </c>
      <c r="F159" s="79" t="s">
        <v>380</v>
      </c>
    </row>
    <row r="160" spans="1:6">
      <c r="A160" s="39">
        <v>44294</v>
      </c>
      <c r="B160" s="27"/>
      <c r="C160" s="27" t="s">
        <v>5571</v>
      </c>
      <c r="D160" s="27"/>
      <c r="E160" s="27" t="s">
        <v>5572</v>
      </c>
      <c r="F160" s="27" t="s">
        <v>5573</v>
      </c>
    </row>
    <row r="161" spans="1:6">
      <c r="A161" s="38">
        <v>43725</v>
      </c>
      <c r="B161" s="79"/>
      <c r="C161" s="79" t="s">
        <v>381</v>
      </c>
      <c r="D161" s="79"/>
      <c r="E161" s="79" t="s">
        <v>382</v>
      </c>
      <c r="F161" s="79" t="s">
        <v>383</v>
      </c>
    </row>
    <row r="162" spans="1:6">
      <c r="A162" s="38">
        <v>43720</v>
      </c>
      <c r="B162" s="79"/>
      <c r="C162" s="79" t="s">
        <v>384</v>
      </c>
      <c r="D162" s="79"/>
      <c r="E162" s="79" t="s">
        <v>385</v>
      </c>
      <c r="F162" s="79" t="s">
        <v>386</v>
      </c>
    </row>
    <row r="163" spans="1:6">
      <c r="A163" s="38">
        <v>44062</v>
      </c>
      <c r="B163" s="52"/>
      <c r="C163" s="52" t="s">
        <v>387</v>
      </c>
      <c r="D163" s="52"/>
      <c r="E163" s="52" t="s">
        <v>388</v>
      </c>
      <c r="F163" s="52" t="s">
        <v>389</v>
      </c>
    </row>
    <row r="164" spans="1:6">
      <c r="A164" s="38">
        <v>43623</v>
      </c>
      <c r="C164" t="s">
        <v>390</v>
      </c>
      <c r="E164" t="s">
        <v>391</v>
      </c>
      <c r="F164" t="s">
        <v>392</v>
      </c>
    </row>
    <row r="165" spans="1:6">
      <c r="A165" s="38">
        <v>43720</v>
      </c>
      <c r="B165" s="79"/>
      <c r="C165" s="79" t="s">
        <v>393</v>
      </c>
      <c r="D165" s="79" t="s">
        <v>394</v>
      </c>
      <c r="E165" s="79" t="s">
        <v>395</v>
      </c>
      <c r="F165" s="79" t="s">
        <v>396</v>
      </c>
    </row>
    <row r="166" spans="1:6">
      <c r="A166" s="38">
        <v>43720</v>
      </c>
      <c r="B166" s="79"/>
      <c r="C166" s="79" t="s">
        <v>397</v>
      </c>
      <c r="D166" s="79"/>
      <c r="E166" s="79" t="s">
        <v>398</v>
      </c>
      <c r="F166" s="79" t="s">
        <v>399</v>
      </c>
    </row>
    <row r="167" spans="1:6">
      <c r="A167" s="38">
        <v>43637</v>
      </c>
      <c r="B167" s="53"/>
      <c r="C167" s="53" t="s">
        <v>400</v>
      </c>
      <c r="D167" s="53"/>
      <c r="E167" s="53" t="s">
        <v>401</v>
      </c>
      <c r="F167" s="53" t="s">
        <v>402</v>
      </c>
    </row>
    <row r="168" spans="1:6">
      <c r="A168" s="38">
        <v>43719</v>
      </c>
      <c r="B168" s="53"/>
      <c r="C168" s="53" t="s">
        <v>403</v>
      </c>
      <c r="D168" s="53"/>
      <c r="E168" s="53" t="s">
        <v>404</v>
      </c>
      <c r="F168" s="53" t="s">
        <v>405</v>
      </c>
    </row>
    <row r="169" spans="1:6">
      <c r="A169" s="38">
        <v>43719</v>
      </c>
      <c r="B169" s="53"/>
      <c r="C169" s="53" t="s">
        <v>406</v>
      </c>
      <c r="D169" s="53"/>
      <c r="E169" s="53" t="s">
        <v>407</v>
      </c>
      <c r="F169" s="53" t="s">
        <v>408</v>
      </c>
    </row>
    <row r="170" spans="1:6">
      <c r="A170" s="39">
        <v>44301</v>
      </c>
      <c r="B170" s="27">
        <v>1</v>
      </c>
      <c r="C170" s="27" t="s">
        <v>5585</v>
      </c>
      <c r="D170" s="27"/>
      <c r="E170" s="27" t="s">
        <v>5586</v>
      </c>
      <c r="F170" s="27" t="s">
        <v>5587</v>
      </c>
    </row>
    <row r="171" spans="1:6">
      <c r="A171" s="38">
        <v>43344</v>
      </c>
      <c r="B171" s="62"/>
      <c r="C171" s="62" t="s">
        <v>409</v>
      </c>
      <c r="D171" s="62"/>
      <c r="E171" s="62" t="s">
        <v>410</v>
      </c>
      <c r="F171" s="62" t="s">
        <v>411</v>
      </c>
    </row>
    <row r="172" spans="1:6">
      <c r="A172" s="38">
        <v>43517</v>
      </c>
      <c r="B172" s="61"/>
      <c r="C172" s="61" t="s">
        <v>412</v>
      </c>
      <c r="D172" s="61"/>
      <c r="E172" s="61" t="s">
        <v>413</v>
      </c>
      <c r="F172" s="61" t="s">
        <v>414</v>
      </c>
    </row>
    <row r="173" spans="1:6">
      <c r="A173" s="38">
        <v>43746</v>
      </c>
      <c r="B173" s="53"/>
      <c r="C173" s="53" t="s">
        <v>415</v>
      </c>
      <c r="D173" s="53"/>
      <c r="E173" s="53" t="s">
        <v>416</v>
      </c>
      <c r="F173" s="53" t="s">
        <v>417</v>
      </c>
    </row>
    <row r="174" spans="1:6">
      <c r="A174" s="39">
        <v>44200</v>
      </c>
      <c r="B174" s="27"/>
      <c r="C174" s="27" t="s">
        <v>4968</v>
      </c>
      <c r="D174" s="27"/>
      <c r="E174" s="27" t="s">
        <v>4472</v>
      </c>
      <c r="F174" s="27" t="s">
        <v>5305</v>
      </c>
    </row>
    <row r="175" spans="1:6">
      <c r="A175" s="38">
        <v>43613</v>
      </c>
      <c r="B175" s="62"/>
      <c r="C175" s="62" t="s">
        <v>418</v>
      </c>
      <c r="D175" s="62"/>
      <c r="E175" s="62" t="s">
        <v>419</v>
      </c>
      <c r="F175" s="62" t="s">
        <v>420</v>
      </c>
    </row>
    <row r="176" spans="1:6">
      <c r="A176" s="38">
        <v>43344</v>
      </c>
      <c r="B176" s="79"/>
      <c r="C176" s="79" t="s">
        <v>421</v>
      </c>
      <c r="D176" s="79"/>
      <c r="E176" s="79" t="s">
        <v>422</v>
      </c>
      <c r="F176" s="79" t="s">
        <v>423</v>
      </c>
    </row>
    <row r="177" spans="1:6">
      <c r="A177" s="39">
        <v>44301</v>
      </c>
      <c r="B177" s="27">
        <v>1</v>
      </c>
      <c r="C177" s="27" t="s">
        <v>5588</v>
      </c>
      <c r="D177" s="27"/>
      <c r="E177" s="27" t="s">
        <v>5589</v>
      </c>
      <c r="F177" s="27" t="s">
        <v>5590</v>
      </c>
    </row>
    <row r="178" spans="1:6">
      <c r="A178" s="39">
        <v>44512</v>
      </c>
      <c r="B178" s="27"/>
      <c r="C178" s="27" t="s">
        <v>6062</v>
      </c>
      <c r="D178" s="27"/>
      <c r="E178" s="27" t="s">
        <v>6062</v>
      </c>
      <c r="F178" s="27" t="s">
        <v>6063</v>
      </c>
    </row>
    <row r="179" spans="1:6">
      <c r="A179" s="39">
        <v>44510</v>
      </c>
      <c r="B179" s="27"/>
      <c r="C179" s="27" t="s">
        <v>5875</v>
      </c>
      <c r="D179" s="27"/>
      <c r="E179" s="27" t="s">
        <v>1675</v>
      </c>
      <c r="F179" s="27" t="s">
        <v>1676</v>
      </c>
    </row>
    <row r="180" spans="1:6">
      <c r="A180" s="38">
        <v>44172</v>
      </c>
      <c r="B180" s="62"/>
      <c r="C180" s="62" t="s">
        <v>424</v>
      </c>
      <c r="D180" s="62" t="s">
        <v>425</v>
      </c>
      <c r="E180" s="62" t="s">
        <v>426</v>
      </c>
      <c r="F180" s="62" t="s">
        <v>427</v>
      </c>
    </row>
    <row r="181" spans="1:6">
      <c r="A181" s="39">
        <v>44509</v>
      </c>
      <c r="B181" s="27"/>
      <c r="C181" s="27" t="s">
        <v>5762</v>
      </c>
      <c r="D181" s="27"/>
      <c r="E181" s="27" t="s">
        <v>5762</v>
      </c>
      <c r="F181" s="27" t="s">
        <v>5763</v>
      </c>
    </row>
    <row r="182" spans="1:6">
      <c r="A182" s="38">
        <v>44159</v>
      </c>
      <c r="B182" s="79"/>
      <c r="C182" s="79" t="s">
        <v>428</v>
      </c>
      <c r="D182" s="79"/>
      <c r="E182" s="79" t="s">
        <v>428</v>
      </c>
      <c r="F182" s="79" t="s">
        <v>429</v>
      </c>
    </row>
    <row r="183" spans="1:6">
      <c r="A183" s="38">
        <v>44159</v>
      </c>
      <c r="B183" s="61"/>
      <c r="C183" s="61" t="s">
        <v>430</v>
      </c>
      <c r="D183" s="61"/>
      <c r="E183" s="61" t="s">
        <v>431</v>
      </c>
      <c r="F183" s="61" t="s">
        <v>432</v>
      </c>
    </row>
    <row r="184" spans="1:6">
      <c r="A184" s="39">
        <v>44199</v>
      </c>
      <c r="B184" s="27"/>
      <c r="C184" s="27" t="s">
        <v>4564</v>
      </c>
      <c r="D184" s="27"/>
      <c r="E184" s="27" t="s">
        <v>4564</v>
      </c>
      <c r="F184" s="27" t="s">
        <v>4729</v>
      </c>
    </row>
    <row r="185" spans="1:6">
      <c r="A185" s="38">
        <v>43383</v>
      </c>
      <c r="B185" s="79"/>
      <c r="C185" s="79" t="s">
        <v>433</v>
      </c>
      <c r="D185" s="79"/>
      <c r="E185" s="79" t="s">
        <v>434</v>
      </c>
      <c r="F185" s="79" t="s">
        <v>435</v>
      </c>
    </row>
    <row r="186" spans="1:6">
      <c r="A186" s="38">
        <v>43724</v>
      </c>
      <c r="B186" s="79"/>
      <c r="C186" s="79" t="s">
        <v>437</v>
      </c>
      <c r="D186" s="79"/>
      <c r="E186" s="79" t="s">
        <v>438</v>
      </c>
      <c r="F186" s="79" t="s">
        <v>439</v>
      </c>
    </row>
    <row r="187" spans="1:6">
      <c r="A187" s="38">
        <v>43724</v>
      </c>
      <c r="C187" t="s">
        <v>440</v>
      </c>
      <c r="E187" t="s">
        <v>441</v>
      </c>
      <c r="F187" t="s">
        <v>442</v>
      </c>
    </row>
    <row r="188" spans="1:6">
      <c r="A188" s="38">
        <v>43391</v>
      </c>
      <c r="B188" s="79"/>
      <c r="C188" s="79" t="s">
        <v>443</v>
      </c>
      <c r="D188" s="79" t="s">
        <v>444</v>
      </c>
      <c r="E188" s="79" t="s">
        <v>445</v>
      </c>
      <c r="F188" s="79" t="s">
        <v>446</v>
      </c>
    </row>
    <row r="189" spans="1:6">
      <c r="A189" s="38">
        <v>43755</v>
      </c>
      <c r="B189" s="42"/>
      <c r="C189" s="42" t="s">
        <v>447</v>
      </c>
      <c r="D189" s="42"/>
      <c r="E189" s="42" t="s">
        <v>448</v>
      </c>
      <c r="F189" s="42" t="s">
        <v>449</v>
      </c>
    </row>
    <row r="190" spans="1:6">
      <c r="A190" s="38">
        <v>44069</v>
      </c>
      <c r="C190" t="s">
        <v>450</v>
      </c>
      <c r="E190" t="s">
        <v>451</v>
      </c>
      <c r="F190" t="s">
        <v>452</v>
      </c>
    </row>
    <row r="191" spans="1:6">
      <c r="A191" s="38">
        <v>44069</v>
      </c>
      <c r="B191" s="79"/>
      <c r="C191" s="79" t="s">
        <v>453</v>
      </c>
      <c r="D191" s="79"/>
      <c r="E191" s="79" t="s">
        <v>454</v>
      </c>
      <c r="F191" s="79" t="s">
        <v>455</v>
      </c>
    </row>
    <row r="192" spans="1:6">
      <c r="A192" s="38">
        <v>43644</v>
      </c>
      <c r="B192" s="79"/>
      <c r="C192" s="79" t="s">
        <v>456</v>
      </c>
      <c r="D192" s="79"/>
      <c r="E192" s="79" t="s">
        <v>457</v>
      </c>
      <c r="F192" s="79" t="s">
        <v>458</v>
      </c>
    </row>
    <row r="193" spans="1:6">
      <c r="A193" s="38">
        <v>43756</v>
      </c>
      <c r="B193" s="52"/>
      <c r="C193" s="52" t="s">
        <v>459</v>
      </c>
      <c r="D193" s="52"/>
      <c r="E193" s="52" t="s">
        <v>460</v>
      </c>
      <c r="F193" s="52" t="s">
        <v>461</v>
      </c>
    </row>
    <row r="194" spans="1:6">
      <c r="A194" s="38">
        <v>43822</v>
      </c>
      <c r="B194" s="53"/>
      <c r="C194" s="53" t="s">
        <v>462</v>
      </c>
      <c r="D194" s="53"/>
      <c r="E194" s="53" t="s">
        <v>463</v>
      </c>
      <c r="F194" s="53" t="s">
        <v>464</v>
      </c>
    </row>
    <row r="195" spans="1:6">
      <c r="A195" s="38">
        <v>43644</v>
      </c>
      <c r="B195" s="53"/>
      <c r="C195" s="53" t="s">
        <v>465</v>
      </c>
      <c r="D195" s="53"/>
      <c r="E195" s="53" t="s">
        <v>466</v>
      </c>
      <c r="F195" s="53" t="s">
        <v>467</v>
      </c>
    </row>
    <row r="196" spans="1:6">
      <c r="A196" s="38">
        <v>43725</v>
      </c>
      <c r="B196" s="79"/>
      <c r="C196" s="79" t="s">
        <v>468</v>
      </c>
      <c r="D196" s="79"/>
      <c r="E196" s="79" t="s">
        <v>469</v>
      </c>
      <c r="F196" s="79" t="s">
        <v>470</v>
      </c>
    </row>
    <row r="197" spans="1:6">
      <c r="A197" s="38">
        <v>44139</v>
      </c>
      <c r="B197" s="53"/>
      <c r="C197" s="53" t="s">
        <v>471</v>
      </c>
      <c r="D197" s="53"/>
      <c r="E197" s="53" t="s">
        <v>472</v>
      </c>
      <c r="F197" s="53" t="s">
        <v>473</v>
      </c>
    </row>
    <row r="198" spans="1:6">
      <c r="A198" s="39">
        <v>44199</v>
      </c>
      <c r="B198" s="27"/>
      <c r="C198" s="27" t="s">
        <v>4565</v>
      </c>
      <c r="D198" s="27"/>
      <c r="E198" s="27" t="s">
        <v>4565</v>
      </c>
      <c r="F198" s="27" t="s">
        <v>4730</v>
      </c>
    </row>
    <row r="199" spans="1:6">
      <c r="A199" s="38">
        <v>44040</v>
      </c>
      <c r="B199" s="62"/>
      <c r="C199" s="62" t="s">
        <v>474</v>
      </c>
      <c r="D199" s="62"/>
      <c r="E199" s="62" t="s">
        <v>475</v>
      </c>
      <c r="F199" s="62" t="s">
        <v>476</v>
      </c>
    </row>
    <row r="200" spans="1:6">
      <c r="A200" s="38">
        <v>43732</v>
      </c>
      <c r="B200" s="79"/>
      <c r="C200" s="79" t="s">
        <v>477</v>
      </c>
      <c r="D200" s="79"/>
      <c r="E200" s="79" t="s">
        <v>478</v>
      </c>
      <c r="F200" s="79" t="s">
        <v>479</v>
      </c>
    </row>
    <row r="201" spans="1:6">
      <c r="A201" s="38">
        <v>44029</v>
      </c>
      <c r="B201" s="53"/>
      <c r="C201" s="53" t="s">
        <v>480</v>
      </c>
      <c r="D201" s="53"/>
      <c r="E201" s="53" t="s">
        <v>481</v>
      </c>
      <c r="F201" s="53" t="s">
        <v>482</v>
      </c>
    </row>
    <row r="202" spans="1:6">
      <c r="A202" s="38">
        <v>44159</v>
      </c>
      <c r="B202" s="52"/>
      <c r="C202" s="52" t="s">
        <v>483</v>
      </c>
      <c r="D202" s="52"/>
      <c r="E202" s="52" t="s">
        <v>484</v>
      </c>
      <c r="F202" s="52" t="s">
        <v>485</v>
      </c>
    </row>
    <row r="203" spans="1:6">
      <c r="A203" s="38">
        <v>43893</v>
      </c>
      <c r="B203" s="53"/>
      <c r="C203" s="53" t="s">
        <v>486</v>
      </c>
      <c r="D203" s="53" t="s">
        <v>487</v>
      </c>
      <c r="E203" s="53" t="s">
        <v>486</v>
      </c>
      <c r="F203" s="53" t="s">
        <v>488</v>
      </c>
    </row>
    <row r="204" spans="1:6">
      <c r="A204" s="38">
        <v>43612</v>
      </c>
      <c r="B204" s="53"/>
      <c r="C204" s="53" t="s">
        <v>489</v>
      </c>
      <c r="D204" s="53"/>
      <c r="E204" s="53" t="s">
        <v>490</v>
      </c>
      <c r="F204" s="53" t="s">
        <v>491</v>
      </c>
    </row>
    <row r="205" spans="1:6">
      <c r="A205" s="38">
        <v>43724</v>
      </c>
      <c r="B205" s="53"/>
      <c r="C205" s="53" t="s">
        <v>492</v>
      </c>
      <c r="D205" s="53" t="s">
        <v>493</v>
      </c>
      <c r="E205" s="53" t="s">
        <v>494</v>
      </c>
      <c r="F205" s="53" t="s">
        <v>495</v>
      </c>
    </row>
    <row r="206" spans="1:6">
      <c r="A206" s="38">
        <v>44043</v>
      </c>
      <c r="B206" s="53"/>
      <c r="C206" s="53" t="s">
        <v>496</v>
      </c>
      <c r="D206" s="53"/>
      <c r="E206" s="53" t="s">
        <v>497</v>
      </c>
      <c r="F206" s="53" t="s">
        <v>498</v>
      </c>
    </row>
    <row r="207" spans="1:6">
      <c r="A207" s="39">
        <v>44301</v>
      </c>
      <c r="B207" s="27">
        <v>1</v>
      </c>
      <c r="C207" s="27" t="s">
        <v>5591</v>
      </c>
      <c r="D207" s="27"/>
      <c r="E207" s="27" t="s">
        <v>5592</v>
      </c>
      <c r="F207" s="27" t="s">
        <v>5593</v>
      </c>
    </row>
    <row r="208" spans="1:6">
      <c r="A208" s="38">
        <v>43993</v>
      </c>
      <c r="B208" s="62"/>
      <c r="C208" s="62" t="s">
        <v>499</v>
      </c>
      <c r="D208" s="62"/>
      <c r="E208" s="62" t="s">
        <v>500</v>
      </c>
      <c r="F208" s="62" t="s">
        <v>501</v>
      </c>
    </row>
    <row r="209" spans="1:6">
      <c r="A209" s="38">
        <v>44039</v>
      </c>
      <c r="B209" s="61"/>
      <c r="C209" s="61" t="s">
        <v>502</v>
      </c>
      <c r="D209" s="61"/>
      <c r="E209" s="61" t="s">
        <v>503</v>
      </c>
      <c r="F209" s="61" t="s">
        <v>504</v>
      </c>
    </row>
    <row r="210" spans="1:6">
      <c r="A210" s="38">
        <v>44039</v>
      </c>
      <c r="B210" s="52"/>
      <c r="C210" s="52" t="s">
        <v>505</v>
      </c>
      <c r="D210" s="52"/>
      <c r="E210" s="52" t="s">
        <v>506</v>
      </c>
      <c r="F210" s="52" t="s">
        <v>507</v>
      </c>
    </row>
    <row r="211" spans="1:6">
      <c r="A211" s="38">
        <v>43465</v>
      </c>
      <c r="B211" s="53"/>
      <c r="C211" s="53" t="s">
        <v>508</v>
      </c>
      <c r="D211" s="53"/>
      <c r="E211" s="53" t="s">
        <v>509</v>
      </c>
      <c r="F211" s="53" t="s">
        <v>510</v>
      </c>
    </row>
    <row r="212" spans="1:6">
      <c r="A212" s="38">
        <v>43390</v>
      </c>
      <c r="B212" s="79"/>
      <c r="C212" s="79" t="s">
        <v>511</v>
      </c>
      <c r="D212" s="79" t="s">
        <v>512</v>
      </c>
      <c r="E212" s="79" t="s">
        <v>511</v>
      </c>
      <c r="F212" s="79" t="s">
        <v>511</v>
      </c>
    </row>
    <row r="213" spans="1:6">
      <c r="A213" s="38">
        <v>44011</v>
      </c>
      <c r="B213" s="53"/>
      <c r="C213" s="53" t="s">
        <v>513</v>
      </c>
      <c r="D213" s="53"/>
      <c r="E213" s="53" t="s">
        <v>514</v>
      </c>
      <c r="F213" s="53" t="s">
        <v>515</v>
      </c>
    </row>
    <row r="214" spans="1:6">
      <c r="A214" s="38">
        <v>44091</v>
      </c>
      <c r="B214" s="53"/>
      <c r="C214" s="53" t="s">
        <v>516</v>
      </c>
      <c r="D214" s="53" t="s">
        <v>517</v>
      </c>
      <c r="E214" s="53" t="s">
        <v>518</v>
      </c>
      <c r="F214" s="53" t="s">
        <v>519</v>
      </c>
    </row>
    <row r="215" spans="1:6">
      <c r="A215" s="39">
        <v>44199</v>
      </c>
      <c r="B215" s="27"/>
      <c r="C215" s="27" t="s">
        <v>4566</v>
      </c>
      <c r="D215" s="27"/>
      <c r="E215" s="27" t="s">
        <v>4566</v>
      </c>
      <c r="F215" s="27" t="s">
        <v>4566</v>
      </c>
    </row>
    <row r="216" spans="1:6">
      <c r="A216" s="38">
        <v>44111</v>
      </c>
      <c r="B216" s="62"/>
      <c r="C216" s="62" t="s">
        <v>520</v>
      </c>
      <c r="D216" s="62"/>
      <c r="E216" s="62" t="s">
        <v>521</v>
      </c>
      <c r="F216" s="62" t="s">
        <v>522</v>
      </c>
    </row>
    <row r="217" spans="1:6">
      <c r="A217" s="38">
        <v>44120</v>
      </c>
      <c r="B217" s="61"/>
      <c r="C217" s="61" t="s">
        <v>523</v>
      </c>
      <c r="D217" s="61"/>
      <c r="E217" s="61" t="s">
        <v>524</v>
      </c>
      <c r="F217" s="61" t="s">
        <v>525</v>
      </c>
    </row>
    <row r="218" spans="1:6">
      <c r="A218" s="38">
        <v>43739</v>
      </c>
      <c r="B218" s="79"/>
      <c r="C218" s="79" t="s">
        <v>526</v>
      </c>
      <c r="D218" s="79"/>
      <c r="E218" s="79" t="s">
        <v>527</v>
      </c>
      <c r="F218" s="79" t="s">
        <v>528</v>
      </c>
    </row>
    <row r="219" spans="1:6">
      <c r="A219" s="38">
        <v>43998</v>
      </c>
      <c r="B219" s="53"/>
      <c r="C219" s="53" t="s">
        <v>529</v>
      </c>
      <c r="D219" s="53"/>
      <c r="E219" s="53" t="s">
        <v>530</v>
      </c>
      <c r="F219" s="53" t="s">
        <v>531</v>
      </c>
    </row>
    <row r="220" spans="1:6">
      <c r="A220" s="38">
        <v>44012</v>
      </c>
      <c r="B220" s="53"/>
      <c r="C220" s="53" t="s">
        <v>532</v>
      </c>
      <c r="D220" s="53"/>
      <c r="E220" s="53" t="s">
        <v>533</v>
      </c>
      <c r="F220" s="53" t="s">
        <v>534</v>
      </c>
    </row>
    <row r="221" spans="1:6">
      <c r="A221" s="38">
        <v>43439</v>
      </c>
      <c r="B221" s="53"/>
      <c r="C221" s="53" t="s">
        <v>535</v>
      </c>
      <c r="D221" s="53" t="s">
        <v>536</v>
      </c>
      <c r="E221" s="53" t="s">
        <v>537</v>
      </c>
      <c r="F221" s="53" t="s">
        <v>538</v>
      </c>
    </row>
    <row r="222" spans="1:6">
      <c r="A222" s="38">
        <v>43384</v>
      </c>
      <c r="B222" s="53"/>
      <c r="C222" s="53" t="s">
        <v>539</v>
      </c>
      <c r="D222" s="53"/>
      <c r="E222" s="53" t="s">
        <v>540</v>
      </c>
      <c r="F222" s="53" t="s">
        <v>541</v>
      </c>
    </row>
    <row r="223" spans="1:6">
      <c r="A223" s="39">
        <v>44301</v>
      </c>
      <c r="B223" s="27">
        <v>1</v>
      </c>
      <c r="C223" s="27" t="s">
        <v>5594</v>
      </c>
      <c r="D223" s="27"/>
      <c r="E223" s="27" t="s">
        <v>5595</v>
      </c>
      <c r="F223" s="27" t="s">
        <v>5596</v>
      </c>
    </row>
    <row r="224" spans="1:6">
      <c r="A224" s="38">
        <v>43384</v>
      </c>
      <c r="B224" s="62"/>
      <c r="C224" s="62" t="s">
        <v>542</v>
      </c>
      <c r="D224" s="62"/>
      <c r="E224" s="62" t="s">
        <v>543</v>
      </c>
      <c r="F224" s="62" t="s">
        <v>544</v>
      </c>
    </row>
    <row r="225" spans="1:6">
      <c r="A225" s="39">
        <v>44512</v>
      </c>
      <c r="B225" s="27"/>
      <c r="C225" s="27" t="s">
        <v>5945</v>
      </c>
      <c r="D225" s="27"/>
      <c r="E225" s="27" t="s">
        <v>5945</v>
      </c>
      <c r="F225" s="27" t="s">
        <v>5946</v>
      </c>
    </row>
    <row r="226" spans="1:6">
      <c r="A226" s="38">
        <v>44092</v>
      </c>
      <c r="B226" s="62"/>
      <c r="C226" s="62" t="s">
        <v>545</v>
      </c>
      <c r="D226" s="62"/>
      <c r="E226" s="62" t="s">
        <v>546</v>
      </c>
      <c r="F226" s="62" t="s">
        <v>547</v>
      </c>
    </row>
    <row r="227" spans="1:6">
      <c r="A227" s="39">
        <v>44199</v>
      </c>
      <c r="B227" s="27"/>
      <c r="C227" s="27" t="s">
        <v>4567</v>
      </c>
      <c r="D227" s="27"/>
      <c r="E227" s="27" t="s">
        <v>4731</v>
      </c>
      <c r="F227" s="27" t="s">
        <v>4732</v>
      </c>
    </row>
    <row r="228" spans="1:6">
      <c r="A228" s="38">
        <v>43384</v>
      </c>
      <c r="B228" s="79"/>
      <c r="C228" s="79" t="s">
        <v>548</v>
      </c>
      <c r="D228" s="79" t="s">
        <v>549</v>
      </c>
      <c r="E228" s="79" t="s">
        <v>550</v>
      </c>
      <c r="F228" s="79" t="s">
        <v>551</v>
      </c>
    </row>
    <row r="229" spans="1:6">
      <c r="A229" s="38">
        <v>43644</v>
      </c>
      <c r="B229" s="61"/>
      <c r="C229" s="61" t="s">
        <v>552</v>
      </c>
      <c r="D229" s="61"/>
      <c r="E229" s="61" t="s">
        <v>553</v>
      </c>
      <c r="F229" s="61" t="s">
        <v>554</v>
      </c>
    </row>
    <row r="230" spans="1:6">
      <c r="A230" s="38">
        <v>44070</v>
      </c>
      <c r="B230" s="61"/>
      <c r="C230" s="61" t="s">
        <v>555</v>
      </c>
      <c r="D230" s="61"/>
      <c r="E230" s="61" t="s">
        <v>556</v>
      </c>
      <c r="F230" s="61" t="s">
        <v>557</v>
      </c>
    </row>
    <row r="231" spans="1:6">
      <c r="A231" s="38">
        <v>43662</v>
      </c>
      <c r="B231" s="61"/>
      <c r="C231" s="61" t="s">
        <v>558</v>
      </c>
      <c r="D231" s="61"/>
      <c r="E231" s="61" t="s">
        <v>559</v>
      </c>
      <c r="F231" s="61" t="s">
        <v>560</v>
      </c>
    </row>
    <row r="232" spans="1:6">
      <c r="A232" s="38">
        <v>43700</v>
      </c>
      <c r="B232" s="53"/>
      <c r="C232" s="53" t="s">
        <v>562</v>
      </c>
      <c r="D232" s="53"/>
      <c r="E232" s="53" t="s">
        <v>563</v>
      </c>
      <c r="F232" s="53" t="s">
        <v>564</v>
      </c>
    </row>
    <row r="233" spans="1:6">
      <c r="A233" s="38">
        <v>43356</v>
      </c>
      <c r="B233" s="53"/>
      <c r="C233" s="53" t="s">
        <v>566</v>
      </c>
      <c r="D233" s="53" t="e">
        <f>PROPER([1]!ObjGes[[#This Row],[Nom EN]])</f>
        <v>#REF!</v>
      </c>
      <c r="E233" s="53" t="s">
        <v>567</v>
      </c>
      <c r="F233" s="53" t="s">
        <v>568</v>
      </c>
    </row>
    <row r="234" spans="1:6">
      <c r="A234" s="38">
        <v>44070</v>
      </c>
      <c r="B234" s="53"/>
      <c r="C234" s="53" t="s">
        <v>569</v>
      </c>
      <c r="D234" s="53"/>
      <c r="E234" s="53" t="s">
        <v>570</v>
      </c>
      <c r="F234" s="53" t="s">
        <v>571</v>
      </c>
    </row>
    <row r="235" spans="1:6">
      <c r="A235" s="38">
        <v>43662</v>
      </c>
      <c r="B235" s="53"/>
      <c r="C235" s="53" t="s">
        <v>572</v>
      </c>
      <c r="D235" s="53"/>
      <c r="E235" s="53" t="s">
        <v>573</v>
      </c>
      <c r="F235" s="53" t="s">
        <v>574</v>
      </c>
    </row>
    <row r="236" spans="1:6">
      <c r="A236" s="39">
        <v>44199</v>
      </c>
      <c r="B236" s="27"/>
      <c r="C236" s="27" t="s">
        <v>4568</v>
      </c>
      <c r="D236" s="27"/>
      <c r="E236" s="27" t="s">
        <v>4733</v>
      </c>
      <c r="F236" s="27" t="s">
        <v>4734</v>
      </c>
    </row>
    <row r="237" spans="1:6">
      <c r="A237" s="38">
        <v>43503</v>
      </c>
      <c r="B237" s="62"/>
      <c r="C237" s="62" t="s">
        <v>4569</v>
      </c>
      <c r="D237" s="62"/>
      <c r="E237" s="62" t="s">
        <v>575</v>
      </c>
      <c r="F237" s="62" t="s">
        <v>576</v>
      </c>
    </row>
    <row r="238" spans="1:6">
      <c r="A238" s="39">
        <v>44539</v>
      </c>
      <c r="B238" s="27"/>
      <c r="C238" s="27" t="s">
        <v>6191</v>
      </c>
      <c r="D238" s="27"/>
      <c r="E238" s="27" t="s">
        <v>6191</v>
      </c>
      <c r="F238" s="27" t="s">
        <v>6191</v>
      </c>
    </row>
    <row r="239" spans="1:6">
      <c r="A239" s="38">
        <v>44139</v>
      </c>
      <c r="B239" s="61"/>
      <c r="C239" s="61" t="s">
        <v>577</v>
      </c>
      <c r="D239" s="61"/>
      <c r="E239" s="61" t="s">
        <v>577</v>
      </c>
      <c r="F239" s="61" t="s">
        <v>577</v>
      </c>
    </row>
    <row r="240" spans="1:6">
      <c r="A240" s="38">
        <v>43636</v>
      </c>
      <c r="C240" t="s">
        <v>578</v>
      </c>
      <c r="E240" t="s">
        <v>579</v>
      </c>
      <c r="F240" t="s">
        <v>580</v>
      </c>
    </row>
    <row r="241" spans="1:6">
      <c r="A241" s="38">
        <v>43719</v>
      </c>
      <c r="C241" t="s">
        <v>581</v>
      </c>
      <c r="E241" t="s">
        <v>582</v>
      </c>
      <c r="F241" t="s">
        <v>583</v>
      </c>
    </row>
    <row r="242" spans="1:6">
      <c r="A242" s="38">
        <v>43636</v>
      </c>
      <c r="C242" t="s">
        <v>584</v>
      </c>
      <c r="E242" t="s">
        <v>585</v>
      </c>
      <c r="F242" t="s">
        <v>586</v>
      </c>
    </row>
    <row r="243" spans="1:6">
      <c r="A243" s="38">
        <v>44159</v>
      </c>
      <c r="C243" t="s">
        <v>587</v>
      </c>
      <c r="E243" t="s">
        <v>588</v>
      </c>
      <c r="F243" t="s">
        <v>589</v>
      </c>
    </row>
    <row r="244" spans="1:6">
      <c r="A244" s="38">
        <v>44075</v>
      </c>
      <c r="C244" t="s">
        <v>590</v>
      </c>
      <c r="E244" t="s">
        <v>591</v>
      </c>
      <c r="F244" t="s">
        <v>592</v>
      </c>
    </row>
    <row r="245" spans="1:6">
      <c r="A245" s="38">
        <v>43344</v>
      </c>
      <c r="B245" s="79"/>
      <c r="C245" s="79" t="s">
        <v>593</v>
      </c>
      <c r="D245" s="79"/>
      <c r="E245" s="79" t="s">
        <v>594</v>
      </c>
      <c r="F245" s="79" t="s">
        <v>595</v>
      </c>
    </row>
    <row r="246" spans="1:6">
      <c r="A246" s="38">
        <v>44082</v>
      </c>
      <c r="C246" t="s">
        <v>596</v>
      </c>
      <c r="E246" t="s">
        <v>597</v>
      </c>
      <c r="F246" t="s">
        <v>598</v>
      </c>
    </row>
    <row r="247" spans="1:6">
      <c r="A247" s="38">
        <v>43860</v>
      </c>
      <c r="C247" t="s">
        <v>599</v>
      </c>
      <c r="E247" t="s">
        <v>600</v>
      </c>
      <c r="F247" t="s">
        <v>601</v>
      </c>
    </row>
    <row r="248" spans="1:6">
      <c r="A248" s="38">
        <v>44118</v>
      </c>
      <c r="C248" t="s">
        <v>602</v>
      </c>
      <c r="E248" t="s">
        <v>603</v>
      </c>
      <c r="F248" t="s">
        <v>604</v>
      </c>
    </row>
    <row r="249" spans="1:6">
      <c r="A249" s="38">
        <v>43761</v>
      </c>
      <c r="C249" t="s">
        <v>605</v>
      </c>
      <c r="E249" t="s">
        <v>606</v>
      </c>
      <c r="F249" t="s">
        <v>607</v>
      </c>
    </row>
    <row r="250" spans="1:6">
      <c r="A250" s="38">
        <v>43865</v>
      </c>
      <c r="B250" s="79"/>
      <c r="C250" s="79" t="s">
        <v>608</v>
      </c>
      <c r="D250" s="79"/>
      <c r="E250" s="79" t="s">
        <v>609</v>
      </c>
      <c r="F250" s="79" t="s">
        <v>610</v>
      </c>
    </row>
    <row r="251" spans="1:6">
      <c r="A251" s="38">
        <v>44063</v>
      </c>
      <c r="B251" s="51"/>
      <c r="C251" s="51" t="s">
        <v>611</v>
      </c>
      <c r="D251" s="51"/>
      <c r="E251" s="51" t="s">
        <v>612</v>
      </c>
      <c r="F251" s="51" t="s">
        <v>613</v>
      </c>
    </row>
    <row r="252" spans="1:6">
      <c r="A252" s="38">
        <v>44140</v>
      </c>
      <c r="C252" t="s">
        <v>614</v>
      </c>
      <c r="E252" t="s">
        <v>615</v>
      </c>
      <c r="F252" t="s">
        <v>616</v>
      </c>
    </row>
    <row r="253" spans="1:6">
      <c r="A253" s="38">
        <v>44069</v>
      </c>
      <c r="B253" s="42"/>
      <c r="C253" s="42" t="s">
        <v>617</v>
      </c>
      <c r="D253" s="42"/>
      <c r="E253" s="42" t="s">
        <v>618</v>
      </c>
      <c r="F253" s="42" t="s">
        <v>619</v>
      </c>
    </row>
    <row r="254" spans="1:6">
      <c r="A254" s="38">
        <v>43724</v>
      </c>
      <c r="B254" s="52"/>
      <c r="C254" s="52" t="s">
        <v>620</v>
      </c>
      <c r="D254" s="52"/>
      <c r="E254" s="52" t="s">
        <v>621</v>
      </c>
      <c r="F254" s="52" t="s">
        <v>622</v>
      </c>
    </row>
    <row r="255" spans="1:6">
      <c r="A255" s="38">
        <v>43725</v>
      </c>
      <c r="C255" t="s">
        <v>623</v>
      </c>
      <c r="E255" t="s">
        <v>624</v>
      </c>
      <c r="F255" t="s">
        <v>625</v>
      </c>
    </row>
    <row r="256" spans="1:6">
      <c r="A256" s="38">
        <v>44013</v>
      </c>
      <c r="C256" t="s">
        <v>626</v>
      </c>
      <c r="E256" t="s">
        <v>627</v>
      </c>
      <c r="F256" t="s">
        <v>628</v>
      </c>
    </row>
    <row r="257" spans="1:6">
      <c r="A257" s="38">
        <v>44011</v>
      </c>
      <c r="B257" s="51"/>
      <c r="C257" s="51" t="s">
        <v>629</v>
      </c>
      <c r="D257" s="51"/>
      <c r="E257" s="51" t="s">
        <v>630</v>
      </c>
      <c r="F257" s="51" t="s">
        <v>631</v>
      </c>
    </row>
    <row r="258" spans="1:6">
      <c r="A258" s="38">
        <v>43461</v>
      </c>
      <c r="B258" s="42"/>
      <c r="C258" s="42" t="s">
        <v>632</v>
      </c>
      <c r="D258" s="42"/>
      <c r="E258" s="42" t="s">
        <v>633</v>
      </c>
      <c r="F258" s="42" t="s">
        <v>634</v>
      </c>
    </row>
    <row r="259" spans="1:6">
      <c r="A259" s="38">
        <v>44166</v>
      </c>
      <c r="B259" s="79"/>
      <c r="C259" s="79" t="s">
        <v>635</v>
      </c>
      <c r="D259" s="79"/>
      <c r="E259" s="79" t="s">
        <v>636</v>
      </c>
      <c r="F259" s="79" t="s">
        <v>637</v>
      </c>
    </row>
    <row r="260" spans="1:6">
      <c r="A260" s="38">
        <v>43761</v>
      </c>
      <c r="B260" s="79"/>
      <c r="C260" s="79" t="s">
        <v>638</v>
      </c>
      <c r="D260" s="79"/>
      <c r="E260" s="79" t="s">
        <v>639</v>
      </c>
      <c r="F260" s="79" t="s">
        <v>640</v>
      </c>
    </row>
    <row r="261" spans="1:6">
      <c r="A261" s="38">
        <v>43724</v>
      </c>
      <c r="B261" s="53"/>
      <c r="C261" s="53" t="s">
        <v>641</v>
      </c>
      <c r="D261" s="53"/>
      <c r="E261" s="53" t="s">
        <v>642</v>
      </c>
      <c r="F261" s="53" t="s">
        <v>643</v>
      </c>
    </row>
    <row r="262" spans="1:6">
      <c r="A262" s="38">
        <v>43724</v>
      </c>
      <c r="C262" t="s">
        <v>645</v>
      </c>
      <c r="E262" t="s">
        <v>646</v>
      </c>
      <c r="F262" t="s">
        <v>647</v>
      </c>
    </row>
    <row r="263" spans="1:6">
      <c r="A263" s="38">
        <v>43724</v>
      </c>
      <c r="B263" s="52"/>
      <c r="C263" s="52" t="s">
        <v>648</v>
      </c>
      <c r="D263" s="52"/>
      <c r="E263" s="52" t="s">
        <v>649</v>
      </c>
      <c r="F263" s="52" t="s">
        <v>650</v>
      </c>
    </row>
    <row r="264" spans="1:6">
      <c r="A264" s="38">
        <v>43724</v>
      </c>
      <c r="B264" s="52"/>
      <c r="C264" s="52" t="s">
        <v>651</v>
      </c>
      <c r="D264" s="52"/>
      <c r="E264" s="52" t="s">
        <v>652</v>
      </c>
      <c r="F264" s="52" t="s">
        <v>653</v>
      </c>
    </row>
    <row r="265" spans="1:6">
      <c r="A265" s="38">
        <v>43384</v>
      </c>
      <c r="B265" s="52"/>
      <c r="C265" s="52" t="s">
        <v>655</v>
      </c>
      <c r="D265" s="52"/>
      <c r="E265" s="52" t="s">
        <v>656</v>
      </c>
      <c r="F265" s="52" t="s">
        <v>657</v>
      </c>
    </row>
    <row r="266" spans="1:6">
      <c r="A266" s="38">
        <v>44075</v>
      </c>
      <c r="B266" s="79"/>
      <c r="C266" s="79" t="s">
        <v>658</v>
      </c>
      <c r="D266" s="79"/>
      <c r="E266" s="79" t="s">
        <v>659</v>
      </c>
      <c r="F266" s="79" t="s">
        <v>660</v>
      </c>
    </row>
    <row r="267" spans="1:6">
      <c r="A267" s="38">
        <v>43384</v>
      </c>
      <c r="B267" s="53"/>
      <c r="C267" s="53" t="s">
        <v>661</v>
      </c>
      <c r="D267" s="53"/>
      <c r="E267" s="53" t="s">
        <v>662</v>
      </c>
      <c r="F267" s="53" t="s">
        <v>663</v>
      </c>
    </row>
    <row r="268" spans="1:6">
      <c r="A268" s="38">
        <v>44013</v>
      </c>
      <c r="B268" s="53"/>
      <c r="C268" s="53" t="s">
        <v>664</v>
      </c>
      <c r="D268" s="53"/>
      <c r="E268" s="53" t="s">
        <v>665</v>
      </c>
      <c r="F268" s="53" t="s">
        <v>666</v>
      </c>
    </row>
    <row r="269" spans="1:6">
      <c r="A269" s="38">
        <v>43384</v>
      </c>
      <c r="B269" s="53"/>
      <c r="C269" s="53" t="s">
        <v>667</v>
      </c>
      <c r="D269" s="53"/>
      <c r="E269" s="53" t="s">
        <v>668</v>
      </c>
      <c r="F269" s="53" t="s">
        <v>669</v>
      </c>
    </row>
    <row r="270" spans="1:6">
      <c r="A270" s="38">
        <v>43868</v>
      </c>
      <c r="B270" s="79"/>
      <c r="C270" s="79" t="s">
        <v>670</v>
      </c>
      <c r="D270" s="79"/>
      <c r="E270" s="79" t="s">
        <v>671</v>
      </c>
      <c r="F270" s="79" t="s">
        <v>672</v>
      </c>
    </row>
    <row r="271" spans="1:6">
      <c r="A271" s="38">
        <v>43467</v>
      </c>
      <c r="B271" s="79"/>
      <c r="C271" s="79" t="s">
        <v>673</v>
      </c>
      <c r="D271" s="79"/>
      <c r="E271" s="79" t="s">
        <v>674</v>
      </c>
      <c r="F271" s="79" t="s">
        <v>675</v>
      </c>
    </row>
    <row r="272" spans="1:6">
      <c r="A272" s="39">
        <v>44301</v>
      </c>
      <c r="B272" s="27">
        <v>1</v>
      </c>
      <c r="C272" s="27" t="s">
        <v>5597</v>
      </c>
      <c r="D272" s="27"/>
      <c r="E272" s="27" t="s">
        <v>5598</v>
      </c>
      <c r="F272" s="27" t="s">
        <v>5599</v>
      </c>
    </row>
    <row r="273" spans="1:6">
      <c r="A273" s="38">
        <v>43865</v>
      </c>
      <c r="B273" s="61"/>
      <c r="C273" s="61" t="s">
        <v>676</v>
      </c>
      <c r="D273" s="61"/>
      <c r="E273" s="61" t="s">
        <v>677</v>
      </c>
      <c r="F273" s="61" t="s">
        <v>678</v>
      </c>
    </row>
    <row r="274" spans="1:6">
      <c r="A274" s="38">
        <v>44054</v>
      </c>
      <c r="B274" s="79"/>
      <c r="C274" s="79" t="s">
        <v>679</v>
      </c>
      <c r="D274" s="79"/>
      <c r="E274" s="79" t="s">
        <v>680</v>
      </c>
      <c r="F274" s="79" t="s">
        <v>681</v>
      </c>
    </row>
    <row r="275" spans="1:6">
      <c r="A275" s="38">
        <v>44040</v>
      </c>
      <c r="B275" s="53"/>
      <c r="C275" s="53" t="s">
        <v>682</v>
      </c>
      <c r="D275" s="53"/>
      <c r="E275" s="53" t="s">
        <v>683</v>
      </c>
      <c r="F275" s="53" t="s">
        <v>684</v>
      </c>
    </row>
    <row r="276" spans="1:6">
      <c r="A276" s="38">
        <v>43724</v>
      </c>
      <c r="B276" s="79"/>
      <c r="C276" s="79" t="s">
        <v>685</v>
      </c>
      <c r="D276" s="79" t="s">
        <v>686</v>
      </c>
      <c r="E276" s="79" t="s">
        <v>685</v>
      </c>
      <c r="F276" s="79" t="s">
        <v>687</v>
      </c>
    </row>
    <row r="277" spans="1:6">
      <c r="A277" s="38">
        <v>43724</v>
      </c>
      <c r="B277" s="78"/>
      <c r="C277" s="78" t="s">
        <v>688</v>
      </c>
      <c r="D277" s="78" t="s">
        <v>689</v>
      </c>
      <c r="E277" s="78" t="s">
        <v>688</v>
      </c>
      <c r="F277" s="78" t="s">
        <v>688</v>
      </c>
    </row>
    <row r="278" spans="1:6">
      <c r="A278" s="39">
        <v>44301</v>
      </c>
      <c r="B278" s="27">
        <v>4</v>
      </c>
      <c r="C278" s="27" t="s">
        <v>5600</v>
      </c>
      <c r="D278" s="27" t="s">
        <v>5601</v>
      </c>
      <c r="E278" s="27" t="s">
        <v>5600</v>
      </c>
      <c r="F278" s="27" t="s">
        <v>5600</v>
      </c>
    </row>
    <row r="279" spans="1:6">
      <c r="A279" s="38">
        <v>44091</v>
      </c>
      <c r="B279" s="61"/>
      <c r="C279" s="61" t="s">
        <v>690</v>
      </c>
      <c r="D279" s="61" t="s">
        <v>691</v>
      </c>
      <c r="E279" s="61" t="s">
        <v>692</v>
      </c>
      <c r="F279" s="61" t="s">
        <v>693</v>
      </c>
    </row>
    <row r="280" spans="1:6">
      <c r="A280" s="38">
        <v>44091</v>
      </c>
      <c r="B280" s="61"/>
      <c r="C280" s="61" t="s">
        <v>694</v>
      </c>
      <c r="D280" s="61" t="s">
        <v>691</v>
      </c>
      <c r="E280" s="61" t="s">
        <v>695</v>
      </c>
      <c r="F280" s="61" t="s">
        <v>696</v>
      </c>
    </row>
    <row r="281" spans="1:6">
      <c r="A281" s="38">
        <v>44082</v>
      </c>
      <c r="B281" s="53"/>
      <c r="C281" s="53" t="s">
        <v>697</v>
      </c>
      <c r="D281" s="53"/>
      <c r="E281" s="53" t="s">
        <v>697</v>
      </c>
      <c r="F281" s="53" t="s">
        <v>698</v>
      </c>
    </row>
    <row r="282" spans="1:6">
      <c r="A282" s="38">
        <v>43725</v>
      </c>
      <c r="B282" s="53"/>
      <c r="C282" s="53" t="s">
        <v>699</v>
      </c>
      <c r="D282" s="53"/>
      <c r="E282" s="53" t="s">
        <v>700</v>
      </c>
      <c r="F282" s="53" t="s">
        <v>701</v>
      </c>
    </row>
    <row r="283" spans="1:6">
      <c r="A283" s="38">
        <v>43725</v>
      </c>
      <c r="B283" s="78"/>
      <c r="C283" s="78" t="s">
        <v>702</v>
      </c>
      <c r="D283" s="78"/>
      <c r="E283" s="78" t="s">
        <v>703</v>
      </c>
      <c r="F283" s="78" t="s">
        <v>704</v>
      </c>
    </row>
    <row r="284" spans="1:6">
      <c r="A284" s="39">
        <v>44199</v>
      </c>
      <c r="B284" s="27"/>
      <c r="C284" s="27" t="s">
        <v>4570</v>
      </c>
      <c r="D284" s="27"/>
      <c r="E284" s="27" t="s">
        <v>4570</v>
      </c>
      <c r="F284" s="27" t="s">
        <v>4735</v>
      </c>
    </row>
    <row r="285" spans="1:6">
      <c r="A285" s="39">
        <v>44512</v>
      </c>
      <c r="B285" s="27"/>
      <c r="C285" s="27" t="s">
        <v>5980</v>
      </c>
      <c r="D285" s="27"/>
      <c r="E285" s="27" t="s">
        <v>5986</v>
      </c>
      <c r="F285" s="27" t="s">
        <v>5987</v>
      </c>
    </row>
    <row r="286" spans="1:6">
      <c r="A286" s="39">
        <v>44510</v>
      </c>
      <c r="B286" s="27"/>
      <c r="C286" s="27" t="s">
        <v>5863</v>
      </c>
      <c r="D286" s="27"/>
      <c r="E286" s="27" t="s">
        <v>5864</v>
      </c>
      <c r="F286" s="27" t="s">
        <v>5865</v>
      </c>
    </row>
    <row r="287" spans="1:6">
      <c r="A287" s="39">
        <v>44301</v>
      </c>
      <c r="B287" s="27">
        <v>1</v>
      </c>
      <c r="C287" s="27" t="s">
        <v>5602</v>
      </c>
      <c r="D287" s="27"/>
      <c r="E287" s="27" t="s">
        <v>5603</v>
      </c>
      <c r="F287" s="27" t="s">
        <v>5604</v>
      </c>
    </row>
    <row r="288" spans="1:6">
      <c r="A288" s="38">
        <v>44133</v>
      </c>
      <c r="B288" s="79"/>
      <c r="C288" s="79" t="s">
        <v>705</v>
      </c>
      <c r="D288" s="79"/>
      <c r="E288" s="79" t="s">
        <v>706</v>
      </c>
      <c r="F288" s="79" t="s">
        <v>707</v>
      </c>
    </row>
    <row r="289" spans="1:6">
      <c r="A289" s="38">
        <v>44159</v>
      </c>
      <c r="B289" s="61"/>
      <c r="C289" s="61" t="s">
        <v>708</v>
      </c>
      <c r="D289" s="61"/>
      <c r="E289" s="61" t="s">
        <v>709</v>
      </c>
      <c r="F289" s="61" t="s">
        <v>710</v>
      </c>
    </row>
    <row r="290" spans="1:6">
      <c r="A290" s="38">
        <v>44230</v>
      </c>
      <c r="B290" s="53"/>
      <c r="C290" s="53" t="s">
        <v>5483</v>
      </c>
      <c r="D290" s="53"/>
      <c r="E290" s="53" t="s">
        <v>5484</v>
      </c>
      <c r="F290" s="53" t="s">
        <v>5485</v>
      </c>
    </row>
    <row r="291" spans="1:6">
      <c r="A291" s="38">
        <v>44145</v>
      </c>
      <c r="B291" s="78"/>
      <c r="C291" s="78" t="s">
        <v>711</v>
      </c>
      <c r="D291" s="78"/>
      <c r="E291" s="78" t="s">
        <v>712</v>
      </c>
      <c r="F291" s="78" t="s">
        <v>713</v>
      </c>
    </row>
    <row r="292" spans="1:6">
      <c r="A292" s="39">
        <v>44199</v>
      </c>
      <c r="B292" s="27"/>
      <c r="C292" s="27" t="s">
        <v>4571</v>
      </c>
      <c r="D292" s="27"/>
      <c r="E292" s="27" t="s">
        <v>4736</v>
      </c>
      <c r="F292" s="27" t="s">
        <v>4737</v>
      </c>
    </row>
    <row r="293" spans="1:6">
      <c r="A293" s="38">
        <v>43647</v>
      </c>
      <c r="B293" s="61"/>
      <c r="C293" s="61" t="s">
        <v>714</v>
      </c>
      <c r="D293" s="61"/>
      <c r="E293" s="61" t="s">
        <v>715</v>
      </c>
      <c r="F293" s="61" t="s">
        <v>716</v>
      </c>
    </row>
    <row r="294" spans="1:6">
      <c r="A294" s="38">
        <v>44075</v>
      </c>
      <c r="B294" s="79"/>
      <c r="C294" s="79" t="s">
        <v>717</v>
      </c>
      <c r="D294" s="79"/>
      <c r="E294" s="79" t="s">
        <v>718</v>
      </c>
      <c r="F294" s="79" t="s">
        <v>719</v>
      </c>
    </row>
    <row r="295" spans="1:6">
      <c r="A295" s="39">
        <v>44512</v>
      </c>
      <c r="B295" s="27"/>
      <c r="C295" s="27" t="s">
        <v>4352</v>
      </c>
      <c r="D295" s="27"/>
      <c r="E295" s="27" t="s">
        <v>4352</v>
      </c>
      <c r="F295" s="27" t="s">
        <v>4352</v>
      </c>
    </row>
    <row r="296" spans="1:6">
      <c r="A296" s="38">
        <v>43724</v>
      </c>
      <c r="B296" s="79"/>
      <c r="C296" s="79" t="s">
        <v>720</v>
      </c>
      <c r="D296" s="79" t="s">
        <v>721</v>
      </c>
      <c r="E296" s="79" t="s">
        <v>721</v>
      </c>
      <c r="F296" s="79" t="s">
        <v>722</v>
      </c>
    </row>
    <row r="297" spans="1:6">
      <c r="A297" s="39">
        <v>44301</v>
      </c>
      <c r="B297" s="27">
        <v>0</v>
      </c>
      <c r="C297" s="27" t="s">
        <v>5605</v>
      </c>
      <c r="D297" s="27" t="s">
        <v>5606</v>
      </c>
      <c r="E297" s="27" t="s">
        <v>5607</v>
      </c>
      <c r="F297" s="27" t="s">
        <v>5608</v>
      </c>
    </row>
    <row r="298" spans="1:6">
      <c r="A298" s="38">
        <v>44082</v>
      </c>
      <c r="B298" s="79"/>
      <c r="C298" s="79" t="s">
        <v>723</v>
      </c>
      <c r="D298" s="79"/>
      <c r="E298" s="79" t="s">
        <v>723</v>
      </c>
      <c r="F298" s="79" t="s">
        <v>723</v>
      </c>
    </row>
    <row r="299" spans="1:6">
      <c r="A299" s="38">
        <v>43867</v>
      </c>
      <c r="B299" s="79"/>
      <c r="C299" s="79" t="s">
        <v>724</v>
      </c>
      <c r="D299" s="79"/>
      <c r="E299" s="79" t="s">
        <v>725</v>
      </c>
      <c r="F299" s="79" t="s">
        <v>726</v>
      </c>
    </row>
    <row r="300" spans="1:6">
      <c r="A300" s="38">
        <v>44012</v>
      </c>
      <c r="B300" s="79"/>
      <c r="C300" s="79" t="s">
        <v>727</v>
      </c>
      <c r="D300" s="79"/>
      <c r="E300" s="79" t="s">
        <v>728</v>
      </c>
      <c r="F300" s="79" t="s">
        <v>729</v>
      </c>
    </row>
    <row r="301" spans="1:6">
      <c r="A301" s="39">
        <v>44512</v>
      </c>
      <c r="B301" s="27"/>
      <c r="C301" s="27" t="s">
        <v>6001</v>
      </c>
      <c r="D301" s="27"/>
      <c r="E301" s="55" t="s">
        <v>6002</v>
      </c>
      <c r="F301" s="27" t="s">
        <v>5446</v>
      </c>
    </row>
    <row r="302" spans="1:6">
      <c r="B302" s="79"/>
      <c r="C302" s="79" t="s">
        <v>730</v>
      </c>
      <c r="D302" s="79"/>
      <c r="E302" s="79" t="s">
        <v>731</v>
      </c>
      <c r="F302" s="79" t="s">
        <v>732</v>
      </c>
    </row>
    <row r="303" spans="1:6">
      <c r="A303" s="38">
        <v>44007</v>
      </c>
      <c r="B303" s="79"/>
      <c r="C303" s="79" t="s">
        <v>733</v>
      </c>
      <c r="D303" s="79"/>
      <c r="E303" s="79" t="s">
        <v>734</v>
      </c>
      <c r="F303" s="79" t="s">
        <v>735</v>
      </c>
    </row>
    <row r="304" spans="1:6">
      <c r="A304" s="38">
        <v>44011</v>
      </c>
      <c r="B304" s="79"/>
      <c r="C304" s="79" t="s">
        <v>736</v>
      </c>
      <c r="D304" s="79"/>
      <c r="E304" s="79" t="s">
        <v>736</v>
      </c>
      <c r="F304" s="79" t="s">
        <v>737</v>
      </c>
    </row>
    <row r="305" spans="1:6">
      <c r="A305" s="38">
        <v>44091</v>
      </c>
      <c r="B305" s="78"/>
      <c r="C305" s="78" t="s">
        <v>738</v>
      </c>
      <c r="D305" s="78" t="s">
        <v>739</v>
      </c>
      <c r="E305" s="78" t="s">
        <v>740</v>
      </c>
      <c r="F305" s="78" t="s">
        <v>741</v>
      </c>
    </row>
    <row r="306" spans="1:6">
      <c r="A306" s="39">
        <v>44199</v>
      </c>
      <c r="B306" s="27"/>
      <c r="C306" s="27" t="s">
        <v>4572</v>
      </c>
      <c r="D306" s="27"/>
      <c r="E306" s="27" t="s">
        <v>4738</v>
      </c>
      <c r="F306" s="27" t="s">
        <v>4739</v>
      </c>
    </row>
    <row r="307" spans="1:6">
      <c r="A307" s="38">
        <v>44091</v>
      </c>
      <c r="B307" s="79"/>
      <c r="C307" s="79" t="s">
        <v>742</v>
      </c>
      <c r="D307" s="79" t="s">
        <v>739</v>
      </c>
      <c r="E307" s="79" t="s">
        <v>743</v>
      </c>
      <c r="F307" s="79" t="s">
        <v>744</v>
      </c>
    </row>
    <row r="308" spans="1:6">
      <c r="A308" s="38">
        <v>43794</v>
      </c>
      <c r="B308" s="78"/>
      <c r="C308" s="61" t="s">
        <v>745</v>
      </c>
      <c r="D308" s="78"/>
      <c r="E308" s="61" t="s">
        <v>746</v>
      </c>
      <c r="F308" s="61" t="s">
        <v>747</v>
      </c>
    </row>
    <row r="309" spans="1:6" s="56" customFormat="1">
      <c r="A309" s="39">
        <v>44510</v>
      </c>
      <c r="B309" s="27"/>
      <c r="C309" s="53" t="s">
        <v>6069</v>
      </c>
      <c r="D309" s="27"/>
      <c r="E309" s="53" t="s">
        <v>6075</v>
      </c>
      <c r="F309" s="53" t="s">
        <v>6081</v>
      </c>
    </row>
    <row r="310" spans="1:6" s="56" customFormat="1">
      <c r="A310" s="39">
        <v>44510</v>
      </c>
      <c r="B310" s="27"/>
      <c r="C310" s="79" t="s">
        <v>6070</v>
      </c>
      <c r="D310" s="27"/>
      <c r="E310" s="79" t="s">
        <v>6076</v>
      </c>
      <c r="F310" s="79" t="s">
        <v>6082</v>
      </c>
    </row>
    <row r="311" spans="1:6" s="56" customFormat="1">
      <c r="A311" s="39">
        <v>44510</v>
      </c>
      <c r="B311" s="27"/>
      <c r="C311" s="56" t="s">
        <v>6071</v>
      </c>
      <c r="D311" s="27"/>
      <c r="E311" s="56" t="s">
        <v>6077</v>
      </c>
      <c r="F311" s="56" t="s">
        <v>6083</v>
      </c>
    </row>
    <row r="312" spans="1:6" s="56" customFormat="1">
      <c r="A312" s="39">
        <v>44510</v>
      </c>
      <c r="B312" s="27"/>
      <c r="C312" s="79" t="s">
        <v>6072</v>
      </c>
      <c r="D312" s="27"/>
      <c r="E312" s="79" t="s">
        <v>6078</v>
      </c>
      <c r="F312" s="79" t="s">
        <v>6084</v>
      </c>
    </row>
    <row r="313" spans="1:6" s="56" customFormat="1">
      <c r="A313" s="39">
        <v>44510</v>
      </c>
      <c r="B313" s="27"/>
      <c r="C313" s="56" t="s">
        <v>6073</v>
      </c>
      <c r="D313" s="27"/>
      <c r="E313" s="56" t="s">
        <v>6079</v>
      </c>
      <c r="F313" s="56" t="s">
        <v>6085</v>
      </c>
    </row>
    <row r="314" spans="1:6" s="56" customFormat="1">
      <c r="A314" s="39">
        <v>44510</v>
      </c>
      <c r="B314" s="27"/>
      <c r="C314" s="56" t="s">
        <v>6074</v>
      </c>
      <c r="D314" s="27"/>
      <c r="E314" s="56" t="s">
        <v>6080</v>
      </c>
      <c r="F314" s="56" t="s">
        <v>6086</v>
      </c>
    </row>
    <row r="315" spans="1:6">
      <c r="A315" s="38">
        <v>44081</v>
      </c>
      <c r="B315" s="79"/>
      <c r="C315" s="79" t="s">
        <v>749</v>
      </c>
      <c r="D315" s="79"/>
      <c r="E315" s="79" t="s">
        <v>750</v>
      </c>
      <c r="F315" s="79" t="s">
        <v>751</v>
      </c>
    </row>
    <row r="316" spans="1:6">
      <c r="A316" s="38">
        <v>44139</v>
      </c>
      <c r="B316" s="59"/>
      <c r="C316" s="59" t="s">
        <v>752</v>
      </c>
      <c r="D316" s="59"/>
      <c r="E316" s="59" t="s">
        <v>753</v>
      </c>
      <c r="F316" s="59" t="s">
        <v>754</v>
      </c>
    </row>
    <row r="317" spans="1:6">
      <c r="A317" s="38">
        <v>44117</v>
      </c>
      <c r="B317" s="53"/>
      <c r="C317" s="53" t="s">
        <v>755</v>
      </c>
      <c r="D317" s="53" t="s">
        <v>756</v>
      </c>
      <c r="E317" s="53" t="s">
        <v>757</v>
      </c>
      <c r="F317" s="53" t="s">
        <v>758</v>
      </c>
    </row>
    <row r="318" spans="1:6">
      <c r="A318" s="38">
        <v>44168</v>
      </c>
      <c r="B318" s="78"/>
      <c r="C318" s="78" t="s">
        <v>759</v>
      </c>
      <c r="D318" s="78"/>
      <c r="E318" s="78" t="s">
        <v>760</v>
      </c>
      <c r="F318" s="78" t="s">
        <v>758</v>
      </c>
    </row>
    <row r="319" spans="1:6">
      <c r="A319" s="39">
        <v>44236</v>
      </c>
      <c r="B319" s="27"/>
      <c r="C319" s="27" t="s">
        <v>5495</v>
      </c>
      <c r="D319" s="27"/>
      <c r="E319" s="27" t="s">
        <v>5496</v>
      </c>
      <c r="F319" s="27" t="s">
        <v>5497</v>
      </c>
    </row>
    <row r="320" spans="1:6">
      <c r="B320" s="61"/>
      <c r="C320" s="61" t="s">
        <v>761</v>
      </c>
      <c r="D320" s="61"/>
      <c r="E320" s="61" t="s">
        <v>762</v>
      </c>
      <c r="F320" s="61" t="s">
        <v>763</v>
      </c>
    </row>
    <row r="321" spans="1:6">
      <c r="A321" s="38">
        <v>43384</v>
      </c>
      <c r="B321" s="61"/>
      <c r="C321" s="61" t="s">
        <v>764</v>
      </c>
      <c r="D321" s="61"/>
      <c r="E321" s="61" t="s">
        <v>764</v>
      </c>
      <c r="F321" s="61" t="s">
        <v>764</v>
      </c>
    </row>
    <row r="322" spans="1:6">
      <c r="A322" s="38">
        <v>44091</v>
      </c>
      <c r="B322" s="53"/>
      <c r="C322" s="53" t="s">
        <v>765</v>
      </c>
      <c r="D322" s="53"/>
      <c r="E322" s="53" t="s">
        <v>765</v>
      </c>
      <c r="F322" s="53" t="s">
        <v>765</v>
      </c>
    </row>
    <row r="323" spans="1:6">
      <c r="A323" s="38">
        <v>44019</v>
      </c>
      <c r="B323" s="79"/>
      <c r="C323" s="79" t="s">
        <v>766</v>
      </c>
      <c r="D323" s="79"/>
      <c r="E323" s="79" t="s">
        <v>766</v>
      </c>
      <c r="F323" s="79" t="s">
        <v>767</v>
      </c>
    </row>
    <row r="324" spans="1:6">
      <c r="A324" s="38">
        <v>44004</v>
      </c>
      <c r="B324" s="53"/>
      <c r="C324" s="53" t="s">
        <v>768</v>
      </c>
      <c r="D324" s="53"/>
      <c r="E324" s="53" t="s">
        <v>768</v>
      </c>
      <c r="F324" s="53" t="s">
        <v>769</v>
      </c>
    </row>
    <row r="325" spans="1:6">
      <c r="A325" s="38">
        <v>44168</v>
      </c>
      <c r="B325" s="79"/>
      <c r="C325" s="79" t="s">
        <v>770</v>
      </c>
      <c r="D325" s="79"/>
      <c r="E325" s="79" t="s">
        <v>771</v>
      </c>
      <c r="F325" s="79" t="s">
        <v>772</v>
      </c>
    </row>
    <row r="326" spans="1:6">
      <c r="A326" s="38">
        <v>43515</v>
      </c>
      <c r="B326" s="79"/>
      <c r="C326" s="79" t="s">
        <v>773</v>
      </c>
      <c r="D326" s="79"/>
      <c r="E326" s="79" t="s">
        <v>774</v>
      </c>
      <c r="F326" s="79" t="s">
        <v>775</v>
      </c>
    </row>
    <row r="327" spans="1:6">
      <c r="A327" s="39">
        <v>44200</v>
      </c>
      <c r="B327" s="27"/>
      <c r="C327" s="27" t="s">
        <v>4969</v>
      </c>
      <c r="D327" s="27"/>
      <c r="E327" s="27" t="s">
        <v>5141</v>
      </c>
      <c r="F327" s="27" t="s">
        <v>5306</v>
      </c>
    </row>
    <row r="328" spans="1:6">
      <c r="A328" s="38">
        <v>43608</v>
      </c>
      <c r="B328" s="61"/>
      <c r="C328" s="61" t="s">
        <v>776</v>
      </c>
      <c r="D328" s="61" t="s">
        <v>777</v>
      </c>
      <c r="E328" s="61" t="s">
        <v>778</v>
      </c>
      <c r="F328" s="61" t="s">
        <v>779</v>
      </c>
    </row>
    <row r="329" spans="1:6">
      <c r="A329" s="38">
        <v>43732</v>
      </c>
      <c r="B329" s="61"/>
      <c r="C329" s="61" t="s">
        <v>780</v>
      </c>
      <c r="D329" s="61"/>
      <c r="E329" s="61" t="s">
        <v>781</v>
      </c>
      <c r="F329" s="61" t="s">
        <v>782</v>
      </c>
    </row>
    <row r="330" spans="1:6">
      <c r="A330" s="38">
        <v>44172</v>
      </c>
      <c r="B330" s="53"/>
      <c r="C330" s="53" t="s">
        <v>783</v>
      </c>
      <c r="D330" s="53"/>
      <c r="E330" s="53" t="s">
        <v>784</v>
      </c>
      <c r="F330" s="53" t="s">
        <v>785</v>
      </c>
    </row>
    <row r="331" spans="1:6">
      <c r="A331" s="38">
        <v>43733</v>
      </c>
      <c r="B331" s="53"/>
      <c r="C331" s="53" t="s">
        <v>786</v>
      </c>
      <c r="D331" s="53"/>
      <c r="E331" s="53" t="s">
        <v>787</v>
      </c>
      <c r="F331" s="53" t="s">
        <v>788</v>
      </c>
    </row>
    <row r="332" spans="1:6">
      <c r="A332" s="38">
        <v>43724</v>
      </c>
      <c r="B332" s="78"/>
      <c r="C332" s="78" t="s">
        <v>789</v>
      </c>
      <c r="D332" s="78"/>
      <c r="E332" s="78" t="s">
        <v>789</v>
      </c>
      <c r="F332" s="78" t="s">
        <v>790</v>
      </c>
    </row>
    <row r="333" spans="1:6">
      <c r="A333" s="39">
        <v>44200</v>
      </c>
      <c r="B333" s="27"/>
      <c r="C333" s="27" t="s">
        <v>4970</v>
      </c>
      <c r="D333" s="27"/>
      <c r="E333" s="27" t="s">
        <v>4970</v>
      </c>
      <c r="F333" s="27" t="s">
        <v>5307</v>
      </c>
    </row>
    <row r="334" spans="1:6">
      <c r="A334" s="38">
        <v>44172</v>
      </c>
      <c r="B334" s="61"/>
      <c r="C334" s="61" t="s">
        <v>791</v>
      </c>
      <c r="D334" s="61"/>
      <c r="E334" s="61" t="s">
        <v>792</v>
      </c>
      <c r="F334" s="61" t="s">
        <v>793</v>
      </c>
    </row>
    <row r="335" spans="1:6">
      <c r="A335" s="38">
        <v>43937</v>
      </c>
      <c r="B335" s="61"/>
      <c r="C335" s="61" t="s">
        <v>794</v>
      </c>
      <c r="D335" s="61"/>
      <c r="E335" s="61" t="s">
        <v>794</v>
      </c>
      <c r="F335" s="61" t="s">
        <v>795</v>
      </c>
    </row>
    <row r="336" spans="1:6">
      <c r="A336" s="38">
        <v>44000</v>
      </c>
      <c r="B336" s="53"/>
      <c r="C336" s="53" t="s">
        <v>796</v>
      </c>
      <c r="D336" s="53"/>
      <c r="E336" s="53" t="s">
        <v>797</v>
      </c>
      <c r="F336" s="53" t="s">
        <v>798</v>
      </c>
    </row>
    <row r="337" spans="1:6">
      <c r="A337" s="38">
        <v>44005</v>
      </c>
      <c r="B337" s="53"/>
      <c r="C337" s="53" t="s">
        <v>799</v>
      </c>
      <c r="D337" s="53"/>
      <c r="E337" s="53" t="s">
        <v>800</v>
      </c>
      <c r="F337" s="53" t="s">
        <v>801</v>
      </c>
    </row>
    <row r="338" spans="1:6">
      <c r="A338" s="38">
        <v>44000</v>
      </c>
      <c r="B338" s="53"/>
      <c r="C338" s="53" t="s">
        <v>802</v>
      </c>
      <c r="D338" s="53"/>
      <c r="E338" s="53" t="s">
        <v>803</v>
      </c>
      <c r="F338" s="53" t="s">
        <v>804</v>
      </c>
    </row>
    <row r="339" spans="1:6">
      <c r="A339" s="38">
        <v>43503</v>
      </c>
      <c r="B339" s="78"/>
      <c r="C339" s="78" t="s">
        <v>805</v>
      </c>
      <c r="D339" s="78"/>
      <c r="E339" s="78" t="s">
        <v>806</v>
      </c>
      <c r="F339" s="78" t="s">
        <v>807</v>
      </c>
    </row>
    <row r="340" spans="1:6">
      <c r="A340" s="39">
        <v>44199</v>
      </c>
      <c r="B340" s="27"/>
      <c r="C340" s="27" t="s">
        <v>4573</v>
      </c>
      <c r="D340" s="27"/>
      <c r="E340" s="27" t="s">
        <v>4740</v>
      </c>
      <c r="F340" s="27" t="s">
        <v>4741</v>
      </c>
    </row>
    <row r="341" spans="1:6">
      <c r="A341" s="38">
        <v>43721</v>
      </c>
      <c r="B341" s="61"/>
      <c r="C341" s="61" t="s">
        <v>808</v>
      </c>
      <c r="D341" s="61"/>
      <c r="E341" s="61" t="s">
        <v>809</v>
      </c>
      <c r="F341" s="61" t="s">
        <v>810</v>
      </c>
    </row>
    <row r="342" spans="1:6">
      <c r="A342" s="38">
        <v>43530</v>
      </c>
      <c r="B342" s="61"/>
      <c r="C342" s="61" t="s">
        <v>811</v>
      </c>
      <c r="D342" s="61"/>
      <c r="E342" s="61" t="s">
        <v>812</v>
      </c>
      <c r="F342" s="61" t="s">
        <v>813</v>
      </c>
    </row>
    <row r="343" spans="1:6">
      <c r="A343" s="38">
        <v>43609</v>
      </c>
      <c r="B343" s="78"/>
      <c r="C343" s="78" t="s">
        <v>814</v>
      </c>
      <c r="D343" s="78" t="s">
        <v>815</v>
      </c>
      <c r="E343" s="78" t="s">
        <v>816</v>
      </c>
      <c r="F343" s="78" t="s">
        <v>817</v>
      </c>
    </row>
    <row r="344" spans="1:6">
      <c r="A344" s="39">
        <v>44301</v>
      </c>
      <c r="B344" s="27">
        <v>1</v>
      </c>
      <c r="C344" s="27" t="s">
        <v>5609</v>
      </c>
      <c r="D344" s="27"/>
      <c r="E344" s="27" t="s">
        <v>5610</v>
      </c>
      <c r="F344" s="27" t="s">
        <v>5611</v>
      </c>
    </row>
    <row r="345" spans="1:6">
      <c r="A345" s="38">
        <v>43719</v>
      </c>
      <c r="B345" s="61"/>
      <c r="C345" s="61" t="s">
        <v>818</v>
      </c>
      <c r="D345" s="61"/>
      <c r="E345" s="61" t="s">
        <v>818</v>
      </c>
      <c r="F345" s="61" t="s">
        <v>819</v>
      </c>
    </row>
    <row r="346" spans="1:6">
      <c r="A346" s="38">
        <v>43756</v>
      </c>
      <c r="B346" s="61"/>
      <c r="C346" s="61" t="s">
        <v>820</v>
      </c>
      <c r="D346" s="61"/>
      <c r="E346" s="61" t="s">
        <v>821</v>
      </c>
      <c r="F346" s="61" t="s">
        <v>822</v>
      </c>
    </row>
    <row r="347" spans="1:6">
      <c r="A347" s="38">
        <v>43644</v>
      </c>
      <c r="B347" s="51"/>
      <c r="C347" s="51" t="s">
        <v>823</v>
      </c>
      <c r="D347" s="51"/>
      <c r="E347" s="51" t="s">
        <v>824</v>
      </c>
      <c r="F347" s="51" t="s">
        <v>825</v>
      </c>
    </row>
    <row r="348" spans="1:6">
      <c r="A348" s="38">
        <v>43644</v>
      </c>
      <c r="B348" s="53"/>
      <c r="C348" s="53" t="s">
        <v>826</v>
      </c>
      <c r="D348" s="53"/>
      <c r="E348" s="53" t="s">
        <v>827</v>
      </c>
      <c r="F348" s="53" t="s">
        <v>828</v>
      </c>
    </row>
    <row r="349" spans="1:6">
      <c r="A349" s="38">
        <v>44011</v>
      </c>
      <c r="B349" s="79"/>
      <c r="C349" s="79" t="s">
        <v>829</v>
      </c>
      <c r="D349" s="79"/>
      <c r="E349" s="79" t="s">
        <v>830</v>
      </c>
      <c r="F349" s="79" t="s">
        <v>831</v>
      </c>
    </row>
    <row r="350" spans="1:6">
      <c r="A350" s="38">
        <v>44011</v>
      </c>
      <c r="B350" s="79"/>
      <c r="C350" s="79" t="s">
        <v>832</v>
      </c>
      <c r="D350" s="79"/>
      <c r="E350" s="79" t="s">
        <v>833</v>
      </c>
      <c r="F350" s="79" t="s">
        <v>834</v>
      </c>
    </row>
    <row r="351" spans="1:6">
      <c r="A351" s="38">
        <v>43644</v>
      </c>
      <c r="C351" t="s">
        <v>835</v>
      </c>
      <c r="E351" t="s">
        <v>836</v>
      </c>
      <c r="F351" t="s">
        <v>837</v>
      </c>
    </row>
    <row r="352" spans="1:6">
      <c r="A352" s="38">
        <v>43756</v>
      </c>
      <c r="B352" s="79"/>
      <c r="C352" s="79" t="s">
        <v>838</v>
      </c>
      <c r="D352" s="79"/>
      <c r="E352" s="79" t="s">
        <v>839</v>
      </c>
      <c r="F352" s="79" t="s">
        <v>840</v>
      </c>
    </row>
    <row r="353" spans="1:6">
      <c r="A353" s="38">
        <v>43644</v>
      </c>
      <c r="B353" s="79"/>
      <c r="C353" s="79" t="s">
        <v>841</v>
      </c>
      <c r="D353" s="79"/>
      <c r="E353" s="79" t="s">
        <v>842</v>
      </c>
      <c r="F353" s="79" t="s">
        <v>843</v>
      </c>
    </row>
    <row r="354" spans="1:6">
      <c r="A354" s="38">
        <v>43644</v>
      </c>
      <c r="B354" s="52"/>
      <c r="C354" s="52" t="s">
        <v>844</v>
      </c>
      <c r="D354" s="52"/>
      <c r="E354" s="52" t="s">
        <v>845</v>
      </c>
      <c r="F354" s="52" t="s">
        <v>846</v>
      </c>
    </row>
    <row r="355" spans="1:6">
      <c r="A355" s="38">
        <v>43738</v>
      </c>
      <c r="B355" s="53"/>
      <c r="C355" s="53" t="s">
        <v>847</v>
      </c>
      <c r="D355" s="53"/>
      <c r="E355" s="53" t="s">
        <v>847</v>
      </c>
      <c r="F355" s="53" t="s">
        <v>848</v>
      </c>
    </row>
    <row r="356" spans="1:6">
      <c r="A356" s="38">
        <v>43756</v>
      </c>
      <c r="B356" s="79"/>
      <c r="C356" s="79" t="s">
        <v>849</v>
      </c>
      <c r="D356" s="79"/>
      <c r="E356" s="79" t="s">
        <v>818</v>
      </c>
      <c r="F356" s="79" t="s">
        <v>819</v>
      </c>
    </row>
    <row r="357" spans="1:6">
      <c r="A357" s="38">
        <v>43563</v>
      </c>
      <c r="B357" s="52"/>
      <c r="C357" s="52" t="s">
        <v>850</v>
      </c>
      <c r="D357" s="52"/>
      <c r="E357" s="52" t="s">
        <v>851</v>
      </c>
      <c r="F357" s="52" t="s">
        <v>852</v>
      </c>
    </row>
    <row r="358" spans="1:6">
      <c r="A358" s="38">
        <v>44166</v>
      </c>
      <c r="B358" s="52"/>
      <c r="C358" s="52" t="s">
        <v>853</v>
      </c>
      <c r="D358" s="52"/>
      <c r="E358" s="52" t="s">
        <v>854</v>
      </c>
      <c r="F358" s="52" t="s">
        <v>855</v>
      </c>
    </row>
    <row r="359" spans="1:6">
      <c r="A359" s="38">
        <v>43467</v>
      </c>
      <c r="B359" s="53"/>
      <c r="C359" s="53" t="s">
        <v>4574</v>
      </c>
      <c r="D359" s="53"/>
      <c r="E359" s="53" t="s">
        <v>4742</v>
      </c>
      <c r="F359" s="53" t="s">
        <v>857</v>
      </c>
    </row>
    <row r="360" spans="1:6">
      <c r="A360" s="38">
        <v>43469</v>
      </c>
      <c r="B360" s="53"/>
      <c r="C360" s="53" t="s">
        <v>858</v>
      </c>
      <c r="D360" s="53"/>
      <c r="E360" s="53" t="s">
        <v>859</v>
      </c>
      <c r="F360" s="53" t="s">
        <v>860</v>
      </c>
    </row>
    <row r="361" spans="1:6">
      <c r="A361" s="38">
        <v>44075</v>
      </c>
      <c r="B361" s="53"/>
      <c r="C361" s="53" t="s">
        <v>861</v>
      </c>
      <c r="D361" s="53"/>
      <c r="E361" s="53" t="s">
        <v>862</v>
      </c>
      <c r="F361" s="53" t="s">
        <v>863</v>
      </c>
    </row>
    <row r="362" spans="1:6">
      <c r="A362" s="38">
        <v>44075</v>
      </c>
      <c r="B362" s="53"/>
      <c r="C362" s="53" t="s">
        <v>864</v>
      </c>
      <c r="D362" s="53"/>
      <c r="E362" s="53" t="s">
        <v>865</v>
      </c>
      <c r="F362" s="53" t="s">
        <v>866</v>
      </c>
    </row>
    <row r="363" spans="1:6">
      <c r="A363" s="38">
        <v>44075</v>
      </c>
      <c r="B363" s="53"/>
      <c r="C363" s="53" t="s">
        <v>867</v>
      </c>
      <c r="D363" s="53"/>
      <c r="E363" s="53" t="s">
        <v>868</v>
      </c>
      <c r="F363" s="53" t="s">
        <v>869</v>
      </c>
    </row>
    <row r="364" spans="1:6">
      <c r="A364" s="38">
        <v>44075</v>
      </c>
      <c r="B364" s="53"/>
      <c r="C364" s="53" t="s">
        <v>870</v>
      </c>
      <c r="D364" s="53"/>
      <c r="E364" s="53" t="s">
        <v>871</v>
      </c>
      <c r="F364" s="53" t="s">
        <v>872</v>
      </c>
    </row>
    <row r="365" spans="1:6">
      <c r="A365" s="38">
        <v>43725</v>
      </c>
      <c r="B365" s="53"/>
      <c r="C365" s="53" t="s">
        <v>873</v>
      </c>
      <c r="D365" s="53"/>
      <c r="E365" s="53" t="s">
        <v>874</v>
      </c>
      <c r="F365" s="53" t="s">
        <v>875</v>
      </c>
    </row>
    <row r="366" spans="1:6">
      <c r="A366" s="38">
        <v>43530</v>
      </c>
      <c r="B366" s="78"/>
      <c r="C366" s="78" t="s">
        <v>876</v>
      </c>
      <c r="D366" s="78"/>
      <c r="E366" s="78" t="s">
        <v>877</v>
      </c>
      <c r="F366" s="78" t="s">
        <v>878</v>
      </c>
    </row>
    <row r="367" spans="1:6">
      <c r="A367" s="39">
        <v>44200</v>
      </c>
      <c r="B367" s="27"/>
      <c r="C367" s="27" t="s">
        <v>4971</v>
      </c>
      <c r="D367" s="27"/>
      <c r="E367" s="27" t="s">
        <v>5142</v>
      </c>
      <c r="F367" s="27" t="s">
        <v>5308</v>
      </c>
    </row>
    <row r="368" spans="1:6">
      <c r="A368" s="39">
        <v>44200</v>
      </c>
      <c r="B368" s="27"/>
      <c r="C368" s="27" t="s">
        <v>4972</v>
      </c>
      <c r="D368" s="27"/>
      <c r="E368" s="27" t="s">
        <v>5143</v>
      </c>
      <c r="F368" s="27" t="s">
        <v>5309</v>
      </c>
    </row>
    <row r="369" spans="1:6">
      <c r="A369" s="38">
        <v>44084</v>
      </c>
      <c r="B369" s="78"/>
      <c r="C369" s="78" t="s">
        <v>879</v>
      </c>
      <c r="D369" s="78"/>
      <c r="E369" s="78" t="s">
        <v>880</v>
      </c>
      <c r="F369" s="78" t="s">
        <v>881</v>
      </c>
    </row>
    <row r="370" spans="1:6">
      <c r="A370" s="39">
        <v>44199</v>
      </c>
      <c r="B370" s="27"/>
      <c r="C370" s="27" t="s">
        <v>4575</v>
      </c>
      <c r="D370" s="27"/>
      <c r="E370" s="27" t="s">
        <v>4743</v>
      </c>
      <c r="F370" s="27" t="s">
        <v>4744</v>
      </c>
    </row>
    <row r="371" spans="1:6">
      <c r="A371" s="39">
        <v>44199</v>
      </c>
      <c r="B371" s="27"/>
      <c r="C371" s="27" t="s">
        <v>4576</v>
      </c>
      <c r="D371" s="27"/>
      <c r="E371" s="27" t="s">
        <v>4745</v>
      </c>
      <c r="F371" s="27" t="s">
        <v>1050</v>
      </c>
    </row>
    <row r="372" spans="1:6">
      <c r="A372" s="39">
        <v>44199</v>
      </c>
      <c r="B372" s="27"/>
      <c r="C372" s="27" t="s">
        <v>4577</v>
      </c>
      <c r="D372" s="27"/>
      <c r="E372" s="27" t="s">
        <v>4746</v>
      </c>
      <c r="F372" s="27" t="s">
        <v>4747</v>
      </c>
    </row>
    <row r="373" spans="1:6">
      <c r="A373" s="38">
        <v>44117</v>
      </c>
      <c r="B373" s="61"/>
      <c r="C373" s="61" t="s">
        <v>882</v>
      </c>
      <c r="D373" s="61"/>
      <c r="E373" s="61" t="s">
        <v>883</v>
      </c>
      <c r="F373" s="61" t="s">
        <v>884</v>
      </c>
    </row>
    <row r="374" spans="1:6">
      <c r="A374" s="38">
        <v>44159</v>
      </c>
      <c r="B374" s="61"/>
      <c r="C374" s="61" t="s">
        <v>885</v>
      </c>
      <c r="D374" s="61"/>
      <c r="E374" s="61" t="s">
        <v>883</v>
      </c>
      <c r="F374" s="61" t="s">
        <v>884</v>
      </c>
    </row>
    <row r="375" spans="1:6">
      <c r="A375" s="38">
        <v>44091</v>
      </c>
      <c r="B375" s="53"/>
      <c r="C375" s="53" t="s">
        <v>886</v>
      </c>
      <c r="D375" s="53"/>
      <c r="E375" s="53" t="s">
        <v>887</v>
      </c>
      <c r="F375" s="53" t="s">
        <v>888</v>
      </c>
    </row>
    <row r="376" spans="1:6">
      <c r="A376" s="38">
        <v>44091</v>
      </c>
      <c r="B376" s="53"/>
      <c r="C376" s="53" t="s">
        <v>889</v>
      </c>
      <c r="D376" s="53"/>
      <c r="E376" s="53" t="s">
        <v>890</v>
      </c>
      <c r="F376" s="53" t="s">
        <v>891</v>
      </c>
    </row>
    <row r="377" spans="1:6">
      <c r="A377" s="38">
        <v>44091</v>
      </c>
      <c r="B377" s="78"/>
      <c r="C377" s="78" t="s">
        <v>892</v>
      </c>
      <c r="D377" s="78"/>
      <c r="E377" s="78" t="s">
        <v>893</v>
      </c>
      <c r="F377" s="78" t="s">
        <v>894</v>
      </c>
    </row>
    <row r="378" spans="1:6">
      <c r="A378" s="39">
        <v>44199</v>
      </c>
      <c r="B378" s="27"/>
      <c r="C378" s="27" t="s">
        <v>4578</v>
      </c>
      <c r="D378" s="27"/>
      <c r="E378" s="27" t="s">
        <v>883</v>
      </c>
      <c r="F378" s="27" t="s">
        <v>884</v>
      </c>
    </row>
    <row r="379" spans="1:6">
      <c r="A379" s="38">
        <v>43794</v>
      </c>
      <c r="B379" s="61"/>
      <c r="C379" s="61" t="s">
        <v>895</v>
      </c>
      <c r="D379" s="61"/>
      <c r="E379" s="61" t="s">
        <v>896</v>
      </c>
      <c r="F379" s="61" t="s">
        <v>897</v>
      </c>
    </row>
    <row r="380" spans="1:6">
      <c r="A380" s="38">
        <v>43794</v>
      </c>
      <c r="B380" s="61"/>
      <c r="C380" s="61" t="s">
        <v>898</v>
      </c>
      <c r="D380" s="61"/>
      <c r="E380" s="61" t="s">
        <v>899</v>
      </c>
      <c r="F380" s="61" t="s">
        <v>900</v>
      </c>
    </row>
    <row r="381" spans="1:6">
      <c r="C381" t="s">
        <v>901</v>
      </c>
      <c r="E381" t="s">
        <v>902</v>
      </c>
      <c r="F381" t="s">
        <v>903</v>
      </c>
    </row>
    <row r="382" spans="1:6">
      <c r="A382" s="38">
        <v>44159</v>
      </c>
      <c r="B382" s="53"/>
      <c r="C382" s="53" t="s">
        <v>904</v>
      </c>
      <c r="D382" s="53"/>
      <c r="E382" s="53" t="s">
        <v>905</v>
      </c>
      <c r="F382" s="53" t="s">
        <v>906</v>
      </c>
    </row>
    <row r="383" spans="1:6">
      <c r="A383" s="38">
        <v>43812</v>
      </c>
      <c r="B383" s="61"/>
      <c r="C383" s="61" t="s">
        <v>907</v>
      </c>
      <c r="D383" s="61"/>
      <c r="E383" s="61" t="s">
        <v>908</v>
      </c>
      <c r="F383" s="61" t="s">
        <v>909</v>
      </c>
    </row>
    <row r="384" spans="1:6">
      <c r="A384" s="38">
        <v>44091</v>
      </c>
      <c r="B384" s="53"/>
      <c r="C384" s="53" t="s">
        <v>910</v>
      </c>
      <c r="D384" s="53"/>
      <c r="E384" s="53" t="s">
        <v>911</v>
      </c>
      <c r="F384" s="53" t="s">
        <v>912</v>
      </c>
    </row>
    <row r="385" spans="1:6">
      <c r="A385" s="38">
        <v>44091</v>
      </c>
      <c r="B385" s="53"/>
      <c r="C385" s="53" t="s">
        <v>913</v>
      </c>
      <c r="D385" s="53"/>
      <c r="E385" s="53" t="s">
        <v>914</v>
      </c>
      <c r="F385" s="53" t="s">
        <v>915</v>
      </c>
    </row>
    <row r="386" spans="1:6">
      <c r="A386" s="38">
        <v>44159</v>
      </c>
      <c r="B386" s="51"/>
      <c r="C386" s="51" t="s">
        <v>916</v>
      </c>
      <c r="D386" s="51"/>
      <c r="E386" s="51" t="s">
        <v>917</v>
      </c>
      <c r="F386" s="51" t="s">
        <v>918</v>
      </c>
    </row>
    <row r="387" spans="1:6">
      <c r="A387" s="38">
        <v>44172</v>
      </c>
      <c r="C387" t="s">
        <v>919</v>
      </c>
      <c r="E387" t="s">
        <v>920</v>
      </c>
      <c r="F387" t="s">
        <v>921</v>
      </c>
    </row>
    <row r="388" spans="1:6">
      <c r="A388" s="38">
        <v>44091</v>
      </c>
      <c r="C388" t="s">
        <v>922</v>
      </c>
      <c r="E388" t="s">
        <v>923</v>
      </c>
      <c r="F388" t="s">
        <v>924</v>
      </c>
    </row>
    <row r="389" spans="1:6">
      <c r="A389" s="38">
        <v>44091</v>
      </c>
      <c r="B389" s="79"/>
      <c r="C389" s="79" t="s">
        <v>925</v>
      </c>
      <c r="D389" s="79"/>
      <c r="E389" s="79" t="s">
        <v>926</v>
      </c>
      <c r="F389" s="79" t="s">
        <v>927</v>
      </c>
    </row>
    <row r="390" spans="1:6">
      <c r="A390" s="38">
        <v>44169</v>
      </c>
      <c r="C390" t="s">
        <v>928</v>
      </c>
      <c r="E390" t="s">
        <v>929</v>
      </c>
      <c r="F390" t="s">
        <v>930</v>
      </c>
    </row>
    <row r="391" spans="1:6">
      <c r="A391" s="38">
        <v>44172</v>
      </c>
      <c r="B391" s="79"/>
      <c r="C391" s="79" t="s">
        <v>931</v>
      </c>
      <c r="D391" s="79"/>
      <c r="E391" s="79" t="s">
        <v>932</v>
      </c>
      <c r="F391" s="79" t="s">
        <v>933</v>
      </c>
    </row>
    <row r="392" spans="1:6">
      <c r="A392" s="38">
        <v>44173</v>
      </c>
      <c r="B392" s="79"/>
      <c r="C392" s="79" t="s">
        <v>934</v>
      </c>
      <c r="D392" s="79"/>
      <c r="E392" s="79" t="s">
        <v>935</v>
      </c>
      <c r="F392" s="79" t="s">
        <v>936</v>
      </c>
    </row>
    <row r="393" spans="1:6">
      <c r="A393" s="38">
        <v>44173</v>
      </c>
      <c r="B393" s="53"/>
      <c r="C393" s="53" t="s">
        <v>2844</v>
      </c>
      <c r="D393" s="53"/>
      <c r="E393" s="53" t="s">
        <v>2845</v>
      </c>
      <c r="F393" s="53" t="s">
        <v>2846</v>
      </c>
    </row>
    <row r="394" spans="1:6">
      <c r="A394" s="38">
        <v>44173</v>
      </c>
      <c r="B394" s="52"/>
      <c r="C394" s="52" t="s">
        <v>2841</v>
      </c>
      <c r="D394" s="52"/>
      <c r="E394" s="52" t="s">
        <v>2842</v>
      </c>
      <c r="F394" s="52" t="s">
        <v>2843</v>
      </c>
    </row>
    <row r="395" spans="1:6">
      <c r="A395" s="38">
        <v>43644</v>
      </c>
      <c r="B395" s="79"/>
      <c r="C395" s="79" t="s">
        <v>939</v>
      </c>
      <c r="D395" s="79"/>
      <c r="E395" s="79" t="s">
        <v>940</v>
      </c>
      <c r="F395" s="79" t="s">
        <v>941</v>
      </c>
    </row>
    <row r="396" spans="1:6">
      <c r="A396" s="38">
        <v>44007</v>
      </c>
      <c r="C396" t="s">
        <v>942</v>
      </c>
      <c r="E396" t="s">
        <v>943</v>
      </c>
      <c r="F396" t="s">
        <v>944</v>
      </c>
    </row>
    <row r="397" spans="1:6">
      <c r="A397" s="38">
        <v>43644</v>
      </c>
      <c r="C397" t="s">
        <v>945</v>
      </c>
      <c r="E397" t="s">
        <v>946</v>
      </c>
      <c r="F397" t="s">
        <v>947</v>
      </c>
    </row>
    <row r="398" spans="1:6">
      <c r="A398" s="38">
        <v>43725</v>
      </c>
      <c r="B398" s="52"/>
      <c r="C398" s="52" t="s">
        <v>948</v>
      </c>
      <c r="D398" s="52"/>
      <c r="E398" s="52" t="s">
        <v>949</v>
      </c>
      <c r="F398" s="52" t="s">
        <v>950</v>
      </c>
    </row>
    <row r="399" spans="1:6">
      <c r="A399" s="38">
        <v>43515</v>
      </c>
      <c r="B399" s="52"/>
      <c r="C399" s="52" t="s">
        <v>951</v>
      </c>
      <c r="D399" s="52"/>
      <c r="E399" s="52" t="s">
        <v>951</v>
      </c>
      <c r="F399" s="52" t="s">
        <v>952</v>
      </c>
    </row>
    <row r="400" spans="1:6">
      <c r="A400" s="38">
        <v>44120</v>
      </c>
      <c r="B400" s="52"/>
      <c r="C400" s="52" t="s">
        <v>953</v>
      </c>
      <c r="D400" s="52"/>
      <c r="E400" s="52" t="s">
        <v>954</v>
      </c>
      <c r="F400" s="52" t="s">
        <v>955</v>
      </c>
    </row>
    <row r="401" spans="1:6">
      <c r="A401" s="38">
        <v>43588</v>
      </c>
      <c r="B401" s="52"/>
      <c r="C401" s="52" t="s">
        <v>956</v>
      </c>
      <c r="D401" s="52"/>
      <c r="E401" s="52" t="s">
        <v>957</v>
      </c>
      <c r="F401" s="52" t="s">
        <v>958</v>
      </c>
    </row>
    <row r="402" spans="1:6">
      <c r="A402" s="38">
        <v>43867</v>
      </c>
      <c r="B402" s="52"/>
      <c r="C402" s="52" t="s">
        <v>959</v>
      </c>
      <c r="D402" s="52"/>
      <c r="E402" s="52" t="s">
        <v>960</v>
      </c>
      <c r="F402" s="52" t="s">
        <v>961</v>
      </c>
    </row>
    <row r="403" spans="1:6">
      <c r="A403" s="38">
        <v>44041</v>
      </c>
      <c r="B403" s="53"/>
      <c r="C403" s="53" t="s">
        <v>962</v>
      </c>
      <c r="D403" s="53"/>
      <c r="E403" s="53" t="s">
        <v>963</v>
      </c>
      <c r="F403" s="53" t="s">
        <v>964</v>
      </c>
    </row>
    <row r="404" spans="1:6">
      <c r="A404" s="38">
        <v>43811</v>
      </c>
      <c r="B404" s="53"/>
      <c r="C404" s="53" t="s">
        <v>965</v>
      </c>
      <c r="D404" s="53"/>
      <c r="E404" s="53" t="s">
        <v>966</v>
      </c>
      <c r="F404" s="53" t="s">
        <v>967</v>
      </c>
    </row>
    <row r="405" spans="1:6">
      <c r="A405" s="38">
        <v>44011</v>
      </c>
      <c r="B405" s="53"/>
      <c r="C405" s="53" t="s">
        <v>968</v>
      </c>
      <c r="D405" s="53"/>
      <c r="E405" s="53" t="s">
        <v>969</v>
      </c>
      <c r="F405" s="53" t="s">
        <v>970</v>
      </c>
    </row>
    <row r="406" spans="1:6">
      <c r="A406" s="38">
        <v>43530</v>
      </c>
      <c r="B406" s="79"/>
      <c r="C406" s="79" t="s">
        <v>971</v>
      </c>
      <c r="D406" s="79"/>
      <c r="E406" s="79" t="s">
        <v>972</v>
      </c>
      <c r="F406" s="79" t="s">
        <v>973</v>
      </c>
    </row>
    <row r="407" spans="1:6">
      <c r="A407" s="38">
        <v>44085</v>
      </c>
      <c r="B407" s="53"/>
      <c r="C407" s="53" t="s">
        <v>974</v>
      </c>
      <c r="D407" s="53"/>
      <c r="E407" s="53" t="s">
        <v>975</v>
      </c>
      <c r="F407" s="53" t="s">
        <v>976</v>
      </c>
    </row>
    <row r="408" spans="1:6">
      <c r="A408" s="38">
        <v>43865</v>
      </c>
      <c r="B408" s="53"/>
      <c r="C408" s="53" t="s">
        <v>977</v>
      </c>
      <c r="D408" s="53"/>
      <c r="E408" s="53" t="s">
        <v>978</v>
      </c>
      <c r="F408" s="53" t="s">
        <v>979</v>
      </c>
    </row>
    <row r="409" spans="1:6">
      <c r="A409" s="38">
        <v>43868</v>
      </c>
      <c r="B409" s="53"/>
      <c r="C409" s="53" t="s">
        <v>980</v>
      </c>
      <c r="D409" s="53"/>
      <c r="E409" s="53" t="s">
        <v>981</v>
      </c>
      <c r="F409" s="53" t="s">
        <v>982</v>
      </c>
    </row>
    <row r="410" spans="1:6">
      <c r="A410" s="38">
        <v>43868</v>
      </c>
      <c r="B410" s="78"/>
      <c r="C410" s="78" t="s">
        <v>983</v>
      </c>
      <c r="D410" s="78"/>
      <c r="E410" s="78" t="s">
        <v>984</v>
      </c>
      <c r="F410" s="78" t="s">
        <v>985</v>
      </c>
    </row>
    <row r="411" spans="1:6">
      <c r="A411" s="39">
        <v>44199</v>
      </c>
      <c r="B411" s="27"/>
      <c r="C411" s="27" t="s">
        <v>4579</v>
      </c>
      <c r="D411" s="27"/>
      <c r="E411" s="27" t="s">
        <v>4748</v>
      </c>
      <c r="F411" s="27" t="s">
        <v>4749</v>
      </c>
    </row>
    <row r="412" spans="1:6">
      <c r="A412" s="38">
        <v>44172</v>
      </c>
      <c r="B412" s="61"/>
      <c r="C412" s="61" t="s">
        <v>986</v>
      </c>
      <c r="D412" s="61"/>
      <c r="E412" s="61" t="s">
        <v>987</v>
      </c>
      <c r="F412" s="61" t="s">
        <v>988</v>
      </c>
    </row>
    <row r="413" spans="1:6">
      <c r="A413" s="38">
        <v>43564</v>
      </c>
      <c r="B413" s="61"/>
      <c r="C413" s="61" t="s">
        <v>989</v>
      </c>
      <c r="D413" s="61"/>
      <c r="E413" s="61" t="s">
        <v>990</v>
      </c>
      <c r="F413" s="61" t="s">
        <v>991</v>
      </c>
    </row>
    <row r="414" spans="1:6">
      <c r="A414" s="38">
        <v>44091</v>
      </c>
      <c r="B414" s="53"/>
      <c r="C414" s="53" t="s">
        <v>992</v>
      </c>
      <c r="D414" s="53"/>
      <c r="E414" s="53" t="s">
        <v>992</v>
      </c>
      <c r="F414" s="53" t="s">
        <v>993</v>
      </c>
    </row>
    <row r="415" spans="1:6">
      <c r="A415" s="38">
        <v>44091</v>
      </c>
      <c r="B415" s="78"/>
      <c r="C415" s="78" t="s">
        <v>994</v>
      </c>
      <c r="D415" s="78"/>
      <c r="E415" s="78" t="s">
        <v>995</v>
      </c>
      <c r="F415" s="78" t="s">
        <v>996</v>
      </c>
    </row>
    <row r="416" spans="1:6">
      <c r="A416" s="49">
        <v>44480</v>
      </c>
      <c r="B416" s="34"/>
      <c r="C416" s="34" t="s">
        <v>5733</v>
      </c>
      <c r="D416" s="34"/>
      <c r="E416" s="34" t="s">
        <v>5734</v>
      </c>
      <c r="F416" s="34" t="s">
        <v>5735</v>
      </c>
    </row>
    <row r="417" spans="1:6">
      <c r="A417" s="38">
        <v>43719</v>
      </c>
      <c r="B417" s="79"/>
      <c r="C417" s="79" t="s">
        <v>997</v>
      </c>
      <c r="D417" s="79"/>
      <c r="E417" s="79" t="s">
        <v>998</v>
      </c>
      <c r="F417" s="79" t="s">
        <v>999</v>
      </c>
    </row>
    <row r="418" spans="1:6">
      <c r="A418" s="38">
        <v>43965</v>
      </c>
      <c r="B418" s="61"/>
      <c r="C418" s="61" t="s">
        <v>1000</v>
      </c>
      <c r="D418" s="61"/>
      <c r="E418" s="61" t="s">
        <v>1001</v>
      </c>
      <c r="F418" s="61" t="s">
        <v>1002</v>
      </c>
    </row>
    <row r="419" spans="1:6">
      <c r="A419" s="38">
        <v>43965</v>
      </c>
      <c r="B419" s="52"/>
      <c r="C419" s="52" t="s">
        <v>1003</v>
      </c>
      <c r="D419" s="52"/>
      <c r="E419" s="52" t="s">
        <v>1004</v>
      </c>
      <c r="F419" s="52" t="s">
        <v>1005</v>
      </c>
    </row>
    <row r="420" spans="1:6">
      <c r="A420" s="38">
        <v>44013</v>
      </c>
      <c r="B420" s="53"/>
      <c r="C420" s="53" t="s">
        <v>1006</v>
      </c>
      <c r="D420" s="53"/>
      <c r="E420" s="53" t="s">
        <v>1006</v>
      </c>
      <c r="F420" s="53" t="s">
        <v>1007</v>
      </c>
    </row>
    <row r="421" spans="1:6">
      <c r="A421" s="38">
        <v>44120</v>
      </c>
      <c r="B421" s="79"/>
      <c r="C421" s="79" t="s">
        <v>1008</v>
      </c>
      <c r="D421" s="79"/>
      <c r="E421" s="79" t="s">
        <v>1008</v>
      </c>
      <c r="F421" s="79" t="s">
        <v>1009</v>
      </c>
    </row>
    <row r="422" spans="1:6">
      <c r="A422" s="38">
        <v>43755</v>
      </c>
      <c r="B422" s="53"/>
      <c r="C422" s="53" t="s">
        <v>1010</v>
      </c>
      <c r="D422" s="53"/>
      <c r="E422" s="53" t="s">
        <v>1011</v>
      </c>
      <c r="F422" s="53" t="s">
        <v>1012</v>
      </c>
    </row>
    <row r="423" spans="1:6">
      <c r="A423" s="38">
        <v>43636</v>
      </c>
      <c r="B423" s="53"/>
      <c r="C423" s="53" t="s">
        <v>1014</v>
      </c>
      <c r="D423" s="53"/>
      <c r="E423" s="53" t="s">
        <v>1015</v>
      </c>
      <c r="F423" s="53" t="s">
        <v>1016</v>
      </c>
    </row>
    <row r="424" spans="1:6">
      <c r="A424" s="38">
        <v>44082</v>
      </c>
      <c r="B424" s="53"/>
      <c r="C424" s="53" t="s">
        <v>1017</v>
      </c>
      <c r="D424" s="53"/>
      <c r="E424" s="53" t="s">
        <v>1018</v>
      </c>
      <c r="F424" s="53" t="s">
        <v>1019</v>
      </c>
    </row>
    <row r="425" spans="1:6">
      <c r="A425" s="38">
        <v>43344</v>
      </c>
      <c r="B425" s="79"/>
      <c r="C425" s="79" t="s">
        <v>1020</v>
      </c>
      <c r="D425" s="79" t="s">
        <v>1020</v>
      </c>
      <c r="E425" s="79" t="s">
        <v>1021</v>
      </c>
      <c r="F425" s="79" t="s">
        <v>1019</v>
      </c>
    </row>
    <row r="426" spans="1:6">
      <c r="A426" s="38">
        <v>43344</v>
      </c>
      <c r="B426" s="53"/>
      <c r="C426" s="53" t="s">
        <v>1022</v>
      </c>
      <c r="D426" s="53" t="s">
        <v>1023</v>
      </c>
      <c r="E426" s="53" t="s">
        <v>1024</v>
      </c>
      <c r="F426" s="53" t="s">
        <v>1025</v>
      </c>
    </row>
    <row r="427" spans="1:6">
      <c r="A427" s="38">
        <v>43609</v>
      </c>
      <c r="B427" s="78"/>
      <c r="C427" s="78" t="s">
        <v>1026</v>
      </c>
      <c r="D427" s="78"/>
      <c r="E427" s="78" t="s">
        <v>1027</v>
      </c>
      <c r="F427" s="78" t="s">
        <v>1028</v>
      </c>
    </row>
    <row r="428" spans="1:6">
      <c r="A428" s="39">
        <v>44301</v>
      </c>
      <c r="B428" s="27">
        <v>1</v>
      </c>
      <c r="C428" s="27" t="s">
        <v>5612</v>
      </c>
      <c r="D428" s="27"/>
      <c r="E428" s="27" t="s">
        <v>5613</v>
      </c>
      <c r="F428" s="27" t="s">
        <v>5614</v>
      </c>
    </row>
    <row r="429" spans="1:6">
      <c r="A429" s="38">
        <v>43587</v>
      </c>
      <c r="B429" s="79"/>
      <c r="C429" s="79" t="s">
        <v>1029</v>
      </c>
      <c r="D429" s="79"/>
      <c r="E429" s="79" t="s">
        <v>1030</v>
      </c>
      <c r="F429" s="79" t="s">
        <v>1031</v>
      </c>
    </row>
    <row r="430" spans="1:6">
      <c r="A430" s="38">
        <v>43588</v>
      </c>
      <c r="B430" s="79"/>
      <c r="C430" s="79" t="s">
        <v>1032</v>
      </c>
      <c r="D430" s="79"/>
      <c r="E430" s="79" t="s">
        <v>1033</v>
      </c>
      <c r="F430" s="79" t="s">
        <v>1034</v>
      </c>
    </row>
    <row r="431" spans="1:6">
      <c r="A431" s="38">
        <v>43900</v>
      </c>
      <c r="B431" s="79"/>
      <c r="C431" s="79" t="s">
        <v>1035</v>
      </c>
      <c r="D431" s="79"/>
      <c r="E431" s="79" t="s">
        <v>1036</v>
      </c>
      <c r="F431" s="79" t="s">
        <v>1037</v>
      </c>
    </row>
    <row r="432" spans="1:6">
      <c r="A432" s="38">
        <v>43899</v>
      </c>
      <c r="B432" s="79"/>
      <c r="C432" s="79" t="s">
        <v>1039</v>
      </c>
      <c r="D432" s="79"/>
      <c r="E432" s="79" t="s">
        <v>1040</v>
      </c>
      <c r="F432" s="79" t="s">
        <v>1041</v>
      </c>
    </row>
    <row r="433" spans="1:6">
      <c r="A433" s="38">
        <v>43899</v>
      </c>
      <c r="B433" s="53"/>
      <c r="C433" s="53" t="s">
        <v>1042</v>
      </c>
      <c r="D433" s="53"/>
      <c r="E433" s="53" t="s">
        <v>1043</v>
      </c>
      <c r="F433" s="53" t="s">
        <v>1044</v>
      </c>
    </row>
    <row r="434" spans="1:6">
      <c r="A434" s="38">
        <v>43899</v>
      </c>
      <c r="B434" s="79"/>
      <c r="C434" s="79" t="s">
        <v>1045</v>
      </c>
      <c r="D434" s="79"/>
      <c r="E434" s="79" t="s">
        <v>1046</v>
      </c>
      <c r="F434" s="79" t="s">
        <v>1047</v>
      </c>
    </row>
    <row r="435" spans="1:6">
      <c r="A435" s="38">
        <v>43523</v>
      </c>
      <c r="B435" s="53"/>
      <c r="C435" s="53" t="s">
        <v>1048</v>
      </c>
      <c r="D435" s="53"/>
      <c r="E435" s="53" t="s">
        <v>1049</v>
      </c>
      <c r="F435" s="53" t="s">
        <v>1050</v>
      </c>
    </row>
    <row r="436" spans="1:6">
      <c r="A436" s="38">
        <v>43937</v>
      </c>
      <c r="B436" s="53"/>
      <c r="C436" s="53" t="s">
        <v>1051</v>
      </c>
      <c r="D436" s="53"/>
      <c r="E436" s="53" t="s">
        <v>1052</v>
      </c>
      <c r="F436" s="53" t="s">
        <v>1053</v>
      </c>
    </row>
    <row r="437" spans="1:6">
      <c r="A437" s="38">
        <v>43867</v>
      </c>
      <c r="B437" s="53"/>
      <c r="C437" s="53" t="s">
        <v>1054</v>
      </c>
      <c r="D437" s="53"/>
      <c r="E437" s="53" t="s">
        <v>1055</v>
      </c>
      <c r="F437" s="53" t="s">
        <v>1056</v>
      </c>
    </row>
    <row r="438" spans="1:6">
      <c r="A438" s="38">
        <v>43700</v>
      </c>
      <c r="B438" s="78"/>
      <c r="C438" s="78" t="s">
        <v>1057</v>
      </c>
      <c r="D438" s="78"/>
      <c r="E438" s="78" t="s">
        <v>1058</v>
      </c>
      <c r="F438" s="78" t="s">
        <v>1059</v>
      </c>
    </row>
    <row r="439" spans="1:6">
      <c r="A439" s="39">
        <v>44301</v>
      </c>
      <c r="B439" s="27">
        <v>1</v>
      </c>
      <c r="C439" s="27" t="s">
        <v>5615</v>
      </c>
      <c r="D439" s="27"/>
      <c r="E439" s="27" t="s">
        <v>5616</v>
      </c>
      <c r="F439" s="27" t="s">
        <v>5617</v>
      </c>
    </row>
    <row r="440" spans="1:6">
      <c r="A440" s="38">
        <v>43383</v>
      </c>
      <c r="B440" s="61"/>
      <c r="C440" s="61" t="s">
        <v>1060</v>
      </c>
      <c r="D440" s="61"/>
      <c r="E440" s="61" t="s">
        <v>1061</v>
      </c>
      <c r="F440" s="61" t="s">
        <v>1062</v>
      </c>
    </row>
    <row r="441" spans="1:6">
      <c r="A441" s="38">
        <v>43355</v>
      </c>
      <c r="B441" s="61"/>
      <c r="C441" s="61" t="s">
        <v>1063</v>
      </c>
      <c r="D441" s="61" t="s">
        <v>1064</v>
      </c>
      <c r="E441" s="61" t="s">
        <v>1065</v>
      </c>
      <c r="F441" s="61" t="s">
        <v>1066</v>
      </c>
    </row>
    <row r="442" spans="1:6">
      <c r="A442" s="38">
        <v>44118</v>
      </c>
      <c r="B442" s="79"/>
      <c r="C442" s="79" t="s">
        <v>1067</v>
      </c>
      <c r="D442" s="79"/>
      <c r="E442" s="79" t="s">
        <v>1068</v>
      </c>
      <c r="F442" s="79" t="s">
        <v>1069</v>
      </c>
    </row>
    <row r="443" spans="1:6">
      <c r="A443" s="38">
        <v>43756</v>
      </c>
      <c r="B443" s="79"/>
      <c r="C443" s="79" t="s">
        <v>1070</v>
      </c>
      <c r="D443" s="79"/>
      <c r="E443" s="79" t="s">
        <v>1071</v>
      </c>
      <c r="F443" s="79" t="s">
        <v>1072</v>
      </c>
    </row>
    <row r="444" spans="1:6">
      <c r="A444" s="38">
        <v>43756</v>
      </c>
      <c r="B444" s="53"/>
      <c r="C444" s="53" t="s">
        <v>1073</v>
      </c>
      <c r="D444" s="53"/>
      <c r="E444" s="53" t="s">
        <v>1074</v>
      </c>
      <c r="F444" s="53" t="s">
        <v>1075</v>
      </c>
    </row>
    <row r="445" spans="1:6">
      <c r="A445" s="38">
        <v>44068</v>
      </c>
      <c r="B445" s="53"/>
      <c r="C445" s="53" t="s">
        <v>1076</v>
      </c>
      <c r="D445" s="53"/>
      <c r="E445" s="53" t="s">
        <v>1077</v>
      </c>
      <c r="F445" s="53" t="s">
        <v>1078</v>
      </c>
    </row>
    <row r="446" spans="1:6">
      <c r="A446" s="38">
        <v>44091</v>
      </c>
      <c r="B446" s="53"/>
      <c r="C446" s="53" t="s">
        <v>1079</v>
      </c>
      <c r="D446" s="53"/>
      <c r="E446" s="53" t="s">
        <v>1080</v>
      </c>
      <c r="F446" s="53" t="s">
        <v>1081</v>
      </c>
    </row>
    <row r="447" spans="1:6">
      <c r="A447" s="38">
        <v>43355</v>
      </c>
      <c r="B447" s="53"/>
      <c r="C447" s="53" t="s">
        <v>1082</v>
      </c>
      <c r="D447" s="53" t="s">
        <v>1083</v>
      </c>
      <c r="E447" s="53" t="s">
        <v>1084</v>
      </c>
      <c r="F447" s="53" t="s">
        <v>1085</v>
      </c>
    </row>
    <row r="448" spans="1:6">
      <c r="A448" s="38">
        <v>43355</v>
      </c>
      <c r="B448" s="78"/>
      <c r="C448" s="78" t="s">
        <v>1086</v>
      </c>
      <c r="D448" s="78" t="s">
        <v>1087</v>
      </c>
      <c r="E448" s="78" t="s">
        <v>1088</v>
      </c>
      <c r="F448" s="78" t="s">
        <v>1089</v>
      </c>
    </row>
    <row r="449" spans="1:6">
      <c r="A449" s="39">
        <v>44301</v>
      </c>
      <c r="B449" s="27">
        <v>1</v>
      </c>
      <c r="C449" s="27" t="s">
        <v>5618</v>
      </c>
      <c r="D449" s="27"/>
      <c r="E449" s="27" t="s">
        <v>5619</v>
      </c>
      <c r="F449" s="27" t="s">
        <v>5620</v>
      </c>
    </row>
    <row r="450" spans="1:6">
      <c r="A450" s="38">
        <v>43516</v>
      </c>
      <c r="B450" s="61"/>
      <c r="C450" s="61" t="s">
        <v>1090</v>
      </c>
      <c r="D450" s="61"/>
      <c r="E450" s="61" t="s">
        <v>1091</v>
      </c>
      <c r="F450" s="61" t="s">
        <v>1092</v>
      </c>
    </row>
    <row r="451" spans="1:6">
      <c r="A451" s="38">
        <v>43746</v>
      </c>
      <c r="B451" s="61"/>
      <c r="C451" s="61" t="s">
        <v>1093</v>
      </c>
      <c r="D451" s="61"/>
      <c r="E451" s="61" t="s">
        <v>1094</v>
      </c>
      <c r="F451" s="61" t="s">
        <v>1095</v>
      </c>
    </row>
    <row r="452" spans="1:6">
      <c r="A452" s="38">
        <v>43587</v>
      </c>
      <c r="B452" s="52"/>
      <c r="C452" s="52" t="s">
        <v>1096</v>
      </c>
      <c r="D452" s="52"/>
      <c r="E452" s="52" t="s">
        <v>1097</v>
      </c>
      <c r="F452" s="52" t="s">
        <v>1098</v>
      </c>
    </row>
    <row r="453" spans="1:6">
      <c r="A453" s="38">
        <v>44159</v>
      </c>
      <c r="B453" s="53"/>
      <c r="C453" s="53" t="s">
        <v>1099</v>
      </c>
      <c r="D453" s="53"/>
      <c r="E453" s="53" t="s">
        <v>1100</v>
      </c>
      <c r="F453" s="53" t="s">
        <v>1101</v>
      </c>
    </row>
    <row r="454" spans="1:6">
      <c r="A454" s="38">
        <v>43514</v>
      </c>
      <c r="B454" s="53"/>
      <c r="C454" s="53" t="s">
        <v>1102</v>
      </c>
      <c r="D454" s="53"/>
      <c r="E454" s="53" t="s">
        <v>1103</v>
      </c>
      <c r="F454" s="53" t="s">
        <v>1104</v>
      </c>
    </row>
    <row r="455" spans="1:6">
      <c r="A455" s="38">
        <v>44018</v>
      </c>
      <c r="B455" s="53"/>
      <c r="C455" s="53" t="s">
        <v>1105</v>
      </c>
      <c r="D455" s="53"/>
      <c r="E455" s="53" t="s">
        <v>1106</v>
      </c>
      <c r="F455" s="53" t="s">
        <v>1107</v>
      </c>
    </row>
    <row r="456" spans="1:6">
      <c r="A456" s="38">
        <v>44111</v>
      </c>
      <c r="B456" s="53"/>
      <c r="C456" s="53" t="s">
        <v>1108</v>
      </c>
      <c r="D456" s="53"/>
      <c r="E456" s="53" t="s">
        <v>1109</v>
      </c>
      <c r="F456" s="53" t="s">
        <v>1110</v>
      </c>
    </row>
    <row r="457" spans="1:6">
      <c r="A457" s="38">
        <v>44018</v>
      </c>
      <c r="B457" s="53"/>
      <c r="C457" s="53" t="s">
        <v>1111</v>
      </c>
      <c r="D457" s="53"/>
      <c r="E457" s="53" t="s">
        <v>1112</v>
      </c>
      <c r="F457" s="53" t="s">
        <v>1113</v>
      </c>
    </row>
    <row r="458" spans="1:6">
      <c r="A458" s="38">
        <v>43465</v>
      </c>
      <c r="B458" s="53"/>
      <c r="C458" s="53" t="s">
        <v>1114</v>
      </c>
      <c r="D458" s="53"/>
      <c r="E458" s="53" t="s">
        <v>1115</v>
      </c>
      <c r="F458" s="53" t="s">
        <v>1116</v>
      </c>
    </row>
    <row r="459" spans="1:6">
      <c r="A459" s="38">
        <v>43514</v>
      </c>
      <c r="B459" s="53"/>
      <c r="C459" s="53" t="s">
        <v>1117</v>
      </c>
      <c r="D459" s="53"/>
      <c r="E459" s="53" t="s">
        <v>1118</v>
      </c>
      <c r="F459" s="53" t="s">
        <v>1104</v>
      </c>
    </row>
    <row r="460" spans="1:6">
      <c r="A460" s="38">
        <v>43860</v>
      </c>
      <c r="B460" s="53"/>
      <c r="C460" s="53" t="s">
        <v>1119</v>
      </c>
      <c r="D460" s="53"/>
      <c r="E460" s="53" t="s">
        <v>1119</v>
      </c>
      <c r="F460" s="53" t="s">
        <v>1120</v>
      </c>
    </row>
    <row r="461" spans="1:6">
      <c r="A461" s="38">
        <v>44085</v>
      </c>
      <c r="B461" s="53"/>
      <c r="C461" s="53" t="s">
        <v>1121</v>
      </c>
      <c r="D461" s="53"/>
      <c r="E461" s="53" t="s">
        <v>1122</v>
      </c>
      <c r="F461" s="53" t="s">
        <v>1123</v>
      </c>
    </row>
    <row r="462" spans="1:6">
      <c r="A462" s="38">
        <v>43725</v>
      </c>
      <c r="B462" s="78"/>
      <c r="C462" s="78" t="s">
        <v>1124</v>
      </c>
      <c r="D462" s="78"/>
      <c r="E462" s="78" t="s">
        <v>1125</v>
      </c>
      <c r="F462" s="78" t="s">
        <v>1126</v>
      </c>
    </row>
    <row r="463" spans="1:6">
      <c r="A463" s="39">
        <v>44512</v>
      </c>
      <c r="B463" s="27"/>
      <c r="C463" s="27" t="s">
        <v>6037</v>
      </c>
      <c r="D463" s="27"/>
      <c r="E463" s="27" t="s">
        <v>6037</v>
      </c>
      <c r="F463" s="54" t="s">
        <v>6038</v>
      </c>
    </row>
    <row r="464" spans="1:6">
      <c r="A464" s="39">
        <v>44200</v>
      </c>
      <c r="B464" s="27"/>
      <c r="C464" s="27" t="s">
        <v>4973</v>
      </c>
      <c r="D464" s="27"/>
      <c r="E464" s="27" t="s">
        <v>5144</v>
      </c>
      <c r="F464" s="27" t="s">
        <v>5310</v>
      </c>
    </row>
    <row r="465" spans="1:6">
      <c r="A465" s="39">
        <v>44200</v>
      </c>
      <c r="B465" s="27"/>
      <c r="C465" s="27" t="s">
        <v>4974</v>
      </c>
      <c r="D465" s="27"/>
      <c r="E465" s="27" t="s">
        <v>5145</v>
      </c>
      <c r="F465" s="27" t="s">
        <v>5311</v>
      </c>
    </row>
    <row r="466" spans="1:6">
      <c r="A466" s="38">
        <v>44013</v>
      </c>
      <c r="B466" s="61"/>
      <c r="C466" s="61" t="s">
        <v>1127</v>
      </c>
      <c r="D466" s="61"/>
      <c r="E466" s="61" t="s">
        <v>1128</v>
      </c>
      <c r="F466" s="61" t="s">
        <v>1129</v>
      </c>
    </row>
    <row r="467" spans="1:6">
      <c r="A467" s="38">
        <v>43637</v>
      </c>
      <c r="B467" s="61"/>
      <c r="C467" s="61" t="s">
        <v>1130</v>
      </c>
      <c r="D467" s="61"/>
      <c r="E467" s="61" t="s">
        <v>1131</v>
      </c>
      <c r="F467" s="61" t="s">
        <v>1132</v>
      </c>
    </row>
    <row r="468" spans="1:6">
      <c r="A468" s="38">
        <v>43461</v>
      </c>
      <c r="B468" s="53"/>
      <c r="C468" s="53" t="s">
        <v>1133</v>
      </c>
      <c r="D468" s="53"/>
      <c r="E468" s="53" t="s">
        <v>1134</v>
      </c>
      <c r="F468" s="53" t="s">
        <v>1135</v>
      </c>
    </row>
    <row r="469" spans="1:6">
      <c r="A469" s="38">
        <v>43724</v>
      </c>
      <c r="B469" s="53"/>
      <c r="C469" s="53" t="s">
        <v>1136</v>
      </c>
      <c r="D469" s="53"/>
      <c r="E469" s="53" t="s">
        <v>1137</v>
      </c>
      <c r="F469" s="53" t="s">
        <v>1138</v>
      </c>
    </row>
    <row r="470" spans="1:6">
      <c r="A470" s="38">
        <v>44084</v>
      </c>
      <c r="B470" s="53"/>
      <c r="C470" s="53" t="s">
        <v>1139</v>
      </c>
      <c r="D470" s="53"/>
      <c r="E470" s="53" t="s">
        <v>1140</v>
      </c>
      <c r="F470" s="53" t="s">
        <v>1141</v>
      </c>
    </row>
    <row r="471" spans="1:6">
      <c r="A471" s="38">
        <v>43461</v>
      </c>
      <c r="B471" s="78"/>
      <c r="C471" s="78" t="s">
        <v>1142</v>
      </c>
      <c r="D471" s="78"/>
      <c r="E471" s="78" t="s">
        <v>1143</v>
      </c>
      <c r="F471" s="78" t="s">
        <v>1144</v>
      </c>
    </row>
    <row r="472" spans="1:6">
      <c r="A472" s="39">
        <v>44236</v>
      </c>
      <c r="B472" s="27"/>
      <c r="C472" s="27" t="s">
        <v>5498</v>
      </c>
      <c r="D472" s="27"/>
      <c r="E472" s="27" t="s">
        <v>5499</v>
      </c>
      <c r="F472" s="27" t="s">
        <v>4281</v>
      </c>
    </row>
    <row r="473" spans="1:6">
      <c r="A473" s="38">
        <v>43725</v>
      </c>
      <c r="B473" s="78"/>
      <c r="C473" s="78" t="s">
        <v>1145</v>
      </c>
      <c r="D473" s="78"/>
      <c r="E473" s="78" t="s">
        <v>1146</v>
      </c>
      <c r="F473" s="78" t="s">
        <v>1038</v>
      </c>
    </row>
    <row r="474" spans="1:6">
      <c r="A474" s="39">
        <v>44510</v>
      </c>
      <c r="B474" s="27"/>
      <c r="C474" s="27" t="s">
        <v>5881</v>
      </c>
      <c r="D474" s="27"/>
      <c r="E474" s="27" t="s">
        <v>5882</v>
      </c>
      <c r="F474" s="27" t="s">
        <v>5883</v>
      </c>
    </row>
    <row r="475" spans="1:6">
      <c r="A475" s="38">
        <v>43644</v>
      </c>
      <c r="B475" s="61"/>
      <c r="C475" s="61" t="s">
        <v>1147</v>
      </c>
      <c r="D475" s="61"/>
      <c r="E475" s="61" t="s">
        <v>1148</v>
      </c>
      <c r="F475" s="61" t="s">
        <v>1149</v>
      </c>
    </row>
    <row r="476" spans="1:6">
      <c r="A476" s="38">
        <v>43937</v>
      </c>
      <c r="B476" s="61"/>
      <c r="C476" s="61" t="s">
        <v>1150</v>
      </c>
      <c r="D476" s="61"/>
      <c r="E476" s="61" t="s">
        <v>1151</v>
      </c>
      <c r="F476" s="61" t="s">
        <v>1152</v>
      </c>
    </row>
    <row r="477" spans="1:6">
      <c r="A477" s="38">
        <v>43644</v>
      </c>
      <c r="B477" s="53"/>
      <c r="C477" s="53" t="s">
        <v>1153</v>
      </c>
      <c r="D477" s="53"/>
      <c r="E477" s="53" t="s">
        <v>1154</v>
      </c>
      <c r="F477" s="53" t="s">
        <v>1155</v>
      </c>
    </row>
    <row r="478" spans="1:6">
      <c r="A478" s="38">
        <v>43899</v>
      </c>
      <c r="B478" s="53"/>
      <c r="C478" s="53" t="s">
        <v>1156</v>
      </c>
      <c r="D478" s="53"/>
      <c r="E478" s="53" t="s">
        <v>1157</v>
      </c>
      <c r="F478" s="53" t="s">
        <v>1158</v>
      </c>
    </row>
    <row r="479" spans="1:6">
      <c r="A479" s="38">
        <v>43899</v>
      </c>
      <c r="B479" s="53"/>
      <c r="C479" s="53" t="s">
        <v>1159</v>
      </c>
      <c r="D479" s="53"/>
      <c r="E479" s="53" t="s">
        <v>1160</v>
      </c>
      <c r="F479" s="53" t="s">
        <v>1161</v>
      </c>
    </row>
    <row r="480" spans="1:6">
      <c r="A480" s="38">
        <v>43644</v>
      </c>
      <c r="B480" s="79"/>
      <c r="C480" s="79" t="s">
        <v>1162</v>
      </c>
      <c r="D480" s="79"/>
      <c r="E480" s="79" t="s">
        <v>1163</v>
      </c>
      <c r="F480" s="79" t="s">
        <v>1164</v>
      </c>
    </row>
    <row r="481" spans="1:6">
      <c r="A481" s="39">
        <v>44301</v>
      </c>
      <c r="B481" s="27">
        <v>2</v>
      </c>
      <c r="C481" s="27" t="s">
        <v>5621</v>
      </c>
      <c r="D481" s="27"/>
      <c r="E481" s="27" t="s">
        <v>1148</v>
      </c>
      <c r="F481" s="27" t="s">
        <v>1149</v>
      </c>
    </row>
    <row r="482" spans="1:6">
      <c r="A482" s="38">
        <v>43899</v>
      </c>
      <c r="B482" s="78"/>
      <c r="C482" s="78" t="s">
        <v>1165</v>
      </c>
      <c r="D482" s="78"/>
      <c r="E482" s="78" t="s">
        <v>1166</v>
      </c>
      <c r="F482" s="78" t="s">
        <v>1167</v>
      </c>
    </row>
    <row r="483" spans="1:6">
      <c r="A483" s="39">
        <v>44510</v>
      </c>
      <c r="B483" s="27"/>
      <c r="C483" s="27" t="s">
        <v>5822</v>
      </c>
      <c r="D483" s="27"/>
      <c r="E483" s="27" t="s">
        <v>5822</v>
      </c>
      <c r="F483" s="27" t="s">
        <v>5823</v>
      </c>
    </row>
    <row r="484" spans="1:6">
      <c r="A484" s="39">
        <v>44510</v>
      </c>
      <c r="B484" s="27"/>
      <c r="C484" s="27" t="s">
        <v>5824</v>
      </c>
      <c r="D484" s="27"/>
      <c r="E484" s="27" t="s">
        <v>5825</v>
      </c>
      <c r="F484" s="27" t="s">
        <v>5826</v>
      </c>
    </row>
    <row r="485" spans="1:6" s="59" customFormat="1">
      <c r="A485" s="38">
        <v>44172</v>
      </c>
      <c r="B485" s="79"/>
      <c r="C485" s="79" t="s">
        <v>1168</v>
      </c>
      <c r="D485" s="79"/>
      <c r="E485" s="79" t="s">
        <v>1169</v>
      </c>
      <c r="F485" s="79" t="s">
        <v>1170</v>
      </c>
    </row>
    <row r="486" spans="1:6" s="59" customFormat="1">
      <c r="A486" s="38">
        <v>43864</v>
      </c>
      <c r="B486" s="79"/>
      <c r="C486" s="79" t="s">
        <v>1171</v>
      </c>
      <c r="D486" s="79"/>
      <c r="E486" s="79" t="s">
        <v>1172</v>
      </c>
      <c r="F486" s="79" t="s">
        <v>1173</v>
      </c>
    </row>
    <row r="487" spans="1:6" s="59" customFormat="1">
      <c r="A487" s="39">
        <v>44510</v>
      </c>
      <c r="B487" s="27"/>
      <c r="C487" s="27" t="s">
        <v>5841</v>
      </c>
      <c r="D487" s="27"/>
      <c r="E487" s="55" t="s">
        <v>5842</v>
      </c>
      <c r="F487" s="27" t="s">
        <v>5451</v>
      </c>
    </row>
    <row r="488" spans="1:6">
      <c r="A488" s="39"/>
      <c r="B488" s="27"/>
      <c r="C488" s="27" t="s">
        <v>6108</v>
      </c>
      <c r="D488" s="27"/>
      <c r="E488" s="27" t="s">
        <v>6109</v>
      </c>
      <c r="F488" s="27" t="s">
        <v>6110</v>
      </c>
    </row>
    <row r="489" spans="1:6">
      <c r="A489" s="39">
        <v>44510</v>
      </c>
      <c r="B489" s="27"/>
      <c r="C489" s="27" t="s">
        <v>5924</v>
      </c>
      <c r="D489" s="27"/>
      <c r="E489" s="27" t="s">
        <v>5925</v>
      </c>
      <c r="F489" s="27" t="s">
        <v>5926</v>
      </c>
    </row>
    <row r="490" spans="1:6">
      <c r="A490" s="39">
        <v>44475</v>
      </c>
      <c r="B490" s="27">
        <v>2</v>
      </c>
      <c r="C490" s="27" t="s">
        <v>6098</v>
      </c>
      <c r="D490" s="27"/>
      <c r="E490" s="27" t="s">
        <v>6099</v>
      </c>
      <c r="F490" s="27" t="s">
        <v>6100</v>
      </c>
    </row>
    <row r="491" spans="1:6">
      <c r="A491" s="39">
        <v>44475</v>
      </c>
      <c r="B491" s="27">
        <v>1</v>
      </c>
      <c r="C491" s="27" t="s">
        <v>6101</v>
      </c>
      <c r="D491" s="27"/>
      <c r="E491" s="27" t="s">
        <v>6102</v>
      </c>
      <c r="F491" s="27" t="s">
        <v>6103</v>
      </c>
    </row>
    <row r="492" spans="1:6">
      <c r="A492" s="39">
        <v>44200</v>
      </c>
      <c r="B492" s="27"/>
      <c r="C492" s="27" t="s">
        <v>4975</v>
      </c>
      <c r="D492" s="27"/>
      <c r="E492" s="27" t="s">
        <v>5146</v>
      </c>
      <c r="F492" s="27" t="s">
        <v>5312</v>
      </c>
    </row>
    <row r="493" spans="1:6">
      <c r="A493" s="39">
        <v>44475</v>
      </c>
      <c r="B493" s="27">
        <v>2</v>
      </c>
      <c r="C493" s="27" t="s">
        <v>6105</v>
      </c>
      <c r="D493" s="27"/>
      <c r="E493" s="27" t="s">
        <v>6106</v>
      </c>
      <c r="F493" s="27" t="s">
        <v>6107</v>
      </c>
    </row>
    <row r="494" spans="1:6">
      <c r="A494" s="39">
        <v>44510</v>
      </c>
      <c r="B494" s="27"/>
      <c r="C494" s="57" t="s">
        <v>5829</v>
      </c>
      <c r="D494" s="27"/>
      <c r="E494" s="27" t="s">
        <v>5831</v>
      </c>
      <c r="F494" s="27" t="s">
        <v>5836</v>
      </c>
    </row>
    <row r="495" spans="1:6">
      <c r="A495" s="38">
        <v>43384</v>
      </c>
      <c r="B495" s="78"/>
      <c r="C495" s="78" t="s">
        <v>1174</v>
      </c>
      <c r="D495" s="78"/>
      <c r="E495" s="78" t="s">
        <v>1175</v>
      </c>
      <c r="F495" s="78" t="s">
        <v>1176</v>
      </c>
    </row>
    <row r="496" spans="1:6">
      <c r="A496" s="39">
        <v>44200</v>
      </c>
      <c r="B496" s="27"/>
      <c r="C496" s="27" t="s">
        <v>4976</v>
      </c>
      <c r="D496" s="27"/>
      <c r="E496" s="27" t="s">
        <v>5147</v>
      </c>
      <c r="F496" s="27" t="s">
        <v>5313</v>
      </c>
    </row>
    <row r="497" spans="1:6" s="52" customFormat="1">
      <c r="A497" s="38">
        <v>44012</v>
      </c>
      <c r="B497" s="79"/>
      <c r="C497" s="79" t="s">
        <v>1177</v>
      </c>
      <c r="D497" s="79"/>
      <c r="E497" s="79" t="s">
        <v>1178</v>
      </c>
      <c r="F497" s="79" t="s">
        <v>1179</v>
      </c>
    </row>
    <row r="498" spans="1:6">
      <c r="A498" s="38">
        <v>43620</v>
      </c>
      <c r="B498" s="53"/>
      <c r="C498" s="53" t="s">
        <v>1180</v>
      </c>
      <c r="D498" s="53"/>
      <c r="E498" s="53" t="s">
        <v>1181</v>
      </c>
      <c r="F498" s="53" t="s">
        <v>1182</v>
      </c>
    </row>
    <row r="499" spans="1:6" s="61" customFormat="1">
      <c r="A499" s="38">
        <v>43344</v>
      </c>
      <c r="B499" s="79"/>
      <c r="C499" s="79" t="s">
        <v>1183</v>
      </c>
      <c r="D499" s="79" t="s">
        <v>1184</v>
      </c>
      <c r="E499" s="79" t="s">
        <v>1185</v>
      </c>
      <c r="F499" s="79" t="s">
        <v>1186</v>
      </c>
    </row>
    <row r="500" spans="1:6">
      <c r="A500" s="39">
        <v>44519</v>
      </c>
      <c r="B500" s="27"/>
      <c r="C500" s="27" t="s">
        <v>6125</v>
      </c>
      <c r="D500" s="27" t="s">
        <v>6126</v>
      </c>
      <c r="E500" s="27" t="s">
        <v>6123</v>
      </c>
      <c r="F500" s="27" t="s">
        <v>6124</v>
      </c>
    </row>
    <row r="501" spans="1:6">
      <c r="A501" s="38">
        <v>43465</v>
      </c>
      <c r="B501" s="79"/>
      <c r="C501" s="79" t="s">
        <v>1187</v>
      </c>
      <c r="D501" s="79"/>
      <c r="E501" s="79" t="s">
        <v>1187</v>
      </c>
      <c r="F501" s="79" t="s">
        <v>1188</v>
      </c>
    </row>
    <row r="502" spans="1:6">
      <c r="A502" s="38">
        <v>43634</v>
      </c>
      <c r="B502" s="53"/>
      <c r="C502" s="53" t="s">
        <v>1189</v>
      </c>
      <c r="D502" s="53"/>
      <c r="E502" s="53" t="s">
        <v>1190</v>
      </c>
      <c r="F502" s="53" t="s">
        <v>1191</v>
      </c>
    </row>
    <row r="503" spans="1:6">
      <c r="A503" s="38">
        <v>43588</v>
      </c>
      <c r="B503" s="78"/>
      <c r="C503" s="78" t="s">
        <v>1192</v>
      </c>
      <c r="D503" s="78"/>
      <c r="E503" s="78" t="s">
        <v>1193</v>
      </c>
      <c r="F503" s="78" t="s">
        <v>1194</v>
      </c>
    </row>
    <row r="504" spans="1:6">
      <c r="A504" s="39">
        <v>44199</v>
      </c>
      <c r="B504" s="27"/>
      <c r="C504" s="27" t="s">
        <v>1195</v>
      </c>
      <c r="D504" s="27"/>
      <c r="E504" s="27" t="s">
        <v>1196</v>
      </c>
      <c r="F504" s="27" t="s">
        <v>1191</v>
      </c>
    </row>
    <row r="505" spans="1:6">
      <c r="A505" s="38">
        <v>43815</v>
      </c>
      <c r="B505" s="61"/>
      <c r="C505" s="61" t="s">
        <v>1197</v>
      </c>
      <c r="D505" s="61"/>
      <c r="E505" s="61" t="s">
        <v>1198</v>
      </c>
      <c r="F505" s="61" t="s">
        <v>1199</v>
      </c>
    </row>
    <row r="506" spans="1:6" s="52" customFormat="1">
      <c r="A506" s="38">
        <v>43755</v>
      </c>
      <c r="B506" s="79"/>
      <c r="C506" s="79" t="s">
        <v>1200</v>
      </c>
      <c r="D506" s="79"/>
      <c r="E506" s="79" t="s">
        <v>1201</v>
      </c>
      <c r="F506" s="79" t="s">
        <v>1202</v>
      </c>
    </row>
    <row r="507" spans="1:6" s="52" customFormat="1">
      <c r="A507" s="38">
        <v>43760</v>
      </c>
      <c r="B507" s="79"/>
      <c r="C507" s="79" t="s">
        <v>1203</v>
      </c>
      <c r="D507" s="79"/>
      <c r="E507" s="79" t="s">
        <v>1203</v>
      </c>
      <c r="F507" s="79" t="s">
        <v>1204</v>
      </c>
    </row>
    <row r="508" spans="1:6">
      <c r="A508" s="39">
        <v>44510</v>
      </c>
      <c r="B508" s="27"/>
      <c r="C508" s="57" t="s">
        <v>6087</v>
      </c>
      <c r="D508" s="27"/>
      <c r="E508" s="27" t="s">
        <v>6088</v>
      </c>
      <c r="F508" s="27" t="s">
        <v>5794</v>
      </c>
    </row>
    <row r="509" spans="1:6">
      <c r="A509" s="38">
        <v>43644</v>
      </c>
      <c r="B509" s="79"/>
      <c r="C509" s="79" t="s">
        <v>1205</v>
      </c>
      <c r="D509" s="79" t="s">
        <v>1206</v>
      </c>
      <c r="E509" s="79" t="s">
        <v>1207</v>
      </c>
      <c r="F509" s="79" t="s">
        <v>1208</v>
      </c>
    </row>
    <row r="510" spans="1:6">
      <c r="A510" s="39">
        <v>44199</v>
      </c>
      <c r="B510" s="27"/>
      <c r="C510" s="27" t="s">
        <v>4580</v>
      </c>
      <c r="D510" s="27"/>
      <c r="E510" s="27" t="s">
        <v>4750</v>
      </c>
      <c r="F510" s="27" t="s">
        <v>4751</v>
      </c>
    </row>
    <row r="511" spans="1:6">
      <c r="A511" s="38">
        <v>43815</v>
      </c>
      <c r="B511" s="79"/>
      <c r="C511" s="79" t="s">
        <v>1209</v>
      </c>
      <c r="D511" s="79"/>
      <c r="E511" s="79" t="s">
        <v>1210</v>
      </c>
      <c r="F511" s="79" t="s">
        <v>1211</v>
      </c>
    </row>
    <row r="512" spans="1:6">
      <c r="A512" s="39">
        <v>44512</v>
      </c>
      <c r="B512" s="27"/>
      <c r="C512" s="27" t="s">
        <v>6054</v>
      </c>
      <c r="D512" s="27"/>
      <c r="E512" s="27" t="s">
        <v>6054</v>
      </c>
      <c r="F512" s="27" t="s">
        <v>6054</v>
      </c>
    </row>
    <row r="513" spans="1:6">
      <c r="A513" s="38">
        <v>43725</v>
      </c>
      <c r="B513" s="79"/>
      <c r="C513" s="79" t="s">
        <v>1212</v>
      </c>
      <c r="D513" s="79"/>
      <c r="E513" s="79" t="s">
        <v>1212</v>
      </c>
      <c r="F513" s="79" t="s">
        <v>1213</v>
      </c>
    </row>
    <row r="514" spans="1:6">
      <c r="A514" s="38">
        <v>43864</v>
      </c>
      <c r="B514" s="79"/>
      <c r="C514" s="79" t="s">
        <v>1214</v>
      </c>
      <c r="D514" s="79"/>
      <c r="E514" s="79" t="s">
        <v>1215</v>
      </c>
      <c r="F514" s="79" t="s">
        <v>1216</v>
      </c>
    </row>
    <row r="515" spans="1:6">
      <c r="A515" s="38">
        <v>44133</v>
      </c>
      <c r="B515" s="53"/>
      <c r="C515" s="53" t="s">
        <v>1217</v>
      </c>
      <c r="D515" s="53"/>
      <c r="E515" s="53" t="s">
        <v>1218</v>
      </c>
      <c r="F515" s="53" t="s">
        <v>1219</v>
      </c>
    </row>
    <row r="516" spans="1:6">
      <c r="A516" s="38">
        <v>44019</v>
      </c>
      <c r="B516" s="53"/>
      <c r="C516" s="53" t="s">
        <v>1220</v>
      </c>
      <c r="D516" s="53"/>
      <c r="E516" s="53" t="s">
        <v>1221</v>
      </c>
      <c r="F516" s="53" t="s">
        <v>1222</v>
      </c>
    </row>
    <row r="517" spans="1:6">
      <c r="A517" s="38">
        <v>43724</v>
      </c>
      <c r="B517" s="53"/>
      <c r="C517" s="53" t="s">
        <v>1223</v>
      </c>
      <c r="D517" s="53" t="s">
        <v>1224</v>
      </c>
      <c r="E517" s="53" t="s">
        <v>1223</v>
      </c>
      <c r="F517" s="53" t="s">
        <v>1225</v>
      </c>
    </row>
    <row r="518" spans="1:6">
      <c r="A518" s="38">
        <v>44091</v>
      </c>
      <c r="B518" s="78"/>
      <c r="C518" s="78" t="s">
        <v>1226</v>
      </c>
      <c r="D518" s="78"/>
      <c r="E518" s="78" t="s">
        <v>1226</v>
      </c>
      <c r="F518" s="78" t="s">
        <v>1226</v>
      </c>
    </row>
    <row r="519" spans="1:6">
      <c r="A519" s="39">
        <v>44200</v>
      </c>
      <c r="B519" s="27"/>
      <c r="C519" s="27" t="s">
        <v>1229</v>
      </c>
      <c r="D519" s="27"/>
      <c r="E519" s="27" t="s">
        <v>1229</v>
      </c>
      <c r="F519" s="27" t="s">
        <v>1230</v>
      </c>
    </row>
    <row r="520" spans="1:6">
      <c r="A520" s="38">
        <v>43124</v>
      </c>
      <c r="B520" s="79"/>
      <c r="C520" s="79" t="s">
        <v>1227</v>
      </c>
      <c r="D520" s="79" t="s">
        <v>1228</v>
      </c>
      <c r="E520" s="79" t="s">
        <v>1229</v>
      </c>
      <c r="F520" s="79" t="s">
        <v>1230</v>
      </c>
    </row>
    <row r="521" spans="1:6">
      <c r="A521" s="39">
        <v>44510</v>
      </c>
      <c r="B521" s="27"/>
      <c r="C521" s="27" t="s">
        <v>5782</v>
      </c>
      <c r="D521" s="27"/>
      <c r="E521" s="27" t="s">
        <v>5783</v>
      </c>
      <c r="F521" s="27" t="s">
        <v>5784</v>
      </c>
    </row>
    <row r="522" spans="1:6">
      <c r="A522" s="39">
        <v>44512</v>
      </c>
      <c r="B522" s="27"/>
      <c r="C522" s="27" t="s">
        <v>6027</v>
      </c>
      <c r="D522" s="27"/>
      <c r="E522" s="55" t="s">
        <v>6028</v>
      </c>
      <c r="F522" s="27" t="s">
        <v>6029</v>
      </c>
    </row>
    <row r="523" spans="1:6">
      <c r="A523" s="39">
        <v>44200</v>
      </c>
      <c r="B523" s="27"/>
      <c r="C523" s="27" t="s">
        <v>4977</v>
      </c>
      <c r="D523" s="27"/>
      <c r="E523" s="27" t="s">
        <v>5148</v>
      </c>
      <c r="F523" s="27" t="s">
        <v>5314</v>
      </c>
    </row>
    <row r="524" spans="1:6">
      <c r="A524" s="39">
        <v>44200</v>
      </c>
      <c r="B524" s="27"/>
      <c r="C524" s="27" t="s">
        <v>4978</v>
      </c>
      <c r="D524" s="27"/>
      <c r="E524" s="27" t="s">
        <v>5149</v>
      </c>
      <c r="F524" s="27" t="s">
        <v>5315</v>
      </c>
    </row>
    <row r="525" spans="1:6">
      <c r="A525" s="39">
        <v>44200</v>
      </c>
      <c r="B525" s="27"/>
      <c r="C525" s="27" t="s">
        <v>4979</v>
      </c>
      <c r="D525" s="27"/>
      <c r="E525" s="27" t="s">
        <v>5150</v>
      </c>
      <c r="F525" s="27" t="s">
        <v>5316</v>
      </c>
    </row>
    <row r="526" spans="1:6">
      <c r="A526" s="38">
        <v>43700</v>
      </c>
      <c r="B526" s="78"/>
      <c r="C526" s="78" t="s">
        <v>1231</v>
      </c>
      <c r="D526" s="78"/>
      <c r="E526" s="78" t="s">
        <v>1232</v>
      </c>
      <c r="F526" s="78" t="s">
        <v>1233</v>
      </c>
    </row>
    <row r="527" spans="1:6">
      <c r="A527" s="39">
        <v>44200</v>
      </c>
      <c r="B527" s="27"/>
      <c r="C527" s="27" t="s">
        <v>4980</v>
      </c>
      <c r="D527" s="27"/>
      <c r="E527" s="27" t="s">
        <v>5151</v>
      </c>
      <c r="F527" s="27" t="s">
        <v>1233</v>
      </c>
    </row>
    <row r="528" spans="1:6">
      <c r="A528" s="39">
        <v>44200</v>
      </c>
      <c r="B528" s="27"/>
      <c r="C528" s="27" t="s">
        <v>4981</v>
      </c>
      <c r="D528" s="27"/>
      <c r="E528" s="27" t="s">
        <v>5152</v>
      </c>
      <c r="F528" s="27" t="s">
        <v>5317</v>
      </c>
    </row>
    <row r="529" spans="1:6">
      <c r="A529" s="39">
        <v>44200</v>
      </c>
      <c r="B529" s="27"/>
      <c r="C529" s="27" t="s">
        <v>4982</v>
      </c>
      <c r="D529" s="27"/>
      <c r="E529" s="27" t="s">
        <v>5153</v>
      </c>
      <c r="F529" s="27" t="s">
        <v>5318</v>
      </c>
    </row>
    <row r="530" spans="1:6">
      <c r="A530" s="39">
        <v>44200</v>
      </c>
      <c r="B530" s="27"/>
      <c r="C530" s="27" t="s">
        <v>4983</v>
      </c>
      <c r="D530" s="27"/>
      <c r="E530" s="27" t="s">
        <v>5154</v>
      </c>
      <c r="F530" s="27" t="s">
        <v>5319</v>
      </c>
    </row>
    <row r="531" spans="1:6">
      <c r="A531" s="39">
        <v>44200</v>
      </c>
      <c r="B531" s="27"/>
      <c r="C531" s="27" t="s">
        <v>4984</v>
      </c>
      <c r="D531" s="27"/>
      <c r="E531" s="27" t="s">
        <v>5155</v>
      </c>
      <c r="F531" s="27" t="s">
        <v>5320</v>
      </c>
    </row>
    <row r="532" spans="1:6">
      <c r="A532" s="39">
        <v>44200</v>
      </c>
      <c r="B532" s="27"/>
      <c r="C532" s="27" t="s">
        <v>4985</v>
      </c>
      <c r="D532" s="27"/>
      <c r="E532" s="27" t="s">
        <v>5151</v>
      </c>
      <c r="F532" s="27" t="s">
        <v>1233</v>
      </c>
    </row>
    <row r="533" spans="1:6">
      <c r="A533" s="39">
        <v>44200</v>
      </c>
      <c r="B533" s="27"/>
      <c r="C533" s="27" t="s">
        <v>4986</v>
      </c>
      <c r="D533" s="27"/>
      <c r="E533" s="27" t="s">
        <v>5156</v>
      </c>
      <c r="F533" s="27" t="s">
        <v>5321</v>
      </c>
    </row>
    <row r="534" spans="1:6">
      <c r="A534" s="39">
        <v>44200</v>
      </c>
      <c r="B534" s="27"/>
      <c r="C534" s="27" t="s">
        <v>4987</v>
      </c>
      <c r="D534" s="27"/>
      <c r="E534" s="27" t="s">
        <v>5157</v>
      </c>
      <c r="F534" s="27" t="s">
        <v>5322</v>
      </c>
    </row>
    <row r="535" spans="1:6">
      <c r="A535" s="38">
        <v>43514</v>
      </c>
      <c r="B535" s="78"/>
      <c r="C535" s="78" t="s">
        <v>1234</v>
      </c>
      <c r="D535" s="78"/>
      <c r="E535" s="78" t="s">
        <v>1235</v>
      </c>
      <c r="F535" s="78" t="s">
        <v>1236</v>
      </c>
    </row>
    <row r="536" spans="1:6">
      <c r="A536" s="39">
        <v>44200</v>
      </c>
      <c r="B536" s="27"/>
      <c r="C536" s="27" t="s">
        <v>4988</v>
      </c>
      <c r="D536" s="27"/>
      <c r="E536" s="27" t="s">
        <v>5158</v>
      </c>
      <c r="F536" s="27" t="s">
        <v>5323</v>
      </c>
    </row>
    <row r="537" spans="1:6">
      <c r="A537" s="38">
        <v>43516</v>
      </c>
      <c r="B537" s="78"/>
      <c r="C537" s="78" t="s">
        <v>1237</v>
      </c>
      <c r="D537" s="78"/>
      <c r="E537" s="78" t="s">
        <v>1238</v>
      </c>
      <c r="F537" s="78" t="s">
        <v>1239</v>
      </c>
    </row>
    <row r="538" spans="1:6">
      <c r="A538" s="39">
        <v>44200</v>
      </c>
      <c r="B538" s="27"/>
      <c r="C538" s="27" t="s">
        <v>4989</v>
      </c>
      <c r="D538" s="27"/>
      <c r="E538" s="27" t="s">
        <v>5159</v>
      </c>
      <c r="F538" s="27" t="s">
        <v>5324</v>
      </c>
    </row>
    <row r="539" spans="1:6">
      <c r="A539" s="39">
        <v>44200</v>
      </c>
      <c r="B539" s="27"/>
      <c r="C539" s="27" t="s">
        <v>4990</v>
      </c>
      <c r="D539" s="27"/>
      <c r="E539" s="27" t="s">
        <v>5160</v>
      </c>
      <c r="F539" s="27" t="s">
        <v>5325</v>
      </c>
    </row>
    <row r="540" spans="1:6">
      <c r="A540" s="39">
        <v>44200</v>
      </c>
      <c r="B540" s="27"/>
      <c r="C540" s="27" t="s">
        <v>4991</v>
      </c>
      <c r="D540" s="27"/>
      <c r="E540" s="27" t="s">
        <v>5161</v>
      </c>
      <c r="F540" s="27" t="s">
        <v>5326</v>
      </c>
    </row>
    <row r="541" spans="1:6">
      <c r="A541" s="39">
        <v>44200</v>
      </c>
      <c r="B541" s="27"/>
      <c r="C541" s="27" t="s">
        <v>4992</v>
      </c>
      <c r="D541" s="27"/>
      <c r="E541" s="27" t="s">
        <v>5162</v>
      </c>
      <c r="F541" s="27" t="s">
        <v>5327</v>
      </c>
    </row>
    <row r="542" spans="1:6">
      <c r="A542" s="39">
        <v>44200</v>
      </c>
      <c r="B542" s="27"/>
      <c r="C542" s="27" t="s">
        <v>4993</v>
      </c>
      <c r="D542" s="27"/>
      <c r="E542" s="27" t="s">
        <v>5163</v>
      </c>
      <c r="F542" s="27" t="s">
        <v>5328</v>
      </c>
    </row>
    <row r="543" spans="1:6">
      <c r="A543" s="39">
        <v>44200</v>
      </c>
      <c r="B543" s="27"/>
      <c r="C543" s="27" t="s">
        <v>4994</v>
      </c>
      <c r="D543" s="27"/>
      <c r="E543" s="27" t="s">
        <v>5164</v>
      </c>
      <c r="F543" s="27" t="s">
        <v>5329</v>
      </c>
    </row>
    <row r="544" spans="1:6">
      <c r="A544" s="38">
        <v>43517</v>
      </c>
      <c r="B544" s="78"/>
      <c r="C544" s="78" t="s">
        <v>1240</v>
      </c>
      <c r="D544" s="78"/>
      <c r="E544" s="78" t="s">
        <v>1241</v>
      </c>
      <c r="F544" s="78" t="s">
        <v>1242</v>
      </c>
    </row>
    <row r="545" spans="1:6">
      <c r="A545" s="39">
        <v>44200</v>
      </c>
      <c r="B545" s="27"/>
      <c r="C545" s="27" t="s">
        <v>4995</v>
      </c>
      <c r="D545" s="27"/>
      <c r="E545" s="27" t="s">
        <v>5165</v>
      </c>
      <c r="F545" s="27" t="s">
        <v>5330</v>
      </c>
    </row>
    <row r="546" spans="1:6">
      <c r="A546" s="39">
        <v>44200</v>
      </c>
      <c r="B546" s="27"/>
      <c r="C546" s="27" t="s">
        <v>4996</v>
      </c>
      <c r="D546" s="27"/>
      <c r="E546" s="27" t="s">
        <v>5166</v>
      </c>
      <c r="F546" s="27" t="s">
        <v>5331</v>
      </c>
    </row>
    <row r="547" spans="1:6">
      <c r="A547" s="39">
        <v>44200</v>
      </c>
      <c r="B547" s="27"/>
      <c r="C547" s="27" t="s">
        <v>4997</v>
      </c>
      <c r="D547" s="27"/>
      <c r="E547" s="27" t="s">
        <v>5167</v>
      </c>
      <c r="F547" s="27" t="s">
        <v>5332</v>
      </c>
    </row>
    <row r="548" spans="1:6">
      <c r="A548" s="39">
        <v>44200</v>
      </c>
      <c r="B548" s="27"/>
      <c r="C548" s="27" t="s">
        <v>4998</v>
      </c>
      <c r="D548" s="27"/>
      <c r="E548" s="27" t="s">
        <v>5168</v>
      </c>
      <c r="F548" s="27" t="s">
        <v>5333</v>
      </c>
    </row>
    <row r="549" spans="1:6">
      <c r="A549" s="39">
        <v>44200</v>
      </c>
      <c r="B549" s="27"/>
      <c r="C549" s="27" t="s">
        <v>4999</v>
      </c>
      <c r="D549" s="27"/>
      <c r="E549" s="27" t="s">
        <v>5169</v>
      </c>
      <c r="F549" s="27" t="s">
        <v>5334</v>
      </c>
    </row>
    <row r="550" spans="1:6">
      <c r="A550" s="39">
        <v>44200</v>
      </c>
      <c r="B550" s="27"/>
      <c r="C550" s="27" t="s">
        <v>5000</v>
      </c>
      <c r="D550" s="27"/>
      <c r="E550" s="27" t="s">
        <v>5170</v>
      </c>
      <c r="F550" s="27" t="s">
        <v>5335</v>
      </c>
    </row>
    <row r="551" spans="1:6">
      <c r="A551" s="39">
        <v>44200</v>
      </c>
      <c r="B551" s="27"/>
      <c r="C551" s="27" t="s">
        <v>5001</v>
      </c>
      <c r="D551" s="27"/>
      <c r="E551" s="27" t="s">
        <v>5171</v>
      </c>
      <c r="F551" s="27" t="s">
        <v>5336</v>
      </c>
    </row>
    <row r="552" spans="1:6">
      <c r="A552" s="39">
        <v>44200</v>
      </c>
      <c r="B552" s="27"/>
      <c r="C552" s="27" t="s">
        <v>5002</v>
      </c>
      <c r="D552" s="27"/>
      <c r="E552" s="27" t="s">
        <v>5172</v>
      </c>
      <c r="F552" s="27" t="s">
        <v>5337</v>
      </c>
    </row>
    <row r="553" spans="1:6">
      <c r="A553" s="39">
        <v>44200</v>
      </c>
      <c r="B553" s="27"/>
      <c r="C553" s="27" t="s">
        <v>5003</v>
      </c>
      <c r="D553" s="27"/>
      <c r="E553" s="27" t="s">
        <v>5173</v>
      </c>
      <c r="F553" s="27" t="s">
        <v>5338</v>
      </c>
    </row>
    <row r="554" spans="1:6">
      <c r="A554" s="39">
        <v>44200</v>
      </c>
      <c r="B554" s="27"/>
      <c r="C554" s="27" t="s">
        <v>5004</v>
      </c>
      <c r="D554" s="27"/>
      <c r="E554" s="27" t="s">
        <v>5174</v>
      </c>
      <c r="F554" s="27" t="s">
        <v>5339</v>
      </c>
    </row>
    <row r="555" spans="1:6">
      <c r="A555" s="39">
        <v>44200</v>
      </c>
      <c r="B555" s="27"/>
      <c r="C555" s="27" t="s">
        <v>5005</v>
      </c>
      <c r="D555" s="27"/>
      <c r="E555" s="27" t="s">
        <v>5175</v>
      </c>
      <c r="F555" s="27" t="s">
        <v>5340</v>
      </c>
    </row>
    <row r="556" spans="1:6">
      <c r="A556" s="39">
        <v>44592</v>
      </c>
      <c r="B556" s="27"/>
      <c r="C556" s="27" t="s">
        <v>6218</v>
      </c>
      <c r="D556" s="27"/>
      <c r="E556" s="27" t="s">
        <v>6219</v>
      </c>
      <c r="F556" s="87" t="s">
        <v>6220</v>
      </c>
    </row>
    <row r="557" spans="1:6">
      <c r="A557" s="39">
        <v>44200</v>
      </c>
      <c r="B557" s="27"/>
      <c r="C557" s="27" t="s">
        <v>5006</v>
      </c>
      <c r="D557" s="27"/>
      <c r="E557" s="27" t="s">
        <v>5176</v>
      </c>
      <c r="F557" s="27" t="s">
        <v>5341</v>
      </c>
    </row>
    <row r="558" spans="1:6">
      <c r="A558" s="39">
        <v>44200</v>
      </c>
      <c r="B558" s="27"/>
      <c r="C558" s="27" t="s">
        <v>5007</v>
      </c>
      <c r="D558" s="27"/>
      <c r="E558" s="27" t="s">
        <v>5177</v>
      </c>
      <c r="F558" s="27" t="s">
        <v>5342</v>
      </c>
    </row>
    <row r="559" spans="1:6">
      <c r="A559" s="39">
        <v>44200</v>
      </c>
      <c r="B559" s="27"/>
      <c r="C559" s="27" t="s">
        <v>5008</v>
      </c>
      <c r="D559" s="27"/>
      <c r="E559" s="27" t="s">
        <v>5178</v>
      </c>
      <c r="F559" s="27" t="s">
        <v>5343</v>
      </c>
    </row>
    <row r="560" spans="1:6">
      <c r="A560" s="39">
        <v>44200</v>
      </c>
      <c r="B560" s="27"/>
      <c r="C560" s="27" t="s">
        <v>5009</v>
      </c>
      <c r="D560" s="27"/>
      <c r="E560" s="27" t="s">
        <v>5179</v>
      </c>
      <c r="F560" s="27" t="s">
        <v>5344</v>
      </c>
    </row>
    <row r="561" spans="1:6">
      <c r="A561" s="39">
        <v>44200</v>
      </c>
      <c r="B561" s="27"/>
      <c r="C561" s="27" t="s">
        <v>5010</v>
      </c>
      <c r="D561" s="27"/>
      <c r="E561" s="27" t="s">
        <v>5180</v>
      </c>
      <c r="F561" s="27" t="s">
        <v>5345</v>
      </c>
    </row>
    <row r="562" spans="1:6">
      <c r="A562" s="39">
        <v>44200</v>
      </c>
      <c r="B562" s="27"/>
      <c r="C562" s="27" t="s">
        <v>5011</v>
      </c>
      <c r="D562" s="27"/>
      <c r="E562" s="27" t="s">
        <v>5181</v>
      </c>
      <c r="F562" s="27" t="s">
        <v>5346</v>
      </c>
    </row>
    <row r="563" spans="1:6">
      <c r="A563" s="39">
        <v>44200</v>
      </c>
      <c r="B563" s="27"/>
      <c r="C563" s="27" t="s">
        <v>1243</v>
      </c>
      <c r="D563" s="27"/>
      <c r="E563" s="27" t="s">
        <v>5182</v>
      </c>
      <c r="F563" s="27" t="s">
        <v>5347</v>
      </c>
    </row>
    <row r="564" spans="1:6">
      <c r="A564" s="39">
        <v>44200</v>
      </c>
      <c r="B564" s="27"/>
      <c r="C564" s="27" t="s">
        <v>5012</v>
      </c>
      <c r="D564" s="27"/>
      <c r="E564" s="27" t="s">
        <v>5183</v>
      </c>
      <c r="F564" s="27" t="s">
        <v>5348</v>
      </c>
    </row>
    <row r="565" spans="1:6">
      <c r="A565" s="38">
        <v>43390</v>
      </c>
      <c r="B565" s="27"/>
      <c r="C565" s="27" t="s">
        <v>1245</v>
      </c>
      <c r="D565" s="27"/>
      <c r="E565" s="27" t="s">
        <v>5184</v>
      </c>
      <c r="F565" s="27" t="s">
        <v>1246</v>
      </c>
    </row>
    <row r="566" spans="1:6">
      <c r="A566" s="39">
        <v>44200</v>
      </c>
      <c r="B566" s="27"/>
      <c r="C566" s="27" t="s">
        <v>5013</v>
      </c>
      <c r="D566" s="27"/>
      <c r="E566" s="27" t="s">
        <v>5185</v>
      </c>
      <c r="F566" s="27" t="s">
        <v>5349</v>
      </c>
    </row>
    <row r="567" spans="1:6">
      <c r="A567" s="39">
        <v>44200</v>
      </c>
      <c r="B567" s="27"/>
      <c r="C567" s="27" t="s">
        <v>5014</v>
      </c>
      <c r="D567" s="27"/>
      <c r="E567" s="27" t="s">
        <v>5186</v>
      </c>
      <c r="F567" s="27" t="s">
        <v>5350</v>
      </c>
    </row>
    <row r="568" spans="1:6">
      <c r="A568" s="39">
        <v>44200</v>
      </c>
      <c r="B568" s="27"/>
      <c r="C568" s="27" t="s">
        <v>5015</v>
      </c>
      <c r="D568" s="27"/>
      <c r="E568" s="27" t="s">
        <v>5187</v>
      </c>
      <c r="F568" s="27" t="s">
        <v>5351</v>
      </c>
    </row>
    <row r="569" spans="1:6">
      <c r="A569" s="39">
        <v>44510</v>
      </c>
      <c r="B569" s="27"/>
      <c r="C569" s="27" t="s">
        <v>5786</v>
      </c>
      <c r="D569" s="27"/>
      <c r="E569" s="27" t="s">
        <v>5931</v>
      </c>
      <c r="F569" s="27" t="s">
        <v>5932</v>
      </c>
    </row>
    <row r="570" spans="1:6">
      <c r="A570" s="39">
        <v>44200</v>
      </c>
      <c r="B570" s="27"/>
      <c r="C570" s="27" t="s">
        <v>5016</v>
      </c>
      <c r="D570" s="27"/>
      <c r="E570" s="27" t="s">
        <v>5188</v>
      </c>
      <c r="F570" s="27" t="s">
        <v>5352</v>
      </c>
    </row>
    <row r="571" spans="1:6">
      <c r="A571" s="39">
        <v>44200</v>
      </c>
      <c r="B571" s="27"/>
      <c r="C571" s="27" t="s">
        <v>5017</v>
      </c>
      <c r="D571" s="27"/>
      <c r="E571" s="27" t="s">
        <v>5189</v>
      </c>
      <c r="F571" s="27" t="s">
        <v>5353</v>
      </c>
    </row>
    <row r="572" spans="1:6">
      <c r="A572" s="38">
        <v>43390</v>
      </c>
      <c r="B572" s="87"/>
      <c r="C572" s="87" t="s">
        <v>1247</v>
      </c>
      <c r="D572" s="87"/>
      <c r="E572" s="87" t="s">
        <v>1248</v>
      </c>
      <c r="F572" s="87" t="s">
        <v>1249</v>
      </c>
    </row>
    <row r="573" spans="1:6">
      <c r="A573" s="39">
        <v>44200</v>
      </c>
      <c r="B573" s="27"/>
      <c r="C573" s="27" t="s">
        <v>5018</v>
      </c>
      <c r="D573" s="27"/>
      <c r="E573" s="27" t="s">
        <v>5190</v>
      </c>
      <c r="F573" s="27" t="s">
        <v>5354</v>
      </c>
    </row>
    <row r="574" spans="1:6">
      <c r="A574" s="39">
        <v>44200</v>
      </c>
      <c r="B574" s="27"/>
      <c r="C574" s="27" t="s">
        <v>5019</v>
      </c>
      <c r="D574" s="27"/>
      <c r="E574" s="27" t="s">
        <v>1244</v>
      </c>
      <c r="F574" s="27" t="s">
        <v>5355</v>
      </c>
    </row>
    <row r="575" spans="1:6">
      <c r="A575" s="39">
        <v>44200</v>
      </c>
      <c r="B575" s="27"/>
      <c r="C575" s="27" t="s">
        <v>5020</v>
      </c>
      <c r="D575" s="27"/>
      <c r="E575" s="27" t="s">
        <v>5191</v>
      </c>
      <c r="F575" s="27" t="s">
        <v>5356</v>
      </c>
    </row>
    <row r="576" spans="1:6">
      <c r="A576" s="39">
        <v>44200</v>
      </c>
      <c r="B576" s="27"/>
      <c r="C576" s="27" t="s">
        <v>5021</v>
      </c>
      <c r="D576" s="27"/>
      <c r="E576" s="27" t="s">
        <v>5192</v>
      </c>
      <c r="F576" s="27" t="s">
        <v>5357</v>
      </c>
    </row>
    <row r="577" spans="1:6">
      <c r="A577" s="39">
        <v>44200</v>
      </c>
      <c r="B577" s="27"/>
      <c r="C577" s="27" t="s">
        <v>5022</v>
      </c>
      <c r="D577" s="27"/>
      <c r="E577" s="27" t="s">
        <v>5193</v>
      </c>
      <c r="F577" s="27" t="s">
        <v>5358</v>
      </c>
    </row>
    <row r="578" spans="1:6">
      <c r="A578" s="39">
        <v>44200</v>
      </c>
      <c r="B578" s="27"/>
      <c r="C578" s="27" t="s">
        <v>5023</v>
      </c>
      <c r="D578" s="27"/>
      <c r="E578" s="27" t="s">
        <v>5194</v>
      </c>
      <c r="F578" s="27" t="s">
        <v>5359</v>
      </c>
    </row>
    <row r="579" spans="1:6">
      <c r="A579" s="39">
        <v>44512</v>
      </c>
      <c r="B579" s="27"/>
      <c r="C579" s="27" t="s">
        <v>6163</v>
      </c>
      <c r="D579" s="27"/>
      <c r="E579" s="27" t="s">
        <v>6025</v>
      </c>
      <c r="F579" s="27" t="s">
        <v>6026</v>
      </c>
    </row>
    <row r="580" spans="1:6">
      <c r="A580" s="39">
        <v>44200</v>
      </c>
      <c r="B580" s="27"/>
      <c r="C580" s="27" t="s">
        <v>5024</v>
      </c>
      <c r="D580" s="27"/>
      <c r="E580" s="27" t="s">
        <v>5195</v>
      </c>
      <c r="F580" s="27" t="s">
        <v>5360</v>
      </c>
    </row>
    <row r="581" spans="1:6">
      <c r="A581" s="39">
        <v>44510</v>
      </c>
      <c r="B581" s="27"/>
      <c r="C581" s="27" t="s">
        <v>5889</v>
      </c>
      <c r="D581" s="27"/>
      <c r="E581" s="27" t="s">
        <v>5890</v>
      </c>
      <c r="F581" s="27" t="s">
        <v>5891</v>
      </c>
    </row>
    <row r="582" spans="1:6">
      <c r="A582" s="39">
        <v>44200</v>
      </c>
      <c r="B582" s="27"/>
      <c r="C582" s="27" t="s">
        <v>5025</v>
      </c>
      <c r="D582" s="27"/>
      <c r="E582" s="27" t="s">
        <v>5196</v>
      </c>
      <c r="F582" s="27" t="s">
        <v>5361</v>
      </c>
    </row>
    <row r="583" spans="1:6">
      <c r="A583" s="39">
        <v>44200</v>
      </c>
      <c r="B583" s="27"/>
      <c r="C583" s="27" t="s">
        <v>5026</v>
      </c>
      <c r="D583" s="27"/>
      <c r="E583" s="27" t="s">
        <v>5197</v>
      </c>
      <c r="F583" s="27" t="s">
        <v>5362</v>
      </c>
    </row>
    <row r="584" spans="1:6">
      <c r="A584" s="39">
        <v>44301</v>
      </c>
      <c r="B584" s="27">
        <v>0</v>
      </c>
      <c r="C584" s="27" t="s">
        <v>5622</v>
      </c>
      <c r="D584" s="27"/>
      <c r="E584" s="27" t="s">
        <v>5623</v>
      </c>
      <c r="F584" s="27" t="s">
        <v>5624</v>
      </c>
    </row>
    <row r="585" spans="1:6">
      <c r="A585" s="39">
        <v>44200</v>
      </c>
      <c r="B585" s="27"/>
      <c r="C585" s="27" t="s">
        <v>5027</v>
      </c>
      <c r="D585" s="27"/>
      <c r="E585" s="27" t="s">
        <v>5198</v>
      </c>
      <c r="F585" s="27" t="s">
        <v>5363</v>
      </c>
    </row>
    <row r="586" spans="1:6">
      <c r="A586" s="39">
        <v>44200</v>
      </c>
      <c r="B586" s="27"/>
      <c r="C586" s="27" t="s">
        <v>5028</v>
      </c>
      <c r="D586" s="27"/>
      <c r="E586" s="27" t="s">
        <v>5199</v>
      </c>
      <c r="F586" s="27" t="s">
        <v>5364</v>
      </c>
    </row>
    <row r="587" spans="1:6" s="53" customFormat="1">
      <c r="A587" s="39">
        <v>44200</v>
      </c>
      <c r="B587" s="27"/>
      <c r="C587" s="27" t="s">
        <v>5029</v>
      </c>
      <c r="D587" s="27"/>
      <c r="E587" s="27" t="s">
        <v>5200</v>
      </c>
      <c r="F587" s="27" t="s">
        <v>5365</v>
      </c>
    </row>
    <row r="588" spans="1:6" s="68" customFormat="1">
      <c r="A588" s="39">
        <v>44200</v>
      </c>
      <c r="B588" s="27"/>
      <c r="C588" s="27" t="s">
        <v>5030</v>
      </c>
      <c r="D588" s="27"/>
      <c r="E588" s="27" t="s">
        <v>5201</v>
      </c>
      <c r="F588" s="27" t="s">
        <v>5366</v>
      </c>
    </row>
    <row r="589" spans="1:6">
      <c r="A589" s="39">
        <v>44200</v>
      </c>
      <c r="B589" s="27"/>
      <c r="C589" s="27" t="s">
        <v>5031</v>
      </c>
      <c r="D589" s="27"/>
      <c r="E589" s="27" t="s">
        <v>5202</v>
      </c>
      <c r="F589" s="27" t="s">
        <v>5367</v>
      </c>
    </row>
    <row r="590" spans="1:6">
      <c r="A590" s="39">
        <v>44526</v>
      </c>
      <c r="B590" s="27"/>
      <c r="C590" s="27" t="s">
        <v>6157</v>
      </c>
      <c r="D590" s="27"/>
      <c r="E590" s="27" t="s">
        <v>6158</v>
      </c>
      <c r="F590" s="27" t="s">
        <v>6159</v>
      </c>
    </row>
    <row r="591" spans="1:6">
      <c r="A591" s="39">
        <v>44512</v>
      </c>
      <c r="B591" s="27"/>
      <c r="C591" s="27" t="s">
        <v>5954</v>
      </c>
      <c r="D591" s="27"/>
      <c r="E591" s="27" t="s">
        <v>5955</v>
      </c>
      <c r="F591" s="27" t="s">
        <v>5956</v>
      </c>
    </row>
    <row r="592" spans="1:6">
      <c r="A592" s="39">
        <v>44512</v>
      </c>
      <c r="B592" s="27"/>
      <c r="C592" s="27" t="s">
        <v>5949</v>
      </c>
      <c r="D592" s="27"/>
      <c r="E592" s="27" t="s">
        <v>5950</v>
      </c>
      <c r="F592" s="27" t="s">
        <v>5949</v>
      </c>
    </row>
    <row r="593" spans="1:6">
      <c r="A593" s="38">
        <v>43609</v>
      </c>
      <c r="B593" s="78"/>
      <c r="C593" s="78" t="s">
        <v>1250</v>
      </c>
      <c r="D593" s="78"/>
      <c r="E593" s="78" t="s">
        <v>1251</v>
      </c>
      <c r="F593" s="78" t="s">
        <v>1252</v>
      </c>
    </row>
    <row r="594" spans="1:6" s="68" customFormat="1">
      <c r="A594" s="38"/>
      <c r="B594" s="87"/>
      <c r="C594" s="87" t="s">
        <v>1253</v>
      </c>
      <c r="D594" s="87" t="s">
        <v>2</v>
      </c>
      <c r="E594" s="87" t="s">
        <v>1254</v>
      </c>
      <c r="F594" s="87" t="s">
        <v>1255</v>
      </c>
    </row>
    <row r="595" spans="1:6" s="68" customFormat="1">
      <c r="A595" s="39">
        <v>44199</v>
      </c>
      <c r="B595" s="27"/>
      <c r="C595" s="27" t="s">
        <v>4581</v>
      </c>
      <c r="D595" s="27"/>
      <c r="E595" s="27" t="s">
        <v>4752</v>
      </c>
      <c r="F595" s="27" t="s">
        <v>4753</v>
      </c>
    </row>
    <row r="596" spans="1:6">
      <c r="A596" s="39">
        <v>44526</v>
      </c>
      <c r="B596" s="27"/>
      <c r="C596" s="27" t="s">
        <v>6151</v>
      </c>
      <c r="D596" s="27"/>
      <c r="E596" s="27" t="s">
        <v>6153</v>
      </c>
      <c r="F596" s="27" t="s">
        <v>6155</v>
      </c>
    </row>
    <row r="597" spans="1:6">
      <c r="A597" s="38">
        <v>43865</v>
      </c>
      <c r="B597" s="79"/>
      <c r="C597" s="79" t="s">
        <v>1256</v>
      </c>
      <c r="D597" s="79"/>
      <c r="E597" s="79" t="s">
        <v>1257</v>
      </c>
      <c r="F597" s="79" t="s">
        <v>1258</v>
      </c>
    </row>
    <row r="598" spans="1:6">
      <c r="A598" s="38">
        <v>44043</v>
      </c>
      <c r="B598" s="87"/>
      <c r="C598" s="87" t="s">
        <v>1259</v>
      </c>
      <c r="D598" s="87"/>
      <c r="E598" s="87" t="s">
        <v>1260</v>
      </c>
      <c r="F598" s="87" t="s">
        <v>1261</v>
      </c>
    </row>
    <row r="599" spans="1:6">
      <c r="A599" s="39">
        <v>44199</v>
      </c>
      <c r="B599" s="27"/>
      <c r="C599" s="27" t="s">
        <v>4582</v>
      </c>
      <c r="D599" s="27"/>
      <c r="E599" s="27" t="s">
        <v>4754</v>
      </c>
      <c r="F599" s="27" t="s">
        <v>4755</v>
      </c>
    </row>
    <row r="600" spans="1:6">
      <c r="A600" s="38">
        <v>44040</v>
      </c>
      <c r="B600" s="79"/>
      <c r="C600" s="79" t="s">
        <v>1262</v>
      </c>
      <c r="D600" s="79"/>
      <c r="E600" s="79" t="s">
        <v>1263</v>
      </c>
      <c r="F600" s="79" t="s">
        <v>1264</v>
      </c>
    </row>
    <row r="601" spans="1:6">
      <c r="A601" s="38">
        <v>43893</v>
      </c>
      <c r="B601" s="87"/>
      <c r="C601" s="87" t="s">
        <v>1265</v>
      </c>
      <c r="D601" s="87"/>
      <c r="E601" s="87" t="s">
        <v>1266</v>
      </c>
      <c r="F601" s="87" t="s">
        <v>1267</v>
      </c>
    </row>
    <row r="602" spans="1:6">
      <c r="A602" s="39">
        <v>44271</v>
      </c>
      <c r="B602" s="27"/>
      <c r="C602" s="27" t="s">
        <v>5553</v>
      </c>
      <c r="D602" s="27"/>
      <c r="E602" s="27" t="s">
        <v>5554</v>
      </c>
      <c r="F602" s="27" t="s">
        <v>1267</v>
      </c>
    </row>
    <row r="603" spans="1:6">
      <c r="A603" s="38">
        <v>43479</v>
      </c>
      <c r="B603" s="79"/>
      <c r="C603" s="79" t="s">
        <v>1268</v>
      </c>
      <c r="D603" s="79"/>
      <c r="E603" s="79" t="s">
        <v>1269</v>
      </c>
      <c r="F603" s="79" t="s">
        <v>1270</v>
      </c>
    </row>
    <row r="604" spans="1:6">
      <c r="A604" s="38">
        <v>43455</v>
      </c>
      <c r="B604" s="79"/>
      <c r="C604" s="79" t="s">
        <v>1271</v>
      </c>
      <c r="D604" s="79"/>
      <c r="E604" s="79" t="s">
        <v>1272</v>
      </c>
      <c r="F604" s="79" t="s">
        <v>1273</v>
      </c>
    </row>
    <row r="605" spans="1:6">
      <c r="A605" s="38">
        <v>43739</v>
      </c>
      <c r="B605" s="87"/>
      <c r="C605" s="87" t="s">
        <v>1274</v>
      </c>
      <c r="D605" s="87"/>
      <c r="E605" s="87" t="s">
        <v>1275</v>
      </c>
      <c r="F605" s="87" t="s">
        <v>1276</v>
      </c>
    </row>
    <row r="606" spans="1:6">
      <c r="A606" s="39">
        <v>44512</v>
      </c>
      <c r="B606" s="27"/>
      <c r="C606" s="27" t="s">
        <v>6042</v>
      </c>
      <c r="D606" s="27"/>
      <c r="E606" s="54" t="s">
        <v>6167</v>
      </c>
      <c r="F606" s="27" t="s">
        <v>6043</v>
      </c>
    </row>
    <row r="607" spans="1:6">
      <c r="A607" s="39">
        <v>44512</v>
      </c>
      <c r="B607" s="27"/>
      <c r="C607" s="27" t="s">
        <v>6164</v>
      </c>
      <c r="D607" s="27"/>
      <c r="E607" s="55" t="s">
        <v>6033</v>
      </c>
      <c r="F607" s="27" t="s">
        <v>6034</v>
      </c>
    </row>
    <row r="608" spans="1:6">
      <c r="A608" s="39">
        <v>44512</v>
      </c>
      <c r="B608" s="27"/>
      <c r="C608" s="27" t="s">
        <v>6185</v>
      </c>
      <c r="D608" s="27"/>
      <c r="E608" s="55" t="s">
        <v>6046</v>
      </c>
      <c r="F608" s="27" t="s">
        <v>6047</v>
      </c>
    </row>
    <row r="609" spans="1:6">
      <c r="A609" s="39">
        <v>44199</v>
      </c>
      <c r="B609" s="27"/>
      <c r="C609" s="27" t="s">
        <v>4583</v>
      </c>
      <c r="D609" s="27"/>
      <c r="E609" s="27" t="s">
        <v>4756</v>
      </c>
      <c r="F609" s="27" t="s">
        <v>4757</v>
      </c>
    </row>
    <row r="610" spans="1:6">
      <c r="A610" s="39">
        <v>44200</v>
      </c>
      <c r="B610" s="27"/>
      <c r="C610" s="27" t="s">
        <v>5032</v>
      </c>
      <c r="D610" s="27"/>
      <c r="E610" s="27" t="s">
        <v>5203</v>
      </c>
      <c r="F610" s="27" t="s">
        <v>5368</v>
      </c>
    </row>
    <row r="611" spans="1:6">
      <c r="A611" s="39">
        <v>44199</v>
      </c>
      <c r="B611" s="27"/>
      <c r="C611" s="27" t="s">
        <v>4584</v>
      </c>
      <c r="D611" s="27"/>
      <c r="E611" s="27" t="s">
        <v>4758</v>
      </c>
      <c r="F611" s="27" t="s">
        <v>4759</v>
      </c>
    </row>
    <row r="612" spans="1:6">
      <c r="A612" s="38">
        <v>43644</v>
      </c>
      <c r="B612" s="87"/>
      <c r="C612" s="87" t="s">
        <v>1277</v>
      </c>
      <c r="D612" s="87"/>
      <c r="E612" s="87" t="s">
        <v>1278</v>
      </c>
      <c r="F612" s="87" t="s">
        <v>1279</v>
      </c>
    </row>
    <row r="613" spans="1:6">
      <c r="A613" s="39">
        <v>44200</v>
      </c>
      <c r="B613" s="27"/>
      <c r="C613" s="27" t="s">
        <v>5033</v>
      </c>
      <c r="D613" s="27"/>
      <c r="E613" s="27" t="s">
        <v>5204</v>
      </c>
      <c r="F613" s="27" t="s">
        <v>5369</v>
      </c>
    </row>
    <row r="614" spans="1:6">
      <c r="A614" s="38">
        <v>43762</v>
      </c>
      <c r="B614" s="61"/>
      <c r="C614" s="61" t="s">
        <v>1280</v>
      </c>
      <c r="D614" s="61"/>
      <c r="E614" s="61" t="s">
        <v>1281</v>
      </c>
      <c r="F614" s="61" t="s">
        <v>1282</v>
      </c>
    </row>
    <row r="615" spans="1:6">
      <c r="A615" s="38">
        <v>44006</v>
      </c>
      <c r="B615" s="79"/>
      <c r="C615" s="79" t="s">
        <v>1283</v>
      </c>
      <c r="D615" s="79"/>
      <c r="E615" s="79" t="s">
        <v>1284</v>
      </c>
      <c r="F615" s="79" t="s">
        <v>1285</v>
      </c>
    </row>
    <row r="616" spans="1:6">
      <c r="A616" s="38">
        <v>43530</v>
      </c>
      <c r="B616" s="79"/>
      <c r="C616" s="79" t="s">
        <v>1286</v>
      </c>
      <c r="D616" s="79"/>
      <c r="E616" s="79" t="s">
        <v>1287</v>
      </c>
      <c r="F616" s="79" t="s">
        <v>1288</v>
      </c>
    </row>
    <row r="617" spans="1:6">
      <c r="A617" s="38">
        <v>43530</v>
      </c>
      <c r="B617" s="61"/>
      <c r="C617" s="61" t="s">
        <v>1289</v>
      </c>
      <c r="D617" s="61"/>
      <c r="E617" s="61" t="s">
        <v>1290</v>
      </c>
      <c r="F617" s="61" t="s">
        <v>1291</v>
      </c>
    </row>
    <row r="618" spans="1:6">
      <c r="A618" s="38">
        <v>44082</v>
      </c>
      <c r="B618" s="79"/>
      <c r="C618" s="79" t="s">
        <v>1292</v>
      </c>
      <c r="D618" s="79"/>
      <c r="E618" s="79" t="s">
        <v>1293</v>
      </c>
      <c r="F618" s="79" t="s">
        <v>1288</v>
      </c>
    </row>
    <row r="619" spans="1:6">
      <c r="B619" s="79"/>
      <c r="C619" s="79" t="s">
        <v>1294</v>
      </c>
      <c r="D619" s="79"/>
      <c r="E619" s="79" t="s">
        <v>1295</v>
      </c>
      <c r="F619" s="79" t="s">
        <v>1296</v>
      </c>
    </row>
    <row r="620" spans="1:6">
      <c r="B620" s="79"/>
      <c r="C620" s="79" t="s">
        <v>1297</v>
      </c>
      <c r="D620" s="79"/>
      <c r="E620" s="79" t="s">
        <v>1298</v>
      </c>
      <c r="F620" s="79" t="s">
        <v>1299</v>
      </c>
    </row>
    <row r="621" spans="1:6">
      <c r="A621" s="38">
        <v>43741</v>
      </c>
      <c r="B621" s="79"/>
      <c r="C621" s="79" t="s">
        <v>1300</v>
      </c>
      <c r="D621" s="79"/>
      <c r="E621" s="79" t="s">
        <v>1301</v>
      </c>
      <c r="F621" s="79" t="s">
        <v>1302</v>
      </c>
    </row>
    <row r="622" spans="1:6">
      <c r="B622" s="87"/>
      <c r="C622" s="87" t="s">
        <v>1303</v>
      </c>
      <c r="D622" s="87"/>
      <c r="E622" s="87" t="s">
        <v>1304</v>
      </c>
      <c r="F622" s="87" t="s">
        <v>1305</v>
      </c>
    </row>
    <row r="623" spans="1:6">
      <c r="A623" s="39">
        <v>44301</v>
      </c>
      <c r="B623" s="27">
        <v>1</v>
      </c>
      <c r="C623" s="27" t="s">
        <v>5625</v>
      </c>
      <c r="D623" s="27"/>
      <c r="E623" s="27" t="s">
        <v>5626</v>
      </c>
      <c r="F623" s="27" t="s">
        <v>5627</v>
      </c>
    </row>
    <row r="624" spans="1:6">
      <c r="A624" s="38">
        <v>43467</v>
      </c>
      <c r="B624" s="61"/>
      <c r="C624" s="61" t="s">
        <v>1306</v>
      </c>
      <c r="D624" s="61"/>
      <c r="E624" s="61" t="s">
        <v>1307</v>
      </c>
      <c r="F624" s="61" t="s">
        <v>1308</v>
      </c>
    </row>
    <row r="625" spans="1:6">
      <c r="A625" s="38">
        <v>43588</v>
      </c>
      <c r="B625" s="61"/>
      <c r="C625" s="61" t="s">
        <v>1309</v>
      </c>
      <c r="D625" s="61"/>
      <c r="E625" s="61" t="s">
        <v>1310</v>
      </c>
      <c r="F625" s="61" t="s">
        <v>1311</v>
      </c>
    </row>
    <row r="626" spans="1:6">
      <c r="A626" s="38">
        <v>44006</v>
      </c>
      <c r="B626" s="78"/>
      <c r="C626" s="78" t="s">
        <v>1312</v>
      </c>
      <c r="D626" s="78"/>
      <c r="E626" s="78" t="s">
        <v>1313</v>
      </c>
      <c r="F626" s="78" t="s">
        <v>1314</v>
      </c>
    </row>
    <row r="627" spans="1:6">
      <c r="A627" s="38">
        <v>43739</v>
      </c>
      <c r="B627" s="87"/>
      <c r="C627" s="87" t="s">
        <v>1315</v>
      </c>
      <c r="D627" s="87"/>
      <c r="E627" s="87" t="s">
        <v>1316</v>
      </c>
      <c r="F627" s="87" t="s">
        <v>1317</v>
      </c>
    </row>
    <row r="628" spans="1:6">
      <c r="A628" s="39"/>
      <c r="B628" s="27"/>
      <c r="C628" s="27" t="s">
        <v>5979</v>
      </c>
      <c r="D628" s="27"/>
      <c r="E628" s="27" t="s">
        <v>6146</v>
      </c>
      <c r="F628" s="27" t="s">
        <v>5964</v>
      </c>
    </row>
    <row r="629" spans="1:6">
      <c r="A629" s="39">
        <v>44510</v>
      </c>
      <c r="B629" s="27"/>
      <c r="C629" s="27" t="s">
        <v>5878</v>
      </c>
      <c r="D629" s="27"/>
      <c r="E629" s="27" t="s">
        <v>5879</v>
      </c>
      <c r="F629" s="27" t="s">
        <v>5880</v>
      </c>
    </row>
    <row r="630" spans="1:6">
      <c r="A630" s="39">
        <v>44518</v>
      </c>
      <c r="B630" s="27"/>
      <c r="C630" s="27" t="s">
        <v>6121</v>
      </c>
      <c r="D630" s="27"/>
      <c r="E630" s="27" t="s">
        <v>6120</v>
      </c>
      <c r="F630" s="27" t="s">
        <v>6122</v>
      </c>
    </row>
    <row r="631" spans="1:6">
      <c r="A631" s="39">
        <v>44512</v>
      </c>
      <c r="B631" s="27"/>
      <c r="C631" s="27" t="s">
        <v>6059</v>
      </c>
      <c r="D631" s="27"/>
      <c r="E631" s="27" t="s">
        <v>6059</v>
      </c>
      <c r="F631" s="27" t="s">
        <v>6059</v>
      </c>
    </row>
    <row r="632" spans="1:6">
      <c r="A632" s="39">
        <v>44199</v>
      </c>
      <c r="B632" s="27"/>
      <c r="C632" s="27" t="s">
        <v>4585</v>
      </c>
      <c r="D632" s="27"/>
      <c r="E632" s="27" t="s">
        <v>4760</v>
      </c>
      <c r="F632" s="27" t="s">
        <v>4761</v>
      </c>
    </row>
    <row r="633" spans="1:6">
      <c r="A633" s="38">
        <v>43860</v>
      </c>
      <c r="B633" s="87"/>
      <c r="C633" s="87" t="s">
        <v>1318</v>
      </c>
      <c r="D633" s="87"/>
      <c r="E633" s="87" t="s">
        <v>1319</v>
      </c>
      <c r="F633" s="87" t="s">
        <v>1320</v>
      </c>
    </row>
    <row r="634" spans="1:6">
      <c r="A634" s="39">
        <v>44199</v>
      </c>
      <c r="B634" s="27"/>
      <c r="C634" s="27" t="s">
        <v>4586</v>
      </c>
      <c r="D634" s="27"/>
      <c r="E634" s="27" t="s">
        <v>4762</v>
      </c>
      <c r="F634" s="27" t="s">
        <v>4763</v>
      </c>
    </row>
    <row r="635" spans="1:6">
      <c r="A635" s="38">
        <v>43462</v>
      </c>
      <c r="B635" s="78"/>
      <c r="C635" s="78" t="s">
        <v>1321</v>
      </c>
      <c r="D635" s="78"/>
      <c r="E635" s="78" t="s">
        <v>1322</v>
      </c>
      <c r="F635" s="78" t="s">
        <v>1323</v>
      </c>
    </row>
    <row r="636" spans="1:6">
      <c r="A636" s="38">
        <v>43599</v>
      </c>
      <c r="B636" s="87"/>
      <c r="C636" s="87" t="s">
        <v>1324</v>
      </c>
      <c r="D636" s="87"/>
      <c r="E636" s="87" t="s">
        <v>1325</v>
      </c>
      <c r="F636" s="87" t="s">
        <v>1326</v>
      </c>
    </row>
    <row r="637" spans="1:6">
      <c r="A637" s="39">
        <v>44200</v>
      </c>
      <c r="B637" s="27"/>
      <c r="C637" s="27" t="s">
        <v>5034</v>
      </c>
      <c r="D637" s="27"/>
      <c r="E637" s="27" t="s">
        <v>5205</v>
      </c>
      <c r="F637" s="27" t="s">
        <v>5370</v>
      </c>
    </row>
    <row r="638" spans="1:6">
      <c r="A638" s="39">
        <v>44200</v>
      </c>
      <c r="B638" s="27"/>
      <c r="C638" s="27" t="s">
        <v>5035</v>
      </c>
      <c r="D638" s="27"/>
      <c r="E638" s="27" t="s">
        <v>5206</v>
      </c>
      <c r="F638" s="27" t="s">
        <v>5371</v>
      </c>
    </row>
    <row r="639" spans="1:6">
      <c r="A639" s="38">
        <v>44069</v>
      </c>
      <c r="B639" s="87"/>
      <c r="C639" s="87" t="s">
        <v>1327</v>
      </c>
      <c r="D639" s="87"/>
      <c r="E639" s="87" t="s">
        <v>1328</v>
      </c>
      <c r="F639" s="87" t="s">
        <v>1329</v>
      </c>
    </row>
    <row r="640" spans="1:6">
      <c r="A640" s="39">
        <v>44199</v>
      </c>
      <c r="B640" s="27"/>
      <c r="C640" s="27" t="s">
        <v>4587</v>
      </c>
      <c r="D640" s="27"/>
      <c r="E640" s="27" t="s">
        <v>4764</v>
      </c>
      <c r="F640" s="27" t="s">
        <v>3318</v>
      </c>
    </row>
    <row r="641" spans="1:6">
      <c r="A641" s="39">
        <v>44200</v>
      </c>
      <c r="B641" s="27"/>
      <c r="C641" s="27" t="s">
        <v>5036</v>
      </c>
      <c r="D641" s="27"/>
      <c r="E641" s="27" t="s">
        <v>5207</v>
      </c>
      <c r="F641" s="27" t="s">
        <v>5372</v>
      </c>
    </row>
    <row r="642" spans="1:6">
      <c r="A642" s="38">
        <v>43756</v>
      </c>
      <c r="B642" s="79"/>
      <c r="C642" s="79" t="s">
        <v>1330</v>
      </c>
      <c r="D642" s="79"/>
      <c r="E642" s="79" t="s">
        <v>1331</v>
      </c>
      <c r="F642" s="79" t="s">
        <v>1332</v>
      </c>
    </row>
    <row r="643" spans="1:6">
      <c r="A643" s="38">
        <v>44091</v>
      </c>
      <c r="B643" s="79"/>
      <c r="C643" s="79" t="s">
        <v>1333</v>
      </c>
      <c r="D643" s="79"/>
      <c r="E643" s="79" t="s">
        <v>1334</v>
      </c>
      <c r="F643" s="79" t="s">
        <v>1335</v>
      </c>
    </row>
    <row r="644" spans="1:6">
      <c r="A644" s="38">
        <v>43587</v>
      </c>
      <c r="B644" s="61"/>
      <c r="C644" s="61" t="s">
        <v>1336</v>
      </c>
      <c r="D644" s="61"/>
      <c r="E644" s="61" t="s">
        <v>1337</v>
      </c>
      <c r="F644" s="61" t="s">
        <v>1338</v>
      </c>
    </row>
    <row r="645" spans="1:6">
      <c r="A645" s="38">
        <v>43587</v>
      </c>
      <c r="B645" s="53"/>
      <c r="C645" s="53" t="s">
        <v>1339</v>
      </c>
      <c r="D645" s="53"/>
      <c r="E645" s="53" t="s">
        <v>1340</v>
      </c>
      <c r="F645" s="53" t="s">
        <v>1341</v>
      </c>
    </row>
    <row r="646" spans="1:6">
      <c r="A646" s="38">
        <v>44062</v>
      </c>
      <c r="B646" s="79"/>
      <c r="C646" s="79" t="s">
        <v>1342</v>
      </c>
      <c r="D646" s="79"/>
      <c r="E646" s="79" t="s">
        <v>1343</v>
      </c>
      <c r="F646" s="79" t="s">
        <v>1344</v>
      </c>
    </row>
    <row r="647" spans="1:6">
      <c r="A647" s="38">
        <v>44041</v>
      </c>
      <c r="B647" s="87"/>
      <c r="C647" s="87" t="s">
        <v>1345</v>
      </c>
      <c r="D647" s="87"/>
      <c r="E647" s="87" t="s">
        <v>1346</v>
      </c>
      <c r="F647" s="87" t="s">
        <v>1347</v>
      </c>
    </row>
    <row r="648" spans="1:6">
      <c r="A648" s="39">
        <v>44199</v>
      </c>
      <c r="B648" s="27"/>
      <c r="C648" s="27" t="s">
        <v>4588</v>
      </c>
      <c r="D648" s="27"/>
      <c r="E648" s="27" t="s">
        <v>4765</v>
      </c>
      <c r="F648" s="27" t="s">
        <v>4766</v>
      </c>
    </row>
    <row r="649" spans="1:6">
      <c r="A649" s="38">
        <v>43819</v>
      </c>
      <c r="B649" s="87"/>
      <c r="C649" s="87" t="s">
        <v>1348</v>
      </c>
      <c r="D649" s="87"/>
      <c r="E649" s="87" t="s">
        <v>1349</v>
      </c>
      <c r="F649" s="87" t="s">
        <v>1350</v>
      </c>
    </row>
    <row r="650" spans="1:6">
      <c r="A650" s="39">
        <v>44199</v>
      </c>
      <c r="B650" s="27"/>
      <c r="C650" s="27" t="s">
        <v>4589</v>
      </c>
      <c r="D650" s="27"/>
      <c r="E650" s="27" t="s">
        <v>4767</v>
      </c>
      <c r="F650" s="27" t="s">
        <v>4768</v>
      </c>
    </row>
    <row r="651" spans="1:6">
      <c r="A651" s="39">
        <v>44199</v>
      </c>
      <c r="B651" s="27"/>
      <c r="C651" s="27" t="s">
        <v>4590</v>
      </c>
      <c r="D651" s="27"/>
      <c r="E651" s="27" t="s">
        <v>4769</v>
      </c>
      <c r="F651" s="27" t="s">
        <v>4770</v>
      </c>
    </row>
    <row r="652" spans="1:6">
      <c r="A652" s="39">
        <v>44301</v>
      </c>
      <c r="B652" s="27">
        <v>1</v>
      </c>
      <c r="C652" s="27" t="s">
        <v>5628</v>
      </c>
      <c r="D652" s="27"/>
      <c r="E652" s="27" t="s">
        <v>5629</v>
      </c>
      <c r="F652" s="27" t="s">
        <v>4397</v>
      </c>
    </row>
    <row r="653" spans="1:6">
      <c r="A653" s="39">
        <v>44200</v>
      </c>
      <c r="B653" s="27"/>
      <c r="C653" s="27" t="s">
        <v>5037</v>
      </c>
      <c r="D653" s="27"/>
      <c r="E653" s="27" t="s">
        <v>5037</v>
      </c>
      <c r="F653" s="27" t="s">
        <v>5373</v>
      </c>
    </row>
    <row r="654" spans="1:6">
      <c r="A654" s="39">
        <v>44512</v>
      </c>
      <c r="B654" s="27"/>
      <c r="C654" s="27" t="s">
        <v>6023</v>
      </c>
      <c r="D654" s="27"/>
      <c r="E654" s="27" t="s">
        <v>6023</v>
      </c>
      <c r="F654" s="27" t="s">
        <v>6024</v>
      </c>
    </row>
    <row r="655" spans="1:6">
      <c r="B655" s="79"/>
      <c r="C655" s="79" t="s">
        <v>1351</v>
      </c>
      <c r="D655" s="79"/>
      <c r="E655" s="61" t="s">
        <v>1352</v>
      </c>
      <c r="F655" s="61" t="s">
        <v>1353</v>
      </c>
    </row>
    <row r="656" spans="1:6">
      <c r="A656" s="38">
        <v>43465</v>
      </c>
      <c r="B656" s="79"/>
      <c r="C656" s="79" t="s">
        <v>1354</v>
      </c>
      <c r="D656" s="79"/>
      <c r="E656" s="79" t="s">
        <v>1355</v>
      </c>
      <c r="F656" s="79" t="s">
        <v>1356</v>
      </c>
    </row>
    <row r="657" spans="1:6">
      <c r="A657" s="38">
        <v>43467</v>
      </c>
      <c r="B657" s="78"/>
      <c r="C657" s="78" t="s">
        <v>1357</v>
      </c>
      <c r="D657" s="78"/>
      <c r="E657" s="78" t="s">
        <v>1358</v>
      </c>
      <c r="F657" s="78" t="s">
        <v>1359</v>
      </c>
    </row>
    <row r="658" spans="1:6">
      <c r="A658" s="38">
        <v>44123</v>
      </c>
      <c r="B658" s="87"/>
      <c r="C658" s="87" t="s">
        <v>1360</v>
      </c>
      <c r="D658" s="87"/>
      <c r="E658" s="87" t="s">
        <v>1361</v>
      </c>
      <c r="F658" s="87" t="s">
        <v>1362</v>
      </c>
    </row>
    <row r="659" spans="1:6" s="53" customFormat="1">
      <c r="A659" s="39">
        <v>44199</v>
      </c>
      <c r="B659" s="27"/>
      <c r="C659" s="27" t="s">
        <v>4591</v>
      </c>
      <c r="D659" s="27"/>
      <c r="E659" s="27" t="s">
        <v>4771</v>
      </c>
      <c r="F659" s="27" t="s">
        <v>4772</v>
      </c>
    </row>
    <row r="660" spans="1:6" s="53" customFormat="1">
      <c r="A660" s="39">
        <v>44199</v>
      </c>
      <c r="B660" s="27"/>
      <c r="C660" s="27" t="s">
        <v>4592</v>
      </c>
      <c r="D660" s="27"/>
      <c r="E660" s="27" t="s">
        <v>4773</v>
      </c>
      <c r="F660" s="27" t="s">
        <v>1365</v>
      </c>
    </row>
    <row r="661" spans="1:6" s="53" customFormat="1">
      <c r="A661" s="38">
        <v>43662</v>
      </c>
      <c r="B661" s="61"/>
      <c r="C661" s="61" t="s">
        <v>1363</v>
      </c>
      <c r="D661" s="61"/>
      <c r="E661" s="61" t="s">
        <v>1364</v>
      </c>
      <c r="F661" s="61" t="s">
        <v>1365</v>
      </c>
    </row>
    <row r="662" spans="1:6">
      <c r="A662" s="38">
        <v>43868</v>
      </c>
      <c r="B662" s="61"/>
      <c r="C662" s="61" t="s">
        <v>1366</v>
      </c>
      <c r="D662" s="61"/>
      <c r="E662" s="61" t="s">
        <v>1367</v>
      </c>
      <c r="F662" s="61" t="s">
        <v>1368</v>
      </c>
    </row>
    <row r="663" spans="1:6">
      <c r="A663" s="38">
        <v>43587</v>
      </c>
      <c r="B663" s="61"/>
      <c r="C663" s="61" t="s">
        <v>1369</v>
      </c>
      <c r="D663" s="61"/>
      <c r="E663" s="61" t="s">
        <v>1370</v>
      </c>
      <c r="F663" s="61" t="s">
        <v>1371</v>
      </c>
    </row>
    <row r="664" spans="1:6">
      <c r="A664" s="38">
        <v>43461</v>
      </c>
      <c r="B664" s="79"/>
      <c r="C664" s="79" t="s">
        <v>1372</v>
      </c>
      <c r="D664" s="79"/>
      <c r="E664" s="79" t="s">
        <v>1373</v>
      </c>
      <c r="F664" s="79" t="s">
        <v>1374</v>
      </c>
    </row>
    <row r="665" spans="1:6">
      <c r="A665" s="38">
        <v>43587</v>
      </c>
      <c r="B665" s="79"/>
      <c r="C665" s="79" t="s">
        <v>1375</v>
      </c>
      <c r="D665" s="79"/>
      <c r="E665" s="79" t="s">
        <v>1376</v>
      </c>
      <c r="F665" s="79" t="s">
        <v>1377</v>
      </c>
    </row>
    <row r="666" spans="1:6">
      <c r="A666" s="38">
        <v>43756</v>
      </c>
      <c r="B666" s="79"/>
      <c r="C666" s="79" t="s">
        <v>1378</v>
      </c>
      <c r="D666" s="79"/>
      <c r="E666" s="79" t="s">
        <v>1379</v>
      </c>
      <c r="F666" s="79" t="s">
        <v>1380</v>
      </c>
    </row>
    <row r="667" spans="1:6">
      <c r="A667" s="38">
        <v>43344</v>
      </c>
      <c r="B667" s="87"/>
      <c r="C667" s="87" t="s">
        <v>1382</v>
      </c>
      <c r="D667" s="87"/>
      <c r="E667" s="87" t="s">
        <v>1383</v>
      </c>
      <c r="F667" s="87" t="s">
        <v>1384</v>
      </c>
    </row>
    <row r="668" spans="1:6">
      <c r="A668" s="39">
        <v>44518</v>
      </c>
      <c r="B668" s="27"/>
      <c r="C668" s="27" t="s">
        <v>6117</v>
      </c>
      <c r="D668" s="27"/>
      <c r="E668" s="27" t="s">
        <v>6118</v>
      </c>
      <c r="F668" s="27" t="s">
        <v>6119</v>
      </c>
    </row>
    <row r="669" spans="1:6">
      <c r="A669" s="39">
        <v>44512</v>
      </c>
      <c r="B669" s="27"/>
      <c r="C669" s="27" t="s">
        <v>6165</v>
      </c>
      <c r="D669" s="27"/>
      <c r="E669" s="55" t="s">
        <v>6166</v>
      </c>
      <c r="F669" s="27" t="s">
        <v>6055</v>
      </c>
    </row>
    <row r="670" spans="1:6">
      <c r="A670" s="39">
        <v>44510</v>
      </c>
      <c r="B670" s="27"/>
      <c r="C670" s="27" t="s">
        <v>5817</v>
      </c>
      <c r="D670" s="27"/>
      <c r="E670" s="27" t="s">
        <v>5818</v>
      </c>
      <c r="F670" s="27" t="s">
        <v>5819</v>
      </c>
    </row>
    <row r="671" spans="1:6">
      <c r="A671" s="39">
        <v>44512</v>
      </c>
      <c r="B671" s="27"/>
      <c r="C671" s="27" t="s">
        <v>5935</v>
      </c>
      <c r="D671" s="27"/>
      <c r="E671" s="27" t="s">
        <v>5936</v>
      </c>
      <c r="F671" s="27" t="s">
        <v>5937</v>
      </c>
    </row>
    <row r="672" spans="1:6">
      <c r="A672" s="38">
        <v>43612</v>
      </c>
      <c r="B672" s="78"/>
      <c r="C672" s="78" t="s">
        <v>1385</v>
      </c>
      <c r="D672" s="78"/>
      <c r="E672" s="78" t="s">
        <v>1386</v>
      </c>
      <c r="F672" s="78" t="s">
        <v>1387</v>
      </c>
    </row>
    <row r="673" spans="1:6">
      <c r="A673" s="38">
        <v>43588</v>
      </c>
      <c r="B673" s="87"/>
      <c r="C673" s="87" t="s">
        <v>1388</v>
      </c>
      <c r="D673" s="87"/>
      <c r="E673" s="87" t="s">
        <v>1389</v>
      </c>
      <c r="F673" s="87" t="s">
        <v>1390</v>
      </c>
    </row>
    <row r="674" spans="1:6">
      <c r="A674" s="39">
        <v>44512</v>
      </c>
      <c r="B674" s="27"/>
      <c r="C674" s="27" t="s">
        <v>5957</v>
      </c>
      <c r="D674" s="27"/>
      <c r="E674" s="27" t="s">
        <v>5958</v>
      </c>
      <c r="F674" s="27" t="s">
        <v>5959</v>
      </c>
    </row>
    <row r="675" spans="1:6">
      <c r="A675" s="38">
        <v>44090</v>
      </c>
      <c r="B675" s="87"/>
      <c r="C675" s="87" t="s">
        <v>1391</v>
      </c>
      <c r="D675" s="87"/>
      <c r="E675" s="87" t="s">
        <v>1392</v>
      </c>
      <c r="F675" s="87" t="s">
        <v>1393</v>
      </c>
    </row>
    <row r="676" spans="1:6">
      <c r="A676" s="39">
        <v>44512</v>
      </c>
      <c r="B676" s="27"/>
      <c r="C676" s="27" t="s">
        <v>6141</v>
      </c>
      <c r="D676" s="27"/>
      <c r="E676" s="55" t="s">
        <v>6142</v>
      </c>
      <c r="F676" s="27" t="s">
        <v>5981</v>
      </c>
    </row>
    <row r="677" spans="1:6">
      <c r="A677" s="39">
        <v>44512</v>
      </c>
      <c r="B677" s="27"/>
      <c r="C677" s="27" t="s">
        <v>6147</v>
      </c>
      <c r="D677" s="27"/>
      <c r="E677" s="55" t="s">
        <v>5984</v>
      </c>
      <c r="F677" s="54" t="s">
        <v>5985</v>
      </c>
    </row>
    <row r="678" spans="1:6">
      <c r="A678" s="39">
        <v>44512</v>
      </c>
      <c r="B678" s="27"/>
      <c r="C678" s="27" t="s">
        <v>6168</v>
      </c>
      <c r="D678" s="27"/>
      <c r="E678" s="27" t="s">
        <v>5982</v>
      </c>
      <c r="F678" s="27" t="s">
        <v>5983</v>
      </c>
    </row>
    <row r="679" spans="1:6">
      <c r="B679" s="79"/>
      <c r="C679" s="79" t="s">
        <v>1394</v>
      </c>
      <c r="D679" s="79" t="s">
        <v>1395</v>
      </c>
      <c r="E679" s="79" t="s">
        <v>1396</v>
      </c>
      <c r="F679" s="79" t="s">
        <v>1397</v>
      </c>
    </row>
    <row r="680" spans="1:6">
      <c r="B680" s="87"/>
      <c r="C680" s="87" t="s">
        <v>1279</v>
      </c>
      <c r="D680" s="87" t="s">
        <v>1398</v>
      </c>
      <c r="E680" s="87" t="s">
        <v>1279</v>
      </c>
      <c r="F680" s="87" t="s">
        <v>1279</v>
      </c>
    </row>
    <row r="681" spans="1:6">
      <c r="A681" s="39">
        <v>44199</v>
      </c>
      <c r="B681" s="27"/>
      <c r="C681" s="27" t="s">
        <v>4593</v>
      </c>
      <c r="D681" s="27"/>
      <c r="E681" s="27" t="s">
        <v>4774</v>
      </c>
      <c r="F681" s="27" t="s">
        <v>4775</v>
      </c>
    </row>
    <row r="682" spans="1:6">
      <c r="A682" s="39">
        <v>44510</v>
      </c>
      <c r="B682" s="27"/>
      <c r="C682" s="27" t="s">
        <v>5872</v>
      </c>
      <c r="D682" s="27"/>
      <c r="E682" s="27" t="s">
        <v>5873</v>
      </c>
      <c r="F682" s="27" t="s">
        <v>5874</v>
      </c>
    </row>
    <row r="683" spans="1:6">
      <c r="A683" s="38">
        <v>44120</v>
      </c>
      <c r="B683" s="61"/>
      <c r="C683" s="61" t="s">
        <v>1399</v>
      </c>
      <c r="D683" s="61"/>
      <c r="E683" s="61" t="s">
        <v>1400</v>
      </c>
      <c r="F683" s="61" t="s">
        <v>1401</v>
      </c>
    </row>
    <row r="684" spans="1:6">
      <c r="A684" s="38">
        <v>43637</v>
      </c>
      <c r="B684" s="79"/>
      <c r="C684" s="79" t="s">
        <v>1402</v>
      </c>
      <c r="D684" s="79"/>
      <c r="E684" s="79" t="s">
        <v>1403</v>
      </c>
      <c r="F684" s="79" t="s">
        <v>1404</v>
      </c>
    </row>
    <row r="685" spans="1:6">
      <c r="A685" s="38">
        <v>43644</v>
      </c>
      <c r="B685" s="87"/>
      <c r="C685" s="87" t="s">
        <v>1405</v>
      </c>
      <c r="D685" s="87"/>
      <c r="E685" s="87" t="s">
        <v>1405</v>
      </c>
      <c r="F685" s="87" t="s">
        <v>1406</v>
      </c>
    </row>
    <row r="686" spans="1:6">
      <c r="A686" s="39">
        <v>44512</v>
      </c>
      <c r="B686" s="27"/>
      <c r="C686" s="27" t="s">
        <v>5990</v>
      </c>
      <c r="D686" s="27"/>
      <c r="E686" s="55" t="s">
        <v>5991</v>
      </c>
      <c r="F686" s="54" t="s">
        <v>5992</v>
      </c>
    </row>
    <row r="687" spans="1:6">
      <c r="A687" s="39">
        <v>44200</v>
      </c>
      <c r="B687" s="27"/>
      <c r="C687" s="27" t="s">
        <v>5038</v>
      </c>
      <c r="D687" s="27"/>
      <c r="E687" s="27" t="s">
        <v>5208</v>
      </c>
      <c r="F687" s="27" t="s">
        <v>5374</v>
      </c>
    </row>
    <row r="688" spans="1:6">
      <c r="A688" s="38">
        <v>44123</v>
      </c>
      <c r="B688" s="87"/>
      <c r="C688" s="87" t="s">
        <v>1407</v>
      </c>
      <c r="D688" s="87"/>
      <c r="E688" s="87" t="s">
        <v>1407</v>
      </c>
      <c r="F688" s="87" t="s">
        <v>1408</v>
      </c>
    </row>
    <row r="689" spans="1:6">
      <c r="A689" s="39">
        <v>44199</v>
      </c>
      <c r="B689" s="27"/>
      <c r="C689" s="27" t="s">
        <v>4594</v>
      </c>
      <c r="D689" s="27"/>
      <c r="E689" s="27" t="s">
        <v>4776</v>
      </c>
      <c r="F689" s="27" t="s">
        <v>4777</v>
      </c>
    </row>
    <row r="690" spans="1:6" s="50" customFormat="1">
      <c r="A690" s="38">
        <v>44075</v>
      </c>
      <c r="B690" s="79"/>
      <c r="C690" s="79" t="s">
        <v>1409</v>
      </c>
      <c r="D690" s="79"/>
      <c r="E690" s="79" t="s">
        <v>1409</v>
      </c>
      <c r="F690" s="79" t="s">
        <v>1410</v>
      </c>
    </row>
    <row r="691" spans="1:6">
      <c r="A691" s="38">
        <v>44040</v>
      </c>
      <c r="B691" s="87"/>
      <c r="C691" s="87" t="s">
        <v>1411</v>
      </c>
      <c r="D691" s="87"/>
      <c r="E691" s="87" t="s">
        <v>1412</v>
      </c>
      <c r="F691" s="87" t="s">
        <v>1413</v>
      </c>
    </row>
    <row r="692" spans="1:6">
      <c r="A692" s="39">
        <v>44199</v>
      </c>
      <c r="B692" s="27"/>
      <c r="C692" s="27" t="s">
        <v>4595</v>
      </c>
      <c r="D692" s="27"/>
      <c r="E692" s="27" t="s">
        <v>4778</v>
      </c>
      <c r="F692" s="27" t="s">
        <v>4779</v>
      </c>
    </row>
    <row r="693" spans="1:6">
      <c r="A693" s="38">
        <v>43636</v>
      </c>
      <c r="B693" s="79"/>
      <c r="C693" s="79" t="s">
        <v>1414</v>
      </c>
      <c r="D693" s="79"/>
      <c r="E693" s="79" t="s">
        <v>1415</v>
      </c>
      <c r="F693" s="79" t="s">
        <v>1416</v>
      </c>
    </row>
    <row r="694" spans="1:6">
      <c r="A694" s="38">
        <v>43647</v>
      </c>
      <c r="B694" s="61"/>
      <c r="C694" s="61" t="s">
        <v>1417</v>
      </c>
      <c r="D694" s="61"/>
      <c r="E694" s="61" t="s">
        <v>1418</v>
      </c>
      <c r="F694" s="61" t="s">
        <v>1419</v>
      </c>
    </row>
    <row r="695" spans="1:6">
      <c r="A695" s="38">
        <v>43864</v>
      </c>
      <c r="B695" s="79"/>
      <c r="C695" s="79" t="s">
        <v>1420</v>
      </c>
      <c r="D695" s="79"/>
      <c r="E695" s="79" t="s">
        <v>1421</v>
      </c>
      <c r="F695" s="79" t="s">
        <v>1422</v>
      </c>
    </row>
    <row r="696" spans="1:6">
      <c r="A696" s="38">
        <v>44123</v>
      </c>
      <c r="B696" s="53"/>
      <c r="C696" s="53" t="s">
        <v>1423</v>
      </c>
      <c r="D696" s="53"/>
      <c r="E696" s="53" t="s">
        <v>1424</v>
      </c>
      <c r="F696" s="53" t="s">
        <v>1425</v>
      </c>
    </row>
    <row r="697" spans="1:6">
      <c r="A697" s="38">
        <v>43655</v>
      </c>
      <c r="B697" s="53"/>
      <c r="C697" s="53" t="s">
        <v>1426</v>
      </c>
      <c r="D697" s="53"/>
      <c r="E697" s="53" t="s">
        <v>1427</v>
      </c>
      <c r="F697" s="53" t="s">
        <v>1428</v>
      </c>
    </row>
    <row r="698" spans="1:6">
      <c r="A698" s="38">
        <v>44075</v>
      </c>
      <c r="B698" s="79"/>
      <c r="C698" s="79" t="s">
        <v>1429</v>
      </c>
      <c r="D698" s="79"/>
      <c r="E698" s="79" t="s">
        <v>1430</v>
      </c>
      <c r="F698" s="79" t="s">
        <v>1431</v>
      </c>
    </row>
    <row r="699" spans="1:6">
      <c r="A699" s="38">
        <v>44075</v>
      </c>
      <c r="B699" s="87"/>
      <c r="C699" s="87" t="s">
        <v>1432</v>
      </c>
      <c r="D699" s="87"/>
      <c r="E699" s="87" t="s">
        <v>1433</v>
      </c>
      <c r="F699" s="87" t="s">
        <v>1434</v>
      </c>
    </row>
    <row r="700" spans="1:6">
      <c r="A700" s="39">
        <v>44200</v>
      </c>
      <c r="B700" s="27"/>
      <c r="C700" s="27" t="s">
        <v>5039</v>
      </c>
      <c r="D700" s="27"/>
      <c r="E700" s="27" t="s">
        <v>5209</v>
      </c>
      <c r="F700" s="27" t="s">
        <v>1428</v>
      </c>
    </row>
    <row r="701" spans="1:6">
      <c r="A701" s="38">
        <v>43868</v>
      </c>
      <c r="B701" s="61"/>
      <c r="C701" s="61" t="s">
        <v>1435</v>
      </c>
      <c r="D701" s="61"/>
      <c r="E701" s="61" t="s">
        <v>1436</v>
      </c>
      <c r="F701" s="61" t="s">
        <v>1437</v>
      </c>
    </row>
    <row r="702" spans="1:6">
      <c r="A702" s="38">
        <v>43647</v>
      </c>
      <c r="B702" s="61"/>
      <c r="C702" s="61" t="s">
        <v>1438</v>
      </c>
      <c r="D702" s="61"/>
      <c r="E702" s="61" t="s">
        <v>1439</v>
      </c>
      <c r="F702" s="61" t="s">
        <v>1440</v>
      </c>
    </row>
    <row r="703" spans="1:6">
      <c r="A703" s="38">
        <v>43719</v>
      </c>
      <c r="B703" s="79"/>
      <c r="C703" s="79" t="s">
        <v>1441</v>
      </c>
      <c r="D703" s="79"/>
      <c r="E703" s="79" t="s">
        <v>1442</v>
      </c>
      <c r="F703" s="79" t="s">
        <v>1443</v>
      </c>
    </row>
    <row r="704" spans="1:6">
      <c r="A704" s="38">
        <v>44159</v>
      </c>
      <c r="B704" s="53"/>
      <c r="C704" s="53" t="s">
        <v>1444</v>
      </c>
      <c r="D704" s="53"/>
      <c r="E704" s="53" t="s">
        <v>1445</v>
      </c>
      <c r="F704" s="53" t="s">
        <v>1446</v>
      </c>
    </row>
    <row r="705" spans="1:6">
      <c r="A705" s="38">
        <v>44040</v>
      </c>
      <c r="B705" s="78"/>
      <c r="C705" s="78" t="s">
        <v>1447</v>
      </c>
      <c r="D705" s="78"/>
      <c r="E705" s="78" t="s">
        <v>1448</v>
      </c>
      <c r="F705" s="78" t="s">
        <v>1449</v>
      </c>
    </row>
    <row r="706" spans="1:6">
      <c r="B706" s="87"/>
      <c r="C706" s="87" t="s">
        <v>1450</v>
      </c>
      <c r="D706" s="87"/>
      <c r="E706" s="87" t="s">
        <v>1451</v>
      </c>
      <c r="F706" s="87" t="s">
        <v>1452</v>
      </c>
    </row>
    <row r="707" spans="1:6">
      <c r="A707" s="39">
        <v>44510</v>
      </c>
      <c r="B707" s="27"/>
      <c r="C707" s="57" t="s">
        <v>5799</v>
      </c>
      <c r="D707" s="27"/>
      <c r="E707" s="27" t="s">
        <v>6089</v>
      </c>
      <c r="F707" s="27" t="s">
        <v>6090</v>
      </c>
    </row>
    <row r="708" spans="1:6">
      <c r="A708" s="38">
        <v>43467</v>
      </c>
      <c r="B708" s="87"/>
      <c r="C708" s="87" t="s">
        <v>1453</v>
      </c>
      <c r="D708" s="87"/>
      <c r="E708" s="87" t="s">
        <v>1454</v>
      </c>
      <c r="F708" s="87" t="s">
        <v>1455</v>
      </c>
    </row>
    <row r="709" spans="1:6">
      <c r="A709" s="39">
        <v>44301</v>
      </c>
      <c r="B709" s="27">
        <v>1</v>
      </c>
      <c r="C709" s="27" t="s">
        <v>5630</v>
      </c>
      <c r="D709" s="27"/>
      <c r="E709" s="27" t="s">
        <v>5631</v>
      </c>
      <c r="F709" s="27" t="s">
        <v>5632</v>
      </c>
    </row>
    <row r="710" spans="1:6">
      <c r="A710" s="38">
        <v>43893</v>
      </c>
      <c r="B710" s="87"/>
      <c r="C710" s="87" t="s">
        <v>1456</v>
      </c>
      <c r="D710" s="87" t="s">
        <v>1457</v>
      </c>
      <c r="E710" s="87" t="s">
        <v>1458</v>
      </c>
      <c r="F710" s="87" t="s">
        <v>1458</v>
      </c>
    </row>
    <row r="711" spans="1:6">
      <c r="A711" s="39">
        <v>44199</v>
      </c>
      <c r="B711" s="27"/>
      <c r="C711" s="27" t="s">
        <v>4596</v>
      </c>
      <c r="D711" s="27"/>
      <c r="E711" s="27" t="s">
        <v>4780</v>
      </c>
      <c r="F711" s="27" t="s">
        <v>4781</v>
      </c>
    </row>
    <row r="712" spans="1:6">
      <c r="A712" s="38">
        <v>44081</v>
      </c>
      <c r="B712" s="87"/>
      <c r="C712" s="87" t="s">
        <v>1459</v>
      </c>
      <c r="D712" s="87" t="s">
        <v>1460</v>
      </c>
      <c r="E712" s="87" t="s">
        <v>1459</v>
      </c>
      <c r="F712" s="87" t="s">
        <v>1459</v>
      </c>
    </row>
    <row r="713" spans="1:6">
      <c r="A713" s="39">
        <v>44510</v>
      </c>
      <c r="B713" s="27"/>
      <c r="C713" s="27" t="s">
        <v>1721</v>
      </c>
      <c r="D713" s="27"/>
      <c r="E713" s="27" t="s">
        <v>1721</v>
      </c>
      <c r="F713" s="27" t="s">
        <v>1721</v>
      </c>
    </row>
    <row r="714" spans="1:6">
      <c r="A714" s="38">
        <v>43766</v>
      </c>
      <c r="B714" s="61"/>
      <c r="C714" s="61" t="s">
        <v>1461</v>
      </c>
      <c r="D714" s="61"/>
      <c r="E714" s="61" t="s">
        <v>1462</v>
      </c>
      <c r="F714" s="61" t="s">
        <v>1463</v>
      </c>
    </row>
    <row r="715" spans="1:6">
      <c r="A715" s="38">
        <v>43644</v>
      </c>
      <c r="B715" s="61"/>
      <c r="C715" s="61" t="s">
        <v>1464</v>
      </c>
      <c r="D715" s="61"/>
      <c r="E715" s="61" t="s">
        <v>1465</v>
      </c>
      <c r="F715" s="61" t="s">
        <v>1466</v>
      </c>
    </row>
    <row r="716" spans="1:6">
      <c r="A716" s="38">
        <v>44083</v>
      </c>
      <c r="B716" s="61"/>
      <c r="C716" s="61" t="s">
        <v>1467</v>
      </c>
      <c r="D716" s="61"/>
      <c r="E716" s="61" t="s">
        <v>1468</v>
      </c>
      <c r="F716" s="61" t="s">
        <v>1469</v>
      </c>
    </row>
    <row r="717" spans="1:6">
      <c r="A717" s="38">
        <v>43356</v>
      </c>
      <c r="B717" s="53"/>
      <c r="C717" s="53" t="s">
        <v>1470</v>
      </c>
      <c r="D717" s="53" t="e">
        <f>PROPER([1]!ObjGes[[#This Row],[Nom EN]])</f>
        <v>#REF!</v>
      </c>
      <c r="E717" s="53" t="s">
        <v>1471</v>
      </c>
      <c r="F717" s="53" t="s">
        <v>1472</v>
      </c>
    </row>
    <row r="718" spans="1:6">
      <c r="A718" s="38">
        <v>44083</v>
      </c>
      <c r="B718" s="53"/>
      <c r="C718" s="53" t="s">
        <v>1473</v>
      </c>
      <c r="D718" s="53"/>
      <c r="E718" s="53" t="s">
        <v>1474</v>
      </c>
      <c r="F718" s="53" t="s">
        <v>1475</v>
      </c>
    </row>
    <row r="719" spans="1:6">
      <c r="A719" s="38">
        <v>43518</v>
      </c>
      <c r="B719" s="53"/>
      <c r="C719" s="53" t="s">
        <v>1476</v>
      </c>
      <c r="D719" s="53"/>
      <c r="E719" s="53" t="s">
        <v>1477</v>
      </c>
      <c r="F719" s="53" t="s">
        <v>1478</v>
      </c>
    </row>
    <row r="720" spans="1:6">
      <c r="A720" s="38">
        <v>44083</v>
      </c>
      <c r="B720" s="53"/>
      <c r="C720" s="53" t="s">
        <v>1479</v>
      </c>
      <c r="D720" s="53"/>
      <c r="E720" s="53" t="s">
        <v>1480</v>
      </c>
      <c r="F720" s="53" t="s">
        <v>1481</v>
      </c>
    </row>
    <row r="721" spans="1:6">
      <c r="A721" s="38">
        <v>44083</v>
      </c>
      <c r="B721" s="79"/>
      <c r="C721" s="79" t="s">
        <v>1482</v>
      </c>
      <c r="D721" s="79"/>
      <c r="E721" s="79" t="s">
        <v>1483</v>
      </c>
      <c r="F721" s="79" t="s">
        <v>1484</v>
      </c>
    </row>
    <row r="722" spans="1:6">
      <c r="A722" s="38">
        <v>43356</v>
      </c>
      <c r="B722" s="78"/>
      <c r="C722" s="78" t="s">
        <v>1485</v>
      </c>
      <c r="D722" s="78" t="e">
        <f>PROPER([1]!ObjGes[[#This Row],[Nom EN]])</f>
        <v>#REF!</v>
      </c>
      <c r="E722" s="78" t="s">
        <v>1486</v>
      </c>
      <c r="F722" s="78" t="s">
        <v>1487</v>
      </c>
    </row>
    <row r="723" spans="1:6">
      <c r="A723" s="38">
        <v>43613</v>
      </c>
      <c r="B723" s="87"/>
      <c r="C723" s="87" t="s">
        <v>1488</v>
      </c>
      <c r="D723" s="87"/>
      <c r="E723" s="87" t="s">
        <v>1489</v>
      </c>
      <c r="F723" s="87" t="s">
        <v>1490</v>
      </c>
    </row>
    <row r="724" spans="1:6">
      <c r="A724" s="39">
        <v>44510</v>
      </c>
      <c r="B724" s="27"/>
      <c r="C724" s="27" t="s">
        <v>6170</v>
      </c>
      <c r="D724" s="27"/>
      <c r="E724" s="27" t="s">
        <v>6169</v>
      </c>
      <c r="F724" s="27" t="s">
        <v>5902</v>
      </c>
    </row>
    <row r="725" spans="1:6">
      <c r="A725" s="38">
        <v>44069</v>
      </c>
      <c r="B725" s="87"/>
      <c r="C725" s="87" t="s">
        <v>1491</v>
      </c>
      <c r="D725" s="87"/>
      <c r="E725" s="87" t="s">
        <v>1492</v>
      </c>
      <c r="F725" s="87" t="s">
        <v>1493</v>
      </c>
    </row>
    <row r="726" spans="1:6">
      <c r="A726" s="39">
        <v>44510</v>
      </c>
      <c r="B726" s="27"/>
      <c r="C726" s="27" t="s">
        <v>5913</v>
      </c>
      <c r="D726" s="27"/>
      <c r="E726" s="27" t="s">
        <v>5914</v>
      </c>
      <c r="F726" s="27" t="s">
        <v>4291</v>
      </c>
    </row>
    <row r="727" spans="1:6">
      <c r="A727" s="38">
        <v>43894</v>
      </c>
      <c r="B727" s="87"/>
      <c r="C727" s="87" t="s">
        <v>1494</v>
      </c>
      <c r="D727" s="87"/>
      <c r="E727" s="87" t="s">
        <v>1495</v>
      </c>
      <c r="F727" s="87" t="s">
        <v>1496</v>
      </c>
    </row>
    <row r="728" spans="1:6">
      <c r="A728" s="39">
        <v>44199</v>
      </c>
      <c r="B728" s="27"/>
      <c r="C728" s="27" t="s">
        <v>4597</v>
      </c>
      <c r="D728" s="27"/>
      <c r="E728" s="27" t="s">
        <v>4597</v>
      </c>
      <c r="F728" s="27" t="s">
        <v>4782</v>
      </c>
    </row>
    <row r="729" spans="1:6">
      <c r="A729" s="39">
        <v>44301</v>
      </c>
      <c r="B729" s="27">
        <v>3</v>
      </c>
      <c r="C729" s="27" t="s">
        <v>4597</v>
      </c>
      <c r="D729" s="27"/>
      <c r="E729" s="27" t="s">
        <v>4597</v>
      </c>
      <c r="F729" s="27" t="s">
        <v>4782</v>
      </c>
    </row>
    <row r="730" spans="1:6">
      <c r="A730" s="38">
        <v>44082</v>
      </c>
      <c r="B730" s="61"/>
      <c r="C730" s="61" t="s">
        <v>1497</v>
      </c>
      <c r="D730" s="61"/>
      <c r="E730" s="61" t="s">
        <v>1498</v>
      </c>
      <c r="F730" s="61" t="s">
        <v>1499</v>
      </c>
    </row>
    <row r="731" spans="1:6">
      <c r="A731" s="38">
        <v>43608</v>
      </c>
      <c r="B731" s="61"/>
      <c r="C731" s="61" t="s">
        <v>1500</v>
      </c>
      <c r="D731" s="61"/>
      <c r="E731" s="61" t="s">
        <v>1501</v>
      </c>
      <c r="F731" s="61" t="s">
        <v>1502</v>
      </c>
    </row>
    <row r="732" spans="1:6">
      <c r="A732" s="38">
        <v>43401</v>
      </c>
      <c r="B732" s="61"/>
      <c r="C732" s="61" t="s">
        <v>1503</v>
      </c>
      <c r="D732" s="61"/>
      <c r="E732" s="61" t="s">
        <v>1504</v>
      </c>
      <c r="F732" s="61" t="s">
        <v>1505</v>
      </c>
    </row>
    <row r="733" spans="1:6">
      <c r="A733" s="38">
        <v>43899</v>
      </c>
      <c r="B733" s="53"/>
      <c r="C733" s="53" t="s">
        <v>1506</v>
      </c>
      <c r="D733" s="53" t="s">
        <v>1507</v>
      </c>
      <c r="E733" s="53" t="s">
        <v>1508</v>
      </c>
      <c r="F733" s="53" t="s">
        <v>1509</v>
      </c>
    </row>
    <row r="734" spans="1:6">
      <c r="A734" s="38">
        <v>43514</v>
      </c>
      <c r="B734" s="53"/>
      <c r="C734" s="53" t="s">
        <v>1510</v>
      </c>
      <c r="D734" s="53"/>
      <c r="E734" s="53" t="s">
        <v>1511</v>
      </c>
      <c r="F734" s="53" t="s">
        <v>1512</v>
      </c>
    </row>
    <row r="735" spans="1:6">
      <c r="A735" s="38">
        <v>43356</v>
      </c>
      <c r="B735" s="78"/>
      <c r="C735" s="78" t="s">
        <v>1513</v>
      </c>
      <c r="D735" s="78"/>
      <c r="E735" s="78" t="s">
        <v>1514</v>
      </c>
      <c r="F735" s="78" t="s">
        <v>1515</v>
      </c>
    </row>
    <row r="736" spans="1:6">
      <c r="A736" s="38">
        <v>44111</v>
      </c>
      <c r="B736" s="87"/>
      <c r="C736" s="87" t="s">
        <v>1516</v>
      </c>
      <c r="D736" s="87"/>
      <c r="E736" s="87" t="s">
        <v>1517</v>
      </c>
      <c r="F736" s="87" t="s">
        <v>1518</v>
      </c>
    </row>
    <row r="737" spans="1:6">
      <c r="A737" s="39">
        <v>44199</v>
      </c>
      <c r="B737" s="27"/>
      <c r="C737" s="27" t="s">
        <v>4598</v>
      </c>
      <c r="D737" s="27"/>
      <c r="E737" s="27" t="s">
        <v>4783</v>
      </c>
      <c r="F737" s="27" t="s">
        <v>4784</v>
      </c>
    </row>
    <row r="738" spans="1:6">
      <c r="A738" s="38">
        <v>44082</v>
      </c>
      <c r="B738" s="79"/>
      <c r="C738" s="79" t="s">
        <v>1519</v>
      </c>
      <c r="D738" s="79"/>
      <c r="E738" s="79" t="s">
        <v>1520</v>
      </c>
      <c r="F738" s="79" t="s">
        <v>1521</v>
      </c>
    </row>
    <row r="739" spans="1:6">
      <c r="A739" s="38">
        <v>44013</v>
      </c>
      <c r="B739" s="79"/>
      <c r="C739" s="79" t="s">
        <v>1522</v>
      </c>
      <c r="D739" s="79"/>
      <c r="E739" s="79" t="s">
        <v>1523</v>
      </c>
      <c r="F739" s="79" t="s">
        <v>1524</v>
      </c>
    </row>
    <row r="740" spans="1:6">
      <c r="A740" s="38">
        <v>44013</v>
      </c>
      <c r="B740" s="79"/>
      <c r="C740" s="79" t="s">
        <v>1525</v>
      </c>
      <c r="D740" s="79"/>
      <c r="E740" s="79" t="s">
        <v>1526</v>
      </c>
      <c r="F740" s="79" t="s">
        <v>1527</v>
      </c>
    </row>
    <row r="741" spans="1:6">
      <c r="A741" s="38">
        <v>43530</v>
      </c>
      <c r="B741" s="78"/>
      <c r="C741" s="78" t="s">
        <v>1528</v>
      </c>
      <c r="D741" s="78"/>
      <c r="E741" s="78" t="s">
        <v>1529</v>
      </c>
      <c r="F741" s="78" t="s">
        <v>1530</v>
      </c>
    </row>
    <row r="742" spans="1:6">
      <c r="A742" s="38">
        <v>43465</v>
      </c>
      <c r="B742" s="87"/>
      <c r="C742" s="87" t="s">
        <v>1532</v>
      </c>
      <c r="D742" s="87"/>
      <c r="E742" s="87" t="s">
        <v>1533</v>
      </c>
      <c r="F742" s="87" t="s">
        <v>1534</v>
      </c>
    </row>
    <row r="743" spans="1:6">
      <c r="A743" s="39">
        <v>44199</v>
      </c>
      <c r="B743" s="27"/>
      <c r="C743" s="27" t="s">
        <v>4599</v>
      </c>
      <c r="D743" s="27"/>
      <c r="E743" s="27" t="s">
        <v>4785</v>
      </c>
      <c r="F743" s="27" t="s">
        <v>4786</v>
      </c>
    </row>
    <row r="744" spans="1:6">
      <c r="A744" s="39">
        <v>44512</v>
      </c>
      <c r="B744" s="27"/>
      <c r="C744" s="27" t="s">
        <v>5988</v>
      </c>
      <c r="D744" s="27"/>
      <c r="E744" s="27" t="s">
        <v>5988</v>
      </c>
      <c r="F744" s="54" t="s">
        <v>5989</v>
      </c>
    </row>
    <row r="745" spans="1:6">
      <c r="A745" s="38">
        <v>43530</v>
      </c>
      <c r="B745" s="61"/>
      <c r="C745" s="61" t="s">
        <v>1535</v>
      </c>
      <c r="D745" s="61"/>
      <c r="E745" s="61" t="s">
        <v>1536</v>
      </c>
      <c r="F745" s="61" t="s">
        <v>1537</v>
      </c>
    </row>
    <row r="746" spans="1:6">
      <c r="A746" s="38">
        <v>43893</v>
      </c>
      <c r="B746" s="61"/>
      <c r="C746" s="61" t="s">
        <v>1538</v>
      </c>
      <c r="D746" s="61"/>
      <c r="E746" s="61" t="s">
        <v>1539</v>
      </c>
      <c r="F746" s="61" t="s">
        <v>1540</v>
      </c>
    </row>
    <row r="747" spans="1:6">
      <c r="A747" s="38">
        <v>43867</v>
      </c>
      <c r="B747" s="61"/>
      <c r="C747" s="61" t="s">
        <v>1541</v>
      </c>
      <c r="D747" s="61"/>
      <c r="E747" s="61" t="s">
        <v>1542</v>
      </c>
      <c r="F747" s="61" t="s">
        <v>1543</v>
      </c>
    </row>
    <row r="748" spans="1:6">
      <c r="A748" s="38">
        <v>44152</v>
      </c>
      <c r="B748" s="79"/>
      <c r="C748" s="79" t="s">
        <v>1544</v>
      </c>
      <c r="D748" s="79"/>
      <c r="E748" s="79" t="s">
        <v>1545</v>
      </c>
      <c r="F748" s="79" t="s">
        <v>1546</v>
      </c>
    </row>
    <row r="749" spans="1:6">
      <c r="B749" s="53"/>
      <c r="C749" s="53" t="s">
        <v>1547</v>
      </c>
      <c r="D749" s="53"/>
      <c r="E749" s="53" t="s">
        <v>1548</v>
      </c>
      <c r="F749" s="53" t="s">
        <v>1549</v>
      </c>
    </row>
    <row r="750" spans="1:6">
      <c r="A750" s="38">
        <v>43587</v>
      </c>
      <c r="B750" s="61"/>
      <c r="C750" s="61" t="s">
        <v>1550</v>
      </c>
      <c r="D750" s="61"/>
      <c r="E750" s="61" t="s">
        <v>1551</v>
      </c>
      <c r="F750" s="61" t="s">
        <v>1552</v>
      </c>
    </row>
    <row r="751" spans="1:6">
      <c r="A751" s="38">
        <v>43865</v>
      </c>
      <c r="B751" s="79"/>
      <c r="C751" s="79" t="s">
        <v>1553</v>
      </c>
      <c r="D751" s="79"/>
      <c r="E751" s="79" t="s">
        <v>1554</v>
      </c>
      <c r="F751" s="79" t="s">
        <v>1555</v>
      </c>
    </row>
    <row r="752" spans="1:6">
      <c r="A752" s="38">
        <v>44085</v>
      </c>
      <c r="B752" s="87"/>
      <c r="C752" s="87" t="s">
        <v>1556</v>
      </c>
      <c r="D752" s="87"/>
      <c r="E752" s="53" t="s">
        <v>1557</v>
      </c>
      <c r="F752" s="87" t="s">
        <v>1558</v>
      </c>
    </row>
    <row r="753" spans="1:6">
      <c r="A753" s="39">
        <v>44509</v>
      </c>
      <c r="B753" s="27"/>
      <c r="C753" s="27" t="s">
        <v>5748</v>
      </c>
      <c r="D753" s="27"/>
      <c r="E753" s="58" t="s">
        <v>5756</v>
      </c>
      <c r="F753" s="27" t="s">
        <v>5760</v>
      </c>
    </row>
    <row r="754" spans="1:6">
      <c r="A754" s="38">
        <v>44075</v>
      </c>
      <c r="B754" s="61"/>
      <c r="C754" s="61" t="s">
        <v>1559</v>
      </c>
      <c r="D754" s="61"/>
      <c r="E754" s="61" t="s">
        <v>1560</v>
      </c>
      <c r="F754" s="61" t="s">
        <v>1561</v>
      </c>
    </row>
    <row r="755" spans="1:6">
      <c r="A755" s="38">
        <v>43467</v>
      </c>
      <c r="B755" s="61"/>
      <c r="C755" s="61" t="s">
        <v>1562</v>
      </c>
      <c r="D755" s="61"/>
      <c r="E755" s="53" t="s">
        <v>1563</v>
      </c>
      <c r="F755" s="61" t="s">
        <v>1564</v>
      </c>
    </row>
    <row r="756" spans="1:6">
      <c r="A756" s="38">
        <v>43996</v>
      </c>
      <c r="B756" s="61"/>
      <c r="C756" s="61" t="s">
        <v>1565</v>
      </c>
      <c r="D756" s="61"/>
      <c r="E756" s="53" t="s">
        <v>1566</v>
      </c>
      <c r="F756" s="61" t="s">
        <v>1567</v>
      </c>
    </row>
    <row r="757" spans="1:6">
      <c r="A757" s="38">
        <v>43996</v>
      </c>
      <c r="B757" s="78"/>
      <c r="C757" s="78" t="s">
        <v>1568</v>
      </c>
      <c r="D757" s="78"/>
      <c r="E757" s="78" t="s">
        <v>1569</v>
      </c>
      <c r="F757" s="78" t="s">
        <v>1570</v>
      </c>
    </row>
    <row r="758" spans="1:6">
      <c r="A758" s="38">
        <v>43724</v>
      </c>
      <c r="B758" s="87"/>
      <c r="C758" s="87" t="s">
        <v>1571</v>
      </c>
      <c r="D758" s="87"/>
      <c r="E758" s="87" t="s">
        <v>1572</v>
      </c>
      <c r="F758" s="87" t="s">
        <v>1573</v>
      </c>
    </row>
    <row r="759" spans="1:6">
      <c r="A759" s="39">
        <v>44510</v>
      </c>
      <c r="B759" s="27"/>
      <c r="C759" s="27" t="s">
        <v>5900</v>
      </c>
      <c r="D759" s="27"/>
      <c r="E759" s="27" t="s">
        <v>5900</v>
      </c>
      <c r="F759" s="27" t="s">
        <v>5901</v>
      </c>
    </row>
    <row r="760" spans="1:6">
      <c r="A760" s="39">
        <v>44236</v>
      </c>
      <c r="B760" s="27"/>
      <c r="C760" s="27" t="s">
        <v>5500</v>
      </c>
      <c r="D760" s="27"/>
      <c r="E760" s="27" t="s">
        <v>5501</v>
      </c>
      <c r="F760" s="27" t="s">
        <v>5502</v>
      </c>
    </row>
    <row r="761" spans="1:6">
      <c r="A761" s="38">
        <v>43636</v>
      </c>
      <c r="B761" s="79"/>
      <c r="C761" s="79" t="s">
        <v>1574</v>
      </c>
      <c r="D761" s="79"/>
      <c r="E761" s="79" t="s">
        <v>1575</v>
      </c>
      <c r="F761" s="79" t="s">
        <v>1576</v>
      </c>
    </row>
    <row r="762" spans="1:6">
      <c r="A762" s="38">
        <v>43393</v>
      </c>
      <c r="B762" s="61"/>
      <c r="C762" s="61" t="s">
        <v>1577</v>
      </c>
      <c r="D762" s="61" t="s">
        <v>1578</v>
      </c>
      <c r="E762" s="61" t="s">
        <v>1579</v>
      </c>
      <c r="F762" s="61" t="s">
        <v>1580</v>
      </c>
    </row>
    <row r="763" spans="1:6">
      <c r="A763" s="38">
        <v>43384</v>
      </c>
      <c r="B763" s="61"/>
      <c r="C763" s="61" t="s">
        <v>1581</v>
      </c>
      <c r="D763" s="61" t="s">
        <v>1582</v>
      </c>
      <c r="E763" s="61" t="s">
        <v>1583</v>
      </c>
      <c r="F763" s="61" t="s">
        <v>1584</v>
      </c>
    </row>
    <row r="764" spans="1:6">
      <c r="A764" s="38">
        <v>44172</v>
      </c>
      <c r="B764" s="78"/>
      <c r="C764" s="78" t="s">
        <v>1585</v>
      </c>
      <c r="D764" s="78"/>
      <c r="E764" s="53" t="s">
        <v>1586</v>
      </c>
      <c r="F764" s="53" t="s">
        <v>1587</v>
      </c>
    </row>
    <row r="765" spans="1:6">
      <c r="A765" s="38">
        <v>43985</v>
      </c>
      <c r="B765" s="87"/>
      <c r="C765" s="87" t="s">
        <v>1588</v>
      </c>
      <c r="D765" s="87"/>
      <c r="E765" s="79" t="s">
        <v>1589</v>
      </c>
      <c r="F765" s="79" t="s">
        <v>1590</v>
      </c>
    </row>
    <row r="766" spans="1:6">
      <c r="A766" s="39">
        <v>44512</v>
      </c>
      <c r="B766" s="27"/>
      <c r="C766" s="27" t="s">
        <v>5976</v>
      </c>
      <c r="D766" s="27"/>
      <c r="E766" s="58" t="s">
        <v>5977</v>
      </c>
      <c r="F766" s="58" t="s">
        <v>5978</v>
      </c>
    </row>
    <row r="767" spans="1:6">
      <c r="A767" s="38">
        <v>43725</v>
      </c>
      <c r="B767" s="61"/>
      <c r="C767" s="61" t="s">
        <v>1591</v>
      </c>
      <c r="D767" s="61"/>
      <c r="E767" s="60" t="s">
        <v>1592</v>
      </c>
      <c r="F767" s="61" t="s">
        <v>1593</v>
      </c>
    </row>
    <row r="768" spans="1:6">
      <c r="A768" s="38">
        <v>43868</v>
      </c>
      <c r="B768" s="78"/>
      <c r="C768" s="78" t="s">
        <v>1594</v>
      </c>
      <c r="D768" s="78"/>
      <c r="E768" s="78" t="s">
        <v>1595</v>
      </c>
      <c r="F768" s="78" t="s">
        <v>1596</v>
      </c>
    </row>
    <row r="769" spans="1:6">
      <c r="A769" s="38">
        <v>43719</v>
      </c>
      <c r="B769" s="87"/>
      <c r="C769" s="87" t="s">
        <v>1597</v>
      </c>
      <c r="D769" s="87"/>
      <c r="E769" s="87" t="s">
        <v>1598</v>
      </c>
      <c r="F769" s="87" t="s">
        <v>1599</v>
      </c>
    </row>
    <row r="770" spans="1:6">
      <c r="A770" s="39">
        <v>44512</v>
      </c>
      <c r="B770" s="27"/>
      <c r="C770" s="27" t="s">
        <v>6030</v>
      </c>
      <c r="D770" s="27"/>
      <c r="E770" s="27" t="s">
        <v>6031</v>
      </c>
      <c r="F770" s="27" t="s">
        <v>6032</v>
      </c>
    </row>
    <row r="771" spans="1:6">
      <c r="A771" s="38">
        <v>43815</v>
      </c>
      <c r="B771" s="87"/>
      <c r="C771" s="87" t="s">
        <v>1600</v>
      </c>
      <c r="D771" s="87"/>
      <c r="E771" s="87" t="s">
        <v>1601</v>
      </c>
      <c r="F771" s="87" t="s">
        <v>1602</v>
      </c>
    </row>
    <row r="772" spans="1:6">
      <c r="A772" s="39">
        <v>44301</v>
      </c>
      <c r="B772" s="27">
        <v>1</v>
      </c>
      <c r="C772" s="27" t="s">
        <v>5633</v>
      </c>
      <c r="D772" s="27"/>
      <c r="E772" s="27" t="s">
        <v>5634</v>
      </c>
      <c r="F772" s="27" t="s">
        <v>5635</v>
      </c>
    </row>
    <row r="773" spans="1:6">
      <c r="A773" s="38">
        <v>44064</v>
      </c>
      <c r="B773" s="61"/>
      <c r="C773" s="61" t="s">
        <v>1603</v>
      </c>
      <c r="D773" s="61"/>
      <c r="E773" s="61" t="s">
        <v>1604</v>
      </c>
      <c r="F773" s="61" t="s">
        <v>1605</v>
      </c>
    </row>
    <row r="774" spans="1:6">
      <c r="A774" s="38">
        <v>44005</v>
      </c>
      <c r="B774" s="79"/>
      <c r="C774" s="79" t="s">
        <v>1606</v>
      </c>
      <c r="D774" s="79"/>
      <c r="E774" s="79" t="s">
        <v>1607</v>
      </c>
      <c r="F774" s="79" t="s">
        <v>1608</v>
      </c>
    </row>
    <row r="775" spans="1:6">
      <c r="A775" s="38">
        <v>43530</v>
      </c>
      <c r="B775" s="79"/>
      <c r="C775" s="79" t="s">
        <v>1609</v>
      </c>
      <c r="D775" s="79"/>
      <c r="E775" s="79" t="s">
        <v>1610</v>
      </c>
      <c r="F775" s="79" t="s">
        <v>1611</v>
      </c>
    </row>
    <row r="776" spans="1:6">
      <c r="A776" s="38">
        <v>43815</v>
      </c>
      <c r="B776" s="53"/>
      <c r="C776" s="53" t="s">
        <v>1612</v>
      </c>
      <c r="D776" s="53"/>
      <c r="E776" s="53" t="s">
        <v>1613</v>
      </c>
      <c r="F776" s="53" t="s">
        <v>1614</v>
      </c>
    </row>
    <row r="777" spans="1:6">
      <c r="A777" s="38">
        <v>44082</v>
      </c>
      <c r="B777" s="53"/>
      <c r="C777" s="53" t="s">
        <v>1615</v>
      </c>
      <c r="D777" s="53"/>
      <c r="E777" s="53" t="s">
        <v>1616</v>
      </c>
      <c r="F777" s="53" t="s">
        <v>1617</v>
      </c>
    </row>
    <row r="778" spans="1:6">
      <c r="A778" s="38">
        <v>43815</v>
      </c>
      <c r="B778" s="53"/>
      <c r="C778" s="53" t="s">
        <v>1618</v>
      </c>
      <c r="D778" s="53"/>
      <c r="E778" s="53" t="s">
        <v>1619</v>
      </c>
      <c r="F778" s="53" t="s">
        <v>1620</v>
      </c>
    </row>
    <row r="779" spans="1:6">
      <c r="A779" s="38">
        <v>43462</v>
      </c>
      <c r="B779" s="53"/>
      <c r="C779" s="53" t="s">
        <v>1621</v>
      </c>
      <c r="D779" s="53"/>
      <c r="E779" s="53" t="s">
        <v>1622</v>
      </c>
      <c r="F779" s="53" t="s">
        <v>1623</v>
      </c>
    </row>
    <row r="780" spans="1:6">
      <c r="A780" s="38">
        <v>43965</v>
      </c>
      <c r="B780" s="53"/>
      <c r="C780" s="53" t="s">
        <v>1624</v>
      </c>
      <c r="D780" s="53"/>
      <c r="E780" s="53" t="s">
        <v>1625</v>
      </c>
      <c r="F780" s="53" t="s">
        <v>1626</v>
      </c>
    </row>
    <row r="781" spans="1:6">
      <c r="A781" s="38">
        <v>43647</v>
      </c>
      <c r="B781" s="79"/>
      <c r="C781" s="79" t="s">
        <v>1627</v>
      </c>
      <c r="D781" s="79" t="s">
        <v>1628</v>
      </c>
      <c r="E781" s="79" t="s">
        <v>1627</v>
      </c>
      <c r="F781" s="79" t="s">
        <v>1629</v>
      </c>
    </row>
    <row r="782" spans="1:6">
      <c r="A782" s="38">
        <v>44230</v>
      </c>
      <c r="B782" s="87"/>
      <c r="C782" s="87" t="s">
        <v>1628</v>
      </c>
      <c r="D782" s="87" t="s">
        <v>5473</v>
      </c>
      <c r="E782" s="87" t="s">
        <v>1628</v>
      </c>
      <c r="F782" s="87" t="s">
        <v>1629</v>
      </c>
    </row>
    <row r="783" spans="1:6">
      <c r="A783" s="39">
        <v>44236</v>
      </c>
      <c r="B783" s="27"/>
      <c r="C783" s="27" t="s">
        <v>5503</v>
      </c>
      <c r="D783" s="27"/>
      <c r="E783" s="27" t="s">
        <v>5504</v>
      </c>
      <c r="F783" s="27" t="s">
        <v>5505</v>
      </c>
    </row>
    <row r="784" spans="1:6">
      <c r="A784" s="39">
        <v>44510</v>
      </c>
      <c r="B784" s="27"/>
      <c r="C784" s="27" t="s">
        <v>5903</v>
      </c>
      <c r="D784" s="27"/>
      <c r="E784" s="27" t="s">
        <v>5904</v>
      </c>
      <c r="F784" s="27" t="s">
        <v>4788</v>
      </c>
    </row>
    <row r="785" spans="1:6">
      <c r="A785" s="39">
        <v>44199</v>
      </c>
      <c r="B785" s="27"/>
      <c r="C785" s="27" t="s">
        <v>4600</v>
      </c>
      <c r="D785" s="27"/>
      <c r="E785" s="27" t="s">
        <v>4787</v>
      </c>
      <c r="F785" s="27" t="s">
        <v>4788</v>
      </c>
    </row>
    <row r="786" spans="1:6">
      <c r="A786" s="38">
        <v>43384</v>
      </c>
      <c r="B786" s="79"/>
      <c r="C786" s="79" t="s">
        <v>1630</v>
      </c>
      <c r="D786" s="79"/>
      <c r="E786" s="79" t="s">
        <v>1631</v>
      </c>
      <c r="F786" s="79" t="s">
        <v>1632</v>
      </c>
    </row>
    <row r="787" spans="1:6">
      <c r="A787" s="38">
        <v>43893</v>
      </c>
      <c r="B787" s="61"/>
      <c r="C787" s="61" t="s">
        <v>1633</v>
      </c>
      <c r="D787" s="61"/>
      <c r="E787" s="61" t="s">
        <v>1634</v>
      </c>
      <c r="F787" s="61" t="s">
        <v>1635</v>
      </c>
    </row>
    <row r="788" spans="1:6">
      <c r="A788" s="38">
        <v>44054</v>
      </c>
      <c r="B788" s="79"/>
      <c r="C788" s="79" t="s">
        <v>1636</v>
      </c>
      <c r="D788" s="79"/>
      <c r="E788" s="79" t="s">
        <v>1637</v>
      </c>
      <c r="F788" s="79" t="s">
        <v>1638</v>
      </c>
    </row>
    <row r="789" spans="1:6">
      <c r="A789" s="38">
        <v>43472</v>
      </c>
      <c r="B789" s="53"/>
      <c r="C789" s="53" t="s">
        <v>1639</v>
      </c>
      <c r="D789" s="53"/>
      <c r="E789" s="53" t="s">
        <v>1640</v>
      </c>
      <c r="F789" s="53" t="s">
        <v>1641</v>
      </c>
    </row>
    <row r="790" spans="1:6">
      <c r="A790" s="38">
        <v>43391</v>
      </c>
      <c r="B790" s="53"/>
      <c r="C790" s="53" t="s">
        <v>1642</v>
      </c>
      <c r="D790" s="53"/>
      <c r="E790" s="53" t="s">
        <v>1643</v>
      </c>
      <c r="F790" s="53" t="s">
        <v>1644</v>
      </c>
    </row>
    <row r="791" spans="1:6">
      <c r="A791" s="38">
        <v>43725</v>
      </c>
      <c r="B791" s="53"/>
      <c r="C791" s="53" t="s">
        <v>1645</v>
      </c>
      <c r="D791" s="53"/>
      <c r="E791" s="53" t="s">
        <v>1646</v>
      </c>
      <c r="F791" s="53" t="s">
        <v>1647</v>
      </c>
    </row>
    <row r="792" spans="1:6">
      <c r="A792" s="38">
        <v>44172</v>
      </c>
      <c r="B792" s="53"/>
      <c r="C792" s="53" t="s">
        <v>1648</v>
      </c>
      <c r="D792" s="53"/>
      <c r="E792" s="53" t="s">
        <v>1649</v>
      </c>
      <c r="F792" s="53" t="s">
        <v>1650</v>
      </c>
    </row>
    <row r="793" spans="1:6">
      <c r="A793" s="38">
        <v>43530</v>
      </c>
      <c r="B793" s="53"/>
      <c r="C793" s="53" t="s">
        <v>1651</v>
      </c>
      <c r="D793" s="53"/>
      <c r="E793" s="53" t="s">
        <v>1652</v>
      </c>
      <c r="F793" s="53" t="s">
        <v>1653</v>
      </c>
    </row>
    <row r="794" spans="1:6">
      <c r="A794" s="38">
        <v>43469</v>
      </c>
      <c r="B794" s="62"/>
      <c r="C794" s="62" t="s">
        <v>1654</v>
      </c>
      <c r="D794" s="62"/>
      <c r="E794" s="62" t="s">
        <v>1655</v>
      </c>
      <c r="F794" s="62" t="s">
        <v>1656</v>
      </c>
    </row>
    <row r="795" spans="1:6">
      <c r="A795" s="38">
        <v>43719</v>
      </c>
      <c r="B795" s="61"/>
      <c r="C795" s="61" t="s">
        <v>1657</v>
      </c>
      <c r="D795" s="61"/>
      <c r="E795" s="61" t="s">
        <v>1658</v>
      </c>
      <c r="F795" s="61" t="s">
        <v>1656</v>
      </c>
    </row>
    <row r="796" spans="1:6">
      <c r="A796" s="38">
        <v>44120</v>
      </c>
      <c r="B796" s="61"/>
      <c r="C796" s="61" t="s">
        <v>1659</v>
      </c>
      <c r="D796" s="61"/>
      <c r="E796" s="61" t="s">
        <v>1660</v>
      </c>
      <c r="F796" s="61" t="s">
        <v>1661</v>
      </c>
    </row>
    <row r="797" spans="1:6">
      <c r="A797" s="38">
        <v>43720</v>
      </c>
      <c r="B797" s="61"/>
      <c r="C797" s="61" t="s">
        <v>1662</v>
      </c>
      <c r="D797" s="61"/>
      <c r="E797" s="61" t="s">
        <v>1663</v>
      </c>
      <c r="F797" s="61" t="s">
        <v>1664</v>
      </c>
    </row>
    <row r="798" spans="1:6">
      <c r="A798" s="38">
        <v>44040</v>
      </c>
      <c r="B798" s="61"/>
      <c r="C798" s="61" t="s">
        <v>1665</v>
      </c>
      <c r="D798" s="61"/>
      <c r="E798" s="61" t="s">
        <v>1666</v>
      </c>
      <c r="F798" s="61" t="s">
        <v>1667</v>
      </c>
    </row>
    <row r="799" spans="1:6">
      <c r="A799" s="38">
        <v>43481</v>
      </c>
      <c r="B799" s="53"/>
      <c r="C799" s="53" t="s">
        <v>1668</v>
      </c>
      <c r="D799" s="53"/>
      <c r="E799" s="53" t="s">
        <v>1669</v>
      </c>
      <c r="F799" s="53" t="s">
        <v>1670</v>
      </c>
    </row>
    <row r="800" spans="1:6">
      <c r="A800" s="38">
        <v>43480</v>
      </c>
      <c r="B800" s="53"/>
      <c r="C800" s="53" t="s">
        <v>1671</v>
      </c>
      <c r="D800" s="53"/>
      <c r="E800" s="53" t="s">
        <v>1672</v>
      </c>
      <c r="F800" s="53" t="s">
        <v>1673</v>
      </c>
    </row>
    <row r="801" spans="1:6">
      <c r="A801" s="38">
        <v>43563</v>
      </c>
      <c r="B801" s="79"/>
      <c r="C801" s="79" t="s">
        <v>1674</v>
      </c>
      <c r="D801" s="79"/>
      <c r="E801" s="79" t="s">
        <v>1675</v>
      </c>
      <c r="F801" s="79" t="s">
        <v>1676</v>
      </c>
    </row>
    <row r="802" spans="1:6">
      <c r="A802" s="38">
        <v>43630</v>
      </c>
      <c r="B802" s="79"/>
      <c r="C802" s="79" t="s">
        <v>1677</v>
      </c>
      <c r="D802" s="79"/>
      <c r="E802" s="79" t="s">
        <v>1678</v>
      </c>
      <c r="F802" s="79" t="s">
        <v>1679</v>
      </c>
    </row>
    <row r="803" spans="1:6">
      <c r="A803" s="38">
        <v>43592</v>
      </c>
      <c r="B803" s="53"/>
      <c r="C803" s="53" t="s">
        <v>1680</v>
      </c>
      <c r="D803" s="53"/>
      <c r="E803" s="53" t="s">
        <v>1681</v>
      </c>
      <c r="F803" s="53" t="s">
        <v>1682</v>
      </c>
    </row>
    <row r="804" spans="1:6">
      <c r="A804" s="38">
        <v>44140</v>
      </c>
      <c r="B804" s="53"/>
      <c r="C804" s="53" t="s">
        <v>1683</v>
      </c>
      <c r="D804" s="53"/>
      <c r="E804" s="53" t="s">
        <v>1684</v>
      </c>
      <c r="F804" s="53" t="s">
        <v>1685</v>
      </c>
    </row>
    <row r="805" spans="1:6">
      <c r="A805" s="38">
        <v>43754</v>
      </c>
      <c r="B805" s="53"/>
      <c r="C805" s="53" t="s">
        <v>1686</v>
      </c>
      <c r="D805" s="53"/>
      <c r="E805" s="53" t="s">
        <v>1687</v>
      </c>
      <c r="F805" s="53" t="s">
        <v>1688</v>
      </c>
    </row>
    <row r="806" spans="1:6">
      <c r="A806" s="38">
        <v>44055</v>
      </c>
      <c r="B806" s="53"/>
      <c r="C806" s="53" t="s">
        <v>1689</v>
      </c>
      <c r="D806" s="53"/>
      <c r="E806" s="53" t="s">
        <v>1690</v>
      </c>
      <c r="F806" s="53" t="s">
        <v>1691</v>
      </c>
    </row>
    <row r="807" spans="1:6">
      <c r="A807" s="38">
        <v>43592</v>
      </c>
      <c r="B807" s="53"/>
      <c r="C807" s="53" t="s">
        <v>1692</v>
      </c>
      <c r="D807" s="53"/>
      <c r="E807" s="53" t="s">
        <v>1693</v>
      </c>
      <c r="F807" s="53" t="s">
        <v>1694</v>
      </c>
    </row>
    <row r="808" spans="1:6">
      <c r="A808" s="38">
        <v>44169</v>
      </c>
      <c r="B808" s="78"/>
      <c r="C808" s="78" t="s">
        <v>1695</v>
      </c>
      <c r="D808" s="78"/>
      <c r="E808" s="78" t="s">
        <v>1696</v>
      </c>
      <c r="F808" s="78" t="s">
        <v>1697</v>
      </c>
    </row>
    <row r="809" spans="1:6">
      <c r="A809" s="38">
        <v>43864</v>
      </c>
      <c r="B809" s="87"/>
      <c r="C809" s="87" t="s">
        <v>1698</v>
      </c>
      <c r="D809" s="87"/>
      <c r="E809" s="87" t="s">
        <v>1699</v>
      </c>
      <c r="F809" s="87" t="s">
        <v>1700</v>
      </c>
    </row>
    <row r="810" spans="1:6">
      <c r="A810" s="39">
        <v>44301</v>
      </c>
      <c r="B810" s="27">
        <v>1</v>
      </c>
      <c r="C810" s="27" t="s">
        <v>5636</v>
      </c>
      <c r="D810" s="27"/>
      <c r="E810" s="27" t="s">
        <v>5637</v>
      </c>
      <c r="F810" s="27" t="s">
        <v>5638</v>
      </c>
    </row>
    <row r="811" spans="1:6">
      <c r="A811" s="38">
        <v>43461</v>
      </c>
      <c r="B811" s="79"/>
      <c r="C811" s="79" t="s">
        <v>1701</v>
      </c>
      <c r="D811" s="79"/>
      <c r="E811" s="79" t="s">
        <v>1702</v>
      </c>
      <c r="F811" s="79" t="s">
        <v>1703</v>
      </c>
    </row>
    <row r="812" spans="1:6">
      <c r="A812" s="38">
        <v>43634</v>
      </c>
      <c r="B812" s="79"/>
      <c r="C812" s="79" t="s">
        <v>1704</v>
      </c>
      <c r="D812" s="79" t="s">
        <v>1705</v>
      </c>
      <c r="E812" s="79" t="s">
        <v>1706</v>
      </c>
      <c r="F812" s="79" t="s">
        <v>1707</v>
      </c>
    </row>
    <row r="813" spans="1:6">
      <c r="A813" s="38">
        <v>44159</v>
      </c>
      <c r="B813" s="61"/>
      <c r="C813" s="61" t="s">
        <v>1708</v>
      </c>
      <c r="D813" s="61"/>
      <c r="E813" s="61" t="s">
        <v>1709</v>
      </c>
      <c r="F813" s="61" t="s">
        <v>1710</v>
      </c>
    </row>
    <row r="814" spans="1:6">
      <c r="A814" s="38">
        <v>44063</v>
      </c>
      <c r="B814" s="53"/>
      <c r="C814" s="53" t="s">
        <v>1711</v>
      </c>
      <c r="D814" s="53"/>
      <c r="E814" s="53" t="s">
        <v>1712</v>
      </c>
      <c r="F814" s="53" t="s">
        <v>1713</v>
      </c>
    </row>
    <row r="815" spans="1:6">
      <c r="A815" s="38">
        <v>43644</v>
      </c>
      <c r="B815" s="79"/>
      <c r="C815" s="79" t="s">
        <v>1714</v>
      </c>
      <c r="D815" s="79"/>
      <c r="E815" s="79" t="s">
        <v>1715</v>
      </c>
      <c r="F815" s="79" t="s">
        <v>1716</v>
      </c>
    </row>
    <row r="816" spans="1:6">
      <c r="A816" s="38">
        <v>44070</v>
      </c>
      <c r="B816" s="78"/>
      <c r="C816" s="78" t="s">
        <v>1717</v>
      </c>
      <c r="D816" s="78"/>
      <c r="E816" s="78" t="s">
        <v>1718</v>
      </c>
      <c r="F816" s="78" t="s">
        <v>1719</v>
      </c>
    </row>
    <row r="817" spans="1:6">
      <c r="A817" s="38">
        <v>44004</v>
      </c>
      <c r="B817" s="87"/>
      <c r="C817" s="87" t="s">
        <v>1720</v>
      </c>
      <c r="D817" s="87" t="s">
        <v>1721</v>
      </c>
      <c r="E817" s="87" t="s">
        <v>1722</v>
      </c>
      <c r="F817" s="87" t="s">
        <v>1723</v>
      </c>
    </row>
    <row r="818" spans="1:6">
      <c r="A818" s="39">
        <v>44199</v>
      </c>
      <c r="B818" s="27"/>
      <c r="C818" s="27" t="s">
        <v>4601</v>
      </c>
      <c r="D818" s="27"/>
      <c r="E818" s="27" t="s">
        <v>4789</v>
      </c>
      <c r="F818" s="27" t="s">
        <v>1760</v>
      </c>
    </row>
    <row r="819" spans="1:6">
      <c r="A819" s="38">
        <v>44081</v>
      </c>
      <c r="B819" s="87"/>
      <c r="C819" s="87" t="s">
        <v>1724</v>
      </c>
      <c r="D819" s="87"/>
      <c r="E819" s="87" t="s">
        <v>1725</v>
      </c>
      <c r="F819" s="87" t="s">
        <v>1726</v>
      </c>
    </row>
    <row r="820" spans="1:6">
      <c r="A820" s="39">
        <v>44200</v>
      </c>
      <c r="B820" s="27"/>
      <c r="C820" s="27" t="s">
        <v>5040</v>
      </c>
      <c r="D820" s="27"/>
      <c r="E820" s="27" t="s">
        <v>5040</v>
      </c>
      <c r="F820" s="27" t="s">
        <v>5375</v>
      </c>
    </row>
    <row r="821" spans="1:6">
      <c r="A821" s="38">
        <v>44055</v>
      </c>
      <c r="B821" s="61"/>
      <c r="C821" s="61" t="s">
        <v>1727</v>
      </c>
      <c r="D821" s="61"/>
      <c r="E821" s="61" t="s">
        <v>1727</v>
      </c>
      <c r="F821" s="61" t="s">
        <v>1728</v>
      </c>
    </row>
    <row r="822" spans="1:6">
      <c r="A822" s="38">
        <v>44082</v>
      </c>
      <c r="B822" s="61"/>
      <c r="C822" s="61" t="s">
        <v>1729</v>
      </c>
      <c r="D822" s="61"/>
      <c r="E822" s="61" t="s">
        <v>1729</v>
      </c>
      <c r="F822" s="61" t="s">
        <v>1729</v>
      </c>
    </row>
    <row r="823" spans="1:6">
      <c r="A823" s="38">
        <v>44013</v>
      </c>
      <c r="B823" s="78"/>
      <c r="C823" s="78" t="s">
        <v>1730</v>
      </c>
      <c r="D823" s="78"/>
      <c r="E823" s="78" t="s">
        <v>1731</v>
      </c>
      <c r="F823" s="78" t="s">
        <v>1732</v>
      </c>
    </row>
    <row r="824" spans="1:6">
      <c r="A824" s="38">
        <v>44013</v>
      </c>
      <c r="B824" s="87"/>
      <c r="C824" s="87" t="s">
        <v>1733</v>
      </c>
      <c r="D824" s="87"/>
      <c r="E824" s="87" t="s">
        <v>1734</v>
      </c>
      <c r="F824" s="87" t="s">
        <v>1735</v>
      </c>
    </row>
    <row r="825" spans="1:6">
      <c r="A825" s="39">
        <v>44199</v>
      </c>
      <c r="B825" s="27"/>
      <c r="C825" s="27" t="s">
        <v>4602</v>
      </c>
      <c r="D825" s="27"/>
      <c r="E825" s="27" t="s">
        <v>4790</v>
      </c>
      <c r="F825" s="27" t="s">
        <v>4791</v>
      </c>
    </row>
    <row r="826" spans="1:6">
      <c r="A826" s="39">
        <v>44199</v>
      </c>
      <c r="B826" s="27"/>
      <c r="C826" s="27" t="s">
        <v>4603</v>
      </c>
      <c r="D826" s="27"/>
      <c r="E826" s="27" t="s">
        <v>4603</v>
      </c>
      <c r="F826" s="27" t="s">
        <v>4792</v>
      </c>
    </row>
    <row r="827" spans="1:6">
      <c r="A827" s="38">
        <v>44082</v>
      </c>
      <c r="B827" s="87"/>
      <c r="C827" s="87" t="s">
        <v>1736</v>
      </c>
      <c r="D827" s="87"/>
      <c r="E827" s="87" t="s">
        <v>1736</v>
      </c>
      <c r="F827" s="87" t="s">
        <v>1736</v>
      </c>
    </row>
    <row r="828" spans="1:6">
      <c r="A828" s="39">
        <v>44512</v>
      </c>
      <c r="B828" s="27"/>
      <c r="C828" s="27" t="s">
        <v>5961</v>
      </c>
      <c r="D828" s="27"/>
      <c r="E828" s="27" t="s">
        <v>5962</v>
      </c>
      <c r="F828" s="27" t="s">
        <v>5963</v>
      </c>
    </row>
    <row r="829" spans="1:6">
      <c r="A829" s="38">
        <v>43612</v>
      </c>
      <c r="B829" s="61"/>
      <c r="C829" s="61" t="s">
        <v>1737</v>
      </c>
      <c r="D829" s="61"/>
      <c r="E829" s="61" t="s">
        <v>1737</v>
      </c>
      <c r="F829" s="61" t="s">
        <v>1738</v>
      </c>
    </row>
    <row r="830" spans="1:6">
      <c r="A830" s="38">
        <v>44173</v>
      </c>
      <c r="B830" s="61"/>
      <c r="C830" s="61" t="s">
        <v>1739</v>
      </c>
      <c r="D830" s="61"/>
      <c r="E830" s="61" t="s">
        <v>1740</v>
      </c>
      <c r="F830" s="61" t="s">
        <v>1741</v>
      </c>
    </row>
    <row r="831" spans="1:6">
      <c r="A831" s="38">
        <v>43741</v>
      </c>
      <c r="B831" s="79"/>
      <c r="C831" s="79" t="s">
        <v>1742</v>
      </c>
      <c r="D831" s="79"/>
      <c r="E831" s="79" t="s">
        <v>1743</v>
      </c>
      <c r="F831" s="79" t="s">
        <v>1741</v>
      </c>
    </row>
    <row r="832" spans="1:6">
      <c r="A832" s="38">
        <v>43384</v>
      </c>
      <c r="B832" s="53"/>
      <c r="C832" s="53" t="s">
        <v>1744</v>
      </c>
      <c r="D832" s="53"/>
      <c r="E832" s="53" t="s">
        <v>1745</v>
      </c>
      <c r="F832" s="53" t="s">
        <v>1746</v>
      </c>
    </row>
    <row r="833" spans="1:6">
      <c r="A833" s="38">
        <v>43384</v>
      </c>
      <c r="B833" s="79"/>
      <c r="C833" s="79" t="s">
        <v>1748</v>
      </c>
      <c r="D833" s="79"/>
      <c r="E833" s="79" t="s">
        <v>1749</v>
      </c>
      <c r="F833" s="79" t="s">
        <v>1750</v>
      </c>
    </row>
    <row r="834" spans="1:6">
      <c r="A834" s="38">
        <v>43636</v>
      </c>
      <c r="B834" s="79"/>
      <c r="C834" s="79" t="s">
        <v>1751</v>
      </c>
      <c r="D834" s="79"/>
      <c r="E834" s="79" t="s">
        <v>1752</v>
      </c>
      <c r="F834" s="79" t="s">
        <v>1753</v>
      </c>
    </row>
    <row r="835" spans="1:6">
      <c r="A835" s="38">
        <v>43360</v>
      </c>
      <c r="B835" s="79"/>
      <c r="C835" s="79" t="s">
        <v>1754</v>
      </c>
      <c r="D835" s="79" t="e">
        <f>PROPER([1]!ObjGes[[#This Row],[Nom EN]])</f>
        <v>#REF!</v>
      </c>
      <c r="E835" s="79" t="s">
        <v>1755</v>
      </c>
      <c r="F835" s="79" t="s">
        <v>1756</v>
      </c>
    </row>
    <row r="836" spans="1:6">
      <c r="A836" s="38">
        <v>43344</v>
      </c>
      <c r="B836" s="53"/>
      <c r="C836" s="53" t="s">
        <v>1757</v>
      </c>
      <c r="D836" s="53"/>
      <c r="E836" s="53" t="s">
        <v>1758</v>
      </c>
      <c r="F836" s="53" t="s">
        <v>1759</v>
      </c>
    </row>
    <row r="837" spans="1:6">
      <c r="A837" s="38">
        <v>43662</v>
      </c>
      <c r="B837" s="53"/>
      <c r="C837" s="53" t="s">
        <v>1760</v>
      </c>
      <c r="D837" s="53" t="s">
        <v>1761</v>
      </c>
      <c r="E837" s="53" t="s">
        <v>1762</v>
      </c>
      <c r="F837" s="53" t="s">
        <v>1763</v>
      </c>
    </row>
    <row r="838" spans="1:6">
      <c r="A838" s="38">
        <v>43725</v>
      </c>
      <c r="B838" s="53"/>
      <c r="C838" s="53" t="s">
        <v>1764</v>
      </c>
      <c r="D838" s="53"/>
      <c r="E838" s="53" t="s">
        <v>1764</v>
      </c>
      <c r="F838" s="53" t="s">
        <v>1765</v>
      </c>
    </row>
    <row r="839" spans="1:6">
      <c r="A839" s="38">
        <v>43384</v>
      </c>
      <c r="B839" s="53"/>
      <c r="C839" s="53" t="s">
        <v>1766</v>
      </c>
      <c r="D839" s="53"/>
      <c r="E839" s="53" t="s">
        <v>1767</v>
      </c>
      <c r="F839" s="53" t="s">
        <v>1768</v>
      </c>
    </row>
    <row r="840" spans="1:6">
      <c r="A840" s="38">
        <v>44082</v>
      </c>
      <c r="B840" s="78"/>
      <c r="C840" s="78" t="s">
        <v>1769</v>
      </c>
      <c r="D840" s="78"/>
      <c r="E840" s="78" t="s">
        <v>1770</v>
      </c>
      <c r="F840" s="78" t="s">
        <v>1771</v>
      </c>
    </row>
    <row r="841" spans="1:6">
      <c r="A841" s="38">
        <v>43503</v>
      </c>
      <c r="B841" s="87"/>
      <c r="C841" s="87" t="s">
        <v>1772</v>
      </c>
      <c r="D841" s="87"/>
      <c r="E841" s="87" t="s">
        <v>1773</v>
      </c>
      <c r="F841" s="87" t="s">
        <v>1774</v>
      </c>
    </row>
    <row r="842" spans="1:6">
      <c r="A842" s="39">
        <v>44199</v>
      </c>
      <c r="B842" s="27"/>
      <c r="C842" s="27" t="s">
        <v>4604</v>
      </c>
      <c r="D842" s="27"/>
      <c r="E842" s="27" t="s">
        <v>4793</v>
      </c>
      <c r="F842" s="27" t="s">
        <v>4794</v>
      </c>
    </row>
    <row r="843" spans="1:6">
      <c r="A843" s="39">
        <v>44526</v>
      </c>
      <c r="B843" s="27"/>
      <c r="C843" s="27" t="s">
        <v>6152</v>
      </c>
      <c r="D843" s="27"/>
      <c r="E843" s="27" t="s">
        <v>6154</v>
      </c>
      <c r="F843" s="27" t="s">
        <v>6156</v>
      </c>
    </row>
    <row r="844" spans="1:6">
      <c r="A844" s="38">
        <v>44230</v>
      </c>
      <c r="B844" s="78"/>
      <c r="C844" s="78" t="s">
        <v>5474</v>
      </c>
      <c r="D844" s="78"/>
      <c r="E844" s="78" t="s">
        <v>5475</v>
      </c>
      <c r="F844" s="78" t="s">
        <v>5476</v>
      </c>
    </row>
    <row r="845" spans="1:6">
      <c r="A845" s="38">
        <v>43472</v>
      </c>
      <c r="B845" s="87"/>
      <c r="C845" s="87" t="s">
        <v>1775</v>
      </c>
      <c r="D845" s="87"/>
      <c r="E845" s="87" t="s">
        <v>1775</v>
      </c>
      <c r="F845" s="87" t="s">
        <v>1776</v>
      </c>
    </row>
    <row r="846" spans="1:6">
      <c r="A846" s="39">
        <v>44510</v>
      </c>
      <c r="B846" s="27"/>
      <c r="C846" s="27" t="s">
        <v>6128</v>
      </c>
      <c r="D846" s="27"/>
      <c r="E846" s="27" t="s">
        <v>6128</v>
      </c>
      <c r="F846" s="27" t="s">
        <v>6129</v>
      </c>
    </row>
    <row r="847" spans="1:6">
      <c r="A847" s="39">
        <v>44512</v>
      </c>
      <c r="B847" s="27"/>
      <c r="C847" s="27" t="s">
        <v>6010</v>
      </c>
      <c r="D847" s="27"/>
      <c r="E847" s="27" t="s">
        <v>6010</v>
      </c>
      <c r="F847" s="27" t="s">
        <v>6016</v>
      </c>
    </row>
    <row r="848" spans="1:6">
      <c r="A848" s="39">
        <v>44510</v>
      </c>
      <c r="B848" s="27"/>
      <c r="C848" s="27" t="s">
        <v>5790</v>
      </c>
      <c r="D848" s="27"/>
      <c r="E848" s="27" t="s">
        <v>5790</v>
      </c>
      <c r="F848" s="27" t="s">
        <v>6068</v>
      </c>
    </row>
    <row r="849" spans="1:6">
      <c r="A849" s="39">
        <v>44510</v>
      </c>
      <c r="B849" s="27"/>
      <c r="C849" s="27" t="s">
        <v>5788</v>
      </c>
      <c r="D849" s="27"/>
      <c r="E849" s="27" t="s">
        <v>5788</v>
      </c>
      <c r="F849" s="27" t="s">
        <v>5789</v>
      </c>
    </row>
    <row r="850" spans="1:6">
      <c r="A850" s="38">
        <v>44117</v>
      </c>
      <c r="B850" s="62"/>
      <c r="C850" s="62" t="s">
        <v>1777</v>
      </c>
      <c r="D850" s="62"/>
      <c r="E850" s="62" t="s">
        <v>1778</v>
      </c>
      <c r="F850" s="62" t="s">
        <v>1779</v>
      </c>
    </row>
    <row r="851" spans="1:6">
      <c r="A851" s="38">
        <v>43530</v>
      </c>
      <c r="B851" s="78"/>
      <c r="C851" s="78" t="s">
        <v>1780</v>
      </c>
      <c r="D851" s="78"/>
      <c r="E851" s="78" t="s">
        <v>1781</v>
      </c>
      <c r="F851" s="78" t="s">
        <v>1782</v>
      </c>
    </row>
    <row r="852" spans="1:6">
      <c r="A852" s="38">
        <v>44117</v>
      </c>
      <c r="B852" s="87"/>
      <c r="C852" s="87" t="s">
        <v>1783</v>
      </c>
      <c r="D852" s="87"/>
      <c r="E852" s="87" t="s">
        <v>1784</v>
      </c>
      <c r="F852" s="87" t="s">
        <v>1785</v>
      </c>
    </row>
    <row r="853" spans="1:6">
      <c r="A853" s="39">
        <v>44200</v>
      </c>
      <c r="B853" s="27"/>
      <c r="C853" s="27" t="s">
        <v>5041</v>
      </c>
      <c r="D853" s="27"/>
      <c r="E853" s="27" t="s">
        <v>5210</v>
      </c>
      <c r="F853" s="27" t="s">
        <v>5376</v>
      </c>
    </row>
    <row r="854" spans="1:6">
      <c r="A854" s="38">
        <v>44005</v>
      </c>
      <c r="B854" s="61"/>
      <c r="C854" s="61" t="s">
        <v>1786</v>
      </c>
      <c r="D854" s="61"/>
      <c r="E854" s="61" t="s">
        <v>1787</v>
      </c>
      <c r="F854" s="61" t="s">
        <v>1788</v>
      </c>
    </row>
    <row r="855" spans="1:6">
      <c r="A855" s="38">
        <v>44019</v>
      </c>
      <c r="B855" s="62"/>
      <c r="C855" s="62" t="s">
        <v>1789</v>
      </c>
      <c r="D855" s="62"/>
      <c r="E855" s="62" t="s">
        <v>1790</v>
      </c>
      <c r="F855" s="62" t="s">
        <v>1791</v>
      </c>
    </row>
    <row r="856" spans="1:6">
      <c r="A856" s="38">
        <v>43637</v>
      </c>
      <c r="B856" s="78"/>
      <c r="C856" s="78" t="s">
        <v>1792</v>
      </c>
      <c r="D856" s="78"/>
      <c r="E856" s="78" t="s">
        <v>1792</v>
      </c>
      <c r="F856" s="78" t="s">
        <v>1793</v>
      </c>
    </row>
    <row r="857" spans="1:6">
      <c r="A857" s="38">
        <v>43760</v>
      </c>
      <c r="B857" s="87"/>
      <c r="C857" s="87" t="s">
        <v>1794</v>
      </c>
      <c r="D857" s="87"/>
      <c r="E857" s="87" t="s">
        <v>1795</v>
      </c>
      <c r="F857" s="87" t="s">
        <v>1796</v>
      </c>
    </row>
    <row r="858" spans="1:6">
      <c r="A858" s="39">
        <v>44199</v>
      </c>
      <c r="B858" s="27"/>
      <c r="C858" s="27" t="s">
        <v>4605</v>
      </c>
      <c r="D858" s="27"/>
      <c r="E858" s="27" t="s">
        <v>4795</v>
      </c>
      <c r="F858" s="27" t="s">
        <v>4796</v>
      </c>
    </row>
    <row r="859" spans="1:6">
      <c r="A859" s="38">
        <v>43725</v>
      </c>
      <c r="B859" s="79"/>
      <c r="C859" s="79" t="s">
        <v>1797</v>
      </c>
      <c r="D859" s="79" t="s">
        <v>1798</v>
      </c>
      <c r="E859" s="79" t="s">
        <v>1799</v>
      </c>
      <c r="F859" s="79" t="s">
        <v>1800</v>
      </c>
    </row>
    <row r="860" spans="1:6">
      <c r="A860" s="38">
        <v>43724</v>
      </c>
      <c r="B860" s="79"/>
      <c r="C860" s="79" t="s">
        <v>1801</v>
      </c>
      <c r="D860" s="79"/>
      <c r="E860" s="79" t="s">
        <v>1802</v>
      </c>
      <c r="F860" s="79" t="s">
        <v>1803</v>
      </c>
    </row>
    <row r="861" spans="1:6">
      <c r="A861" s="38">
        <v>43725</v>
      </c>
      <c r="B861" s="87"/>
      <c r="C861" s="87" t="s">
        <v>1805</v>
      </c>
      <c r="D861" s="87" t="s">
        <v>1806</v>
      </c>
      <c r="E861" s="87" t="s">
        <v>1807</v>
      </c>
      <c r="F861" s="87" t="s">
        <v>1808</v>
      </c>
    </row>
    <row r="862" spans="1:6">
      <c r="A862" s="39">
        <v>44301</v>
      </c>
      <c r="B862" s="27">
        <v>2</v>
      </c>
      <c r="C862" s="27" t="s">
        <v>5639</v>
      </c>
      <c r="D862" s="27"/>
      <c r="E862" s="27" t="s">
        <v>5640</v>
      </c>
      <c r="F862" s="27" t="s">
        <v>5641</v>
      </c>
    </row>
    <row r="863" spans="1:6">
      <c r="A863" s="38">
        <v>43636</v>
      </c>
      <c r="B863" s="79"/>
      <c r="C863" s="79" t="s">
        <v>1809</v>
      </c>
      <c r="D863" s="79"/>
      <c r="E863" s="79" t="s">
        <v>1809</v>
      </c>
      <c r="F863" s="79" t="s">
        <v>1810</v>
      </c>
    </row>
    <row r="864" spans="1:6">
      <c r="B864" s="79"/>
      <c r="C864" s="79" t="s">
        <v>1811</v>
      </c>
      <c r="D864" s="79"/>
      <c r="E864" s="79" t="s">
        <v>1812</v>
      </c>
      <c r="F864" s="79" t="s">
        <v>1813</v>
      </c>
    </row>
    <row r="865" spans="1:6">
      <c r="A865" s="38">
        <v>43647</v>
      </c>
      <c r="B865" s="62"/>
      <c r="C865" s="62" t="s">
        <v>1814</v>
      </c>
      <c r="D865" s="62"/>
      <c r="E865" s="62" t="s">
        <v>1815</v>
      </c>
      <c r="F865" s="62" t="s">
        <v>1816</v>
      </c>
    </row>
    <row r="866" spans="1:6">
      <c r="A866" s="38">
        <v>43524</v>
      </c>
      <c r="B866" s="78"/>
      <c r="C866" s="78" t="s">
        <v>1817</v>
      </c>
      <c r="D866" s="78"/>
      <c r="E866" s="78" t="s">
        <v>1818</v>
      </c>
      <c r="F866" s="78" t="s">
        <v>1819</v>
      </c>
    </row>
    <row r="867" spans="1:6">
      <c r="A867" s="38">
        <v>43344</v>
      </c>
      <c r="B867" s="87"/>
      <c r="C867" s="87" t="s">
        <v>1820</v>
      </c>
      <c r="D867" s="87" t="s">
        <v>1821</v>
      </c>
      <c r="E867" s="87" t="s">
        <v>1822</v>
      </c>
      <c r="F867" s="87" t="s">
        <v>1823</v>
      </c>
    </row>
    <row r="868" spans="1:6">
      <c r="A868" s="39">
        <v>44199</v>
      </c>
      <c r="B868" s="27"/>
      <c r="C868" s="27" t="s">
        <v>4606</v>
      </c>
      <c r="D868" s="27"/>
      <c r="E868" s="27" t="s">
        <v>4797</v>
      </c>
      <c r="F868" s="27" t="s">
        <v>4798</v>
      </c>
    </row>
    <row r="869" spans="1:6">
      <c r="A869" s="38">
        <v>43700</v>
      </c>
      <c r="B869" s="79"/>
      <c r="C869" s="79" t="s">
        <v>1824</v>
      </c>
      <c r="D869" s="79" t="s">
        <v>1825</v>
      </c>
      <c r="E869" s="79" t="s">
        <v>1826</v>
      </c>
      <c r="F869" s="79" t="s">
        <v>1827</v>
      </c>
    </row>
    <row r="870" spans="1:6">
      <c r="A870" s="38">
        <v>43756</v>
      </c>
      <c r="B870" s="53"/>
      <c r="C870" s="53" t="s">
        <v>1828</v>
      </c>
      <c r="D870" s="53"/>
      <c r="E870" s="53" t="s">
        <v>1829</v>
      </c>
      <c r="F870" s="53" t="s">
        <v>1830</v>
      </c>
    </row>
    <row r="871" spans="1:6">
      <c r="A871" s="38">
        <v>43644</v>
      </c>
      <c r="B871" s="53"/>
      <c r="C871" s="53" t="s">
        <v>1831</v>
      </c>
      <c r="D871" s="53"/>
      <c r="E871" s="53" t="s">
        <v>1832</v>
      </c>
      <c r="F871" s="53" t="s">
        <v>1833</v>
      </c>
    </row>
    <row r="872" spans="1:6">
      <c r="A872" s="38">
        <v>43725</v>
      </c>
      <c r="B872" s="79"/>
      <c r="C872" s="79" t="s">
        <v>1834</v>
      </c>
      <c r="D872" s="79"/>
      <c r="E872" s="79" t="s">
        <v>1835</v>
      </c>
      <c r="F872" s="79" t="s">
        <v>1836</v>
      </c>
    </row>
    <row r="873" spans="1:6">
      <c r="A873" s="38">
        <v>43755</v>
      </c>
      <c r="B873" s="53"/>
      <c r="C873" s="53" t="s">
        <v>1837</v>
      </c>
      <c r="D873" s="53"/>
      <c r="E873" s="53" t="s">
        <v>1838</v>
      </c>
      <c r="F873" s="53" t="s">
        <v>1839</v>
      </c>
    </row>
    <row r="874" spans="1:6">
      <c r="A874" s="38">
        <v>43724</v>
      </c>
      <c r="B874" s="53"/>
      <c r="C874" s="53" t="s">
        <v>1840</v>
      </c>
      <c r="D874" s="53"/>
      <c r="E874" s="53" t="s">
        <v>1841</v>
      </c>
      <c r="F874" s="53" t="s">
        <v>1842</v>
      </c>
    </row>
    <row r="875" spans="1:6">
      <c r="A875" s="38">
        <v>44070</v>
      </c>
      <c r="B875" s="53"/>
      <c r="C875" s="53" t="s">
        <v>1843</v>
      </c>
      <c r="D875" s="53"/>
      <c r="E875" s="53" t="s">
        <v>1844</v>
      </c>
      <c r="F875" s="53" t="s">
        <v>1845</v>
      </c>
    </row>
    <row r="876" spans="1:6">
      <c r="A876" s="38">
        <v>44056</v>
      </c>
      <c r="B876" s="53"/>
      <c r="C876" s="53" t="s">
        <v>1846</v>
      </c>
      <c r="D876" s="53"/>
      <c r="E876" s="53" t="s">
        <v>1847</v>
      </c>
      <c r="F876" s="53" t="s">
        <v>1848</v>
      </c>
    </row>
    <row r="877" spans="1:6">
      <c r="A877" s="38">
        <v>43644</v>
      </c>
      <c r="B877" s="53"/>
      <c r="C877" s="53" t="s">
        <v>1849</v>
      </c>
      <c r="D877" s="53"/>
      <c r="E877" s="53" t="s">
        <v>1850</v>
      </c>
      <c r="F877" s="53" t="s">
        <v>1851</v>
      </c>
    </row>
    <row r="878" spans="1:6">
      <c r="A878" s="38">
        <v>44123</v>
      </c>
      <c r="B878" s="53"/>
      <c r="C878" s="53" t="s">
        <v>1852</v>
      </c>
      <c r="D878" s="53" t="s">
        <v>1853</v>
      </c>
      <c r="E878" s="53" t="s">
        <v>1854</v>
      </c>
      <c r="F878" s="53" t="s">
        <v>1855</v>
      </c>
    </row>
    <row r="879" spans="1:6">
      <c r="A879" s="38">
        <v>43461</v>
      </c>
      <c r="B879" s="53"/>
      <c r="C879" s="53" t="s">
        <v>1856</v>
      </c>
      <c r="D879" s="53"/>
      <c r="E879" s="53" t="s">
        <v>1857</v>
      </c>
      <c r="F879" s="53" t="s">
        <v>1858</v>
      </c>
    </row>
    <row r="880" spans="1:6">
      <c r="A880" s="38">
        <v>44012</v>
      </c>
      <c r="B880" s="53"/>
      <c r="C880" s="53" t="s">
        <v>1859</v>
      </c>
      <c r="D880" s="53"/>
      <c r="E880" s="53" t="s">
        <v>1859</v>
      </c>
      <c r="F880" s="53" t="s">
        <v>1860</v>
      </c>
    </row>
    <row r="881" spans="1:6">
      <c r="A881" s="38">
        <v>44013</v>
      </c>
      <c r="B881" s="53"/>
      <c r="C881" s="53" t="s">
        <v>1861</v>
      </c>
      <c r="D881" s="53"/>
      <c r="E881" s="53" t="s">
        <v>1862</v>
      </c>
      <c r="F881" s="53" t="s">
        <v>1863</v>
      </c>
    </row>
    <row r="882" spans="1:6">
      <c r="A882" s="38">
        <v>43740</v>
      </c>
      <c r="B882" s="53"/>
      <c r="C882" s="53" t="s">
        <v>1864</v>
      </c>
      <c r="D882" s="53"/>
      <c r="E882" s="53" t="s">
        <v>1865</v>
      </c>
      <c r="F882" s="53" t="s">
        <v>1866</v>
      </c>
    </row>
    <row r="883" spans="1:6">
      <c r="A883" s="38">
        <v>43725</v>
      </c>
      <c r="B883" s="53"/>
      <c r="C883" s="53" t="s">
        <v>1867</v>
      </c>
      <c r="D883" s="53"/>
      <c r="E883" s="53" t="s">
        <v>1868</v>
      </c>
      <c r="F883" s="53" t="s">
        <v>1869</v>
      </c>
    </row>
    <row r="884" spans="1:6">
      <c r="A884" s="38">
        <v>44011</v>
      </c>
      <c r="B884" s="53"/>
      <c r="C884" s="53" t="s">
        <v>1870</v>
      </c>
      <c r="D884" s="53"/>
      <c r="E884" s="53" t="s">
        <v>1871</v>
      </c>
      <c r="F884" s="53" t="s">
        <v>1872</v>
      </c>
    </row>
    <row r="885" spans="1:6">
      <c r="A885" s="38">
        <v>44013</v>
      </c>
      <c r="B885" s="62"/>
      <c r="C885" s="62" t="s">
        <v>1873</v>
      </c>
      <c r="D885" s="62"/>
      <c r="E885" s="62" t="s">
        <v>1874</v>
      </c>
      <c r="F885" s="62" t="s">
        <v>1875</v>
      </c>
    </row>
    <row r="886" spans="1:6">
      <c r="A886" s="38">
        <v>44013</v>
      </c>
      <c r="B886" s="78"/>
      <c r="C886" s="78" t="s">
        <v>1876</v>
      </c>
      <c r="D886" s="78"/>
      <c r="E886" s="78" t="s">
        <v>1877</v>
      </c>
      <c r="F886" s="78" t="s">
        <v>1878</v>
      </c>
    </row>
    <row r="887" spans="1:6">
      <c r="A887" s="38">
        <v>44061</v>
      </c>
      <c r="B887" s="87"/>
      <c r="C887" s="87" t="s">
        <v>1879</v>
      </c>
      <c r="D887" s="87"/>
      <c r="E887" s="87" t="s">
        <v>1880</v>
      </c>
      <c r="F887" s="87" t="s">
        <v>1881</v>
      </c>
    </row>
    <row r="888" spans="1:6">
      <c r="A888" s="39">
        <v>44199</v>
      </c>
      <c r="B888" s="27"/>
      <c r="C888" s="27" t="s">
        <v>4607</v>
      </c>
      <c r="D888" s="27"/>
      <c r="E888" s="27" t="s">
        <v>4799</v>
      </c>
      <c r="F888" s="27" t="s">
        <v>4800</v>
      </c>
    </row>
    <row r="889" spans="1:6">
      <c r="A889" s="39">
        <v>44199</v>
      </c>
      <c r="B889" s="27"/>
      <c r="C889" s="27" t="s">
        <v>4608</v>
      </c>
      <c r="D889" s="27"/>
      <c r="E889" s="27" t="s">
        <v>4801</v>
      </c>
      <c r="F889" s="27" t="s">
        <v>4802</v>
      </c>
    </row>
    <row r="890" spans="1:6">
      <c r="A890" s="39">
        <v>44301</v>
      </c>
      <c r="B890" s="27">
        <v>2</v>
      </c>
      <c r="C890" s="27" t="s">
        <v>4608</v>
      </c>
      <c r="D890" s="27"/>
      <c r="E890" s="27" t="s">
        <v>4801</v>
      </c>
      <c r="F890" s="27" t="s">
        <v>4802</v>
      </c>
    </row>
    <row r="891" spans="1:6">
      <c r="A891" s="38">
        <v>43344</v>
      </c>
      <c r="B891" s="62"/>
      <c r="C891" s="62" t="s">
        <v>1882</v>
      </c>
      <c r="D891" s="62" t="s">
        <v>1883</v>
      </c>
      <c r="E891" s="62" t="s">
        <v>1884</v>
      </c>
      <c r="F891" s="62" t="s">
        <v>1885</v>
      </c>
    </row>
    <row r="892" spans="1:6">
      <c r="A892" s="38">
        <v>44061</v>
      </c>
      <c r="B892" s="78"/>
      <c r="C892" s="78" t="s">
        <v>1887</v>
      </c>
      <c r="D892" s="78"/>
      <c r="E892" s="78" t="s">
        <v>1888</v>
      </c>
      <c r="F892" s="78" t="s">
        <v>1889</v>
      </c>
    </row>
    <row r="893" spans="1:6">
      <c r="A893" s="38">
        <v>44061</v>
      </c>
      <c r="B893" s="87"/>
      <c r="C893" s="87" t="s">
        <v>1890</v>
      </c>
      <c r="D893" s="87"/>
      <c r="E893" s="87" t="s">
        <v>1891</v>
      </c>
      <c r="F893" s="87" t="s">
        <v>1892</v>
      </c>
    </row>
    <row r="894" spans="1:6">
      <c r="A894" s="39">
        <v>44270</v>
      </c>
      <c r="B894" s="27"/>
      <c r="C894" s="27" t="s">
        <v>5555</v>
      </c>
      <c r="D894" s="27"/>
      <c r="E894" s="27" t="s">
        <v>5556</v>
      </c>
      <c r="F894" s="27" t="s">
        <v>5557</v>
      </c>
    </row>
    <row r="895" spans="1:6">
      <c r="A895" s="38">
        <v>44140</v>
      </c>
      <c r="B895" s="79"/>
      <c r="C895" s="79" t="s">
        <v>1893</v>
      </c>
      <c r="D895" s="79"/>
      <c r="E895" s="79" t="s">
        <v>1894</v>
      </c>
      <c r="F895" s="79" t="s">
        <v>1895</v>
      </c>
    </row>
    <row r="896" spans="1:6">
      <c r="A896" s="38">
        <v>44064</v>
      </c>
      <c r="B896" s="53"/>
      <c r="C896" s="53" t="s">
        <v>1896</v>
      </c>
      <c r="D896" s="53"/>
      <c r="E896" s="53" t="s">
        <v>1897</v>
      </c>
      <c r="F896" s="53" t="s">
        <v>1898</v>
      </c>
    </row>
    <row r="897" spans="1:6">
      <c r="A897" s="38">
        <v>44064</v>
      </c>
      <c r="B897" s="53"/>
      <c r="C897" s="53" t="s">
        <v>1899</v>
      </c>
      <c r="D897" s="53"/>
      <c r="E897" s="53" t="s">
        <v>1900</v>
      </c>
      <c r="F897" s="53" t="s">
        <v>1901</v>
      </c>
    </row>
    <row r="898" spans="1:6">
      <c r="A898" s="38">
        <v>43636</v>
      </c>
      <c r="B898" s="53"/>
      <c r="C898" s="53" t="s">
        <v>1902</v>
      </c>
      <c r="D898" s="53"/>
      <c r="E898" s="53" t="s">
        <v>1903</v>
      </c>
      <c r="F898" s="53" t="s">
        <v>1904</v>
      </c>
    </row>
    <row r="899" spans="1:6">
      <c r="A899" s="38">
        <v>44061</v>
      </c>
      <c r="B899" s="79"/>
      <c r="C899" s="79" t="s">
        <v>1905</v>
      </c>
      <c r="D899" s="79"/>
      <c r="E899" s="79" t="s">
        <v>1906</v>
      </c>
      <c r="F899" s="79" t="s">
        <v>1907</v>
      </c>
    </row>
    <row r="900" spans="1:6">
      <c r="A900" s="38">
        <v>44060</v>
      </c>
      <c r="B900" s="79"/>
      <c r="C900" s="79" t="s">
        <v>1908</v>
      </c>
      <c r="D900" s="79"/>
      <c r="E900" s="79" t="s">
        <v>1909</v>
      </c>
      <c r="F900" s="79" t="s">
        <v>1910</v>
      </c>
    </row>
    <row r="901" spans="1:6">
      <c r="A901" s="38">
        <v>43523</v>
      </c>
      <c r="B901" s="53"/>
      <c r="C901" s="53" t="s">
        <v>1911</v>
      </c>
      <c r="D901" s="53"/>
      <c r="E901" s="53" t="s">
        <v>1912</v>
      </c>
      <c r="F901" s="53" t="s">
        <v>1913</v>
      </c>
    </row>
    <row r="902" spans="1:6">
      <c r="A902" s="38">
        <v>44061</v>
      </c>
      <c r="B902" s="53"/>
      <c r="C902" s="53" t="s">
        <v>1914</v>
      </c>
      <c r="D902" s="53"/>
      <c r="E902" s="53" t="s">
        <v>1915</v>
      </c>
      <c r="F902" s="53" t="s">
        <v>1916</v>
      </c>
    </row>
    <row r="903" spans="1:6">
      <c r="A903" s="38">
        <v>43629</v>
      </c>
      <c r="B903" s="53"/>
      <c r="C903" s="53" t="s">
        <v>1917</v>
      </c>
      <c r="D903" s="53"/>
      <c r="E903" s="53" t="s">
        <v>1918</v>
      </c>
      <c r="F903" s="53" t="s">
        <v>1919</v>
      </c>
    </row>
    <row r="904" spans="1:6">
      <c r="A904" s="38">
        <v>43644</v>
      </c>
      <c r="B904" s="62"/>
      <c r="C904" s="62" t="s">
        <v>1920</v>
      </c>
      <c r="D904" s="62" t="s">
        <v>1921</v>
      </c>
      <c r="E904" s="62" t="s">
        <v>1922</v>
      </c>
      <c r="F904" s="62" t="s">
        <v>1923</v>
      </c>
    </row>
    <row r="905" spans="1:6">
      <c r="A905" s="38">
        <v>43996</v>
      </c>
      <c r="B905" s="78"/>
      <c r="C905" s="78" t="s">
        <v>1924</v>
      </c>
      <c r="D905" s="78"/>
      <c r="E905" s="78" t="s">
        <v>1925</v>
      </c>
      <c r="F905" s="78" t="s">
        <v>1926</v>
      </c>
    </row>
    <row r="906" spans="1:6">
      <c r="A906" s="38">
        <v>44139</v>
      </c>
      <c r="B906" s="87"/>
      <c r="C906" s="87" t="s">
        <v>1927</v>
      </c>
      <c r="D906" s="87"/>
      <c r="E906" s="87" t="s">
        <v>1927</v>
      </c>
      <c r="F906" s="87" t="s">
        <v>1927</v>
      </c>
    </row>
    <row r="907" spans="1:6">
      <c r="A907" s="39">
        <v>44199</v>
      </c>
      <c r="B907" s="27"/>
      <c r="C907" s="27" t="s">
        <v>4609</v>
      </c>
      <c r="D907" s="27"/>
      <c r="E907" s="27" t="s">
        <v>4609</v>
      </c>
      <c r="F907" s="27" t="s">
        <v>4803</v>
      </c>
    </row>
    <row r="908" spans="1:6">
      <c r="A908" s="38">
        <v>44075</v>
      </c>
      <c r="B908" s="79"/>
      <c r="C908" s="79" t="s">
        <v>1928</v>
      </c>
      <c r="D908" s="79" t="s">
        <v>1929</v>
      </c>
      <c r="E908" s="79" t="s">
        <v>1928</v>
      </c>
      <c r="F908" s="79" t="s">
        <v>1928</v>
      </c>
    </row>
    <row r="909" spans="1:6">
      <c r="A909" s="38">
        <v>43620</v>
      </c>
      <c r="B909" s="78"/>
      <c r="C909" s="78" t="s">
        <v>1930</v>
      </c>
      <c r="D909" s="78"/>
      <c r="E909" s="78" t="s">
        <v>1931</v>
      </c>
      <c r="F909" s="78" t="s">
        <v>1932</v>
      </c>
    </row>
    <row r="910" spans="1:6">
      <c r="A910" s="38">
        <v>43344</v>
      </c>
      <c r="B910" s="87"/>
      <c r="C910" s="87" t="s">
        <v>1933</v>
      </c>
      <c r="D910" s="87"/>
      <c r="E910" s="87" t="s">
        <v>1934</v>
      </c>
      <c r="F910" s="87" t="s">
        <v>1935</v>
      </c>
    </row>
    <row r="911" spans="1:6">
      <c r="A911" s="39">
        <v>44199</v>
      </c>
      <c r="B911" s="27"/>
      <c r="C911" s="27" t="s">
        <v>4610</v>
      </c>
      <c r="D911" s="27"/>
      <c r="E911" s="27" t="s">
        <v>4804</v>
      </c>
      <c r="F911" s="27" t="s">
        <v>4805</v>
      </c>
    </row>
    <row r="912" spans="1:6">
      <c r="A912" s="39">
        <v>44301</v>
      </c>
      <c r="B912" s="27">
        <v>5</v>
      </c>
      <c r="C912" s="27" t="s">
        <v>4610</v>
      </c>
      <c r="D912" s="27"/>
      <c r="E912" s="27" t="s">
        <v>4804</v>
      </c>
      <c r="F912" s="27" t="s">
        <v>4805</v>
      </c>
    </row>
    <row r="913" spans="1:6">
      <c r="A913" s="39">
        <v>44509</v>
      </c>
      <c r="B913" s="27"/>
      <c r="C913" s="27" t="s">
        <v>5770</v>
      </c>
      <c r="D913" s="27"/>
      <c r="E913" s="27" t="s">
        <v>5770</v>
      </c>
      <c r="F913" s="27" t="s">
        <v>5771</v>
      </c>
    </row>
    <row r="914" spans="1:6">
      <c r="A914" s="38">
        <v>44012</v>
      </c>
      <c r="B914" s="62"/>
      <c r="C914" s="62" t="s">
        <v>1936</v>
      </c>
      <c r="D914" s="62"/>
      <c r="E914" s="62" t="s">
        <v>1937</v>
      </c>
      <c r="F914" s="62" t="s">
        <v>1938</v>
      </c>
    </row>
    <row r="915" spans="1:6">
      <c r="A915" s="38">
        <v>43860</v>
      </c>
      <c r="B915" s="78"/>
      <c r="C915" s="78" t="s">
        <v>1939</v>
      </c>
      <c r="D915" s="78"/>
      <c r="E915" s="78" t="s">
        <v>1940</v>
      </c>
      <c r="F915" s="78" t="s">
        <v>1941</v>
      </c>
    </row>
    <row r="916" spans="1:6">
      <c r="A916" s="38">
        <v>43719</v>
      </c>
      <c r="B916" s="87"/>
      <c r="C916" s="87" t="s">
        <v>1942</v>
      </c>
      <c r="D916" s="87"/>
      <c r="E916" s="87" t="s">
        <v>1943</v>
      </c>
      <c r="F916" s="87" t="s">
        <v>1944</v>
      </c>
    </row>
    <row r="917" spans="1:6">
      <c r="A917" s="39">
        <v>44512</v>
      </c>
      <c r="B917" s="27"/>
      <c r="C917" s="27" t="s">
        <v>6007</v>
      </c>
      <c r="D917" s="27"/>
      <c r="E917" s="27" t="s">
        <v>1955</v>
      </c>
      <c r="F917" s="54" t="s">
        <v>1956</v>
      </c>
    </row>
    <row r="918" spans="1:6">
      <c r="A918" s="39">
        <v>44301</v>
      </c>
      <c r="B918" s="27">
        <v>1</v>
      </c>
      <c r="C918" s="27" t="s">
        <v>5642</v>
      </c>
      <c r="D918" s="27"/>
      <c r="E918" s="27" t="s">
        <v>5643</v>
      </c>
      <c r="F918" s="27" t="s">
        <v>4337</v>
      </c>
    </row>
    <row r="919" spans="1:6">
      <c r="A919" s="39">
        <v>44301</v>
      </c>
      <c r="B919" s="27">
        <v>1</v>
      </c>
      <c r="C919" s="27" t="s">
        <v>5644</v>
      </c>
      <c r="D919" s="27"/>
      <c r="E919" s="27" t="s">
        <v>5645</v>
      </c>
      <c r="F919" s="27" t="s">
        <v>5646</v>
      </c>
    </row>
    <row r="920" spans="1:6">
      <c r="A920" s="38">
        <v>44173</v>
      </c>
      <c r="B920" s="79"/>
      <c r="C920" s="79" t="s">
        <v>1945</v>
      </c>
      <c r="D920" s="79"/>
      <c r="E920" s="79" t="s">
        <v>1946</v>
      </c>
      <c r="F920" s="79" t="s">
        <v>1947</v>
      </c>
    </row>
    <row r="921" spans="1:6">
      <c r="A921" s="38">
        <v>44173</v>
      </c>
      <c r="B921" s="53"/>
      <c r="C921" s="53" t="s">
        <v>1948</v>
      </c>
      <c r="D921" s="53"/>
      <c r="E921" s="53" t="s">
        <v>1949</v>
      </c>
      <c r="F921" s="53" t="s">
        <v>1950</v>
      </c>
    </row>
    <row r="922" spans="1:6">
      <c r="A922" s="38">
        <v>44173</v>
      </c>
      <c r="B922" s="62"/>
      <c r="C922" s="62" t="s">
        <v>1951</v>
      </c>
      <c r="D922" s="62"/>
      <c r="E922" s="62" t="s">
        <v>1952</v>
      </c>
      <c r="F922" s="62" t="s">
        <v>1953</v>
      </c>
    </row>
    <row r="923" spans="1:6">
      <c r="A923" s="38">
        <v>44012</v>
      </c>
      <c r="B923" s="78"/>
      <c r="C923" s="78" t="s">
        <v>1954</v>
      </c>
      <c r="D923" s="78"/>
      <c r="E923" s="78" t="s">
        <v>1955</v>
      </c>
      <c r="F923" s="78" t="s">
        <v>1956</v>
      </c>
    </row>
    <row r="924" spans="1:6">
      <c r="A924" s="38">
        <v>44138</v>
      </c>
      <c r="B924" s="87"/>
      <c r="C924" s="87" t="s">
        <v>1957</v>
      </c>
      <c r="D924" s="87"/>
      <c r="E924" s="87" t="s">
        <v>1958</v>
      </c>
      <c r="F924" s="87" t="s">
        <v>1959</v>
      </c>
    </row>
    <row r="925" spans="1:6">
      <c r="A925" s="39"/>
      <c r="B925" s="27"/>
      <c r="C925" s="27" t="s">
        <v>6015</v>
      </c>
      <c r="D925" s="27"/>
      <c r="E925" s="27" t="s">
        <v>6017</v>
      </c>
      <c r="F925" s="27" t="s">
        <v>6018</v>
      </c>
    </row>
    <row r="926" spans="1:6">
      <c r="A926" s="38">
        <v>44173</v>
      </c>
      <c r="B926" s="61"/>
      <c r="C926" s="61" t="s">
        <v>1960</v>
      </c>
      <c r="D926" s="61"/>
      <c r="E926" s="61" t="s">
        <v>1961</v>
      </c>
      <c r="F926" s="61" t="s">
        <v>1962</v>
      </c>
    </row>
    <row r="927" spans="1:6">
      <c r="A927" s="38">
        <v>44005</v>
      </c>
      <c r="B927" s="53"/>
      <c r="C927" s="53" t="s">
        <v>1963</v>
      </c>
      <c r="D927" s="53"/>
      <c r="E927" s="53" t="s">
        <v>1963</v>
      </c>
      <c r="F927" s="53" t="s">
        <v>1964</v>
      </c>
    </row>
    <row r="928" spans="1:6">
      <c r="A928" s="38">
        <v>43636</v>
      </c>
      <c r="B928" s="53"/>
      <c r="C928" s="53" t="s">
        <v>1965</v>
      </c>
      <c r="D928" s="53"/>
      <c r="E928" s="53" t="s">
        <v>1966</v>
      </c>
      <c r="F928" s="53" t="s">
        <v>1967</v>
      </c>
    </row>
    <row r="929" spans="1:6">
      <c r="A929" s="38">
        <v>44172</v>
      </c>
      <c r="B929" s="62"/>
      <c r="C929" s="62" t="s">
        <v>1968</v>
      </c>
      <c r="D929" s="62"/>
      <c r="E929" s="62" t="s">
        <v>1968</v>
      </c>
      <c r="F929" s="62" t="s">
        <v>1968</v>
      </c>
    </row>
    <row r="930" spans="1:6">
      <c r="A930" s="38">
        <v>44172</v>
      </c>
      <c r="B930" s="79"/>
      <c r="C930" s="79" t="s">
        <v>1969</v>
      </c>
      <c r="D930" s="79"/>
      <c r="E930" s="79" t="s">
        <v>1970</v>
      </c>
      <c r="F930" s="79" t="s">
        <v>1971</v>
      </c>
    </row>
    <row r="931" spans="1:6">
      <c r="A931" s="38">
        <v>44012</v>
      </c>
      <c r="B931" s="87"/>
      <c r="C931" s="87" t="s">
        <v>1972</v>
      </c>
      <c r="D931" s="87"/>
      <c r="E931" s="87" t="s">
        <v>1973</v>
      </c>
      <c r="F931" s="87" t="s">
        <v>1974</v>
      </c>
    </row>
    <row r="932" spans="1:6" s="62" customFormat="1">
      <c r="A932" s="39">
        <v>44236</v>
      </c>
      <c r="B932" s="27"/>
      <c r="C932" s="27" t="s">
        <v>5506</v>
      </c>
      <c r="D932" s="27"/>
      <c r="E932" s="27" t="s">
        <v>1973</v>
      </c>
      <c r="F932" s="27" t="s">
        <v>1974</v>
      </c>
    </row>
    <row r="933" spans="1:6">
      <c r="A933" s="38">
        <v>43637</v>
      </c>
      <c r="B933" s="87"/>
      <c r="C933" s="87" t="s">
        <v>1975</v>
      </c>
      <c r="D933" s="87"/>
      <c r="E933" s="87" t="s">
        <v>1976</v>
      </c>
      <c r="F933" s="87" t="s">
        <v>1977</v>
      </c>
    </row>
    <row r="934" spans="1:6">
      <c r="A934" s="39">
        <v>44301</v>
      </c>
      <c r="B934" s="27">
        <v>1</v>
      </c>
      <c r="C934" s="27" t="s">
        <v>5647</v>
      </c>
      <c r="D934" s="27" t="s">
        <v>5647</v>
      </c>
      <c r="E934" s="27" t="s">
        <v>5647</v>
      </c>
      <c r="F934" s="27" t="s">
        <v>5648</v>
      </c>
    </row>
    <row r="935" spans="1:6">
      <c r="A935" s="38">
        <v>43864</v>
      </c>
      <c r="B935" s="62"/>
      <c r="C935" s="62" t="s">
        <v>1978</v>
      </c>
      <c r="D935" s="62"/>
      <c r="E935" s="62" t="s">
        <v>1979</v>
      </c>
      <c r="F935" s="62" t="s">
        <v>1980</v>
      </c>
    </row>
    <row r="936" spans="1:6">
      <c r="A936" s="38">
        <v>43852</v>
      </c>
      <c r="B936" s="78"/>
      <c r="C936" s="78" t="s">
        <v>1981</v>
      </c>
      <c r="D936" s="78"/>
      <c r="E936" s="78" t="s">
        <v>1982</v>
      </c>
      <c r="F936" s="78" t="s">
        <v>1983</v>
      </c>
    </row>
    <row r="937" spans="1:6">
      <c r="A937" s="38">
        <v>44005</v>
      </c>
      <c r="B937" s="87"/>
      <c r="C937" s="87" t="s">
        <v>1984</v>
      </c>
      <c r="D937" s="87"/>
      <c r="E937" s="87" t="s">
        <v>1985</v>
      </c>
      <c r="F937" s="87" t="s">
        <v>1986</v>
      </c>
    </row>
    <row r="938" spans="1:6">
      <c r="A938" s="39"/>
      <c r="B938" s="27"/>
      <c r="C938" s="27" t="s">
        <v>6143</v>
      </c>
      <c r="D938" s="27"/>
      <c r="E938" s="27" t="s">
        <v>6144</v>
      </c>
      <c r="F938" s="27" t="s">
        <v>6145</v>
      </c>
    </row>
    <row r="939" spans="1:6">
      <c r="A939" s="38">
        <v>43564</v>
      </c>
      <c r="B939" s="53"/>
      <c r="C939" s="53" t="s">
        <v>1987</v>
      </c>
      <c r="D939" s="53"/>
      <c r="E939" s="53" t="s">
        <v>1988</v>
      </c>
      <c r="F939" s="53" t="s">
        <v>1989</v>
      </c>
    </row>
    <row r="940" spans="1:6">
      <c r="A940" s="38">
        <v>43564</v>
      </c>
      <c r="B940" s="62"/>
      <c r="C940" s="62" t="s">
        <v>1990</v>
      </c>
      <c r="D940" s="62"/>
      <c r="E940" s="62" t="s">
        <v>1991</v>
      </c>
      <c r="F940" s="62" t="s">
        <v>1992</v>
      </c>
    </row>
    <row r="941" spans="1:6">
      <c r="A941" s="38">
        <v>44083</v>
      </c>
      <c r="B941" s="79"/>
      <c r="C941" s="79" t="s">
        <v>1993</v>
      </c>
      <c r="D941" s="79"/>
      <c r="E941" s="79" t="s">
        <v>1994</v>
      </c>
      <c r="F941" s="79" t="s">
        <v>1995</v>
      </c>
    </row>
    <row r="942" spans="1:6">
      <c r="A942" s="38">
        <v>43563</v>
      </c>
      <c r="B942" s="87"/>
      <c r="C942" s="87" t="s">
        <v>1996</v>
      </c>
      <c r="D942" s="87"/>
      <c r="E942" s="87" t="s">
        <v>1997</v>
      </c>
      <c r="F942" s="87" t="s">
        <v>1998</v>
      </c>
    </row>
    <row r="943" spans="1:6">
      <c r="A943" s="39">
        <v>44199</v>
      </c>
      <c r="B943" s="27"/>
      <c r="C943" s="27" t="s">
        <v>4611</v>
      </c>
      <c r="D943" s="27"/>
      <c r="E943" s="27" t="s">
        <v>4806</v>
      </c>
      <c r="F943" s="27" t="s">
        <v>1974</v>
      </c>
    </row>
    <row r="944" spans="1:6">
      <c r="A944" s="38">
        <v>44173</v>
      </c>
      <c r="B944" s="78"/>
      <c r="C944" s="78" t="s">
        <v>1999</v>
      </c>
      <c r="D944" s="78"/>
      <c r="E944" s="78" t="s">
        <v>2000</v>
      </c>
      <c r="F944" s="78" t="s">
        <v>2001</v>
      </c>
    </row>
    <row r="945" spans="1:6">
      <c r="A945" s="38">
        <v>43724</v>
      </c>
      <c r="B945" s="87"/>
      <c r="C945" s="87" t="s">
        <v>2002</v>
      </c>
      <c r="D945" s="87" t="s">
        <v>2003</v>
      </c>
      <c r="E945" s="87" t="s">
        <v>2002</v>
      </c>
      <c r="F945" s="87" t="s">
        <v>2002</v>
      </c>
    </row>
    <row r="946" spans="1:6">
      <c r="A946" s="39">
        <v>44199</v>
      </c>
      <c r="B946" s="27"/>
      <c r="C946" s="27" t="s">
        <v>4612</v>
      </c>
      <c r="D946" s="27"/>
      <c r="E946" s="27" t="s">
        <v>4807</v>
      </c>
      <c r="F946" s="27" t="s">
        <v>2009</v>
      </c>
    </row>
    <row r="947" spans="1:6">
      <c r="A947" s="38">
        <v>43392</v>
      </c>
      <c r="B947" s="61"/>
      <c r="C947" s="61" t="s">
        <v>2004</v>
      </c>
      <c r="D947" s="61"/>
      <c r="E947" s="61" t="s">
        <v>2005</v>
      </c>
      <c r="F947" s="61" t="s">
        <v>2006</v>
      </c>
    </row>
    <row r="948" spans="1:6">
      <c r="A948" s="38">
        <v>43384</v>
      </c>
      <c r="B948" s="53"/>
      <c r="C948" s="53" t="s">
        <v>2007</v>
      </c>
      <c r="D948" s="53"/>
      <c r="E948" s="53" t="s">
        <v>2008</v>
      </c>
      <c r="F948" s="53" t="s">
        <v>2009</v>
      </c>
    </row>
    <row r="949" spans="1:6">
      <c r="A949" s="38">
        <v>43732</v>
      </c>
      <c r="B949" s="79"/>
      <c r="C949" s="79" t="s">
        <v>2010</v>
      </c>
      <c r="D949" s="79"/>
      <c r="E949" s="79" t="s">
        <v>2011</v>
      </c>
      <c r="F949" s="79" t="s">
        <v>2012</v>
      </c>
    </row>
    <row r="950" spans="1:6">
      <c r="A950" s="38">
        <v>43390</v>
      </c>
      <c r="B950" s="78"/>
      <c r="C950" s="78" t="s">
        <v>2013</v>
      </c>
      <c r="D950" s="78"/>
      <c r="E950" s="78" t="s">
        <v>2014</v>
      </c>
      <c r="F950" s="78" t="s">
        <v>2015</v>
      </c>
    </row>
    <row r="951" spans="1:6">
      <c r="A951" s="38">
        <v>43725</v>
      </c>
      <c r="B951" s="87"/>
      <c r="C951" s="87" t="s">
        <v>2016</v>
      </c>
      <c r="D951" s="87"/>
      <c r="E951" s="87" t="s">
        <v>2017</v>
      </c>
      <c r="F951" s="87" t="s">
        <v>2018</v>
      </c>
    </row>
    <row r="952" spans="1:6">
      <c r="A952" s="39">
        <v>44510</v>
      </c>
      <c r="B952" s="27"/>
      <c r="C952" s="27" t="s">
        <v>6123</v>
      </c>
      <c r="D952" s="27"/>
      <c r="E952" s="27" t="s">
        <v>6123</v>
      </c>
      <c r="F952" s="27" t="s">
        <v>6124</v>
      </c>
    </row>
    <row r="953" spans="1:6">
      <c r="B953" s="87"/>
      <c r="C953" s="87" t="s">
        <v>2019</v>
      </c>
      <c r="D953" s="87"/>
      <c r="E953" s="87" t="s">
        <v>2020</v>
      </c>
      <c r="F953" s="87" t="s">
        <v>2021</v>
      </c>
    </row>
    <row r="954" spans="1:6">
      <c r="A954" s="39">
        <v>44200</v>
      </c>
      <c r="B954" s="27"/>
      <c r="C954" s="27" t="s">
        <v>5042</v>
      </c>
      <c r="D954" s="27"/>
      <c r="E954" s="27" t="s">
        <v>5211</v>
      </c>
      <c r="F954" s="27" t="s">
        <v>5377</v>
      </c>
    </row>
    <row r="955" spans="1:6">
      <c r="A955" s="39">
        <v>44200</v>
      </c>
      <c r="B955" s="27"/>
      <c r="C955" s="27" t="s">
        <v>5043</v>
      </c>
      <c r="D955" s="27"/>
      <c r="E955" s="27" t="s">
        <v>5212</v>
      </c>
      <c r="F955" s="27" t="s">
        <v>5378</v>
      </c>
    </row>
    <row r="956" spans="1:6">
      <c r="A956" s="39">
        <v>44200</v>
      </c>
      <c r="B956" s="27"/>
      <c r="C956" s="27" t="s">
        <v>5044</v>
      </c>
      <c r="D956" s="27"/>
      <c r="E956" s="27" t="s">
        <v>5213</v>
      </c>
      <c r="F956" s="27" t="s">
        <v>5379</v>
      </c>
    </row>
    <row r="957" spans="1:6">
      <c r="A957" s="39">
        <v>44200</v>
      </c>
      <c r="B957" s="27"/>
      <c r="C957" s="27" t="s">
        <v>5045</v>
      </c>
      <c r="D957" s="27"/>
      <c r="E957" s="27" t="s">
        <v>5214</v>
      </c>
      <c r="F957" s="27" t="s">
        <v>5380</v>
      </c>
    </row>
    <row r="958" spans="1:6">
      <c r="A958" s="39">
        <v>44200</v>
      </c>
      <c r="B958" s="27"/>
      <c r="C958" s="27" t="s">
        <v>5046</v>
      </c>
      <c r="D958" s="27"/>
      <c r="E958" s="27" t="s">
        <v>5215</v>
      </c>
      <c r="F958" s="27" t="s">
        <v>5381</v>
      </c>
    </row>
    <row r="959" spans="1:6">
      <c r="A959" s="39">
        <v>44200</v>
      </c>
      <c r="B959" s="27"/>
      <c r="C959" s="27" t="s">
        <v>5047</v>
      </c>
      <c r="D959" s="27"/>
      <c r="E959" s="27" t="s">
        <v>5216</v>
      </c>
      <c r="F959" s="27" t="s">
        <v>5382</v>
      </c>
    </row>
    <row r="960" spans="1:6">
      <c r="A960" s="39">
        <v>44200</v>
      </c>
      <c r="B960" s="27"/>
      <c r="C960" s="27" t="s">
        <v>5048</v>
      </c>
      <c r="D960" s="27"/>
      <c r="E960" s="27" t="s">
        <v>5217</v>
      </c>
      <c r="F960" s="27" t="s">
        <v>5383</v>
      </c>
    </row>
    <row r="961" spans="1:6">
      <c r="A961" s="39">
        <v>44200</v>
      </c>
      <c r="B961" s="27"/>
      <c r="C961" s="27" t="s">
        <v>5049</v>
      </c>
      <c r="D961" s="27"/>
      <c r="E961" s="27" t="s">
        <v>5218</v>
      </c>
      <c r="F961" s="27" t="s">
        <v>5384</v>
      </c>
    </row>
    <row r="962" spans="1:6">
      <c r="A962" s="39">
        <v>44200</v>
      </c>
      <c r="B962" s="27"/>
      <c r="C962" s="27" t="s">
        <v>5050</v>
      </c>
      <c r="D962" s="27"/>
      <c r="E962" s="27" t="s">
        <v>5219</v>
      </c>
      <c r="F962" s="27" t="s">
        <v>5385</v>
      </c>
    </row>
    <row r="963" spans="1:6">
      <c r="A963" s="39">
        <v>44200</v>
      </c>
      <c r="B963" s="27"/>
      <c r="C963" s="27" t="s">
        <v>5051</v>
      </c>
      <c r="D963" s="27"/>
      <c r="E963" s="27" t="s">
        <v>5220</v>
      </c>
      <c r="F963" s="27" t="s">
        <v>5386</v>
      </c>
    </row>
    <row r="964" spans="1:6">
      <c r="A964" s="39">
        <v>44200</v>
      </c>
      <c r="B964" s="27"/>
      <c r="C964" s="27" t="s">
        <v>5052</v>
      </c>
      <c r="D964" s="27"/>
      <c r="E964" s="27" t="s">
        <v>5221</v>
      </c>
      <c r="F964" s="27" t="s">
        <v>5387</v>
      </c>
    </row>
    <row r="965" spans="1:6">
      <c r="A965" s="39">
        <v>44199</v>
      </c>
      <c r="B965" s="27"/>
      <c r="C965" s="27" t="s">
        <v>4613</v>
      </c>
      <c r="D965" s="27"/>
      <c r="E965" s="27" t="s">
        <v>4808</v>
      </c>
      <c r="F965" s="27" t="s">
        <v>4809</v>
      </c>
    </row>
    <row r="966" spans="1:6">
      <c r="A966" s="38">
        <v>43725</v>
      </c>
      <c r="B966" s="61"/>
      <c r="C966" s="61" t="s">
        <v>2022</v>
      </c>
      <c r="D966" s="61"/>
      <c r="E966" s="61" t="s">
        <v>1832</v>
      </c>
      <c r="F966" s="61" t="s">
        <v>1833</v>
      </c>
    </row>
    <row r="967" spans="1:6">
      <c r="A967" s="38">
        <v>43996</v>
      </c>
      <c r="B967" s="62"/>
      <c r="C967" s="62" t="s">
        <v>2023</v>
      </c>
      <c r="D967" s="62"/>
      <c r="E967" s="62" t="s">
        <v>2024</v>
      </c>
      <c r="F967" s="62" t="s">
        <v>2025</v>
      </c>
    </row>
    <row r="968" spans="1:6">
      <c r="A968" s="38">
        <v>44070</v>
      </c>
      <c r="B968" s="78"/>
      <c r="C968" s="78" t="s">
        <v>2026</v>
      </c>
      <c r="D968" s="78"/>
      <c r="E968" s="78" t="s">
        <v>2027</v>
      </c>
      <c r="F968" s="78" t="s">
        <v>2028</v>
      </c>
    </row>
    <row r="969" spans="1:6">
      <c r="A969" s="38">
        <v>43503</v>
      </c>
      <c r="B969" s="87"/>
      <c r="C969" s="87" t="s">
        <v>2029</v>
      </c>
      <c r="D969" s="87"/>
      <c r="E969" s="87" t="s">
        <v>2030</v>
      </c>
      <c r="F969" s="87" t="s">
        <v>2031</v>
      </c>
    </row>
    <row r="970" spans="1:6">
      <c r="A970" s="39">
        <v>44200</v>
      </c>
      <c r="B970" s="27"/>
      <c r="C970" s="27" t="s">
        <v>5053</v>
      </c>
      <c r="D970" s="27"/>
      <c r="E970" s="27" t="s">
        <v>5222</v>
      </c>
      <c r="F970" s="27" t="s">
        <v>5388</v>
      </c>
    </row>
    <row r="971" spans="1:6">
      <c r="A971" s="39">
        <v>44200</v>
      </c>
      <c r="B971" s="27"/>
      <c r="C971" s="27" t="s">
        <v>5054</v>
      </c>
      <c r="D971" s="27"/>
      <c r="E971" s="27" t="s">
        <v>5223</v>
      </c>
      <c r="F971" s="27" t="s">
        <v>5389</v>
      </c>
    </row>
    <row r="972" spans="1:6">
      <c r="A972" s="39">
        <v>44200</v>
      </c>
      <c r="B972" s="27"/>
      <c r="C972" s="27" t="s">
        <v>5055</v>
      </c>
      <c r="D972" s="27"/>
      <c r="E972" s="27" t="s">
        <v>5224</v>
      </c>
      <c r="F972" s="27" t="s">
        <v>5390</v>
      </c>
    </row>
    <row r="973" spans="1:6">
      <c r="A973" s="39">
        <v>44200</v>
      </c>
      <c r="B973" s="27"/>
      <c r="C973" s="27" t="s">
        <v>5056</v>
      </c>
      <c r="D973" s="27"/>
      <c r="E973" s="27" t="s">
        <v>5225</v>
      </c>
      <c r="F973" s="27" t="s">
        <v>5391</v>
      </c>
    </row>
    <row r="974" spans="1:6" s="50" customFormat="1">
      <c r="A974" s="39">
        <v>44200</v>
      </c>
      <c r="B974" s="27"/>
      <c r="C974" s="27" t="s">
        <v>5057</v>
      </c>
      <c r="D974" s="27"/>
      <c r="E974" s="27" t="s">
        <v>5226</v>
      </c>
      <c r="F974" s="27" t="s">
        <v>5392</v>
      </c>
    </row>
    <row r="975" spans="1:6">
      <c r="A975" s="39">
        <v>44200</v>
      </c>
      <c r="B975" s="27"/>
      <c r="C975" s="27" t="s">
        <v>5058</v>
      </c>
      <c r="D975" s="27"/>
      <c r="E975" s="27" t="s">
        <v>5227</v>
      </c>
      <c r="F975" s="27" t="s">
        <v>5393</v>
      </c>
    </row>
    <row r="976" spans="1:6">
      <c r="A976" s="39">
        <v>44200</v>
      </c>
      <c r="B976" s="27"/>
      <c r="C976" s="27" t="s">
        <v>5059</v>
      </c>
      <c r="D976" s="27"/>
      <c r="E976" s="27" t="s">
        <v>5228</v>
      </c>
      <c r="F976" s="27" t="s">
        <v>5394</v>
      </c>
    </row>
    <row r="977" spans="1:6">
      <c r="A977" s="39">
        <v>44200</v>
      </c>
      <c r="B977" s="27"/>
      <c r="C977" s="27" t="s">
        <v>5060</v>
      </c>
      <c r="D977" s="27"/>
      <c r="E977" s="27" t="s">
        <v>5229</v>
      </c>
      <c r="F977" s="27" t="s">
        <v>5395</v>
      </c>
    </row>
    <row r="978" spans="1:6">
      <c r="A978" s="39">
        <v>44200</v>
      </c>
      <c r="B978" s="27"/>
      <c r="C978" s="27" t="s">
        <v>5061</v>
      </c>
      <c r="D978" s="27"/>
      <c r="E978" s="27" t="s">
        <v>5230</v>
      </c>
      <c r="F978" s="27" t="s">
        <v>5396</v>
      </c>
    </row>
    <row r="979" spans="1:6">
      <c r="A979" s="39">
        <v>44200</v>
      </c>
      <c r="B979" s="27"/>
      <c r="C979" s="27" t="s">
        <v>5062</v>
      </c>
      <c r="D979" s="27"/>
      <c r="E979" s="27" t="s">
        <v>5231</v>
      </c>
      <c r="F979" s="27" t="s">
        <v>5397</v>
      </c>
    </row>
    <row r="980" spans="1:6">
      <c r="A980" s="39">
        <v>44200</v>
      </c>
      <c r="B980" s="27"/>
      <c r="C980" s="27" t="s">
        <v>5063</v>
      </c>
      <c r="D980" s="27"/>
      <c r="E980" s="27" t="s">
        <v>5232</v>
      </c>
      <c r="F980" s="27" t="s">
        <v>5398</v>
      </c>
    </row>
    <row r="981" spans="1:6">
      <c r="A981" s="39">
        <v>44200</v>
      </c>
      <c r="B981" s="27"/>
      <c r="C981" s="27" t="s">
        <v>5064</v>
      </c>
      <c r="D981" s="27"/>
      <c r="E981" s="27" t="s">
        <v>5233</v>
      </c>
      <c r="F981" s="27" t="s">
        <v>5399</v>
      </c>
    </row>
    <row r="982" spans="1:6">
      <c r="A982" s="39">
        <v>44200</v>
      </c>
      <c r="B982" s="27"/>
      <c r="C982" s="27" t="s">
        <v>5065</v>
      </c>
      <c r="D982" s="27"/>
      <c r="E982" s="27" t="s">
        <v>5234</v>
      </c>
      <c r="F982" s="27" t="s">
        <v>5400</v>
      </c>
    </row>
    <row r="983" spans="1:6">
      <c r="A983" s="39">
        <v>44200</v>
      </c>
      <c r="B983" s="27"/>
      <c r="C983" s="27" t="s">
        <v>5066</v>
      </c>
      <c r="D983" s="27"/>
      <c r="E983" s="27" t="s">
        <v>5235</v>
      </c>
      <c r="F983" s="27" t="s">
        <v>5401</v>
      </c>
    </row>
    <row r="984" spans="1:6">
      <c r="A984" s="39">
        <v>44200</v>
      </c>
      <c r="B984" s="27"/>
      <c r="C984" s="27" t="s">
        <v>5067</v>
      </c>
      <c r="D984" s="27"/>
      <c r="E984" s="27" t="s">
        <v>5236</v>
      </c>
      <c r="F984" s="27" t="s">
        <v>5402</v>
      </c>
    </row>
    <row r="985" spans="1:6">
      <c r="A985" s="39">
        <v>44200</v>
      </c>
      <c r="B985" s="27"/>
      <c r="C985" s="27" t="s">
        <v>5068</v>
      </c>
      <c r="D985" s="27"/>
      <c r="E985" s="27" t="s">
        <v>5237</v>
      </c>
      <c r="F985" s="27" t="s">
        <v>5403</v>
      </c>
    </row>
    <row r="986" spans="1:6">
      <c r="A986" s="39">
        <v>44200</v>
      </c>
      <c r="B986" s="27"/>
      <c r="C986" s="27" t="s">
        <v>5069</v>
      </c>
      <c r="D986" s="27"/>
      <c r="E986" s="27" t="s">
        <v>5238</v>
      </c>
      <c r="F986" s="27" t="s">
        <v>5404</v>
      </c>
    </row>
    <row r="987" spans="1:6">
      <c r="A987" s="39">
        <v>44200</v>
      </c>
      <c r="B987" s="27"/>
      <c r="C987" s="27" t="s">
        <v>5070</v>
      </c>
      <c r="D987" s="27"/>
      <c r="E987" s="27" t="s">
        <v>5239</v>
      </c>
      <c r="F987" s="27" t="s">
        <v>5405</v>
      </c>
    </row>
    <row r="988" spans="1:6">
      <c r="A988" s="39">
        <v>44200</v>
      </c>
      <c r="B988" s="27"/>
      <c r="C988" s="27" t="s">
        <v>5071</v>
      </c>
      <c r="D988" s="27"/>
      <c r="E988" s="27" t="s">
        <v>5240</v>
      </c>
      <c r="F988" s="27" t="s">
        <v>5406</v>
      </c>
    </row>
    <row r="989" spans="1:6">
      <c r="A989" s="39">
        <v>44200</v>
      </c>
      <c r="B989" s="27"/>
      <c r="C989" s="27" t="s">
        <v>5072</v>
      </c>
      <c r="D989" s="27"/>
      <c r="E989" s="27" t="s">
        <v>5241</v>
      </c>
      <c r="F989" s="27" t="s">
        <v>5407</v>
      </c>
    </row>
    <row r="990" spans="1:6">
      <c r="A990" s="39">
        <v>44200</v>
      </c>
      <c r="B990" s="27"/>
      <c r="C990" s="27" t="s">
        <v>5073</v>
      </c>
      <c r="D990" s="27"/>
      <c r="E990" s="27" t="s">
        <v>5242</v>
      </c>
      <c r="F990" s="27" t="s">
        <v>5408</v>
      </c>
    </row>
    <row r="991" spans="1:6">
      <c r="A991" s="39">
        <v>44200</v>
      </c>
      <c r="B991" s="27"/>
      <c r="C991" s="27" t="s">
        <v>5074</v>
      </c>
      <c r="D991" s="27"/>
      <c r="E991" s="27" t="s">
        <v>5243</v>
      </c>
      <c r="F991" s="27" t="s">
        <v>5409</v>
      </c>
    </row>
    <row r="992" spans="1:6">
      <c r="A992" s="39">
        <v>44200</v>
      </c>
      <c r="B992" s="27"/>
      <c r="C992" s="27" t="s">
        <v>5075</v>
      </c>
      <c r="D992" s="27"/>
      <c r="E992" s="27" t="s">
        <v>5244</v>
      </c>
      <c r="F992" s="27" t="s">
        <v>5410</v>
      </c>
    </row>
    <row r="993" spans="1:6">
      <c r="A993" s="39">
        <v>44200</v>
      </c>
      <c r="B993" s="27"/>
      <c r="C993" s="27" t="s">
        <v>5076</v>
      </c>
      <c r="D993" s="27"/>
      <c r="E993" s="27" t="s">
        <v>5245</v>
      </c>
      <c r="F993" s="27" t="s">
        <v>5411</v>
      </c>
    </row>
    <row r="994" spans="1:6" s="50" customFormat="1">
      <c r="A994" s="39">
        <v>44200</v>
      </c>
      <c r="B994" s="27"/>
      <c r="C994" s="27" t="s">
        <v>5077</v>
      </c>
      <c r="D994" s="27"/>
      <c r="E994" s="27" t="s">
        <v>5246</v>
      </c>
      <c r="F994" s="27" t="s">
        <v>5412</v>
      </c>
    </row>
    <row r="995" spans="1:6">
      <c r="A995" s="39">
        <v>44200</v>
      </c>
      <c r="B995" s="27"/>
      <c r="C995" s="27" t="s">
        <v>5078</v>
      </c>
      <c r="D995" s="27"/>
      <c r="E995" s="27" t="s">
        <v>5247</v>
      </c>
      <c r="F995" s="27" t="s">
        <v>5413</v>
      </c>
    </row>
    <row r="996" spans="1:6">
      <c r="A996" s="39">
        <v>44200</v>
      </c>
      <c r="B996" s="27"/>
      <c r="C996" s="27" t="s">
        <v>5079</v>
      </c>
      <c r="D996" s="27"/>
      <c r="E996" s="27" t="s">
        <v>5248</v>
      </c>
      <c r="F996" s="27" t="s">
        <v>5414</v>
      </c>
    </row>
    <row r="997" spans="1:6">
      <c r="A997" s="38">
        <v>44040</v>
      </c>
      <c r="B997" s="87"/>
      <c r="C997" s="87" t="s">
        <v>2032</v>
      </c>
      <c r="D997" s="87"/>
      <c r="E997" s="87" t="s">
        <v>2033</v>
      </c>
      <c r="F997" s="87" t="s">
        <v>2034</v>
      </c>
    </row>
    <row r="998" spans="1:6">
      <c r="A998" s="39">
        <v>44509</v>
      </c>
      <c r="B998" s="27"/>
      <c r="C998" s="27" t="s">
        <v>5764</v>
      </c>
      <c r="D998" s="27"/>
      <c r="E998" s="27" t="s">
        <v>5764</v>
      </c>
      <c r="F998" s="27" t="s">
        <v>5765</v>
      </c>
    </row>
    <row r="999" spans="1:6">
      <c r="A999" s="38">
        <v>43894</v>
      </c>
      <c r="B999" s="87"/>
      <c r="C999" s="87" t="s">
        <v>2035</v>
      </c>
      <c r="D999" s="87"/>
      <c r="E999" s="87" t="s">
        <v>2035</v>
      </c>
      <c r="F999" s="87" t="s">
        <v>2036</v>
      </c>
    </row>
    <row r="1000" spans="1:6">
      <c r="A1000" s="39">
        <v>44200</v>
      </c>
      <c r="B1000" s="27"/>
      <c r="C1000" s="27" t="s">
        <v>5080</v>
      </c>
      <c r="D1000" s="27"/>
      <c r="E1000" s="27" t="s">
        <v>5249</v>
      </c>
      <c r="F1000" s="27" t="s">
        <v>3784</v>
      </c>
    </row>
    <row r="1001" spans="1:6">
      <c r="A1001" s="38">
        <v>43384</v>
      </c>
      <c r="B1001" s="79"/>
      <c r="C1001" s="79" t="s">
        <v>2037</v>
      </c>
      <c r="D1001" s="79" t="s">
        <v>2038</v>
      </c>
      <c r="E1001" s="79" t="s">
        <v>2039</v>
      </c>
      <c r="F1001" s="79" t="s">
        <v>2040</v>
      </c>
    </row>
    <row r="1002" spans="1:6">
      <c r="A1002" s="38">
        <v>44041</v>
      </c>
      <c r="B1002" s="79"/>
      <c r="C1002" s="79" t="s">
        <v>2041</v>
      </c>
      <c r="D1002" s="79"/>
      <c r="E1002" s="79" t="s">
        <v>2042</v>
      </c>
      <c r="F1002" s="79" t="s">
        <v>2043</v>
      </c>
    </row>
    <row r="1003" spans="1:6">
      <c r="A1003" s="38">
        <v>44152</v>
      </c>
      <c r="B1003" s="79"/>
      <c r="C1003" s="79" t="s">
        <v>2044</v>
      </c>
      <c r="D1003" s="79"/>
      <c r="E1003" s="79" t="s">
        <v>2045</v>
      </c>
      <c r="F1003" s="79" t="s">
        <v>2046</v>
      </c>
    </row>
    <row r="1004" spans="1:6">
      <c r="A1004" s="38">
        <v>43518</v>
      </c>
      <c r="B1004" s="87"/>
      <c r="C1004" s="87" t="s">
        <v>2047</v>
      </c>
      <c r="D1004" s="87"/>
      <c r="E1004" s="87" t="s">
        <v>2048</v>
      </c>
      <c r="F1004" s="87" t="s">
        <v>2049</v>
      </c>
    </row>
    <row r="1005" spans="1:6">
      <c r="A1005" s="39">
        <v>44200</v>
      </c>
      <c r="B1005" s="27"/>
      <c r="C1005" s="27" t="s">
        <v>5081</v>
      </c>
      <c r="D1005" s="27"/>
      <c r="E1005" s="27" t="s">
        <v>5250</v>
      </c>
      <c r="F1005" s="27" t="s">
        <v>5415</v>
      </c>
    </row>
    <row r="1006" spans="1:6">
      <c r="A1006" s="38">
        <v>43490</v>
      </c>
      <c r="B1006" s="61"/>
      <c r="C1006" s="61" t="s">
        <v>2050</v>
      </c>
      <c r="D1006" s="61"/>
      <c r="E1006" s="61" t="s">
        <v>2051</v>
      </c>
      <c r="F1006" s="61" t="s">
        <v>2052</v>
      </c>
    </row>
    <row r="1007" spans="1:6">
      <c r="B1007" s="79"/>
      <c r="C1007" s="79" t="s">
        <v>2053</v>
      </c>
      <c r="D1007" s="79"/>
      <c r="E1007" s="79" t="s">
        <v>2054</v>
      </c>
      <c r="F1007" s="79" t="s">
        <v>2055</v>
      </c>
    </row>
    <row r="1008" spans="1:6">
      <c r="A1008" s="38">
        <v>44012</v>
      </c>
      <c r="B1008" s="79"/>
      <c r="C1008" s="79" t="s">
        <v>2056</v>
      </c>
      <c r="D1008" s="79" t="s">
        <v>2057</v>
      </c>
      <c r="E1008" s="79" t="s">
        <v>2058</v>
      </c>
      <c r="F1008" s="79" t="s">
        <v>2059</v>
      </c>
    </row>
    <row r="1009" spans="1:6">
      <c r="A1009" s="38">
        <v>44091</v>
      </c>
      <c r="B1009" s="53"/>
      <c r="C1009" s="53" t="s">
        <v>2060</v>
      </c>
      <c r="D1009" s="53"/>
      <c r="E1009" s="53" t="s">
        <v>2060</v>
      </c>
      <c r="F1009" s="53" t="s">
        <v>2060</v>
      </c>
    </row>
    <row r="1010" spans="1:6">
      <c r="A1010" s="38">
        <v>43725</v>
      </c>
      <c r="B1010" s="79"/>
      <c r="C1010" s="79" t="s">
        <v>2061</v>
      </c>
      <c r="D1010" s="79"/>
      <c r="E1010" s="79" t="s">
        <v>2061</v>
      </c>
      <c r="F1010" s="79" t="s">
        <v>2062</v>
      </c>
    </row>
    <row r="1011" spans="1:6">
      <c r="A1011" s="38">
        <v>44138</v>
      </c>
      <c r="B1011" s="79"/>
      <c r="C1011" s="79" t="s">
        <v>2063</v>
      </c>
      <c r="D1011" s="79"/>
      <c r="E1011" s="79" t="s">
        <v>2064</v>
      </c>
      <c r="F1011" s="79" t="s">
        <v>2065</v>
      </c>
    </row>
    <row r="1012" spans="1:6">
      <c r="A1012" s="38">
        <v>43868</v>
      </c>
      <c r="B1012" s="78"/>
      <c r="C1012" s="78" t="s">
        <v>2066</v>
      </c>
      <c r="D1012" s="78"/>
      <c r="E1012" s="78" t="s">
        <v>2067</v>
      </c>
      <c r="F1012" s="78" t="s">
        <v>2068</v>
      </c>
    </row>
    <row r="1013" spans="1:6">
      <c r="A1013" s="38">
        <v>43725</v>
      </c>
      <c r="B1013" s="87"/>
      <c r="C1013" s="87" t="s">
        <v>2069</v>
      </c>
      <c r="D1013" s="87"/>
      <c r="E1013" s="87" t="s">
        <v>2070</v>
      </c>
      <c r="F1013" s="87" t="s">
        <v>2071</v>
      </c>
    </row>
    <row r="1014" spans="1:6">
      <c r="A1014" s="39">
        <v>44246</v>
      </c>
      <c r="B1014" s="27"/>
      <c r="C1014" s="27" t="s">
        <v>5507</v>
      </c>
      <c r="D1014" s="27" t="s">
        <v>4810</v>
      </c>
      <c r="E1014" s="27" t="s">
        <v>4810</v>
      </c>
      <c r="F1014" s="27" t="s">
        <v>4811</v>
      </c>
    </row>
    <row r="1015" spans="1:6">
      <c r="A1015" s="39">
        <v>44199</v>
      </c>
      <c r="B1015" s="27"/>
      <c r="C1015" s="27" t="s">
        <v>4614</v>
      </c>
      <c r="D1015" s="27"/>
      <c r="E1015" s="27" t="s">
        <v>4810</v>
      </c>
      <c r="F1015" s="27" t="s">
        <v>4811</v>
      </c>
    </row>
    <row r="1016" spans="1:6">
      <c r="A1016" s="38">
        <v>44082</v>
      </c>
      <c r="B1016" s="61"/>
      <c r="C1016" s="61" t="s">
        <v>2072</v>
      </c>
      <c r="D1016" s="61"/>
      <c r="E1016" s="61" t="s">
        <v>2072</v>
      </c>
      <c r="F1016" s="61" t="s">
        <v>2073</v>
      </c>
    </row>
    <row r="1017" spans="1:6">
      <c r="A1017" s="38">
        <v>44007</v>
      </c>
      <c r="B1017" s="79"/>
      <c r="C1017" s="53" t="s">
        <v>2074</v>
      </c>
      <c r="D1017" s="79"/>
      <c r="E1017" s="53" t="s">
        <v>2074</v>
      </c>
      <c r="F1017" s="53" t="s">
        <v>2075</v>
      </c>
    </row>
    <row r="1018" spans="1:6">
      <c r="A1018" s="38">
        <v>44018</v>
      </c>
      <c r="B1018" s="79"/>
      <c r="C1018" s="53" t="s">
        <v>2076</v>
      </c>
      <c r="D1018" s="79"/>
      <c r="E1018" s="53" t="s">
        <v>2077</v>
      </c>
      <c r="F1018" s="53" t="s">
        <v>2078</v>
      </c>
    </row>
    <row r="1019" spans="1:6">
      <c r="A1019" s="38">
        <v>44063</v>
      </c>
      <c r="B1019" s="79"/>
      <c r="C1019" s="53" t="s">
        <v>2079</v>
      </c>
      <c r="D1019" s="79"/>
      <c r="E1019" s="53" t="s">
        <v>2080</v>
      </c>
      <c r="F1019" s="53" t="s">
        <v>2081</v>
      </c>
    </row>
    <row r="1020" spans="1:6">
      <c r="A1020" s="38">
        <v>44054</v>
      </c>
      <c r="B1020" s="79"/>
      <c r="C1020" s="53" t="s">
        <v>2082</v>
      </c>
      <c r="D1020" s="79"/>
      <c r="E1020" s="53" t="s">
        <v>2083</v>
      </c>
      <c r="F1020" s="53" t="s">
        <v>2084</v>
      </c>
    </row>
    <row r="1021" spans="1:6">
      <c r="A1021" s="38">
        <v>44075</v>
      </c>
      <c r="B1021" s="79"/>
      <c r="C1021" s="53" t="s">
        <v>2085</v>
      </c>
      <c r="D1021" s="79"/>
      <c r="E1021" s="53" t="s">
        <v>2085</v>
      </c>
      <c r="F1021" s="53" t="s">
        <v>2086</v>
      </c>
    </row>
    <row r="1022" spans="1:6">
      <c r="A1022" s="38">
        <v>44075</v>
      </c>
      <c r="B1022" s="79"/>
      <c r="C1022" s="62" t="s">
        <v>2087</v>
      </c>
      <c r="D1022" s="79"/>
      <c r="E1022" s="62" t="s">
        <v>2088</v>
      </c>
      <c r="F1022" s="62" t="s">
        <v>2089</v>
      </c>
    </row>
    <row r="1023" spans="1:6">
      <c r="A1023" s="38">
        <v>44075</v>
      </c>
      <c r="B1023" s="78"/>
      <c r="C1023" s="78" t="s">
        <v>2090</v>
      </c>
      <c r="D1023" s="78"/>
      <c r="E1023" s="78" t="s">
        <v>2091</v>
      </c>
      <c r="F1023" s="78" t="s">
        <v>2092</v>
      </c>
    </row>
    <row r="1024" spans="1:6">
      <c r="A1024" s="38">
        <v>43840</v>
      </c>
      <c r="B1024" s="87"/>
      <c r="C1024" s="87" t="s">
        <v>2093</v>
      </c>
      <c r="D1024" s="87"/>
      <c r="E1024" s="87" t="s">
        <v>2094</v>
      </c>
      <c r="F1024" s="87" t="s">
        <v>2095</v>
      </c>
    </row>
    <row r="1025" spans="1:6">
      <c r="A1025" s="39">
        <v>44199</v>
      </c>
      <c r="B1025" s="27"/>
      <c r="C1025" s="27" t="s">
        <v>4615</v>
      </c>
      <c r="D1025" s="27"/>
      <c r="E1025" s="27" t="s">
        <v>4812</v>
      </c>
      <c r="F1025" s="27" t="s">
        <v>4813</v>
      </c>
    </row>
    <row r="1026" spans="1:6">
      <c r="A1026" s="39">
        <v>44199</v>
      </c>
      <c r="B1026" s="27"/>
      <c r="C1026" s="27" t="s">
        <v>4616</v>
      </c>
      <c r="D1026" s="27"/>
      <c r="E1026" s="27" t="s">
        <v>2085</v>
      </c>
      <c r="F1026" s="27" t="s">
        <v>2086</v>
      </c>
    </row>
    <row r="1027" spans="1:6">
      <c r="A1027" s="38">
        <v>43755</v>
      </c>
      <c r="B1027" s="79"/>
      <c r="C1027" s="79" t="s">
        <v>2096</v>
      </c>
      <c r="D1027" s="79"/>
      <c r="E1027" s="79" t="s">
        <v>2097</v>
      </c>
      <c r="F1027" s="79" t="s">
        <v>2098</v>
      </c>
    </row>
    <row r="1028" spans="1:6">
      <c r="A1028" s="38">
        <v>44120</v>
      </c>
      <c r="B1028" s="87"/>
      <c r="C1028" s="87" t="s">
        <v>2099</v>
      </c>
      <c r="D1028" s="87"/>
      <c r="E1028" s="87" t="s">
        <v>2100</v>
      </c>
      <c r="F1028" s="87" t="s">
        <v>2101</v>
      </c>
    </row>
    <row r="1029" spans="1:6">
      <c r="A1029" s="39">
        <v>44512</v>
      </c>
      <c r="B1029" s="27"/>
      <c r="C1029" s="27" t="s">
        <v>5938</v>
      </c>
      <c r="D1029" s="27"/>
      <c r="E1029" s="27" t="s">
        <v>5940</v>
      </c>
      <c r="F1029" s="27" t="s">
        <v>5939</v>
      </c>
    </row>
    <row r="1030" spans="1:6">
      <c r="A1030" s="38">
        <v>44075</v>
      </c>
      <c r="B1030" s="79"/>
      <c r="C1030" s="79" t="s">
        <v>2102</v>
      </c>
      <c r="D1030" s="79"/>
      <c r="E1030" s="79" t="s">
        <v>2103</v>
      </c>
      <c r="F1030" s="79" t="s">
        <v>2104</v>
      </c>
    </row>
    <row r="1031" spans="1:6">
      <c r="B1031" s="79"/>
      <c r="C1031" s="79" t="s">
        <v>2105</v>
      </c>
      <c r="D1031" s="79" t="s">
        <v>2106</v>
      </c>
      <c r="E1031" s="79" t="s">
        <v>2105</v>
      </c>
      <c r="F1031" s="79" t="s">
        <v>2107</v>
      </c>
    </row>
    <row r="1032" spans="1:6">
      <c r="A1032" s="38">
        <v>44019</v>
      </c>
      <c r="B1032" s="87"/>
      <c r="C1032" s="87" t="s">
        <v>2108</v>
      </c>
      <c r="D1032" s="87"/>
      <c r="E1032" s="87" t="s">
        <v>2109</v>
      </c>
      <c r="F1032" s="87" t="s">
        <v>2110</v>
      </c>
    </row>
    <row r="1033" spans="1:6">
      <c r="A1033" s="39">
        <v>44512</v>
      </c>
      <c r="B1033" s="27"/>
      <c r="C1033" s="27" t="s">
        <v>5968</v>
      </c>
      <c r="D1033" s="27"/>
      <c r="E1033" s="27" t="s">
        <v>5968</v>
      </c>
      <c r="F1033" s="27" t="s">
        <v>5969</v>
      </c>
    </row>
    <row r="1034" spans="1:6">
      <c r="A1034" s="38">
        <v>44083</v>
      </c>
      <c r="B1034" s="79"/>
      <c r="C1034" s="79" t="s">
        <v>2111</v>
      </c>
      <c r="D1034" s="79"/>
      <c r="E1034" s="79" t="s">
        <v>2112</v>
      </c>
      <c r="F1034" s="79" t="s">
        <v>2113</v>
      </c>
    </row>
    <row r="1035" spans="1:6">
      <c r="A1035" s="38">
        <v>43724</v>
      </c>
      <c r="B1035" s="53"/>
      <c r="C1035" s="53" t="s">
        <v>2114</v>
      </c>
      <c r="D1035" s="53"/>
      <c r="E1035" s="53" t="s">
        <v>2114</v>
      </c>
      <c r="F1035" s="53" t="s">
        <v>2115</v>
      </c>
    </row>
    <row r="1036" spans="1:6">
      <c r="A1036" s="38">
        <v>43467</v>
      </c>
      <c r="B1036" s="62"/>
      <c r="C1036" s="62" t="s">
        <v>2116</v>
      </c>
      <c r="D1036" s="62"/>
      <c r="E1036" s="62" t="s">
        <v>2117</v>
      </c>
      <c r="F1036" s="62" t="s">
        <v>2118</v>
      </c>
    </row>
    <row r="1037" spans="1:6">
      <c r="A1037" s="38">
        <v>44007</v>
      </c>
      <c r="B1037" s="78"/>
      <c r="C1037" s="78" t="s">
        <v>2119</v>
      </c>
      <c r="D1037" s="78"/>
      <c r="E1037" s="78" t="s">
        <v>2119</v>
      </c>
      <c r="F1037" s="78" t="s">
        <v>2120</v>
      </c>
    </row>
    <row r="1038" spans="1:6">
      <c r="A1038" s="38">
        <v>44082</v>
      </c>
      <c r="B1038" s="87"/>
      <c r="C1038" s="87" t="s">
        <v>2121</v>
      </c>
      <c r="D1038" s="87"/>
      <c r="E1038" s="87" t="s">
        <v>2121</v>
      </c>
      <c r="F1038" s="87" t="s">
        <v>2121</v>
      </c>
    </row>
    <row r="1039" spans="1:6">
      <c r="A1039" s="39">
        <v>44480</v>
      </c>
      <c r="B1039" s="27"/>
      <c r="C1039" s="48" t="s">
        <v>5720</v>
      </c>
      <c r="D1039" s="48" t="s">
        <v>5722</v>
      </c>
      <c r="E1039" s="48" t="s">
        <v>5723</v>
      </c>
      <c r="F1039" s="48" t="s">
        <v>5721</v>
      </c>
    </row>
    <row r="1040" spans="1:6">
      <c r="A1040" s="38">
        <v>44075</v>
      </c>
      <c r="B1040" s="61"/>
      <c r="C1040" s="61" t="s">
        <v>2122</v>
      </c>
      <c r="D1040" s="61"/>
      <c r="E1040" s="61" t="s">
        <v>2123</v>
      </c>
      <c r="F1040" s="61" t="s">
        <v>2124</v>
      </c>
    </row>
    <row r="1041" spans="1:6">
      <c r="A1041" s="38">
        <v>44075</v>
      </c>
      <c r="B1041" s="53"/>
      <c r="C1041" s="53" t="s">
        <v>2125</v>
      </c>
      <c r="D1041" s="53"/>
      <c r="E1041" s="53" t="s">
        <v>2126</v>
      </c>
      <c r="F1041" s="53" t="s">
        <v>2127</v>
      </c>
    </row>
    <row r="1042" spans="1:6">
      <c r="A1042" s="38">
        <v>44062</v>
      </c>
      <c r="B1042" s="79"/>
      <c r="C1042" s="79" t="s">
        <v>2128</v>
      </c>
      <c r="D1042" s="79"/>
      <c r="E1042" s="79" t="s">
        <v>2129</v>
      </c>
      <c r="F1042" s="79" t="s">
        <v>2130</v>
      </c>
    </row>
    <row r="1043" spans="1:6">
      <c r="A1043" s="38">
        <v>44062</v>
      </c>
      <c r="B1043" s="53"/>
      <c r="C1043" s="53" t="s">
        <v>2131</v>
      </c>
      <c r="D1043" s="53"/>
      <c r="E1043" s="53" t="s">
        <v>2132</v>
      </c>
      <c r="F1043" s="53" t="s">
        <v>2133</v>
      </c>
    </row>
    <row r="1044" spans="1:6">
      <c r="A1044" s="38">
        <v>44069</v>
      </c>
      <c r="B1044" s="79"/>
      <c r="C1044" s="79" t="s">
        <v>2134</v>
      </c>
      <c r="D1044" s="79"/>
      <c r="E1044" s="79" t="s">
        <v>2135</v>
      </c>
      <c r="F1044" s="79" t="s">
        <v>2136</v>
      </c>
    </row>
    <row r="1045" spans="1:6">
      <c r="A1045" s="38">
        <v>44089</v>
      </c>
      <c r="B1045" s="53"/>
      <c r="C1045" s="53" t="s">
        <v>2137</v>
      </c>
      <c r="D1045" s="53"/>
      <c r="E1045" s="53" t="s">
        <v>2138</v>
      </c>
      <c r="F1045" s="53" t="s">
        <v>2139</v>
      </c>
    </row>
    <row r="1046" spans="1:6">
      <c r="A1046" s="38">
        <v>43864</v>
      </c>
      <c r="B1046" s="53"/>
      <c r="C1046" s="53" t="s">
        <v>2140</v>
      </c>
      <c r="D1046" s="53"/>
      <c r="E1046" s="53" t="s">
        <v>2141</v>
      </c>
      <c r="F1046" s="53" t="s">
        <v>2142</v>
      </c>
    </row>
    <row r="1047" spans="1:6">
      <c r="A1047" s="38">
        <v>44159</v>
      </c>
      <c r="B1047" s="62"/>
      <c r="C1047" s="62" t="s">
        <v>2143</v>
      </c>
      <c r="D1047" s="62"/>
      <c r="E1047" s="62" t="s">
        <v>2144</v>
      </c>
      <c r="F1047" s="62" t="s">
        <v>2145</v>
      </c>
    </row>
    <row r="1048" spans="1:6">
      <c r="A1048" s="38">
        <v>43637</v>
      </c>
      <c r="B1048" s="78"/>
      <c r="C1048" s="78" t="s">
        <v>2146</v>
      </c>
      <c r="D1048" s="78" t="s">
        <v>2147</v>
      </c>
      <c r="E1048" s="78" t="s">
        <v>2148</v>
      </c>
      <c r="F1048" s="78" t="s">
        <v>2149</v>
      </c>
    </row>
    <row r="1049" spans="1:6">
      <c r="A1049" s="38">
        <v>43864</v>
      </c>
      <c r="B1049" s="87"/>
      <c r="C1049" s="87" t="s">
        <v>2150</v>
      </c>
      <c r="D1049" s="87"/>
      <c r="E1049" s="87" t="s">
        <v>2150</v>
      </c>
      <c r="F1049" s="87" t="s">
        <v>2151</v>
      </c>
    </row>
    <row r="1050" spans="1:6">
      <c r="A1050" s="39">
        <v>44199</v>
      </c>
      <c r="B1050" s="27"/>
      <c r="C1050" s="27" t="s">
        <v>4617</v>
      </c>
      <c r="D1050" s="27"/>
      <c r="E1050" s="27" t="s">
        <v>4814</v>
      </c>
      <c r="F1050" s="27" t="s">
        <v>4815</v>
      </c>
    </row>
    <row r="1051" spans="1:6">
      <c r="A1051" s="39">
        <v>44301</v>
      </c>
      <c r="B1051" s="27">
        <v>0</v>
      </c>
      <c r="C1051" s="27" t="s">
        <v>5649</v>
      </c>
      <c r="D1051" s="27"/>
      <c r="E1051" s="27" t="s">
        <v>5650</v>
      </c>
      <c r="F1051" s="27" t="s">
        <v>5651</v>
      </c>
    </row>
    <row r="1052" spans="1:6">
      <c r="A1052" s="39">
        <v>44270</v>
      </c>
      <c r="B1052" s="27"/>
      <c r="C1052" s="27" t="s">
        <v>5558</v>
      </c>
      <c r="D1052" s="27"/>
      <c r="E1052" s="27" t="s">
        <v>5559</v>
      </c>
      <c r="F1052" s="27" t="s">
        <v>5560</v>
      </c>
    </row>
    <row r="1053" spans="1:6">
      <c r="A1053" s="38">
        <v>44063</v>
      </c>
      <c r="B1053" s="78"/>
      <c r="C1053" s="78" t="s">
        <v>2152</v>
      </c>
      <c r="D1053" s="78"/>
      <c r="E1053" s="78" t="s">
        <v>2153</v>
      </c>
      <c r="F1053" s="78" t="s">
        <v>2154</v>
      </c>
    </row>
    <row r="1054" spans="1:6">
      <c r="A1054" s="38">
        <v>44172</v>
      </c>
      <c r="B1054" s="87"/>
      <c r="C1054" s="87" t="s">
        <v>2155</v>
      </c>
      <c r="D1054" s="87"/>
      <c r="E1054" s="87" t="s">
        <v>2155</v>
      </c>
      <c r="F1054" s="87" t="s">
        <v>2156</v>
      </c>
    </row>
    <row r="1055" spans="1:6">
      <c r="A1055" s="39">
        <v>44509</v>
      </c>
      <c r="B1055" s="27"/>
      <c r="C1055" s="27" t="s">
        <v>5742</v>
      </c>
      <c r="D1055" s="27"/>
      <c r="E1055" s="27" t="s">
        <v>5743</v>
      </c>
      <c r="F1055" s="27" t="s">
        <v>5744</v>
      </c>
    </row>
    <row r="1056" spans="1:6">
      <c r="A1056" s="40">
        <v>44230</v>
      </c>
      <c r="B1056" s="34"/>
      <c r="C1056" s="34" t="s">
        <v>5477</v>
      </c>
      <c r="D1056" s="34"/>
      <c r="E1056" s="34" t="s">
        <v>5478</v>
      </c>
      <c r="F1056" s="34" t="s">
        <v>5479</v>
      </c>
    </row>
    <row r="1057" spans="1:6">
      <c r="A1057" s="39">
        <v>44199</v>
      </c>
      <c r="B1057" s="27"/>
      <c r="C1057" s="27" t="s">
        <v>4618</v>
      </c>
      <c r="D1057" s="27"/>
      <c r="E1057" s="27" t="s">
        <v>4618</v>
      </c>
      <c r="F1057" s="27" t="s">
        <v>4816</v>
      </c>
    </row>
    <row r="1058" spans="1:6">
      <c r="A1058" s="38">
        <v>43725</v>
      </c>
      <c r="B1058" s="87"/>
      <c r="C1058" s="87" t="s">
        <v>2157</v>
      </c>
      <c r="D1058" s="87" t="s">
        <v>2158</v>
      </c>
      <c r="E1058" s="87" t="s">
        <v>2159</v>
      </c>
      <c r="F1058" s="87" t="s">
        <v>2160</v>
      </c>
    </row>
    <row r="1059" spans="1:6">
      <c r="A1059" s="39">
        <v>44512</v>
      </c>
      <c r="B1059" s="27"/>
      <c r="C1059" s="27" t="s">
        <v>6019</v>
      </c>
      <c r="D1059" s="27"/>
      <c r="E1059" s="27" t="s">
        <v>6019</v>
      </c>
      <c r="F1059" s="27" t="s">
        <v>6020</v>
      </c>
    </row>
    <row r="1060" spans="1:6">
      <c r="A1060" s="39">
        <v>44199</v>
      </c>
      <c r="B1060" s="27"/>
      <c r="C1060" s="27" t="s">
        <v>4619</v>
      </c>
      <c r="D1060" s="27"/>
      <c r="E1060" s="27" t="s">
        <v>4619</v>
      </c>
      <c r="F1060" s="27" t="s">
        <v>4619</v>
      </c>
    </row>
    <row r="1061" spans="1:6">
      <c r="A1061" s="38">
        <v>43644</v>
      </c>
      <c r="B1061" s="87"/>
      <c r="C1061" s="87" t="s">
        <v>2161</v>
      </c>
      <c r="D1061" s="87"/>
      <c r="E1061" s="87" t="s">
        <v>2162</v>
      </c>
      <c r="F1061" s="87" t="s">
        <v>2163</v>
      </c>
    </row>
    <row r="1062" spans="1:6">
      <c r="A1062" s="39">
        <v>44301</v>
      </c>
      <c r="B1062" s="27">
        <v>1</v>
      </c>
      <c r="C1062" s="27" t="s">
        <v>5652</v>
      </c>
      <c r="D1062" s="27"/>
      <c r="E1062" s="27" t="s">
        <v>5653</v>
      </c>
      <c r="F1062" s="27" t="s">
        <v>5654</v>
      </c>
    </row>
    <row r="1063" spans="1:6">
      <c r="A1063" s="38">
        <v>43725</v>
      </c>
      <c r="B1063" s="61"/>
      <c r="C1063" s="61" t="s">
        <v>2164</v>
      </c>
      <c r="D1063" s="61" t="s">
        <v>2165</v>
      </c>
      <c r="E1063" s="61" t="s">
        <v>2166</v>
      </c>
      <c r="F1063" s="61" t="s">
        <v>2167</v>
      </c>
    </row>
    <row r="1064" spans="1:6">
      <c r="A1064" s="38">
        <v>44120</v>
      </c>
      <c r="B1064" s="53"/>
      <c r="C1064" s="53" t="s">
        <v>2168</v>
      </c>
      <c r="D1064" s="53"/>
      <c r="E1064" s="53" t="s">
        <v>2169</v>
      </c>
      <c r="F1064" s="53" t="s">
        <v>2170</v>
      </c>
    </row>
    <row r="1065" spans="1:6">
      <c r="A1065" s="38">
        <v>44120</v>
      </c>
      <c r="B1065" s="79"/>
      <c r="C1065" s="79" t="s">
        <v>2171</v>
      </c>
      <c r="D1065" s="79"/>
      <c r="E1065" s="79" t="s">
        <v>2172</v>
      </c>
      <c r="F1065" s="79" t="s">
        <v>2173</v>
      </c>
    </row>
    <row r="1066" spans="1:6">
      <c r="A1066" s="38">
        <v>44120</v>
      </c>
      <c r="B1066" s="79"/>
      <c r="C1066" s="79" t="s">
        <v>2174</v>
      </c>
      <c r="D1066" s="79"/>
      <c r="E1066" s="79" t="s">
        <v>2175</v>
      </c>
      <c r="F1066" s="79" t="s">
        <v>2176</v>
      </c>
    </row>
    <row r="1067" spans="1:6">
      <c r="A1067" s="38">
        <v>44029</v>
      </c>
      <c r="B1067" s="79"/>
      <c r="C1067" s="79" t="s">
        <v>2177</v>
      </c>
      <c r="D1067" s="79"/>
      <c r="E1067" s="79" t="s">
        <v>2177</v>
      </c>
      <c r="F1067" s="79" t="s">
        <v>2178</v>
      </c>
    </row>
    <row r="1068" spans="1:6">
      <c r="A1068" s="38">
        <v>43493</v>
      </c>
      <c r="B1068" s="87"/>
      <c r="C1068" s="87" t="s">
        <v>2179</v>
      </c>
      <c r="D1068" s="87"/>
      <c r="E1068" s="87" t="s">
        <v>2180</v>
      </c>
      <c r="F1068" s="87" t="s">
        <v>2181</v>
      </c>
    </row>
    <row r="1069" spans="1:6">
      <c r="A1069" s="39">
        <v>44199</v>
      </c>
      <c r="B1069" s="27"/>
      <c r="C1069" s="27" t="s">
        <v>4620</v>
      </c>
      <c r="D1069" s="27"/>
      <c r="E1069" s="27" t="s">
        <v>4817</v>
      </c>
      <c r="F1069" s="27" t="s">
        <v>4818</v>
      </c>
    </row>
    <row r="1070" spans="1:6">
      <c r="A1070" s="38">
        <v>43493</v>
      </c>
      <c r="B1070" s="78"/>
      <c r="C1070" s="78" t="s">
        <v>2182</v>
      </c>
      <c r="D1070" s="78"/>
      <c r="E1070" s="78" t="s">
        <v>2183</v>
      </c>
      <c r="F1070" s="78" t="s">
        <v>2184</v>
      </c>
    </row>
    <row r="1071" spans="1:6">
      <c r="A1071" s="38">
        <v>44053</v>
      </c>
      <c r="B1071" s="87"/>
      <c r="C1071" s="87" t="s">
        <v>2185</v>
      </c>
      <c r="D1071" s="87"/>
      <c r="E1071" s="87" t="s">
        <v>2186</v>
      </c>
      <c r="F1071" s="87" t="s">
        <v>2187</v>
      </c>
    </row>
    <row r="1072" spans="1:6">
      <c r="A1072" s="39">
        <v>44199</v>
      </c>
      <c r="B1072" s="27"/>
      <c r="C1072" s="27" t="s">
        <v>4621</v>
      </c>
      <c r="D1072" s="27"/>
      <c r="E1072" s="27" t="s">
        <v>4819</v>
      </c>
      <c r="F1072" s="27" t="s">
        <v>4820</v>
      </c>
    </row>
    <row r="1073" spans="1:6">
      <c r="A1073" s="39">
        <v>44199</v>
      </c>
      <c r="B1073" s="27"/>
      <c r="C1073" s="27" t="s">
        <v>4622</v>
      </c>
      <c r="D1073" s="27"/>
      <c r="E1073" s="27" t="s">
        <v>4821</v>
      </c>
      <c r="F1073" s="27" t="s">
        <v>4822</v>
      </c>
    </row>
    <row r="1074" spans="1:6">
      <c r="A1074" s="38">
        <v>43493</v>
      </c>
      <c r="B1074" s="78"/>
      <c r="C1074" s="78" t="s">
        <v>2188</v>
      </c>
      <c r="D1074" s="78"/>
      <c r="E1074" s="78" t="s">
        <v>2189</v>
      </c>
      <c r="F1074" s="78" t="s">
        <v>2190</v>
      </c>
    </row>
    <row r="1075" spans="1:6">
      <c r="A1075" s="38">
        <v>43493</v>
      </c>
      <c r="B1075" s="87"/>
      <c r="C1075" s="87" t="s">
        <v>2191</v>
      </c>
      <c r="D1075" s="87"/>
      <c r="E1075" s="87" t="s">
        <v>2192</v>
      </c>
      <c r="F1075" s="87" t="s">
        <v>2193</v>
      </c>
    </row>
    <row r="1076" spans="1:6">
      <c r="A1076" s="39">
        <v>44509</v>
      </c>
      <c r="B1076" s="27"/>
      <c r="C1076" s="27" t="s">
        <v>5757</v>
      </c>
      <c r="D1076" s="27"/>
      <c r="E1076" s="27" t="s">
        <v>5758</v>
      </c>
      <c r="F1076" s="27" t="s">
        <v>5759</v>
      </c>
    </row>
    <row r="1077" spans="1:6">
      <c r="A1077" s="38">
        <v>43124</v>
      </c>
      <c r="B1077" s="87"/>
      <c r="C1077" s="87" t="s">
        <v>2194</v>
      </c>
      <c r="D1077" s="87" t="s">
        <v>2195</v>
      </c>
      <c r="E1077" s="87" t="s">
        <v>2196</v>
      </c>
      <c r="F1077" s="87" t="s">
        <v>2197</v>
      </c>
    </row>
    <row r="1078" spans="1:6">
      <c r="A1078" s="39">
        <v>44199</v>
      </c>
      <c r="B1078" s="27"/>
      <c r="C1078" s="27" t="s">
        <v>4623</v>
      </c>
      <c r="D1078" s="27"/>
      <c r="E1078" s="27" t="s">
        <v>4823</v>
      </c>
      <c r="F1078" s="27" t="s">
        <v>4824</v>
      </c>
    </row>
    <row r="1079" spans="1:6">
      <c r="A1079" s="38">
        <v>44123</v>
      </c>
      <c r="B1079" s="79"/>
      <c r="C1079" s="79" t="s">
        <v>2198</v>
      </c>
      <c r="D1079" s="79"/>
      <c r="E1079" s="79" t="s">
        <v>2199</v>
      </c>
      <c r="F1079" s="79" t="s">
        <v>2200</v>
      </c>
    </row>
    <row r="1080" spans="1:6">
      <c r="A1080" s="38">
        <v>44013</v>
      </c>
      <c r="B1080" s="79"/>
      <c r="C1080" s="79" t="s">
        <v>2201</v>
      </c>
      <c r="D1080" s="79"/>
      <c r="E1080" s="79" t="s">
        <v>2202</v>
      </c>
      <c r="F1080" s="79" t="s">
        <v>2203</v>
      </c>
    </row>
    <row r="1081" spans="1:6">
      <c r="A1081" s="38">
        <v>44013</v>
      </c>
      <c r="B1081" s="62"/>
      <c r="C1081" s="62" t="s">
        <v>2204</v>
      </c>
      <c r="D1081" s="62"/>
      <c r="E1081" s="62" t="s">
        <v>2205</v>
      </c>
      <c r="F1081" s="62" t="s">
        <v>2206</v>
      </c>
    </row>
    <row r="1082" spans="1:6">
      <c r="A1082" s="38">
        <v>43991</v>
      </c>
      <c r="B1082" s="78"/>
      <c r="C1082" s="78" t="s">
        <v>2207</v>
      </c>
      <c r="D1082" s="78"/>
      <c r="E1082" s="78" t="s">
        <v>2208</v>
      </c>
      <c r="F1082" s="78" t="s">
        <v>2209</v>
      </c>
    </row>
    <row r="1083" spans="1:6">
      <c r="A1083" s="38">
        <v>43989</v>
      </c>
      <c r="B1083" s="87"/>
      <c r="C1083" s="87" t="s">
        <v>2210</v>
      </c>
      <c r="D1083" s="87"/>
      <c r="E1083" s="87" t="s">
        <v>2211</v>
      </c>
      <c r="F1083" s="87" t="s">
        <v>2212</v>
      </c>
    </row>
    <row r="1084" spans="1:6">
      <c r="A1084" s="39">
        <v>44199</v>
      </c>
      <c r="B1084" s="27"/>
      <c r="C1084" s="27" t="s">
        <v>4624</v>
      </c>
      <c r="D1084" s="27"/>
      <c r="E1084" s="27" t="s">
        <v>2214</v>
      </c>
      <c r="F1084" s="27" t="s">
        <v>2215</v>
      </c>
    </row>
    <row r="1085" spans="1:6">
      <c r="A1085" s="38">
        <v>44082</v>
      </c>
      <c r="B1085" s="78"/>
      <c r="C1085" s="78" t="s">
        <v>2213</v>
      </c>
      <c r="D1085" s="78"/>
      <c r="E1085" s="78" t="s">
        <v>2214</v>
      </c>
      <c r="F1085" s="78" t="s">
        <v>2215</v>
      </c>
    </row>
    <row r="1086" spans="1:6">
      <c r="A1086" s="38">
        <v>44013</v>
      </c>
      <c r="B1086" s="87"/>
      <c r="C1086" s="87" t="s">
        <v>2216</v>
      </c>
      <c r="D1086" s="87"/>
      <c r="E1086" s="87" t="s">
        <v>2217</v>
      </c>
      <c r="F1086" s="87" t="s">
        <v>2218</v>
      </c>
    </row>
    <row r="1087" spans="1:6">
      <c r="A1087" s="39">
        <v>44510</v>
      </c>
      <c r="B1087" s="27"/>
      <c r="C1087" s="27" t="s">
        <v>5853</v>
      </c>
      <c r="D1087" s="27"/>
      <c r="E1087" s="27" t="s">
        <v>5850</v>
      </c>
      <c r="F1087" s="27" t="s">
        <v>5852</v>
      </c>
    </row>
    <row r="1088" spans="1:6">
      <c r="A1088" s="39">
        <v>44200</v>
      </c>
      <c r="B1088" s="27"/>
      <c r="C1088" s="27" t="s">
        <v>5082</v>
      </c>
      <c r="D1088" s="27"/>
      <c r="E1088" s="27" t="s">
        <v>5082</v>
      </c>
      <c r="F1088" s="27" t="s">
        <v>5416</v>
      </c>
    </row>
    <row r="1089" spans="1:6">
      <c r="A1089" s="39">
        <v>44199</v>
      </c>
      <c r="B1089" s="27"/>
      <c r="C1089" s="27" t="s">
        <v>4625</v>
      </c>
      <c r="D1089" s="27"/>
      <c r="E1089" s="27" t="s">
        <v>4825</v>
      </c>
      <c r="F1089" s="27" t="s">
        <v>4826</v>
      </c>
    </row>
    <row r="1090" spans="1:6">
      <c r="A1090" s="39">
        <v>44199</v>
      </c>
      <c r="B1090" s="27"/>
      <c r="C1090" s="27" t="s">
        <v>4626</v>
      </c>
      <c r="D1090" s="27"/>
      <c r="E1090" s="27" t="s">
        <v>4626</v>
      </c>
      <c r="F1090" s="27" t="s">
        <v>4827</v>
      </c>
    </row>
    <row r="1091" spans="1:6">
      <c r="A1091" s="39">
        <v>44199</v>
      </c>
      <c r="B1091" s="27"/>
      <c r="C1091" s="27" t="s">
        <v>4627</v>
      </c>
      <c r="D1091" s="27"/>
      <c r="E1091" s="27" t="s">
        <v>4627</v>
      </c>
      <c r="F1091" s="27" t="s">
        <v>4828</v>
      </c>
    </row>
    <row r="1092" spans="1:6">
      <c r="A1092" s="39">
        <v>44199</v>
      </c>
      <c r="B1092" s="27"/>
      <c r="C1092" s="27" t="s">
        <v>4628</v>
      </c>
      <c r="D1092" s="27"/>
      <c r="E1092" s="27" t="s">
        <v>4628</v>
      </c>
      <c r="F1092" s="27" t="s">
        <v>4829</v>
      </c>
    </row>
    <row r="1093" spans="1:6">
      <c r="A1093" s="39">
        <v>44199</v>
      </c>
      <c r="B1093" s="27"/>
      <c r="C1093" s="27" t="s">
        <v>4629</v>
      </c>
      <c r="D1093" s="27"/>
      <c r="E1093" s="27" t="s">
        <v>4629</v>
      </c>
      <c r="F1093" s="27" t="s">
        <v>4830</v>
      </c>
    </row>
    <row r="1094" spans="1:6">
      <c r="A1094" s="39">
        <v>44510</v>
      </c>
      <c r="B1094" s="27"/>
      <c r="C1094" s="27" t="s">
        <v>5899</v>
      </c>
      <c r="D1094" s="27"/>
      <c r="E1094" s="27" t="s">
        <v>5899</v>
      </c>
      <c r="F1094" s="27" t="s">
        <v>5899</v>
      </c>
    </row>
    <row r="1095" spans="1:6">
      <c r="A1095" s="39">
        <v>44200</v>
      </c>
      <c r="B1095" s="27"/>
      <c r="C1095" s="27" t="s">
        <v>5083</v>
      </c>
      <c r="D1095" s="27"/>
      <c r="E1095" s="27" t="s">
        <v>5251</v>
      </c>
      <c r="F1095" s="27" t="s">
        <v>5417</v>
      </c>
    </row>
    <row r="1096" spans="1:6">
      <c r="A1096" s="39">
        <v>44200</v>
      </c>
      <c r="B1096" s="27"/>
      <c r="C1096" s="27" t="s">
        <v>5084</v>
      </c>
      <c r="D1096" s="27"/>
      <c r="E1096" s="27" t="s">
        <v>5252</v>
      </c>
      <c r="F1096" s="27" t="s">
        <v>5418</v>
      </c>
    </row>
    <row r="1097" spans="1:6">
      <c r="A1097" s="39">
        <v>44200</v>
      </c>
      <c r="B1097" s="27"/>
      <c r="C1097" s="27" t="s">
        <v>5085</v>
      </c>
      <c r="D1097" s="27"/>
      <c r="E1097" s="27" t="s">
        <v>5253</v>
      </c>
      <c r="F1097" s="27" t="s">
        <v>5419</v>
      </c>
    </row>
    <row r="1098" spans="1:6">
      <c r="A1098" s="39">
        <v>44200</v>
      </c>
      <c r="B1098" s="27"/>
      <c r="C1098" s="27" t="s">
        <v>5086</v>
      </c>
      <c r="D1098" s="27"/>
      <c r="E1098" s="27" t="s">
        <v>5254</v>
      </c>
      <c r="F1098" s="27" t="s">
        <v>5420</v>
      </c>
    </row>
    <row r="1099" spans="1:6">
      <c r="A1099" s="39">
        <v>44200</v>
      </c>
      <c r="B1099" s="27"/>
      <c r="C1099" s="27" t="s">
        <v>5087</v>
      </c>
      <c r="D1099" s="27"/>
      <c r="E1099" s="27" t="s">
        <v>5255</v>
      </c>
      <c r="F1099" s="27" t="s">
        <v>5421</v>
      </c>
    </row>
    <row r="1100" spans="1:6">
      <c r="A1100" s="39">
        <v>44200</v>
      </c>
      <c r="B1100" s="27"/>
      <c r="C1100" s="27" t="s">
        <v>5088</v>
      </c>
      <c r="D1100" s="27"/>
      <c r="E1100" s="27" t="s">
        <v>5256</v>
      </c>
      <c r="F1100" s="27" t="s">
        <v>5422</v>
      </c>
    </row>
    <row r="1101" spans="1:6">
      <c r="A1101" s="39">
        <v>44200</v>
      </c>
      <c r="B1101" s="27"/>
      <c r="C1101" s="27" t="s">
        <v>5089</v>
      </c>
      <c r="D1101" s="27"/>
      <c r="E1101" s="27" t="s">
        <v>5257</v>
      </c>
      <c r="F1101" s="27" t="s">
        <v>5423</v>
      </c>
    </row>
    <row r="1102" spans="1:6">
      <c r="A1102" s="39">
        <v>44236</v>
      </c>
      <c r="B1102" s="27"/>
      <c r="C1102" s="27" t="s">
        <v>5508</v>
      </c>
      <c r="D1102" s="27"/>
      <c r="E1102" s="27" t="s">
        <v>5509</v>
      </c>
      <c r="F1102" s="27" t="s">
        <v>5510</v>
      </c>
    </row>
    <row r="1103" spans="1:6">
      <c r="A1103" s="38">
        <v>43392</v>
      </c>
      <c r="B1103" s="79"/>
      <c r="C1103" s="79" t="s">
        <v>2219</v>
      </c>
      <c r="D1103" s="79"/>
      <c r="E1103" s="79" t="s">
        <v>2220</v>
      </c>
      <c r="F1103" s="79" t="s">
        <v>2221</v>
      </c>
    </row>
    <row r="1104" spans="1:6">
      <c r="A1104" s="38">
        <v>44014</v>
      </c>
      <c r="B1104" s="53"/>
      <c r="C1104" s="53" t="s">
        <v>2222</v>
      </c>
      <c r="D1104" s="53"/>
      <c r="E1104" s="53" t="s">
        <v>2223</v>
      </c>
      <c r="F1104" s="53" t="s">
        <v>2224</v>
      </c>
    </row>
    <row r="1105" spans="1:6">
      <c r="A1105" s="38">
        <v>43524</v>
      </c>
      <c r="B1105" s="79"/>
      <c r="C1105" s="79" t="s">
        <v>2225</v>
      </c>
      <c r="D1105" s="79" t="s">
        <v>2226</v>
      </c>
      <c r="E1105" s="79" t="s">
        <v>2227</v>
      </c>
      <c r="F1105" s="79" t="s">
        <v>2228</v>
      </c>
    </row>
    <row r="1106" spans="1:6">
      <c r="A1106" s="38">
        <v>43741</v>
      </c>
      <c r="B1106" s="53"/>
      <c r="C1106" s="53" t="s">
        <v>2229</v>
      </c>
      <c r="D1106" s="53"/>
      <c r="E1106" s="53" t="s">
        <v>2230</v>
      </c>
      <c r="F1106" s="53" t="s">
        <v>2231</v>
      </c>
    </row>
    <row r="1107" spans="1:6">
      <c r="A1107" s="38">
        <v>43634</v>
      </c>
      <c r="B1107" s="53"/>
      <c r="C1107" s="53" t="s">
        <v>2232</v>
      </c>
      <c r="D1107" s="53"/>
      <c r="E1107" s="53" t="s">
        <v>2233</v>
      </c>
      <c r="F1107" s="53" t="s">
        <v>2234</v>
      </c>
    </row>
    <row r="1108" spans="1:6">
      <c r="A1108" s="38">
        <v>44040</v>
      </c>
      <c r="B1108" s="53"/>
      <c r="C1108" s="53" t="s">
        <v>2235</v>
      </c>
      <c r="D1108" s="53"/>
      <c r="E1108" s="53" t="s">
        <v>2236</v>
      </c>
      <c r="F1108" s="53" t="s">
        <v>2237</v>
      </c>
    </row>
    <row r="1109" spans="1:6">
      <c r="A1109" s="38">
        <v>43725</v>
      </c>
      <c r="B1109" s="79"/>
      <c r="C1109" s="79" t="s">
        <v>2238</v>
      </c>
      <c r="D1109" s="79"/>
      <c r="E1109" s="79" t="s">
        <v>2239</v>
      </c>
      <c r="F1109" s="79" t="s">
        <v>2240</v>
      </c>
    </row>
    <row r="1110" spans="1:6">
      <c r="A1110" s="38">
        <v>44013</v>
      </c>
      <c r="B1110" s="78"/>
      <c r="C1110" s="78" t="s">
        <v>2241</v>
      </c>
      <c r="D1110" s="78"/>
      <c r="E1110" s="78" t="s">
        <v>2242</v>
      </c>
      <c r="F1110" s="78" t="s">
        <v>2243</v>
      </c>
    </row>
    <row r="1111" spans="1:6">
      <c r="A1111" s="38">
        <v>44041</v>
      </c>
      <c r="B1111" s="87"/>
      <c r="C1111" s="87" t="s">
        <v>2244</v>
      </c>
      <c r="D1111" s="87"/>
      <c r="E1111" s="87" t="s">
        <v>2245</v>
      </c>
      <c r="F1111" s="87" t="s">
        <v>2246</v>
      </c>
    </row>
    <row r="1112" spans="1:6">
      <c r="A1112" s="39">
        <v>44199</v>
      </c>
      <c r="B1112" s="27"/>
      <c r="C1112" s="27" t="s">
        <v>4630</v>
      </c>
      <c r="D1112" s="27"/>
      <c r="E1112" s="27" t="s">
        <v>4831</v>
      </c>
      <c r="F1112" s="27" t="s">
        <v>4832</v>
      </c>
    </row>
    <row r="1113" spans="1:6">
      <c r="A1113" s="39">
        <v>44199</v>
      </c>
      <c r="B1113" s="27"/>
      <c r="C1113" s="27" t="s">
        <v>4631</v>
      </c>
      <c r="D1113" s="27"/>
      <c r="E1113" s="27" t="s">
        <v>4833</v>
      </c>
      <c r="F1113" s="27" t="s">
        <v>4834</v>
      </c>
    </row>
    <row r="1114" spans="1:6">
      <c r="A1114" s="39">
        <v>44199</v>
      </c>
      <c r="B1114" s="27"/>
      <c r="C1114" s="27" t="s">
        <v>4632</v>
      </c>
      <c r="D1114" s="27"/>
      <c r="E1114" s="27" t="s">
        <v>4835</v>
      </c>
      <c r="F1114" s="27" t="s">
        <v>4836</v>
      </c>
    </row>
    <row r="1115" spans="1:6">
      <c r="A1115" s="39">
        <v>44199</v>
      </c>
      <c r="B1115" s="27"/>
      <c r="C1115" s="27" t="s">
        <v>4633</v>
      </c>
      <c r="D1115" s="27"/>
      <c r="E1115" s="27" t="s">
        <v>4837</v>
      </c>
      <c r="F1115" s="27" t="s">
        <v>4838</v>
      </c>
    </row>
    <row r="1116" spans="1:6">
      <c r="A1116" s="38">
        <v>43454</v>
      </c>
      <c r="B1116" s="78"/>
      <c r="C1116" s="78" t="s">
        <v>2247</v>
      </c>
      <c r="D1116" s="78"/>
      <c r="E1116" s="78" t="s">
        <v>2248</v>
      </c>
      <c r="F1116" s="78" t="s">
        <v>2249</v>
      </c>
    </row>
    <row r="1117" spans="1:6">
      <c r="A1117" s="38">
        <v>44054</v>
      </c>
      <c r="B1117" s="87"/>
      <c r="C1117" s="87" t="s">
        <v>2250</v>
      </c>
      <c r="D1117" s="87"/>
      <c r="E1117" s="87" t="s">
        <v>2251</v>
      </c>
      <c r="F1117" s="87" t="s">
        <v>2252</v>
      </c>
    </row>
    <row r="1118" spans="1:6">
      <c r="A1118" s="39">
        <v>44199</v>
      </c>
      <c r="B1118" s="27"/>
      <c r="C1118" s="27" t="s">
        <v>4634</v>
      </c>
      <c r="D1118" s="27"/>
      <c r="E1118" s="27" t="s">
        <v>4839</v>
      </c>
      <c r="F1118" s="27" t="s">
        <v>4840</v>
      </c>
    </row>
    <row r="1119" spans="1:6">
      <c r="A1119" s="38">
        <v>43754</v>
      </c>
      <c r="B1119" s="79"/>
      <c r="C1119" s="79" t="s">
        <v>2253</v>
      </c>
      <c r="D1119" s="79"/>
      <c r="E1119" s="79" t="s">
        <v>2254</v>
      </c>
      <c r="F1119" s="79" t="s">
        <v>2255</v>
      </c>
    </row>
    <row r="1120" spans="1:6">
      <c r="A1120" s="38">
        <v>44043</v>
      </c>
      <c r="B1120" s="79"/>
      <c r="C1120" s="79" t="s">
        <v>2256</v>
      </c>
      <c r="D1120" s="79"/>
      <c r="E1120" s="79" t="s">
        <v>2257</v>
      </c>
      <c r="F1120" s="79" t="s">
        <v>2258</v>
      </c>
    </row>
    <row r="1121" spans="1:6">
      <c r="A1121" s="38">
        <v>44083</v>
      </c>
      <c r="B1121" s="87"/>
      <c r="C1121" s="87" t="s">
        <v>2259</v>
      </c>
      <c r="D1121" s="87"/>
      <c r="E1121" s="87" t="s">
        <v>2259</v>
      </c>
      <c r="F1121" s="87" t="s">
        <v>2260</v>
      </c>
    </row>
    <row r="1122" spans="1:6">
      <c r="A1122" s="39">
        <v>44200</v>
      </c>
      <c r="B1122" s="27"/>
      <c r="C1122" s="27" t="s">
        <v>5090</v>
      </c>
      <c r="D1122" s="27"/>
      <c r="E1122" s="27" t="s">
        <v>5258</v>
      </c>
      <c r="F1122" s="27" t="s">
        <v>5424</v>
      </c>
    </row>
    <row r="1123" spans="1:6">
      <c r="A1123" s="39">
        <v>44509</v>
      </c>
      <c r="B1123" s="27"/>
      <c r="C1123" s="27" t="s">
        <v>5773</v>
      </c>
      <c r="D1123" s="27"/>
      <c r="E1123" s="27" t="s">
        <v>5773</v>
      </c>
      <c r="F1123" s="27" t="s">
        <v>5775</v>
      </c>
    </row>
    <row r="1124" spans="1:6">
      <c r="A1124" s="38">
        <v>43700</v>
      </c>
      <c r="B1124" s="61"/>
      <c r="C1124" s="61" t="s">
        <v>2261</v>
      </c>
      <c r="D1124" s="61"/>
      <c r="E1124" s="61" t="s">
        <v>2262</v>
      </c>
      <c r="F1124" s="61" t="s">
        <v>2261</v>
      </c>
    </row>
    <row r="1125" spans="1:6">
      <c r="A1125" s="38">
        <v>44082</v>
      </c>
      <c r="B1125" s="79"/>
      <c r="C1125" s="79" t="s">
        <v>2263</v>
      </c>
      <c r="D1125" s="79"/>
      <c r="E1125" s="79" t="s">
        <v>2263</v>
      </c>
      <c r="F1125" s="79" t="s">
        <v>2264</v>
      </c>
    </row>
    <row r="1126" spans="1:6">
      <c r="A1126" s="38">
        <v>43840</v>
      </c>
      <c r="B1126" s="53"/>
      <c r="C1126" s="53" t="s">
        <v>2265</v>
      </c>
      <c r="D1126" s="53"/>
      <c r="E1126" s="53" t="s">
        <v>2266</v>
      </c>
      <c r="F1126" s="53" t="s">
        <v>2267</v>
      </c>
    </row>
    <row r="1127" spans="1:6">
      <c r="A1127" s="38">
        <v>44172</v>
      </c>
      <c r="B1127" s="79"/>
      <c r="C1127" s="79" t="s">
        <v>2268</v>
      </c>
      <c r="D1127" s="79"/>
      <c r="E1127" s="79" t="s">
        <v>2269</v>
      </c>
      <c r="F1127" s="79" t="s">
        <v>2270</v>
      </c>
    </row>
    <row r="1128" spans="1:6">
      <c r="A1128" s="38">
        <v>43530</v>
      </c>
      <c r="B1128" s="78"/>
      <c r="C1128" s="78" t="s">
        <v>2271</v>
      </c>
      <c r="D1128" s="78"/>
      <c r="E1128" s="78" t="s">
        <v>2272</v>
      </c>
      <c r="F1128" s="78" t="s">
        <v>2273</v>
      </c>
    </row>
    <row r="1129" spans="1:6">
      <c r="A1129" s="38">
        <v>43894</v>
      </c>
      <c r="B1129" s="87"/>
      <c r="C1129" s="87" t="s">
        <v>2274</v>
      </c>
      <c r="D1129" s="87"/>
      <c r="E1129" s="87" t="s">
        <v>2275</v>
      </c>
      <c r="F1129" s="87" t="s">
        <v>2276</v>
      </c>
    </row>
    <row r="1130" spans="1:6">
      <c r="A1130" s="39">
        <v>44236</v>
      </c>
      <c r="B1130" s="27"/>
      <c r="C1130" s="27" t="s">
        <v>5511</v>
      </c>
      <c r="D1130" s="27"/>
      <c r="E1130" s="27" t="s">
        <v>5512</v>
      </c>
      <c r="F1130" s="27" t="s">
        <v>5513</v>
      </c>
    </row>
    <row r="1131" spans="1:6">
      <c r="A1131" s="38">
        <v>43384</v>
      </c>
      <c r="B1131" s="87"/>
      <c r="C1131" s="87" t="s">
        <v>2277</v>
      </c>
      <c r="D1131" s="87"/>
      <c r="E1131" s="87" t="s">
        <v>2278</v>
      </c>
      <c r="F1131" s="87" t="s">
        <v>2279</v>
      </c>
    </row>
    <row r="1132" spans="1:6">
      <c r="A1132" s="39">
        <v>44510</v>
      </c>
      <c r="B1132" s="27"/>
      <c r="C1132" s="57" t="s">
        <v>5830</v>
      </c>
      <c r="D1132" s="27"/>
      <c r="E1132" s="27" t="s">
        <v>5832</v>
      </c>
      <c r="F1132" s="27" t="s">
        <v>5837</v>
      </c>
    </row>
    <row r="1133" spans="1:6">
      <c r="A1133" s="39">
        <v>44200</v>
      </c>
      <c r="B1133" s="27"/>
      <c r="C1133" s="27" t="s">
        <v>5091</v>
      </c>
      <c r="D1133" s="27"/>
      <c r="E1133" s="27" t="s">
        <v>5091</v>
      </c>
      <c r="F1133" s="27" t="s">
        <v>5425</v>
      </c>
    </row>
    <row r="1134" spans="1:6">
      <c r="A1134" s="38">
        <v>44013</v>
      </c>
      <c r="B1134" s="87"/>
      <c r="C1134" s="87" t="s">
        <v>2280</v>
      </c>
      <c r="D1134" s="87"/>
      <c r="E1134" s="87" t="s">
        <v>2281</v>
      </c>
      <c r="F1134" s="87" t="s">
        <v>2282</v>
      </c>
    </row>
    <row r="1135" spans="1:6">
      <c r="A1135" s="39">
        <v>44199</v>
      </c>
      <c r="B1135" s="27"/>
      <c r="C1135" s="27" t="s">
        <v>4635</v>
      </c>
      <c r="D1135" s="27"/>
      <c r="E1135" s="27" t="s">
        <v>481</v>
      </c>
      <c r="F1135" s="27" t="s">
        <v>482</v>
      </c>
    </row>
    <row r="1136" spans="1:6">
      <c r="A1136" s="38">
        <v>44120</v>
      </c>
      <c r="B1136" s="62"/>
      <c r="C1136" s="62" t="s">
        <v>2283</v>
      </c>
      <c r="D1136" s="62"/>
      <c r="E1136" s="62" t="s">
        <v>2284</v>
      </c>
      <c r="F1136" s="62" t="s">
        <v>2285</v>
      </c>
    </row>
    <row r="1137" spans="1:6">
      <c r="A1137" s="38">
        <v>44120</v>
      </c>
      <c r="B1137" s="78"/>
      <c r="C1137" s="78" t="s">
        <v>2286</v>
      </c>
      <c r="D1137" s="78"/>
      <c r="E1137" s="78" t="s">
        <v>2287</v>
      </c>
      <c r="F1137" s="78" t="s">
        <v>2288</v>
      </c>
    </row>
    <row r="1138" spans="1:6">
      <c r="A1138" s="38">
        <v>44120</v>
      </c>
      <c r="B1138" s="87"/>
      <c r="C1138" s="87" t="s">
        <v>2289</v>
      </c>
      <c r="D1138" s="87"/>
      <c r="E1138" s="87" t="s">
        <v>2290</v>
      </c>
      <c r="F1138" s="87" t="s">
        <v>2291</v>
      </c>
    </row>
    <row r="1139" spans="1:6">
      <c r="A1139" s="39">
        <v>44512</v>
      </c>
      <c r="B1139" s="27"/>
      <c r="C1139" s="27" t="s">
        <v>6021</v>
      </c>
      <c r="D1139" s="27"/>
      <c r="E1139" s="27" t="s">
        <v>6021</v>
      </c>
      <c r="F1139" s="27" t="s">
        <v>6022</v>
      </c>
    </row>
    <row r="1140" spans="1:6">
      <c r="A1140" s="38">
        <v>43725</v>
      </c>
      <c r="B1140" s="79"/>
      <c r="C1140" s="79" t="s">
        <v>1172</v>
      </c>
      <c r="D1140" s="79"/>
      <c r="E1140" s="79" t="s">
        <v>2292</v>
      </c>
      <c r="F1140" s="79" t="s">
        <v>2293</v>
      </c>
    </row>
    <row r="1141" spans="1:6">
      <c r="A1141" s="38">
        <v>43725</v>
      </c>
      <c r="B1141" s="78"/>
      <c r="C1141" s="78" t="s">
        <v>2294</v>
      </c>
      <c r="D1141" s="78"/>
      <c r="E1141" s="78" t="s">
        <v>2295</v>
      </c>
      <c r="F1141" s="78" t="s">
        <v>2296</v>
      </c>
    </row>
    <row r="1142" spans="1:6">
      <c r="A1142" s="38">
        <v>43725</v>
      </c>
      <c r="B1142" s="87"/>
      <c r="C1142" s="87" t="s">
        <v>2297</v>
      </c>
      <c r="D1142" s="87"/>
      <c r="E1142" s="87" t="s">
        <v>2298</v>
      </c>
      <c r="F1142" s="87" t="s">
        <v>2299</v>
      </c>
    </row>
    <row r="1143" spans="1:6">
      <c r="A1143" s="39">
        <v>44301</v>
      </c>
      <c r="B1143" s="27">
        <v>1</v>
      </c>
      <c r="C1143" s="27" t="s">
        <v>5655</v>
      </c>
      <c r="D1143" s="27"/>
      <c r="E1143" s="27" t="s">
        <v>5656</v>
      </c>
      <c r="F1143" s="27" t="s">
        <v>5657</v>
      </c>
    </row>
    <row r="1144" spans="1:6">
      <c r="A1144" s="39">
        <v>44199</v>
      </c>
      <c r="B1144" s="27"/>
      <c r="C1144" s="27" t="s">
        <v>4636</v>
      </c>
      <c r="D1144" s="27"/>
      <c r="E1144" s="27" t="s">
        <v>4841</v>
      </c>
      <c r="F1144" s="27" t="s">
        <v>4842</v>
      </c>
    </row>
    <row r="1145" spans="1:6">
      <c r="A1145" s="38">
        <v>43740</v>
      </c>
      <c r="B1145" s="78"/>
      <c r="C1145" s="78" t="s">
        <v>2300</v>
      </c>
      <c r="D1145" s="78"/>
      <c r="E1145" s="78" t="s">
        <v>2301</v>
      </c>
      <c r="F1145" s="78" t="s">
        <v>2302</v>
      </c>
    </row>
    <row r="1146" spans="1:6">
      <c r="A1146" s="38">
        <v>43740</v>
      </c>
      <c r="B1146" s="87"/>
      <c r="C1146" s="87" t="s">
        <v>2303</v>
      </c>
      <c r="D1146" s="87"/>
      <c r="E1146" s="87" t="s">
        <v>2304</v>
      </c>
      <c r="F1146" s="87" t="s">
        <v>2305</v>
      </c>
    </row>
    <row r="1147" spans="1:6">
      <c r="A1147" s="39">
        <v>44199</v>
      </c>
      <c r="B1147" s="27"/>
      <c r="C1147" s="27" t="s">
        <v>1955</v>
      </c>
      <c r="D1147" s="27"/>
      <c r="E1147" s="27" t="s">
        <v>1955</v>
      </c>
      <c r="F1147" s="27" t="s">
        <v>1956</v>
      </c>
    </row>
    <row r="1148" spans="1:6">
      <c r="A1148" s="39">
        <v>44199</v>
      </c>
      <c r="B1148" s="27"/>
      <c r="C1148" s="27" t="s">
        <v>4637</v>
      </c>
      <c r="D1148" s="27"/>
      <c r="E1148" s="27" t="s">
        <v>4843</v>
      </c>
      <c r="F1148" s="27" t="s">
        <v>4844</v>
      </c>
    </row>
    <row r="1149" spans="1:6">
      <c r="A1149" s="39">
        <v>44199</v>
      </c>
      <c r="B1149" s="27"/>
      <c r="C1149" s="27" t="s">
        <v>4638</v>
      </c>
      <c r="D1149" s="27"/>
      <c r="E1149" s="27" t="s">
        <v>4845</v>
      </c>
      <c r="F1149" s="27" t="s">
        <v>4846</v>
      </c>
    </row>
    <row r="1150" spans="1:6">
      <c r="A1150" s="38">
        <v>44120</v>
      </c>
      <c r="B1150" s="61"/>
      <c r="C1150" s="61" t="s">
        <v>2306</v>
      </c>
      <c r="D1150" s="61"/>
      <c r="E1150" s="61" t="s">
        <v>2307</v>
      </c>
      <c r="F1150" s="61" t="s">
        <v>2308</v>
      </c>
    </row>
    <row r="1151" spans="1:6">
      <c r="A1151" s="38">
        <v>44120</v>
      </c>
      <c r="B1151" s="53"/>
      <c r="C1151" s="53" t="s">
        <v>2309</v>
      </c>
      <c r="D1151" s="53"/>
      <c r="E1151" s="53" t="s">
        <v>2310</v>
      </c>
      <c r="F1151" s="53" t="s">
        <v>2311</v>
      </c>
    </row>
    <row r="1152" spans="1:6">
      <c r="A1152" s="38">
        <v>44120</v>
      </c>
      <c r="B1152" s="53"/>
      <c r="C1152" s="53" t="s">
        <v>2312</v>
      </c>
      <c r="D1152" s="53"/>
      <c r="E1152" s="53" t="s">
        <v>2313</v>
      </c>
      <c r="F1152" s="53" t="s">
        <v>2314</v>
      </c>
    </row>
    <row r="1153" spans="1:6">
      <c r="A1153" s="38">
        <v>44145</v>
      </c>
      <c r="B1153" s="79"/>
      <c r="C1153" s="79" t="s">
        <v>2315</v>
      </c>
      <c r="D1153" s="79"/>
      <c r="E1153" s="79" t="s">
        <v>2316</v>
      </c>
      <c r="F1153" s="79" t="s">
        <v>2317</v>
      </c>
    </row>
    <row r="1154" spans="1:6">
      <c r="A1154" s="38">
        <v>44145</v>
      </c>
      <c r="B1154" s="79"/>
      <c r="C1154" s="79" t="s">
        <v>2318</v>
      </c>
      <c r="D1154" s="79"/>
      <c r="E1154" s="79" t="s">
        <v>2319</v>
      </c>
      <c r="F1154" s="79" t="s">
        <v>2320</v>
      </c>
    </row>
    <row r="1155" spans="1:6">
      <c r="A1155" s="38">
        <v>43461</v>
      </c>
      <c r="B1155" s="79"/>
      <c r="C1155" s="79" t="s">
        <v>2321</v>
      </c>
      <c r="D1155" s="79"/>
      <c r="E1155" s="79" t="s">
        <v>2322</v>
      </c>
      <c r="F1155" s="79" t="s">
        <v>2323</v>
      </c>
    </row>
    <row r="1156" spans="1:6">
      <c r="A1156" s="38">
        <v>44012</v>
      </c>
      <c r="B1156" s="87"/>
      <c r="C1156" s="87" t="s">
        <v>2324</v>
      </c>
      <c r="D1156" s="87"/>
      <c r="E1156" s="87" t="s">
        <v>2325</v>
      </c>
      <c r="F1156" s="87" t="s">
        <v>2326</v>
      </c>
    </row>
    <row r="1157" spans="1:6">
      <c r="A1157" s="39">
        <v>44199</v>
      </c>
      <c r="B1157" s="27"/>
      <c r="C1157" s="27" t="s">
        <v>4639</v>
      </c>
      <c r="D1157" s="27"/>
      <c r="E1157" s="27" t="s">
        <v>4847</v>
      </c>
      <c r="F1157" s="27" t="s">
        <v>4848</v>
      </c>
    </row>
    <row r="1158" spans="1:6">
      <c r="A1158" s="38">
        <v>44013</v>
      </c>
      <c r="B1158" s="79"/>
      <c r="C1158" s="79" t="s">
        <v>2327</v>
      </c>
      <c r="D1158" s="79"/>
      <c r="E1158" s="79" t="s">
        <v>2328</v>
      </c>
      <c r="F1158" s="79" t="s">
        <v>2329</v>
      </c>
    </row>
    <row r="1159" spans="1:6">
      <c r="A1159" s="38">
        <v>44169</v>
      </c>
      <c r="B1159" s="87"/>
      <c r="C1159" s="87" t="s">
        <v>2330</v>
      </c>
      <c r="D1159" s="87"/>
      <c r="E1159" s="87" t="s">
        <v>2331</v>
      </c>
      <c r="F1159" s="87" t="s">
        <v>2332</v>
      </c>
    </row>
    <row r="1160" spans="1:6">
      <c r="A1160" s="39">
        <v>44200</v>
      </c>
      <c r="B1160" s="27"/>
      <c r="C1160" s="27" t="s">
        <v>5092</v>
      </c>
      <c r="D1160" s="27"/>
      <c r="E1160" s="27" t="s">
        <v>5259</v>
      </c>
      <c r="F1160" s="27" t="s">
        <v>5426</v>
      </c>
    </row>
    <row r="1161" spans="1:6">
      <c r="A1161" s="39">
        <v>44199</v>
      </c>
      <c r="B1161" s="27"/>
      <c r="C1161" s="27" t="s">
        <v>4640</v>
      </c>
      <c r="D1161" s="27"/>
      <c r="E1161" s="27" t="s">
        <v>4849</v>
      </c>
      <c r="F1161" s="27" t="s">
        <v>4850</v>
      </c>
    </row>
    <row r="1162" spans="1:6">
      <c r="A1162" s="39">
        <v>44199</v>
      </c>
      <c r="B1162" s="27"/>
      <c r="C1162" s="27" t="s">
        <v>4641</v>
      </c>
      <c r="D1162" s="27"/>
      <c r="E1162" s="27" t="s">
        <v>4641</v>
      </c>
      <c r="F1162" s="27" t="s">
        <v>4851</v>
      </c>
    </row>
    <row r="1163" spans="1:6">
      <c r="A1163" s="38">
        <v>43608</v>
      </c>
      <c r="B1163" s="61"/>
      <c r="C1163" s="61" t="s">
        <v>2333</v>
      </c>
      <c r="D1163" s="61" t="s">
        <v>2334</v>
      </c>
      <c r="E1163" s="61" t="s">
        <v>2333</v>
      </c>
      <c r="F1163" s="61" t="s">
        <v>2333</v>
      </c>
    </row>
    <row r="1164" spans="1:6">
      <c r="A1164" s="38">
        <v>43996</v>
      </c>
      <c r="B1164" s="62"/>
      <c r="C1164" s="62" t="s">
        <v>2335</v>
      </c>
      <c r="D1164" s="62"/>
      <c r="E1164" s="62" t="s">
        <v>2336</v>
      </c>
      <c r="F1164" s="62" t="s">
        <v>2337</v>
      </c>
    </row>
    <row r="1165" spans="1:6">
      <c r="A1165" s="38">
        <v>43762</v>
      </c>
      <c r="B1165" s="78"/>
      <c r="C1165" s="78" t="s">
        <v>2338</v>
      </c>
      <c r="D1165" s="78"/>
      <c r="E1165" s="78" t="s">
        <v>2339</v>
      </c>
      <c r="F1165" s="78" t="s">
        <v>2340</v>
      </c>
    </row>
    <row r="1166" spans="1:6">
      <c r="A1166" s="38">
        <v>43384</v>
      </c>
      <c r="B1166" s="87"/>
      <c r="C1166" s="87" t="s">
        <v>2341</v>
      </c>
      <c r="D1166" s="87"/>
      <c r="E1166" s="87" t="s">
        <v>2342</v>
      </c>
      <c r="F1166" s="87" t="s">
        <v>2343</v>
      </c>
    </row>
    <row r="1167" spans="1:6" s="52" customFormat="1">
      <c r="A1167" s="39">
        <v>44199</v>
      </c>
      <c r="B1167" s="27"/>
      <c r="C1167" s="27" t="s">
        <v>4642</v>
      </c>
      <c r="D1167" s="27"/>
      <c r="E1167" s="27" t="s">
        <v>4852</v>
      </c>
      <c r="F1167" s="27" t="s">
        <v>2448</v>
      </c>
    </row>
    <row r="1168" spans="1:6">
      <c r="A1168" s="38">
        <v>44120</v>
      </c>
      <c r="B1168" s="79"/>
      <c r="C1168" s="79" t="s">
        <v>2344</v>
      </c>
      <c r="D1168" s="79"/>
      <c r="E1168" s="79" t="s">
        <v>2345</v>
      </c>
      <c r="F1168" s="79" t="s">
        <v>2346</v>
      </c>
    </row>
    <row r="1169" spans="1:6">
      <c r="A1169" s="38">
        <v>44120</v>
      </c>
      <c r="B1169" s="53"/>
      <c r="C1169" s="53" t="s">
        <v>2347</v>
      </c>
      <c r="D1169" s="53"/>
      <c r="E1169" s="53" t="s">
        <v>2348</v>
      </c>
      <c r="F1169" s="53" t="s">
        <v>2349</v>
      </c>
    </row>
    <row r="1170" spans="1:6">
      <c r="A1170" s="38">
        <v>44120</v>
      </c>
      <c r="B1170" s="53"/>
      <c r="C1170" s="53" t="s">
        <v>2350</v>
      </c>
      <c r="D1170" s="53"/>
      <c r="E1170" s="53" t="s">
        <v>2351</v>
      </c>
      <c r="F1170" s="53" t="s">
        <v>2352</v>
      </c>
    </row>
    <row r="1171" spans="1:6">
      <c r="A1171" s="38">
        <v>43469</v>
      </c>
      <c r="B1171" s="53"/>
      <c r="C1171" s="53" t="s">
        <v>2353</v>
      </c>
      <c r="D1171" s="53"/>
      <c r="E1171" s="53" t="s">
        <v>2354</v>
      </c>
      <c r="F1171" s="53" t="s">
        <v>2355</v>
      </c>
    </row>
    <row r="1172" spans="1:6">
      <c r="A1172" s="38">
        <v>43564</v>
      </c>
      <c r="B1172" s="53"/>
      <c r="C1172" s="53" t="s">
        <v>2356</v>
      </c>
      <c r="D1172" s="53"/>
      <c r="E1172" s="53" t="s">
        <v>2357</v>
      </c>
      <c r="F1172" s="53" t="s">
        <v>2358</v>
      </c>
    </row>
    <row r="1173" spans="1:6" s="52" customFormat="1">
      <c r="A1173" s="38">
        <v>43564</v>
      </c>
      <c r="B1173" s="53"/>
      <c r="C1173" s="53" t="s">
        <v>2359</v>
      </c>
      <c r="D1173" s="53"/>
      <c r="E1173" s="53" t="s">
        <v>2360</v>
      </c>
      <c r="F1173" s="53" t="s">
        <v>2361</v>
      </c>
    </row>
    <row r="1174" spans="1:6" s="52" customFormat="1">
      <c r="A1174" s="38">
        <v>43984</v>
      </c>
      <c r="B1174" s="53"/>
      <c r="C1174" s="53" t="s">
        <v>2362</v>
      </c>
      <c r="D1174" s="53"/>
      <c r="E1174" s="53" t="s">
        <v>2363</v>
      </c>
      <c r="F1174" s="53" t="s">
        <v>2364</v>
      </c>
    </row>
    <row r="1175" spans="1:6">
      <c r="A1175" s="38">
        <v>43469</v>
      </c>
      <c r="B1175" s="79"/>
      <c r="C1175" s="79" t="s">
        <v>2365</v>
      </c>
      <c r="D1175" s="79"/>
      <c r="E1175" s="79" t="s">
        <v>2366</v>
      </c>
      <c r="F1175" s="79" t="s">
        <v>2367</v>
      </c>
    </row>
    <row r="1176" spans="1:6">
      <c r="A1176" s="38">
        <v>43815</v>
      </c>
      <c r="B1176" s="79"/>
      <c r="C1176" s="79" t="s">
        <v>2368</v>
      </c>
      <c r="D1176" s="79"/>
      <c r="E1176" s="79" t="s">
        <v>2369</v>
      </c>
      <c r="F1176" s="79" t="s">
        <v>2370</v>
      </c>
    </row>
    <row r="1177" spans="1:6">
      <c r="A1177" s="38">
        <v>43469</v>
      </c>
      <c r="B1177" s="78"/>
      <c r="C1177" s="78" t="s">
        <v>2371</v>
      </c>
      <c r="D1177" s="78"/>
      <c r="E1177" s="78" t="s">
        <v>2372</v>
      </c>
      <c r="F1177" s="78" t="s">
        <v>2373</v>
      </c>
    </row>
    <row r="1178" spans="1:6">
      <c r="A1178" s="38">
        <v>44006</v>
      </c>
      <c r="B1178" s="87"/>
      <c r="C1178" s="87" t="s">
        <v>2374</v>
      </c>
      <c r="D1178" s="87"/>
      <c r="E1178" s="87" t="s">
        <v>2375</v>
      </c>
      <c r="F1178" s="87" t="s">
        <v>2376</v>
      </c>
    </row>
    <row r="1179" spans="1:6">
      <c r="A1179" s="39">
        <v>44199</v>
      </c>
      <c r="B1179" s="27"/>
      <c r="C1179" s="27" t="s">
        <v>4643</v>
      </c>
      <c r="D1179" s="27"/>
      <c r="E1179" s="27" t="s">
        <v>4853</v>
      </c>
      <c r="F1179" s="27" t="s">
        <v>4854</v>
      </c>
    </row>
    <row r="1180" spans="1:6">
      <c r="A1180" s="39">
        <v>44199</v>
      </c>
      <c r="B1180" s="27"/>
      <c r="C1180" s="27" t="s">
        <v>4644</v>
      </c>
      <c r="D1180" s="27"/>
      <c r="E1180" s="27" t="s">
        <v>210</v>
      </c>
      <c r="F1180" s="27" t="s">
        <v>211</v>
      </c>
    </row>
    <row r="1181" spans="1:6">
      <c r="A1181" s="39">
        <v>44199</v>
      </c>
      <c r="B1181" s="27"/>
      <c r="C1181" s="27" t="s">
        <v>4645</v>
      </c>
      <c r="D1181" s="27"/>
      <c r="E1181" s="27" t="s">
        <v>4855</v>
      </c>
      <c r="F1181" s="27" t="s">
        <v>4856</v>
      </c>
    </row>
    <row r="1182" spans="1:6">
      <c r="A1182" s="39">
        <v>44301</v>
      </c>
      <c r="B1182" s="27">
        <v>2</v>
      </c>
      <c r="C1182" s="27" t="s">
        <v>5658</v>
      </c>
      <c r="D1182" s="27"/>
      <c r="E1182" s="27" t="s">
        <v>5658</v>
      </c>
      <c r="F1182" s="27" t="s">
        <v>5659</v>
      </c>
    </row>
    <row r="1183" spans="1:6">
      <c r="B1183" s="62"/>
      <c r="C1183" s="62" t="s">
        <v>2377</v>
      </c>
      <c r="D1183" s="62"/>
      <c r="E1183" s="62" t="s">
        <v>2377</v>
      </c>
      <c r="F1183" s="62" t="s">
        <v>2378</v>
      </c>
    </row>
    <row r="1184" spans="1:6">
      <c r="A1184" s="38">
        <v>43469</v>
      </c>
      <c r="B1184" s="78"/>
      <c r="C1184" s="78" t="s">
        <v>2379</v>
      </c>
      <c r="D1184" s="78"/>
      <c r="E1184" s="78" t="s">
        <v>2380</v>
      </c>
      <c r="F1184" s="78" t="s">
        <v>2381</v>
      </c>
    </row>
    <row r="1185" spans="1:6">
      <c r="A1185" s="38">
        <v>44007</v>
      </c>
      <c r="B1185" s="87"/>
      <c r="C1185" s="87" t="s">
        <v>2382</v>
      </c>
      <c r="D1185" s="87"/>
      <c r="E1185" s="87" t="s">
        <v>2383</v>
      </c>
      <c r="F1185" s="87" t="s">
        <v>2384</v>
      </c>
    </row>
    <row r="1186" spans="1:6">
      <c r="A1186" s="39">
        <v>44301</v>
      </c>
      <c r="B1186" s="27">
        <v>2</v>
      </c>
      <c r="C1186" s="27" t="s">
        <v>5660</v>
      </c>
      <c r="D1186" s="27"/>
      <c r="E1186" s="27" t="s">
        <v>5661</v>
      </c>
      <c r="F1186" s="27" t="s">
        <v>5662</v>
      </c>
    </row>
    <row r="1187" spans="1:6">
      <c r="A1187" s="38">
        <v>44011</v>
      </c>
      <c r="B1187" s="87"/>
      <c r="C1187" s="87" t="s">
        <v>2385</v>
      </c>
      <c r="D1187" s="87"/>
      <c r="E1187" s="87" t="s">
        <v>2386</v>
      </c>
      <c r="F1187" s="87" t="s">
        <v>2387</v>
      </c>
    </row>
    <row r="1188" spans="1:6">
      <c r="A1188" s="39">
        <v>44270</v>
      </c>
      <c r="B1188" s="27"/>
      <c r="C1188" s="27" t="s">
        <v>5561</v>
      </c>
      <c r="D1188" s="27" t="s">
        <v>5562</v>
      </c>
      <c r="E1188" s="27" t="s">
        <v>5563</v>
      </c>
      <c r="F1188" s="27" t="s">
        <v>5564</v>
      </c>
    </row>
    <row r="1189" spans="1:6">
      <c r="A1189" s="39">
        <v>44301</v>
      </c>
      <c r="B1189" s="27">
        <v>0</v>
      </c>
      <c r="C1189" s="27" t="s">
        <v>5663</v>
      </c>
      <c r="D1189" s="27"/>
      <c r="E1189" s="27" t="s">
        <v>5524</v>
      </c>
      <c r="F1189" s="27" t="s">
        <v>5525</v>
      </c>
    </row>
    <row r="1190" spans="1:6">
      <c r="A1190" s="38">
        <v>43785</v>
      </c>
      <c r="B1190" s="61"/>
      <c r="C1190" s="61" t="s">
        <v>2388</v>
      </c>
      <c r="D1190" s="61"/>
      <c r="E1190" s="61" t="s">
        <v>2388</v>
      </c>
      <c r="F1190" s="61" t="s">
        <v>2388</v>
      </c>
    </row>
    <row r="1191" spans="1:6">
      <c r="A1191" s="38">
        <v>44123</v>
      </c>
      <c r="B1191" s="53"/>
      <c r="C1191" s="53" t="s">
        <v>2389</v>
      </c>
      <c r="D1191" s="53"/>
      <c r="E1191" s="53" t="s">
        <v>2390</v>
      </c>
      <c r="F1191" s="53" t="s">
        <v>2391</v>
      </c>
    </row>
    <row r="1192" spans="1:6">
      <c r="A1192" s="38">
        <v>44230</v>
      </c>
      <c r="B1192" s="53"/>
      <c r="C1192" s="53" t="s">
        <v>5480</v>
      </c>
      <c r="D1192" s="53"/>
      <c r="E1192" s="53" t="s">
        <v>5481</v>
      </c>
      <c r="F1192" s="53" t="s">
        <v>5482</v>
      </c>
    </row>
    <row r="1193" spans="1:6">
      <c r="A1193" s="38">
        <v>43356</v>
      </c>
      <c r="B1193" s="53"/>
      <c r="C1193" s="53" t="s">
        <v>2392</v>
      </c>
      <c r="D1193" s="53"/>
      <c r="E1193" s="53" t="s">
        <v>2393</v>
      </c>
      <c r="F1193" s="53" t="s">
        <v>2394</v>
      </c>
    </row>
    <row r="1194" spans="1:6">
      <c r="A1194" s="38">
        <v>43355</v>
      </c>
      <c r="B1194" s="79"/>
      <c r="C1194" s="79" t="s">
        <v>2395</v>
      </c>
      <c r="D1194" s="79"/>
      <c r="E1194" s="79" t="s">
        <v>2396</v>
      </c>
      <c r="F1194" s="79" t="s">
        <v>2397</v>
      </c>
    </row>
    <row r="1195" spans="1:6">
      <c r="A1195" s="38">
        <v>43864</v>
      </c>
      <c r="B1195" s="78"/>
      <c r="C1195" s="78" t="s">
        <v>2398</v>
      </c>
      <c r="D1195" s="78"/>
      <c r="E1195" s="78" t="s">
        <v>2399</v>
      </c>
      <c r="F1195" s="78" t="s">
        <v>2400</v>
      </c>
    </row>
    <row r="1196" spans="1:6">
      <c r="A1196" s="38">
        <v>44084</v>
      </c>
      <c r="B1196" s="87"/>
      <c r="C1196" s="87" t="s">
        <v>2401</v>
      </c>
      <c r="D1196" s="87"/>
      <c r="E1196" s="87" t="s">
        <v>2402</v>
      </c>
      <c r="F1196" s="87" t="s">
        <v>2403</v>
      </c>
    </row>
    <row r="1197" spans="1:6">
      <c r="A1197" s="39">
        <v>44301</v>
      </c>
      <c r="B1197" s="27">
        <v>2</v>
      </c>
      <c r="C1197" s="27" t="s">
        <v>5664</v>
      </c>
      <c r="D1197" s="27"/>
      <c r="E1197" s="27" t="s">
        <v>5665</v>
      </c>
      <c r="F1197" s="27" t="s">
        <v>5666</v>
      </c>
    </row>
    <row r="1198" spans="1:6">
      <c r="A1198" s="38">
        <v>44011</v>
      </c>
      <c r="B1198" s="61"/>
      <c r="C1198" s="61" t="s">
        <v>2404</v>
      </c>
      <c r="D1198" s="61"/>
      <c r="E1198" s="61" t="s">
        <v>2405</v>
      </c>
      <c r="F1198" s="61" t="s">
        <v>2406</v>
      </c>
    </row>
    <row r="1199" spans="1:6">
      <c r="A1199" s="38">
        <v>43398</v>
      </c>
      <c r="B1199" s="79"/>
      <c r="C1199" s="79" t="s">
        <v>2407</v>
      </c>
      <c r="D1199" s="79"/>
      <c r="E1199" s="79" t="s">
        <v>2408</v>
      </c>
      <c r="F1199" s="79" t="s">
        <v>2409</v>
      </c>
    </row>
    <row r="1200" spans="1:6">
      <c r="A1200" s="38">
        <v>43592</v>
      </c>
      <c r="B1200" s="79"/>
      <c r="C1200" s="79" t="s">
        <v>2410</v>
      </c>
      <c r="D1200" s="79"/>
      <c r="E1200" s="79" t="s">
        <v>2411</v>
      </c>
      <c r="F1200" s="79" t="s">
        <v>2412</v>
      </c>
    </row>
    <row r="1201" spans="1:6" s="50" customFormat="1">
      <c r="A1201" s="38">
        <v>43462</v>
      </c>
      <c r="B1201" s="87"/>
      <c r="C1201" s="87" t="s">
        <v>2413</v>
      </c>
      <c r="D1201" s="87"/>
      <c r="E1201" s="87" t="s">
        <v>2414</v>
      </c>
      <c r="F1201" s="87" t="s">
        <v>2415</v>
      </c>
    </row>
    <row r="1202" spans="1:6">
      <c r="A1202" s="39">
        <v>44243</v>
      </c>
      <c r="B1202" s="27"/>
      <c r="C1202" s="27" t="s">
        <v>5514</v>
      </c>
      <c r="D1202" s="27"/>
      <c r="E1202" s="27" t="s">
        <v>5515</v>
      </c>
      <c r="F1202" s="27" t="s">
        <v>5516</v>
      </c>
    </row>
    <row r="1203" spans="1:6">
      <c r="A1203" s="39">
        <v>44301</v>
      </c>
      <c r="B1203" s="27">
        <v>1</v>
      </c>
      <c r="C1203" s="27" t="s">
        <v>5667</v>
      </c>
      <c r="D1203" s="27"/>
      <c r="E1203" s="27" t="s">
        <v>5668</v>
      </c>
      <c r="F1203" s="27" t="s">
        <v>5669</v>
      </c>
    </row>
    <row r="1204" spans="1:6">
      <c r="A1204" s="38">
        <v>44012</v>
      </c>
      <c r="B1204" s="62"/>
      <c r="C1204" s="62" t="s">
        <v>2416</v>
      </c>
      <c r="D1204" s="62"/>
      <c r="E1204" s="62" t="s">
        <v>2417</v>
      </c>
      <c r="F1204" s="62" t="s">
        <v>2418</v>
      </c>
    </row>
    <row r="1205" spans="1:6">
      <c r="A1205" s="38">
        <v>43634</v>
      </c>
      <c r="B1205" s="78"/>
      <c r="C1205" s="78" t="s">
        <v>2419</v>
      </c>
      <c r="D1205" s="78"/>
      <c r="E1205" s="78" t="s">
        <v>2420</v>
      </c>
      <c r="F1205" s="78" t="s">
        <v>2421</v>
      </c>
    </row>
    <row r="1206" spans="1:6">
      <c r="A1206" s="38">
        <v>44075</v>
      </c>
      <c r="B1206" s="87"/>
      <c r="C1206" s="87" t="s">
        <v>2422</v>
      </c>
      <c r="D1206" s="87"/>
      <c r="E1206" s="87" t="s">
        <v>2423</v>
      </c>
      <c r="F1206" s="87" t="s">
        <v>2424</v>
      </c>
    </row>
    <row r="1207" spans="1:6">
      <c r="A1207" s="39">
        <v>44510</v>
      </c>
      <c r="B1207" s="27"/>
      <c r="C1207" s="27" t="s">
        <v>6127</v>
      </c>
      <c r="D1207" s="27"/>
      <c r="E1207" s="27" t="s">
        <v>5884</v>
      </c>
      <c r="F1207" s="27" t="s">
        <v>5885</v>
      </c>
    </row>
    <row r="1208" spans="1:6">
      <c r="A1208" s="38">
        <v>43587</v>
      </c>
      <c r="B1208" s="53"/>
      <c r="C1208" s="53" t="s">
        <v>2425</v>
      </c>
      <c r="D1208" s="53"/>
      <c r="E1208" s="53" t="s">
        <v>2425</v>
      </c>
      <c r="F1208" s="53" t="s">
        <v>2426</v>
      </c>
    </row>
    <row r="1209" spans="1:6">
      <c r="A1209" s="38">
        <v>43868</v>
      </c>
      <c r="B1209" s="53"/>
      <c r="C1209" s="53" t="s">
        <v>2427</v>
      </c>
      <c r="D1209" s="53"/>
      <c r="E1209" s="53" t="s">
        <v>2428</v>
      </c>
      <c r="F1209" s="53" t="s">
        <v>2429</v>
      </c>
    </row>
    <row r="1210" spans="1:6">
      <c r="A1210" s="38">
        <v>43587</v>
      </c>
      <c r="B1210" s="53"/>
      <c r="C1210" s="53" t="s">
        <v>2430</v>
      </c>
      <c r="D1210" s="53"/>
      <c r="E1210" s="53" t="s">
        <v>2431</v>
      </c>
      <c r="F1210" s="53" t="s">
        <v>2432</v>
      </c>
    </row>
    <row r="1211" spans="1:6">
      <c r="A1211" s="38">
        <v>44013</v>
      </c>
      <c r="B1211" s="62"/>
      <c r="C1211" s="62" t="s">
        <v>2433</v>
      </c>
      <c r="D1211" s="62"/>
      <c r="E1211" s="62" t="s">
        <v>2434</v>
      </c>
      <c r="F1211" s="62" t="s">
        <v>2435</v>
      </c>
    </row>
    <row r="1212" spans="1:6">
      <c r="A1212" s="38">
        <v>43985</v>
      </c>
      <c r="B1212" s="79"/>
      <c r="C1212" s="79" t="s">
        <v>2436</v>
      </c>
      <c r="D1212" s="79"/>
      <c r="E1212" s="79" t="s">
        <v>2437</v>
      </c>
      <c r="F1212" s="79" t="s">
        <v>2438</v>
      </c>
    </row>
    <row r="1213" spans="1:6">
      <c r="A1213" s="38">
        <v>44082</v>
      </c>
      <c r="B1213" s="87"/>
      <c r="C1213" s="87" t="s">
        <v>2439</v>
      </c>
      <c r="D1213" s="87"/>
      <c r="E1213" s="87" t="s">
        <v>2440</v>
      </c>
      <c r="F1213" s="87" t="s">
        <v>2441</v>
      </c>
    </row>
    <row r="1214" spans="1:6">
      <c r="A1214" s="39">
        <v>44199</v>
      </c>
      <c r="B1214" s="27"/>
      <c r="C1214" s="27" t="s">
        <v>4646</v>
      </c>
      <c r="D1214" s="27"/>
      <c r="E1214" s="27" t="s">
        <v>4857</v>
      </c>
      <c r="F1214" s="27" t="s">
        <v>2426</v>
      </c>
    </row>
    <row r="1215" spans="1:6">
      <c r="A1215" s="38">
        <v>44145</v>
      </c>
      <c r="B1215" s="78"/>
      <c r="C1215" s="78" t="s">
        <v>2442</v>
      </c>
      <c r="D1215" s="78"/>
      <c r="E1215" s="78" t="s">
        <v>2443</v>
      </c>
      <c r="F1215" s="78" t="s">
        <v>2444</v>
      </c>
    </row>
    <row r="1216" spans="1:6">
      <c r="A1216" s="38">
        <v>43815</v>
      </c>
      <c r="B1216" s="87"/>
      <c r="C1216" s="87" t="s">
        <v>2445</v>
      </c>
      <c r="D1216" s="87"/>
      <c r="E1216" s="87" t="s">
        <v>2445</v>
      </c>
      <c r="F1216" s="87" t="s">
        <v>2445</v>
      </c>
    </row>
    <row r="1217" spans="1:6">
      <c r="A1217" s="39">
        <v>44510</v>
      </c>
      <c r="B1217" s="27"/>
      <c r="C1217" s="57" t="s">
        <v>5839</v>
      </c>
      <c r="D1217" s="27"/>
      <c r="E1217" s="27" t="s">
        <v>6093</v>
      </c>
      <c r="F1217" s="27" t="s">
        <v>6094</v>
      </c>
    </row>
    <row r="1218" spans="1:6">
      <c r="A1218" s="38">
        <v>43489</v>
      </c>
      <c r="B1218" s="62"/>
      <c r="C1218" s="62" t="s">
        <v>2446</v>
      </c>
      <c r="D1218" s="62"/>
      <c r="E1218" s="62" t="s">
        <v>2447</v>
      </c>
      <c r="F1218" s="62" t="s">
        <v>2448</v>
      </c>
    </row>
    <row r="1219" spans="1:6">
      <c r="A1219" s="38">
        <v>44018</v>
      </c>
      <c r="B1219" s="79"/>
      <c r="C1219" s="79" t="s">
        <v>2449</v>
      </c>
      <c r="D1219" s="79"/>
      <c r="E1219" s="79" t="s">
        <v>2450</v>
      </c>
      <c r="F1219" s="79" t="s">
        <v>2451</v>
      </c>
    </row>
    <row r="1220" spans="1:6">
      <c r="B1220" s="87"/>
      <c r="C1220" s="87" t="s">
        <v>2452</v>
      </c>
      <c r="D1220" s="87"/>
      <c r="E1220" s="87" t="s">
        <v>2453</v>
      </c>
      <c r="F1220" s="87" t="s">
        <v>2454</v>
      </c>
    </row>
    <row r="1221" spans="1:6">
      <c r="A1221" s="39">
        <v>44200</v>
      </c>
      <c r="B1221" s="27"/>
      <c r="C1221" s="27" t="s">
        <v>5093</v>
      </c>
      <c r="D1221" s="27"/>
      <c r="E1221" s="27" t="s">
        <v>5260</v>
      </c>
      <c r="F1221" s="27" t="s">
        <v>5427</v>
      </c>
    </row>
    <row r="1222" spans="1:6">
      <c r="A1222" s="39">
        <v>44199</v>
      </c>
      <c r="B1222" s="27"/>
      <c r="C1222" s="27" t="s">
        <v>4647</v>
      </c>
      <c r="D1222" s="27"/>
      <c r="E1222" s="27" t="s">
        <v>4858</v>
      </c>
      <c r="F1222" s="27" t="s">
        <v>4859</v>
      </c>
    </row>
    <row r="1223" spans="1:6">
      <c r="A1223" s="38">
        <v>43493</v>
      </c>
      <c r="B1223" s="53"/>
      <c r="C1223" s="53" t="s">
        <v>2455</v>
      </c>
      <c r="D1223" s="53"/>
      <c r="E1223" s="53" t="s">
        <v>2456</v>
      </c>
      <c r="F1223" s="53" t="s">
        <v>2457</v>
      </c>
    </row>
    <row r="1224" spans="1:6">
      <c r="A1224" s="38">
        <v>43493</v>
      </c>
      <c r="B1224" s="79"/>
      <c r="C1224" s="79" t="s">
        <v>2458</v>
      </c>
      <c r="D1224" s="79"/>
      <c r="E1224" s="79" t="s">
        <v>2459</v>
      </c>
      <c r="F1224" s="79" t="s">
        <v>2460</v>
      </c>
    </row>
    <row r="1225" spans="1:6">
      <c r="A1225" s="38">
        <v>44098</v>
      </c>
      <c r="B1225" s="53"/>
      <c r="C1225" s="53" t="s">
        <v>2461</v>
      </c>
      <c r="D1225" s="53"/>
      <c r="E1225" s="53" t="s">
        <v>2462</v>
      </c>
      <c r="F1225" s="53" t="s">
        <v>2463</v>
      </c>
    </row>
    <row r="1226" spans="1:6">
      <c r="A1226" s="38">
        <v>43724</v>
      </c>
      <c r="B1226" s="79"/>
      <c r="C1226" s="79" t="s">
        <v>2464</v>
      </c>
      <c r="D1226" s="79"/>
      <c r="E1226" s="79" t="s">
        <v>2464</v>
      </c>
      <c r="F1226" s="79" t="s">
        <v>2465</v>
      </c>
    </row>
    <row r="1227" spans="1:6">
      <c r="A1227" s="38">
        <v>43609</v>
      </c>
      <c r="B1227" s="79"/>
      <c r="C1227" s="79" t="s">
        <v>2466</v>
      </c>
      <c r="D1227" s="79"/>
      <c r="E1227" s="79" t="s">
        <v>2467</v>
      </c>
      <c r="F1227" s="79" t="s">
        <v>2468</v>
      </c>
    </row>
    <row r="1228" spans="1:6">
      <c r="A1228" s="38">
        <v>43937</v>
      </c>
      <c r="B1228" s="87"/>
      <c r="C1228" s="87" t="s">
        <v>2469</v>
      </c>
      <c r="D1228" s="87"/>
      <c r="E1228" s="87" t="s">
        <v>2470</v>
      </c>
      <c r="F1228" s="87" t="s">
        <v>2471</v>
      </c>
    </row>
    <row r="1229" spans="1:6">
      <c r="A1229" s="39">
        <v>44200</v>
      </c>
      <c r="B1229" s="27"/>
      <c r="C1229" s="27" t="s">
        <v>5094</v>
      </c>
      <c r="D1229" s="27"/>
      <c r="E1229" s="27" t="s">
        <v>5261</v>
      </c>
      <c r="F1229" s="27" t="s">
        <v>5428</v>
      </c>
    </row>
    <row r="1230" spans="1:6">
      <c r="A1230" s="38">
        <v>44005</v>
      </c>
      <c r="B1230" s="87"/>
      <c r="C1230" s="87" t="s">
        <v>2472</v>
      </c>
      <c r="D1230" s="87"/>
      <c r="E1230" s="87" t="s">
        <v>2473</v>
      </c>
      <c r="F1230" s="87" t="s">
        <v>2474</v>
      </c>
    </row>
    <row r="1231" spans="1:6">
      <c r="A1231" s="39">
        <v>44200</v>
      </c>
      <c r="B1231" s="27"/>
      <c r="C1231" s="27" t="s">
        <v>5095</v>
      </c>
      <c r="D1231" s="27"/>
      <c r="E1231" s="27" t="s">
        <v>5262</v>
      </c>
      <c r="F1231" s="27" t="s">
        <v>5429</v>
      </c>
    </row>
    <row r="1232" spans="1:6">
      <c r="A1232" s="39">
        <v>44200</v>
      </c>
      <c r="B1232" s="27"/>
      <c r="C1232" s="27" t="s">
        <v>5096</v>
      </c>
      <c r="D1232" s="27"/>
      <c r="E1232" s="27" t="s">
        <v>5263</v>
      </c>
      <c r="F1232" s="27" t="s">
        <v>5430</v>
      </c>
    </row>
    <row r="1233" spans="1:6">
      <c r="A1233" s="39">
        <v>44200</v>
      </c>
      <c r="B1233" s="27"/>
      <c r="C1233" s="27" t="s">
        <v>5097</v>
      </c>
      <c r="D1233" s="27"/>
      <c r="E1233" s="27" t="s">
        <v>5264</v>
      </c>
      <c r="F1233" s="27" t="s">
        <v>5431</v>
      </c>
    </row>
    <row r="1234" spans="1:6">
      <c r="A1234" s="39">
        <v>44200</v>
      </c>
      <c r="B1234" s="27"/>
      <c r="C1234" s="27" t="s">
        <v>5098</v>
      </c>
      <c r="D1234" s="27"/>
      <c r="E1234" s="27" t="s">
        <v>5265</v>
      </c>
      <c r="F1234" s="27" t="s">
        <v>5432</v>
      </c>
    </row>
    <row r="1235" spans="1:6">
      <c r="A1235" s="39">
        <v>44200</v>
      </c>
      <c r="B1235" s="27"/>
      <c r="C1235" s="27" t="s">
        <v>5099</v>
      </c>
      <c r="D1235" s="27"/>
      <c r="E1235" s="27" t="s">
        <v>5266</v>
      </c>
      <c r="F1235" s="27" t="s">
        <v>5433</v>
      </c>
    </row>
    <row r="1236" spans="1:6">
      <c r="A1236" s="39">
        <v>44200</v>
      </c>
      <c r="B1236" s="27"/>
      <c r="C1236" s="27" t="s">
        <v>5100</v>
      </c>
      <c r="D1236" s="27"/>
      <c r="E1236" s="27" t="s">
        <v>5267</v>
      </c>
      <c r="F1236" s="27" t="s">
        <v>5434</v>
      </c>
    </row>
    <row r="1237" spans="1:6">
      <c r="A1237" s="39">
        <v>44200</v>
      </c>
      <c r="B1237" s="27"/>
      <c r="C1237" s="27" t="s">
        <v>5101</v>
      </c>
      <c r="D1237" s="27"/>
      <c r="E1237" s="27" t="s">
        <v>5268</v>
      </c>
      <c r="F1237" s="27" t="s">
        <v>5435</v>
      </c>
    </row>
    <row r="1238" spans="1:6">
      <c r="A1238" s="39">
        <v>44510</v>
      </c>
      <c r="B1238" s="27"/>
      <c r="C1238" s="27" t="s">
        <v>6181</v>
      </c>
      <c r="D1238" s="27"/>
      <c r="E1238" s="27" t="s">
        <v>6182</v>
      </c>
      <c r="F1238" s="27" t="s">
        <v>6183</v>
      </c>
    </row>
    <row r="1239" spans="1:6">
      <c r="A1239" s="38">
        <v>43469</v>
      </c>
      <c r="B1239" s="87"/>
      <c r="C1239" s="87" t="s">
        <v>2475</v>
      </c>
      <c r="D1239" s="87"/>
      <c r="E1239" s="87" t="s">
        <v>2476</v>
      </c>
      <c r="F1239" s="87" t="s">
        <v>2477</v>
      </c>
    </row>
    <row r="1240" spans="1:6">
      <c r="A1240" s="39">
        <v>44200</v>
      </c>
      <c r="B1240" s="27"/>
      <c r="C1240" s="27" t="s">
        <v>5102</v>
      </c>
      <c r="D1240" s="27"/>
      <c r="E1240" s="27" t="s">
        <v>5269</v>
      </c>
      <c r="F1240" s="27" t="s">
        <v>5436</v>
      </c>
    </row>
    <row r="1241" spans="1:6">
      <c r="A1241" s="39">
        <v>44200</v>
      </c>
      <c r="B1241" s="27"/>
      <c r="C1241" s="27" t="s">
        <v>5103</v>
      </c>
      <c r="D1241" s="27"/>
      <c r="E1241" s="27" t="s">
        <v>5270</v>
      </c>
      <c r="F1241" s="27" t="s">
        <v>5437</v>
      </c>
    </row>
    <row r="1242" spans="1:6">
      <c r="A1242" s="39">
        <v>44200</v>
      </c>
      <c r="B1242" s="27"/>
      <c r="C1242" s="27" t="s">
        <v>5104</v>
      </c>
      <c r="D1242" s="27"/>
      <c r="E1242" s="27" t="s">
        <v>5271</v>
      </c>
      <c r="F1242" s="27" t="s">
        <v>5438</v>
      </c>
    </row>
    <row r="1243" spans="1:6">
      <c r="A1243" s="39">
        <v>44512</v>
      </c>
      <c r="B1243" s="27"/>
      <c r="C1243" s="27" t="s">
        <v>6011</v>
      </c>
      <c r="D1243" s="27"/>
      <c r="E1243" s="27" t="s">
        <v>6011</v>
      </c>
      <c r="F1243" s="27" t="s">
        <v>6014</v>
      </c>
    </row>
    <row r="1244" spans="1:6">
      <c r="A1244" s="39">
        <v>44512</v>
      </c>
      <c r="B1244" s="27"/>
      <c r="C1244" s="27" t="s">
        <v>5971</v>
      </c>
      <c r="D1244" s="27"/>
      <c r="E1244" s="27" t="s">
        <v>5972</v>
      </c>
      <c r="F1244" s="27" t="s">
        <v>5973</v>
      </c>
    </row>
    <row r="1245" spans="1:6">
      <c r="A1245" s="38">
        <v>44013</v>
      </c>
      <c r="B1245" s="53"/>
      <c r="C1245" s="53" t="s">
        <v>2478</v>
      </c>
      <c r="D1245" s="53"/>
      <c r="E1245" s="53" t="s">
        <v>2479</v>
      </c>
      <c r="F1245" s="53" t="s">
        <v>2480</v>
      </c>
    </row>
    <row r="1246" spans="1:6">
      <c r="A1246" s="38">
        <v>44013</v>
      </c>
      <c r="B1246" s="79"/>
      <c r="C1246" s="79" t="s">
        <v>2481</v>
      </c>
      <c r="D1246" s="79"/>
      <c r="E1246" s="79" t="s">
        <v>2482</v>
      </c>
      <c r="F1246" s="79" t="s">
        <v>2483</v>
      </c>
    </row>
    <row r="1247" spans="1:6">
      <c r="A1247" s="38">
        <v>43465</v>
      </c>
      <c r="B1247" s="53"/>
      <c r="C1247" s="53" t="s">
        <v>2484</v>
      </c>
      <c r="D1247" s="53"/>
      <c r="E1247" s="53" t="s">
        <v>2485</v>
      </c>
      <c r="F1247" s="53" t="s">
        <v>2486</v>
      </c>
    </row>
    <row r="1248" spans="1:6">
      <c r="A1248" s="38">
        <v>44133</v>
      </c>
      <c r="B1248" s="79"/>
      <c r="C1248" s="79" t="s">
        <v>2487</v>
      </c>
      <c r="D1248" s="79"/>
      <c r="E1248" s="79" t="s">
        <v>2488</v>
      </c>
      <c r="F1248" s="79" t="s">
        <v>2489</v>
      </c>
    </row>
    <row r="1249" spans="1:6">
      <c r="A1249" s="38">
        <v>44062</v>
      </c>
      <c r="B1249" s="79"/>
      <c r="C1249" s="79" t="s">
        <v>2490</v>
      </c>
      <c r="D1249" s="79"/>
      <c r="E1249" s="79" t="s">
        <v>2491</v>
      </c>
      <c r="F1249" s="79" t="s">
        <v>2492</v>
      </c>
    </row>
    <row r="1250" spans="1:6">
      <c r="A1250" s="38">
        <v>43647</v>
      </c>
      <c r="B1250" s="79"/>
      <c r="C1250" s="79" t="s">
        <v>2493</v>
      </c>
      <c r="D1250" s="79"/>
      <c r="E1250" s="79" t="s">
        <v>2494</v>
      </c>
      <c r="F1250" s="79" t="s">
        <v>2495</v>
      </c>
    </row>
    <row r="1251" spans="1:6">
      <c r="A1251" s="38">
        <v>43899</v>
      </c>
      <c r="B1251" s="53"/>
      <c r="C1251" s="53" t="s">
        <v>2496</v>
      </c>
      <c r="D1251" s="53"/>
      <c r="E1251" s="53" t="s">
        <v>2497</v>
      </c>
      <c r="F1251" s="53" t="s">
        <v>2498</v>
      </c>
    </row>
    <row r="1252" spans="1:6">
      <c r="A1252" s="38">
        <v>43899</v>
      </c>
      <c r="B1252" s="79"/>
      <c r="C1252" s="79" t="s">
        <v>2499</v>
      </c>
      <c r="D1252" s="79"/>
      <c r="E1252" s="79" t="s">
        <v>2500</v>
      </c>
      <c r="F1252" s="79" t="s">
        <v>2501</v>
      </c>
    </row>
    <row r="1253" spans="1:6">
      <c r="A1253" s="38">
        <v>43899</v>
      </c>
      <c r="B1253" s="53"/>
      <c r="C1253" s="53" t="s">
        <v>2502</v>
      </c>
      <c r="D1253" s="53"/>
      <c r="E1253" s="53" t="s">
        <v>2503</v>
      </c>
      <c r="F1253" s="53" t="s">
        <v>2504</v>
      </c>
    </row>
    <row r="1254" spans="1:6">
      <c r="A1254" s="38">
        <v>44053</v>
      </c>
      <c r="B1254" s="53"/>
      <c r="C1254" s="53" t="s">
        <v>2505</v>
      </c>
      <c r="D1254" s="53"/>
      <c r="E1254" s="53" t="s">
        <v>2506</v>
      </c>
      <c r="F1254" s="53" t="s">
        <v>2507</v>
      </c>
    </row>
    <row r="1255" spans="1:6">
      <c r="A1255" s="38">
        <v>43762</v>
      </c>
      <c r="B1255" s="79"/>
      <c r="C1255" s="79" t="s">
        <v>2508</v>
      </c>
      <c r="D1255" s="79"/>
      <c r="E1255" s="79" t="s">
        <v>2509</v>
      </c>
      <c r="F1255" s="79" t="s">
        <v>2510</v>
      </c>
    </row>
    <row r="1256" spans="1:6">
      <c r="A1256" s="38">
        <v>43899</v>
      </c>
      <c r="B1256" s="53"/>
      <c r="C1256" s="53" t="s">
        <v>2511</v>
      </c>
      <c r="D1256" s="53"/>
      <c r="E1256" s="53" t="s">
        <v>2512</v>
      </c>
      <c r="F1256" s="53" t="s">
        <v>2513</v>
      </c>
    </row>
    <row r="1257" spans="1:6">
      <c r="A1257" s="38">
        <v>43655</v>
      </c>
      <c r="B1257" s="53"/>
      <c r="C1257" s="53" t="s">
        <v>2514</v>
      </c>
      <c r="D1257" s="53"/>
      <c r="E1257" s="53" t="s">
        <v>2515</v>
      </c>
      <c r="F1257" s="53" t="s">
        <v>2516</v>
      </c>
    </row>
    <row r="1258" spans="1:6">
      <c r="A1258" s="38">
        <v>43608</v>
      </c>
      <c r="B1258" s="53"/>
      <c r="C1258" s="53" t="s">
        <v>2517</v>
      </c>
      <c r="D1258" s="53"/>
      <c r="E1258" s="53" t="s">
        <v>2518</v>
      </c>
      <c r="F1258" s="53" t="s">
        <v>2519</v>
      </c>
    </row>
    <row r="1259" spans="1:6">
      <c r="A1259" s="38">
        <v>43746</v>
      </c>
      <c r="B1259" s="53"/>
      <c r="C1259" s="53" t="s">
        <v>2520</v>
      </c>
      <c r="D1259" s="53"/>
      <c r="E1259" s="53" t="s">
        <v>2521</v>
      </c>
      <c r="F1259" s="53" t="s">
        <v>2522</v>
      </c>
    </row>
    <row r="1260" spans="1:6">
      <c r="A1260" s="38">
        <v>43482</v>
      </c>
      <c r="B1260" s="62"/>
      <c r="C1260" s="62" t="s">
        <v>2523</v>
      </c>
      <c r="D1260" s="62"/>
      <c r="E1260" s="62" t="s">
        <v>2524</v>
      </c>
      <c r="F1260" s="62" t="s">
        <v>2525</v>
      </c>
    </row>
    <row r="1261" spans="1:6">
      <c r="A1261" s="38">
        <v>43741</v>
      </c>
      <c r="B1261" s="78"/>
      <c r="C1261" s="78" t="s">
        <v>2526</v>
      </c>
      <c r="D1261" s="78"/>
      <c r="E1261" s="78" t="s">
        <v>2527</v>
      </c>
      <c r="F1261" s="78" t="s">
        <v>2528</v>
      </c>
    </row>
    <row r="1262" spans="1:6">
      <c r="A1262" s="38">
        <v>43608</v>
      </c>
      <c r="B1262" s="78"/>
      <c r="C1262" s="78" t="s">
        <v>2529</v>
      </c>
      <c r="D1262" s="78"/>
      <c r="E1262" s="78" t="s">
        <v>2530</v>
      </c>
      <c r="F1262" s="78" t="s">
        <v>2531</v>
      </c>
    </row>
    <row r="1263" spans="1:6">
      <c r="A1263" s="38">
        <v>43719</v>
      </c>
      <c r="B1263" s="87"/>
      <c r="C1263" s="87" t="s">
        <v>2532</v>
      </c>
      <c r="D1263" s="87"/>
      <c r="E1263" s="87" t="s">
        <v>2533</v>
      </c>
      <c r="F1263" s="87" t="s">
        <v>2534</v>
      </c>
    </row>
    <row r="1264" spans="1:6">
      <c r="A1264" s="39">
        <v>44510</v>
      </c>
      <c r="B1264" s="27"/>
      <c r="C1264" s="57" t="s">
        <v>5781</v>
      </c>
      <c r="D1264" s="27"/>
      <c r="E1264" s="27" t="s">
        <v>6171</v>
      </c>
      <c r="F1264" s="27" t="s">
        <v>6066</v>
      </c>
    </row>
    <row r="1265" spans="1:6">
      <c r="A1265" s="39">
        <v>44510</v>
      </c>
      <c r="B1265" s="27"/>
      <c r="C1265" s="57" t="s">
        <v>5780</v>
      </c>
      <c r="D1265" s="27"/>
      <c r="E1265" s="27" t="s">
        <v>6172</v>
      </c>
      <c r="F1265" s="27" t="s">
        <v>6067</v>
      </c>
    </row>
    <row r="1266" spans="1:6">
      <c r="A1266" s="39">
        <v>44512</v>
      </c>
      <c r="B1266" s="27"/>
      <c r="C1266" s="27" t="s">
        <v>6051</v>
      </c>
      <c r="D1266" s="27"/>
      <c r="E1266" s="27" t="s">
        <v>6052</v>
      </c>
      <c r="F1266" s="27" t="s">
        <v>6053</v>
      </c>
    </row>
    <row r="1267" spans="1:6">
      <c r="A1267" s="38">
        <v>43724</v>
      </c>
      <c r="B1267" s="78"/>
      <c r="C1267" s="78" t="s">
        <v>2535</v>
      </c>
      <c r="D1267" s="78"/>
      <c r="E1267" s="78" t="s">
        <v>2535</v>
      </c>
      <c r="F1267" s="78" t="s">
        <v>2535</v>
      </c>
    </row>
    <row r="1268" spans="1:6">
      <c r="A1268" s="38">
        <v>43724</v>
      </c>
      <c r="B1268" s="87"/>
      <c r="C1268" s="87" t="s">
        <v>2536</v>
      </c>
      <c r="D1268" s="87"/>
      <c r="E1268" s="87" t="s">
        <v>2536</v>
      </c>
      <c r="F1268" s="87" t="s">
        <v>2536</v>
      </c>
    </row>
    <row r="1269" spans="1:6">
      <c r="A1269" s="39">
        <v>44199</v>
      </c>
      <c r="B1269" s="27"/>
      <c r="C1269" s="27" t="s">
        <v>4648</v>
      </c>
      <c r="D1269" s="27"/>
      <c r="E1269" s="27" t="s">
        <v>4860</v>
      </c>
      <c r="F1269" s="27" t="s">
        <v>4861</v>
      </c>
    </row>
    <row r="1270" spans="1:6">
      <c r="A1270" s="39">
        <v>44199</v>
      </c>
      <c r="B1270" s="27"/>
      <c r="C1270" s="27" t="s">
        <v>4649</v>
      </c>
      <c r="D1270" s="27"/>
      <c r="E1270" s="27" t="s">
        <v>4862</v>
      </c>
      <c r="F1270" s="27" t="s">
        <v>4863</v>
      </c>
    </row>
    <row r="1271" spans="1:6">
      <c r="A1271" s="39">
        <v>44301</v>
      </c>
      <c r="B1271" s="27">
        <v>1</v>
      </c>
      <c r="C1271" s="27" t="s">
        <v>5670</v>
      </c>
      <c r="D1271" s="27"/>
      <c r="E1271" s="27" t="s">
        <v>5671</v>
      </c>
      <c r="F1271" s="27" t="s">
        <v>5672</v>
      </c>
    </row>
    <row r="1272" spans="1:6">
      <c r="A1272" s="39">
        <v>44510</v>
      </c>
      <c r="B1272" s="27"/>
      <c r="C1272" s="27" t="s">
        <v>5798</v>
      </c>
      <c r="D1272" s="27"/>
      <c r="E1272" s="27" t="s">
        <v>5798</v>
      </c>
      <c r="F1272" s="27" t="s">
        <v>5798</v>
      </c>
    </row>
    <row r="1273" spans="1:6">
      <c r="A1273" s="39">
        <v>44199</v>
      </c>
      <c r="B1273" s="27"/>
      <c r="C1273" s="27" t="s">
        <v>4650</v>
      </c>
      <c r="D1273" s="27"/>
      <c r="E1273" s="27" t="s">
        <v>4650</v>
      </c>
      <c r="F1273" s="27" t="s">
        <v>4864</v>
      </c>
    </row>
    <row r="1274" spans="1:6">
      <c r="A1274" s="38">
        <v>44019</v>
      </c>
      <c r="B1274" s="53"/>
      <c r="C1274" s="53" t="s">
        <v>2537</v>
      </c>
      <c r="D1274" s="53"/>
      <c r="E1274" s="53" t="s">
        <v>2537</v>
      </c>
      <c r="F1274" s="53" t="s">
        <v>2537</v>
      </c>
    </row>
    <row r="1275" spans="1:6">
      <c r="A1275" s="38">
        <v>43864</v>
      </c>
      <c r="B1275" s="53"/>
      <c r="C1275" s="53" t="s">
        <v>2538</v>
      </c>
      <c r="D1275" s="53"/>
      <c r="E1275" s="53" t="s">
        <v>2539</v>
      </c>
      <c r="F1275" s="53" t="s">
        <v>2540</v>
      </c>
    </row>
    <row r="1276" spans="1:6">
      <c r="A1276" s="38">
        <v>43864</v>
      </c>
      <c r="B1276" s="53"/>
      <c r="C1276" s="53" t="s">
        <v>2541</v>
      </c>
      <c r="D1276" s="53"/>
      <c r="E1276" s="53" t="s">
        <v>2542</v>
      </c>
      <c r="F1276" s="53" t="s">
        <v>2543</v>
      </c>
    </row>
    <row r="1277" spans="1:6">
      <c r="A1277" s="38">
        <v>43384</v>
      </c>
      <c r="B1277" s="53"/>
      <c r="C1277" s="53" t="s">
        <v>2544</v>
      </c>
      <c r="D1277" s="53"/>
      <c r="E1277" s="53" t="s">
        <v>2544</v>
      </c>
      <c r="F1277" s="53" t="s">
        <v>2545</v>
      </c>
    </row>
    <row r="1278" spans="1:6">
      <c r="A1278" s="38">
        <v>43587</v>
      </c>
      <c r="B1278" s="53"/>
      <c r="C1278" s="53" t="s">
        <v>2546</v>
      </c>
      <c r="D1278" s="53"/>
      <c r="E1278" s="53" t="s">
        <v>2547</v>
      </c>
      <c r="F1278" s="53" t="s">
        <v>2548</v>
      </c>
    </row>
    <row r="1279" spans="1:6">
      <c r="A1279" s="38">
        <v>43637</v>
      </c>
      <c r="B1279" s="79"/>
      <c r="C1279" s="79" t="s">
        <v>2549</v>
      </c>
      <c r="D1279" s="79"/>
      <c r="E1279" s="79" t="s">
        <v>2550</v>
      </c>
      <c r="F1279" s="79" t="s">
        <v>2551</v>
      </c>
    </row>
    <row r="1280" spans="1:6">
      <c r="A1280" s="38">
        <v>44088</v>
      </c>
      <c r="B1280" s="53"/>
      <c r="C1280" s="53" t="s">
        <v>2552</v>
      </c>
      <c r="D1280" s="53"/>
      <c r="E1280" s="53" t="s">
        <v>2553</v>
      </c>
      <c r="F1280" s="53" t="s">
        <v>2554</v>
      </c>
    </row>
    <row r="1281" spans="1:6">
      <c r="A1281" s="38">
        <v>43384</v>
      </c>
      <c r="B1281" s="79"/>
      <c r="C1281" s="79" t="s">
        <v>2555</v>
      </c>
      <c r="D1281" s="79"/>
      <c r="E1281" s="79" t="s">
        <v>2556</v>
      </c>
      <c r="F1281" s="79" t="s">
        <v>2557</v>
      </c>
    </row>
    <row r="1282" spans="1:6">
      <c r="A1282" s="38">
        <v>44123</v>
      </c>
      <c r="B1282" s="79"/>
      <c r="C1282" s="79" t="s">
        <v>2558</v>
      </c>
      <c r="D1282" s="79"/>
      <c r="E1282" s="79" t="s">
        <v>2559</v>
      </c>
      <c r="F1282" s="79" t="s">
        <v>2560</v>
      </c>
    </row>
    <row r="1283" spans="1:6">
      <c r="A1283" s="38">
        <v>43899</v>
      </c>
      <c r="B1283" s="79"/>
      <c r="C1283" s="79" t="s">
        <v>2561</v>
      </c>
      <c r="D1283" s="79"/>
      <c r="E1283" s="79" t="s">
        <v>2562</v>
      </c>
      <c r="F1283" s="79" t="s">
        <v>2563</v>
      </c>
    </row>
    <row r="1284" spans="1:6">
      <c r="A1284" s="38">
        <v>43724</v>
      </c>
      <c r="B1284" s="87"/>
      <c r="C1284" s="87" t="s">
        <v>2564</v>
      </c>
      <c r="D1284" s="87"/>
      <c r="E1284" s="87" t="s">
        <v>2562</v>
      </c>
      <c r="F1284" s="87" t="s">
        <v>2563</v>
      </c>
    </row>
    <row r="1285" spans="1:6">
      <c r="A1285" s="39">
        <v>44510</v>
      </c>
      <c r="B1285" s="27"/>
      <c r="C1285" s="27" t="s">
        <v>6160</v>
      </c>
      <c r="D1285" s="27"/>
      <c r="E1285" s="54" t="s">
        <v>6161</v>
      </c>
      <c r="F1285" s="27" t="s">
        <v>5840</v>
      </c>
    </row>
    <row r="1286" spans="1:6">
      <c r="A1286" s="39">
        <v>44510</v>
      </c>
      <c r="B1286" s="27"/>
      <c r="C1286" s="27" t="s">
        <v>5929</v>
      </c>
      <c r="D1286" s="27"/>
      <c r="E1286" s="27" t="s">
        <v>5929</v>
      </c>
      <c r="F1286" s="27" t="s">
        <v>5930</v>
      </c>
    </row>
    <row r="1287" spans="1:6">
      <c r="A1287" s="38">
        <v>43868</v>
      </c>
      <c r="B1287" s="87"/>
      <c r="C1287" s="87" t="s">
        <v>2565</v>
      </c>
      <c r="D1287" s="87"/>
      <c r="E1287" s="87" t="s">
        <v>2565</v>
      </c>
      <c r="F1287" s="87" t="s">
        <v>2565</v>
      </c>
    </row>
    <row r="1288" spans="1:6">
      <c r="A1288" s="39">
        <v>44199</v>
      </c>
      <c r="B1288" s="27"/>
      <c r="C1288" s="27" t="s">
        <v>4651</v>
      </c>
      <c r="D1288" s="27"/>
      <c r="E1288" s="27" t="s">
        <v>4651</v>
      </c>
      <c r="F1288" s="27" t="s">
        <v>4651</v>
      </c>
    </row>
    <row r="1289" spans="1:6">
      <c r="A1289" s="38">
        <v>44173</v>
      </c>
      <c r="B1289" s="78"/>
      <c r="C1289" s="78" t="s">
        <v>2566</v>
      </c>
      <c r="D1289" s="78"/>
      <c r="E1289" s="78" t="s">
        <v>2567</v>
      </c>
      <c r="F1289" s="78" t="s">
        <v>2568</v>
      </c>
    </row>
    <row r="1290" spans="1:6">
      <c r="A1290" s="38">
        <v>43612</v>
      </c>
      <c r="B1290" s="78"/>
      <c r="C1290" s="78" t="s">
        <v>2569</v>
      </c>
      <c r="D1290" s="78"/>
      <c r="E1290" s="78" t="s">
        <v>2570</v>
      </c>
      <c r="F1290" s="78" t="s">
        <v>2571</v>
      </c>
    </row>
    <row r="1291" spans="1:6">
      <c r="A1291" s="38">
        <v>43724</v>
      </c>
      <c r="B1291" s="87"/>
      <c r="C1291" s="87" t="s">
        <v>2572</v>
      </c>
      <c r="D1291" s="87" t="s">
        <v>2573</v>
      </c>
      <c r="E1291" s="87" t="s">
        <v>2572</v>
      </c>
      <c r="F1291" s="87" t="s">
        <v>2574</v>
      </c>
    </row>
    <row r="1292" spans="1:6">
      <c r="A1292" s="39">
        <v>44199</v>
      </c>
      <c r="B1292" s="27"/>
      <c r="C1292" s="27" t="s">
        <v>4652</v>
      </c>
      <c r="D1292" s="27"/>
      <c r="E1292" s="27" t="s">
        <v>4865</v>
      </c>
      <c r="F1292" s="27" t="s">
        <v>4866</v>
      </c>
    </row>
    <row r="1293" spans="1:6">
      <c r="A1293" s="38">
        <v>44029</v>
      </c>
      <c r="B1293" s="87"/>
      <c r="C1293" s="87" t="s">
        <v>2575</v>
      </c>
      <c r="D1293" s="87"/>
      <c r="E1293" s="87" t="s">
        <v>2576</v>
      </c>
      <c r="F1293" s="87" t="s">
        <v>2577</v>
      </c>
    </row>
    <row r="1294" spans="1:6">
      <c r="A1294" s="39">
        <v>44200</v>
      </c>
      <c r="B1294" s="27"/>
      <c r="C1294" s="27" t="s">
        <v>4460</v>
      </c>
      <c r="D1294" s="27"/>
      <c r="E1294" s="27" t="s">
        <v>5272</v>
      </c>
      <c r="F1294" s="27" t="s">
        <v>5439</v>
      </c>
    </row>
    <row r="1295" spans="1:6">
      <c r="A1295" s="38">
        <v>43997</v>
      </c>
      <c r="B1295" s="87"/>
      <c r="C1295" s="87" t="s">
        <v>2578</v>
      </c>
      <c r="D1295" s="87"/>
      <c r="E1295" s="87" t="s">
        <v>2579</v>
      </c>
      <c r="F1295" s="87" t="s">
        <v>2580</v>
      </c>
    </row>
    <row r="1296" spans="1:6">
      <c r="A1296" s="39">
        <v>44510</v>
      </c>
      <c r="B1296" s="27"/>
      <c r="C1296" s="27" t="s">
        <v>5905</v>
      </c>
      <c r="D1296" s="27"/>
      <c r="E1296" s="27" t="s">
        <v>5905</v>
      </c>
      <c r="F1296" s="27" t="s">
        <v>5906</v>
      </c>
    </row>
    <row r="1297" spans="1:6">
      <c r="A1297" s="38">
        <v>43465</v>
      </c>
      <c r="B1297" s="78"/>
      <c r="C1297" s="78" t="s">
        <v>2581</v>
      </c>
      <c r="D1297" s="78"/>
      <c r="E1297" s="78" t="s">
        <v>2582</v>
      </c>
      <c r="F1297" s="78" t="s">
        <v>2583</v>
      </c>
    </row>
    <row r="1298" spans="1:6">
      <c r="A1298" s="38">
        <v>44011</v>
      </c>
      <c r="B1298" s="87"/>
      <c r="C1298" s="87" t="s">
        <v>2584</v>
      </c>
      <c r="D1298" s="87"/>
      <c r="E1298" s="87" t="s">
        <v>2585</v>
      </c>
      <c r="F1298" s="87" t="s">
        <v>2586</v>
      </c>
    </row>
    <row r="1299" spans="1:6">
      <c r="A1299" s="39">
        <v>44509</v>
      </c>
      <c r="B1299" s="27"/>
      <c r="C1299" s="27" t="s">
        <v>5754</v>
      </c>
      <c r="D1299" s="27"/>
      <c r="E1299" s="27" t="s">
        <v>5755</v>
      </c>
      <c r="F1299" s="27" t="s">
        <v>5761</v>
      </c>
    </row>
    <row r="1300" spans="1:6">
      <c r="A1300" s="39">
        <v>44199</v>
      </c>
      <c r="B1300" s="27"/>
      <c r="C1300" s="27" t="s">
        <v>4653</v>
      </c>
      <c r="D1300" s="27"/>
      <c r="E1300" s="27" t="s">
        <v>4867</v>
      </c>
      <c r="F1300" s="27" t="s">
        <v>4868</v>
      </c>
    </row>
    <row r="1301" spans="1:6">
      <c r="A1301" s="38">
        <v>44083</v>
      </c>
      <c r="B1301" s="87"/>
      <c r="C1301" s="87" t="s">
        <v>2587</v>
      </c>
      <c r="D1301" s="87"/>
      <c r="E1301" s="87" t="s">
        <v>2588</v>
      </c>
      <c r="F1301" s="87" t="s">
        <v>2589</v>
      </c>
    </row>
    <row r="1302" spans="1:6">
      <c r="A1302" s="39">
        <v>44199</v>
      </c>
      <c r="B1302" s="27"/>
      <c r="C1302" s="27" t="s">
        <v>4654</v>
      </c>
      <c r="D1302" s="27"/>
      <c r="E1302" s="27" t="s">
        <v>2579</v>
      </c>
      <c r="F1302" s="27" t="s">
        <v>2580</v>
      </c>
    </row>
    <row r="1303" spans="1:6">
      <c r="A1303" s="38">
        <v>43724</v>
      </c>
      <c r="B1303" s="53"/>
      <c r="C1303" s="53" t="s">
        <v>2590</v>
      </c>
      <c r="D1303" s="53"/>
      <c r="E1303" s="53" t="s">
        <v>2591</v>
      </c>
      <c r="F1303" s="53" t="s">
        <v>2592</v>
      </c>
    </row>
    <row r="1304" spans="1:6">
      <c r="A1304" s="38">
        <v>43530</v>
      </c>
      <c r="B1304" s="53"/>
      <c r="C1304" s="53" t="s">
        <v>2593</v>
      </c>
      <c r="D1304" s="53"/>
      <c r="E1304" s="53" t="s">
        <v>2594</v>
      </c>
      <c r="F1304" s="53" t="s">
        <v>2595</v>
      </c>
    </row>
    <row r="1305" spans="1:6">
      <c r="A1305" s="38">
        <v>43591</v>
      </c>
      <c r="B1305" s="53"/>
      <c r="C1305" s="53" t="s">
        <v>2596</v>
      </c>
      <c r="D1305" s="53"/>
      <c r="E1305" s="53" t="s">
        <v>2597</v>
      </c>
      <c r="F1305" s="53" t="s">
        <v>2598</v>
      </c>
    </row>
    <row r="1306" spans="1:6">
      <c r="A1306" s="38">
        <v>44123</v>
      </c>
      <c r="B1306" s="79"/>
      <c r="C1306" s="79" t="s">
        <v>2599</v>
      </c>
      <c r="D1306" s="79"/>
      <c r="E1306" s="79" t="s">
        <v>2600</v>
      </c>
      <c r="F1306" s="79" t="s">
        <v>2601</v>
      </c>
    </row>
    <row r="1307" spans="1:6">
      <c r="A1307" s="38">
        <v>43344</v>
      </c>
      <c r="B1307" s="79"/>
      <c r="C1307" s="79" t="s">
        <v>2602</v>
      </c>
      <c r="D1307" s="79"/>
      <c r="E1307" s="79" t="s">
        <v>2603</v>
      </c>
      <c r="F1307" s="79" t="s">
        <v>2604</v>
      </c>
    </row>
    <row r="1308" spans="1:6">
      <c r="A1308" s="38">
        <v>44133</v>
      </c>
      <c r="B1308" s="79"/>
      <c r="C1308" s="79" t="s">
        <v>2605</v>
      </c>
      <c r="D1308" s="79"/>
      <c r="E1308" s="79" t="s">
        <v>2606</v>
      </c>
      <c r="F1308" s="79" t="s">
        <v>2607</v>
      </c>
    </row>
    <row r="1309" spans="1:6">
      <c r="A1309" s="38">
        <v>44039</v>
      </c>
      <c r="B1309" s="87"/>
      <c r="C1309" s="87" t="s">
        <v>2608</v>
      </c>
      <c r="D1309" s="87"/>
      <c r="E1309" s="87" t="s">
        <v>2609</v>
      </c>
      <c r="F1309" s="87" t="s">
        <v>2610</v>
      </c>
    </row>
    <row r="1310" spans="1:6">
      <c r="A1310" s="39">
        <v>44301</v>
      </c>
      <c r="B1310" s="27">
        <v>1</v>
      </c>
      <c r="C1310" s="27" t="s">
        <v>5673</v>
      </c>
      <c r="D1310" s="27"/>
      <c r="E1310" s="27" t="s">
        <v>5674</v>
      </c>
      <c r="F1310" s="27" t="s">
        <v>5675</v>
      </c>
    </row>
    <row r="1311" spans="1:6">
      <c r="A1311" s="38">
        <v>43868</v>
      </c>
      <c r="B1311" s="79"/>
      <c r="C1311" s="79" t="s">
        <v>2611</v>
      </c>
      <c r="D1311" s="79"/>
      <c r="E1311" s="79" t="s">
        <v>2611</v>
      </c>
      <c r="F1311" s="79" t="s">
        <v>2612</v>
      </c>
    </row>
    <row r="1312" spans="1:6">
      <c r="A1312" s="38">
        <v>43637</v>
      </c>
      <c r="B1312" s="87"/>
      <c r="C1312" s="87" t="s">
        <v>2614</v>
      </c>
      <c r="D1312" s="87"/>
      <c r="E1312" s="87" t="s">
        <v>2614</v>
      </c>
      <c r="F1312" s="87" t="s">
        <v>2615</v>
      </c>
    </row>
    <row r="1313" spans="1:6">
      <c r="A1313" s="39">
        <v>44199</v>
      </c>
      <c r="B1313" s="27"/>
      <c r="C1313" s="27" t="s">
        <v>3795</v>
      </c>
      <c r="D1313" s="27"/>
      <c r="E1313" s="27" t="s">
        <v>3795</v>
      </c>
      <c r="F1313" s="27" t="s">
        <v>3796</v>
      </c>
    </row>
    <row r="1314" spans="1:6">
      <c r="A1314" s="38">
        <v>44011</v>
      </c>
      <c r="B1314" s="53"/>
      <c r="C1314" s="53" t="s">
        <v>2616</v>
      </c>
      <c r="D1314" s="53"/>
      <c r="E1314" s="53" t="s">
        <v>2617</v>
      </c>
      <c r="F1314" s="53" t="s">
        <v>2618</v>
      </c>
    </row>
    <row r="1315" spans="1:6">
      <c r="A1315" s="38">
        <v>43996</v>
      </c>
      <c r="B1315" s="79"/>
      <c r="C1315" s="79" t="s">
        <v>2619</v>
      </c>
      <c r="D1315" s="79"/>
      <c r="E1315" s="79" t="s">
        <v>2620</v>
      </c>
      <c r="F1315" s="79" t="s">
        <v>2621</v>
      </c>
    </row>
    <row r="1316" spans="1:6">
      <c r="A1316" s="38">
        <v>43996</v>
      </c>
      <c r="B1316" s="53"/>
      <c r="C1316" s="53" t="s">
        <v>2622</v>
      </c>
      <c r="D1316" s="53"/>
      <c r="E1316" s="53" t="s">
        <v>2623</v>
      </c>
      <c r="F1316" s="53" t="s">
        <v>2624</v>
      </c>
    </row>
    <row r="1317" spans="1:6">
      <c r="A1317" s="38">
        <v>43996</v>
      </c>
      <c r="B1317" s="53"/>
      <c r="C1317" s="53" t="s">
        <v>2625</v>
      </c>
      <c r="D1317" s="53"/>
      <c r="E1317" s="53" t="s">
        <v>2626</v>
      </c>
      <c r="F1317" s="53" t="s">
        <v>2627</v>
      </c>
    </row>
    <row r="1318" spans="1:6">
      <c r="A1318" s="38">
        <v>43996</v>
      </c>
      <c r="B1318" s="53"/>
      <c r="C1318" s="53" t="s">
        <v>2628</v>
      </c>
      <c r="D1318" s="53"/>
      <c r="E1318" s="53" t="s">
        <v>2629</v>
      </c>
      <c r="F1318" s="53" t="s">
        <v>2630</v>
      </c>
    </row>
    <row r="1319" spans="1:6">
      <c r="A1319" s="38">
        <v>43995</v>
      </c>
      <c r="B1319" s="62"/>
      <c r="C1319" s="62" t="s">
        <v>2631</v>
      </c>
      <c r="D1319" s="62"/>
      <c r="E1319" s="62" t="s">
        <v>2632</v>
      </c>
      <c r="F1319" s="62" t="s">
        <v>2633</v>
      </c>
    </row>
    <row r="1320" spans="1:6">
      <c r="A1320" s="38">
        <v>43587</v>
      </c>
      <c r="B1320" s="78"/>
      <c r="C1320" s="78" t="s">
        <v>2634</v>
      </c>
      <c r="D1320" s="78"/>
      <c r="E1320" s="78" t="s">
        <v>2634</v>
      </c>
      <c r="F1320" s="78" t="s">
        <v>2634</v>
      </c>
    </row>
    <row r="1321" spans="1:6">
      <c r="A1321" s="38">
        <v>43414</v>
      </c>
      <c r="B1321" s="78"/>
      <c r="C1321" s="78" t="s">
        <v>2635</v>
      </c>
      <c r="D1321" s="78"/>
      <c r="E1321" s="78" t="s">
        <v>2636</v>
      </c>
      <c r="F1321" s="78" t="s">
        <v>2637</v>
      </c>
    </row>
    <row r="1322" spans="1:6">
      <c r="A1322" s="38">
        <v>43594</v>
      </c>
      <c r="B1322" s="87"/>
      <c r="C1322" s="87" t="s">
        <v>2638</v>
      </c>
      <c r="D1322" s="87"/>
      <c r="E1322" s="87" t="s">
        <v>2639</v>
      </c>
      <c r="F1322" s="87" t="s">
        <v>2640</v>
      </c>
    </row>
    <row r="1323" spans="1:6">
      <c r="A1323" s="39">
        <v>44236</v>
      </c>
      <c r="B1323" s="27"/>
      <c r="C1323" s="27" t="s">
        <v>5517</v>
      </c>
      <c r="D1323" s="27"/>
      <c r="E1323" s="27" t="s">
        <v>5518</v>
      </c>
      <c r="F1323" s="27" t="s">
        <v>5519</v>
      </c>
    </row>
    <row r="1324" spans="1:6">
      <c r="A1324" s="38">
        <v>44070</v>
      </c>
      <c r="B1324" s="78"/>
      <c r="C1324" s="78" t="s">
        <v>2641</v>
      </c>
      <c r="D1324" s="78"/>
      <c r="E1324" s="78" t="s">
        <v>2642</v>
      </c>
      <c r="F1324" s="78" t="s">
        <v>2643</v>
      </c>
    </row>
    <row r="1325" spans="1:6">
      <c r="A1325" s="38">
        <v>43867</v>
      </c>
      <c r="B1325" s="87"/>
      <c r="C1325" s="87" t="s">
        <v>2644</v>
      </c>
      <c r="D1325" s="87"/>
      <c r="E1325" s="87" t="s">
        <v>2645</v>
      </c>
      <c r="F1325" s="87" t="s">
        <v>2646</v>
      </c>
    </row>
    <row r="1326" spans="1:6">
      <c r="A1326" s="39">
        <v>44199</v>
      </c>
      <c r="B1326" s="27"/>
      <c r="C1326" s="27" t="s">
        <v>4655</v>
      </c>
      <c r="D1326" s="27"/>
      <c r="E1326" s="27" t="s">
        <v>4655</v>
      </c>
      <c r="F1326" s="27" t="s">
        <v>4869</v>
      </c>
    </row>
    <row r="1327" spans="1:6">
      <c r="A1327" s="39">
        <v>44199</v>
      </c>
      <c r="B1327" s="27"/>
      <c r="C1327" s="27" t="s">
        <v>4656</v>
      </c>
      <c r="D1327" s="27"/>
      <c r="E1327" s="27" t="s">
        <v>4656</v>
      </c>
      <c r="F1327" s="27" t="s">
        <v>4870</v>
      </c>
    </row>
    <row r="1328" spans="1:6">
      <c r="A1328" s="39">
        <v>44301</v>
      </c>
      <c r="B1328" s="27">
        <v>11</v>
      </c>
      <c r="C1328" s="27" t="s">
        <v>4656</v>
      </c>
      <c r="D1328" s="27"/>
      <c r="E1328" s="27" t="s">
        <v>4656</v>
      </c>
      <c r="F1328" s="27" t="s">
        <v>4870</v>
      </c>
    </row>
    <row r="1329" spans="1:6">
      <c r="A1329" s="38">
        <v>44013</v>
      </c>
      <c r="B1329" s="53"/>
      <c r="C1329" s="53" t="s">
        <v>2647</v>
      </c>
      <c r="D1329" s="53"/>
      <c r="E1329" s="53" t="s">
        <v>2648</v>
      </c>
      <c r="F1329" s="53" t="s">
        <v>2649</v>
      </c>
    </row>
    <row r="1330" spans="1:6">
      <c r="A1330" s="38">
        <v>43741</v>
      </c>
      <c r="B1330" s="53"/>
      <c r="C1330" s="53" t="s">
        <v>2650</v>
      </c>
      <c r="D1330" s="53"/>
      <c r="E1330" s="53" t="s">
        <v>2651</v>
      </c>
      <c r="F1330" s="53" t="s">
        <v>2652</v>
      </c>
    </row>
    <row r="1331" spans="1:6">
      <c r="A1331" s="38">
        <v>44013</v>
      </c>
      <c r="B1331" s="62"/>
      <c r="C1331" s="62" t="s">
        <v>2653</v>
      </c>
      <c r="D1331" s="62"/>
      <c r="E1331" s="62" t="s">
        <v>2654</v>
      </c>
      <c r="F1331" s="62" t="s">
        <v>2655</v>
      </c>
    </row>
    <row r="1332" spans="1:6">
      <c r="A1332" s="38">
        <v>44043</v>
      </c>
      <c r="B1332" s="78"/>
      <c r="C1332" s="78" t="s">
        <v>2656</v>
      </c>
      <c r="D1332" s="78"/>
      <c r="E1332" s="78" t="s">
        <v>2657</v>
      </c>
      <c r="F1332" s="78" t="s">
        <v>2658</v>
      </c>
    </row>
    <row r="1333" spans="1:6">
      <c r="A1333" s="38">
        <v>44140</v>
      </c>
      <c r="B1333" s="78"/>
      <c r="C1333" s="78" t="s">
        <v>2659</v>
      </c>
      <c r="D1333" s="78"/>
      <c r="E1333" s="78" t="s">
        <v>2660</v>
      </c>
      <c r="F1333" s="78" t="s">
        <v>2661</v>
      </c>
    </row>
    <row r="1334" spans="1:6">
      <c r="A1334" s="38">
        <v>43739</v>
      </c>
      <c r="B1334" s="87"/>
      <c r="C1334" s="87" t="s">
        <v>2662</v>
      </c>
      <c r="D1334" s="87"/>
      <c r="E1334" s="87" t="s">
        <v>2663</v>
      </c>
      <c r="F1334" s="87" t="s">
        <v>2664</v>
      </c>
    </row>
    <row r="1335" spans="1:6">
      <c r="A1335" s="38">
        <v>44172</v>
      </c>
      <c r="B1335" s="27"/>
      <c r="C1335" s="27" t="s">
        <v>2665</v>
      </c>
      <c r="D1335" s="27"/>
      <c r="E1335" s="27" t="s">
        <v>4871</v>
      </c>
      <c r="F1335" s="27" t="s">
        <v>2666</v>
      </c>
    </row>
    <row r="1336" spans="1:6">
      <c r="A1336" s="38">
        <v>43523</v>
      </c>
      <c r="B1336" s="79"/>
      <c r="C1336" s="79" t="s">
        <v>2667</v>
      </c>
      <c r="D1336" s="79"/>
      <c r="E1336" s="79" t="s">
        <v>2668</v>
      </c>
      <c r="F1336" s="79" t="s">
        <v>810</v>
      </c>
    </row>
    <row r="1337" spans="1:6">
      <c r="A1337" s="38">
        <v>43725</v>
      </c>
      <c r="B1337" s="53"/>
      <c r="C1337" s="53" t="s">
        <v>2669</v>
      </c>
      <c r="D1337" s="53"/>
      <c r="E1337" s="53" t="s">
        <v>2670</v>
      </c>
      <c r="F1337" s="53" t="s">
        <v>2671</v>
      </c>
    </row>
    <row r="1338" spans="1:6">
      <c r="A1338" s="38">
        <v>44005</v>
      </c>
      <c r="B1338" s="53"/>
      <c r="C1338" s="53" t="s">
        <v>2672</v>
      </c>
      <c r="D1338" s="53"/>
      <c r="E1338" s="53" t="s">
        <v>2673</v>
      </c>
      <c r="F1338" s="53" t="s">
        <v>2674</v>
      </c>
    </row>
    <row r="1339" spans="1:6">
      <c r="A1339" s="39">
        <v>44593</v>
      </c>
      <c r="B1339" s="27"/>
      <c r="C1339" s="27" t="s">
        <v>6225</v>
      </c>
      <c r="D1339" s="27"/>
      <c r="E1339" s="27" t="s">
        <v>6226</v>
      </c>
      <c r="F1339" s="27" t="s">
        <v>6227</v>
      </c>
    </row>
    <row r="1340" spans="1:6">
      <c r="A1340" s="38">
        <v>44166</v>
      </c>
      <c r="B1340" s="62"/>
      <c r="C1340" s="62" t="s">
        <v>2675</v>
      </c>
      <c r="D1340" s="62"/>
      <c r="E1340" s="62" t="s">
        <v>2676</v>
      </c>
      <c r="F1340" s="62" t="s">
        <v>2677</v>
      </c>
    </row>
    <row r="1341" spans="1:6">
      <c r="A1341" s="38">
        <v>44168</v>
      </c>
      <c r="B1341" s="62"/>
      <c r="C1341" s="62" t="s">
        <v>2678</v>
      </c>
      <c r="D1341" s="62" t="s">
        <v>2679</v>
      </c>
      <c r="E1341" s="62" t="s">
        <v>2680</v>
      </c>
      <c r="F1341" s="62" t="s">
        <v>2681</v>
      </c>
    </row>
    <row r="1342" spans="1:6">
      <c r="A1342" s="38">
        <v>43530</v>
      </c>
      <c r="B1342" s="61"/>
      <c r="C1342" s="61" t="s">
        <v>2682</v>
      </c>
      <c r="D1342" s="61"/>
      <c r="E1342" s="61" t="s">
        <v>2683</v>
      </c>
      <c r="F1342" s="61" t="s">
        <v>2684</v>
      </c>
    </row>
    <row r="1343" spans="1:6">
      <c r="A1343" s="38">
        <v>44075</v>
      </c>
      <c r="B1343" s="79"/>
      <c r="C1343" s="79" t="s">
        <v>2685</v>
      </c>
      <c r="D1343" s="79"/>
      <c r="E1343" s="79" t="s">
        <v>2686</v>
      </c>
      <c r="F1343" s="79" t="s">
        <v>2687</v>
      </c>
    </row>
    <row r="1344" spans="1:6">
      <c r="A1344" s="38">
        <v>43655</v>
      </c>
      <c r="B1344" s="53"/>
      <c r="C1344" s="53" t="s">
        <v>2688</v>
      </c>
      <c r="D1344" s="53"/>
      <c r="E1344" s="53" t="s">
        <v>2689</v>
      </c>
      <c r="F1344" s="53" t="s">
        <v>2690</v>
      </c>
    </row>
    <row r="1345" spans="1:6">
      <c r="A1345" s="38">
        <v>44012</v>
      </c>
      <c r="B1345" s="78"/>
      <c r="C1345" s="78" t="s">
        <v>2691</v>
      </c>
      <c r="D1345" s="78"/>
      <c r="E1345" s="78" t="s">
        <v>2692</v>
      </c>
      <c r="F1345" s="78" t="s">
        <v>2693</v>
      </c>
    </row>
    <row r="1346" spans="1:6">
      <c r="A1346" s="38">
        <v>44118</v>
      </c>
      <c r="B1346" s="78"/>
      <c r="C1346" s="78" t="s">
        <v>2694</v>
      </c>
      <c r="D1346" s="78"/>
      <c r="E1346" s="78" t="s">
        <v>2694</v>
      </c>
      <c r="F1346" s="78" t="s">
        <v>2695</v>
      </c>
    </row>
    <row r="1347" spans="1:6">
      <c r="A1347" s="38">
        <v>43868</v>
      </c>
      <c r="B1347" s="87"/>
      <c r="C1347" s="87" t="s">
        <v>2696</v>
      </c>
      <c r="D1347" s="87"/>
      <c r="E1347" s="87" t="s">
        <v>2696</v>
      </c>
      <c r="F1347" s="87" t="s">
        <v>2697</v>
      </c>
    </row>
    <row r="1348" spans="1:6">
      <c r="A1348" s="38">
        <v>44138</v>
      </c>
      <c r="B1348" s="88"/>
      <c r="C1348" s="88" t="s">
        <v>2698</v>
      </c>
      <c r="D1348" s="88" t="s">
        <v>2699</v>
      </c>
      <c r="E1348" s="88" t="s">
        <v>2700</v>
      </c>
      <c r="F1348" s="88" t="s">
        <v>2701</v>
      </c>
    </row>
    <row r="1349" spans="1:6">
      <c r="A1349" s="39">
        <v>44199</v>
      </c>
      <c r="B1349" s="27"/>
      <c r="C1349" s="27" t="s">
        <v>4657</v>
      </c>
      <c r="D1349" s="27"/>
      <c r="E1349" s="27" t="s">
        <v>4657</v>
      </c>
      <c r="F1349" s="27" t="s">
        <v>4872</v>
      </c>
    </row>
    <row r="1350" spans="1:6">
      <c r="A1350" s="38">
        <v>43725</v>
      </c>
      <c r="B1350" s="78"/>
      <c r="C1350" s="78" t="s">
        <v>2702</v>
      </c>
      <c r="D1350" s="78"/>
      <c r="E1350" s="78" t="s">
        <v>2703</v>
      </c>
      <c r="F1350" s="78" t="s">
        <v>2704</v>
      </c>
    </row>
    <row r="1351" spans="1:6">
      <c r="A1351" s="38">
        <v>43479</v>
      </c>
      <c r="B1351" s="87"/>
      <c r="C1351" s="87" t="s">
        <v>2705</v>
      </c>
      <c r="D1351" s="87"/>
      <c r="E1351" s="87" t="s">
        <v>2706</v>
      </c>
      <c r="F1351" s="87" t="s">
        <v>2707</v>
      </c>
    </row>
    <row r="1352" spans="1:6">
      <c r="A1352" s="38">
        <v>43840</v>
      </c>
      <c r="B1352" s="88"/>
      <c r="C1352" s="88" t="s">
        <v>2708</v>
      </c>
      <c r="D1352" s="88"/>
      <c r="E1352" s="88" t="s">
        <v>2709</v>
      </c>
      <c r="F1352" s="88" t="s">
        <v>2710</v>
      </c>
    </row>
    <row r="1353" spans="1:6">
      <c r="A1353" s="39">
        <v>44510</v>
      </c>
      <c r="B1353" s="27"/>
      <c r="C1353" s="27" t="s">
        <v>5866</v>
      </c>
      <c r="D1353" s="27"/>
      <c r="E1353" s="27" t="s">
        <v>5867</v>
      </c>
      <c r="F1353" s="27" t="s">
        <v>5868</v>
      </c>
    </row>
    <row r="1354" spans="1:6">
      <c r="A1354" s="39">
        <v>44510</v>
      </c>
      <c r="B1354" s="27"/>
      <c r="C1354" s="27" t="s">
        <v>5869</v>
      </c>
      <c r="D1354" s="27"/>
      <c r="E1354" s="27" t="s">
        <v>5870</v>
      </c>
      <c r="F1354" s="27" t="s">
        <v>5871</v>
      </c>
    </row>
    <row r="1355" spans="1:6">
      <c r="A1355" s="38">
        <v>43868</v>
      </c>
      <c r="B1355" s="88"/>
      <c r="C1355" s="88" t="s">
        <v>2711</v>
      </c>
      <c r="D1355" s="88"/>
      <c r="E1355" s="88" t="s">
        <v>2712</v>
      </c>
      <c r="F1355" s="88" t="s">
        <v>2713</v>
      </c>
    </row>
    <row r="1356" spans="1:6">
      <c r="A1356" s="39">
        <v>44301</v>
      </c>
      <c r="B1356" s="27">
        <v>1</v>
      </c>
      <c r="C1356" s="27" t="s">
        <v>5676</v>
      </c>
      <c r="D1356" s="27"/>
      <c r="E1356" s="27" t="s">
        <v>5677</v>
      </c>
      <c r="F1356" s="27" t="s">
        <v>5678</v>
      </c>
    </row>
    <row r="1357" spans="1:6">
      <c r="A1357" s="39">
        <v>44301</v>
      </c>
      <c r="B1357" s="27">
        <v>2</v>
      </c>
      <c r="C1357" s="27" t="s">
        <v>5679</v>
      </c>
      <c r="D1357" s="27"/>
      <c r="E1357" s="27" t="s">
        <v>5680</v>
      </c>
      <c r="F1357" s="27" t="s">
        <v>5681</v>
      </c>
    </row>
    <row r="1358" spans="1:6">
      <c r="A1358" s="39">
        <v>44301</v>
      </c>
      <c r="B1358" s="27">
        <v>1</v>
      </c>
      <c r="C1358" s="27" t="s">
        <v>5682</v>
      </c>
      <c r="D1358" s="27"/>
      <c r="E1358" s="27" t="s">
        <v>5683</v>
      </c>
      <c r="F1358" s="27" t="s">
        <v>5684</v>
      </c>
    </row>
    <row r="1359" spans="1:6">
      <c r="A1359" s="38">
        <v>43989</v>
      </c>
      <c r="B1359" s="87"/>
      <c r="C1359" s="87" t="s">
        <v>2714</v>
      </c>
      <c r="D1359" s="87"/>
      <c r="E1359" s="87" t="s">
        <v>2715</v>
      </c>
      <c r="F1359" s="87" t="s">
        <v>2716</v>
      </c>
    </row>
    <row r="1360" spans="1:6">
      <c r="A1360" s="38">
        <v>44063</v>
      </c>
      <c r="B1360" s="88"/>
      <c r="C1360" s="88" t="s">
        <v>2717</v>
      </c>
      <c r="D1360" s="88"/>
      <c r="E1360" s="88" t="s">
        <v>2718</v>
      </c>
      <c r="F1360" s="88" t="s">
        <v>2719</v>
      </c>
    </row>
    <row r="1361" spans="1:6">
      <c r="A1361" s="39">
        <v>44301</v>
      </c>
      <c r="B1361" s="27">
        <v>1</v>
      </c>
      <c r="C1361" s="27" t="s">
        <v>5685</v>
      </c>
      <c r="D1361" s="27"/>
      <c r="E1361" s="27" t="s">
        <v>5680</v>
      </c>
      <c r="F1361" s="27" t="s">
        <v>5681</v>
      </c>
    </row>
    <row r="1362" spans="1:6">
      <c r="A1362" s="38">
        <v>44111</v>
      </c>
      <c r="B1362" s="88"/>
      <c r="C1362" s="88" t="s">
        <v>2720</v>
      </c>
      <c r="D1362" s="88"/>
      <c r="E1362" s="88" t="s">
        <v>2721</v>
      </c>
      <c r="F1362" s="88" t="s">
        <v>561</v>
      </c>
    </row>
    <row r="1363" spans="1:6">
      <c r="A1363" s="39">
        <v>44512</v>
      </c>
      <c r="B1363" s="27"/>
      <c r="C1363" s="27" t="s">
        <v>6057</v>
      </c>
      <c r="D1363" s="27"/>
      <c r="E1363" s="27" t="s">
        <v>6058</v>
      </c>
      <c r="F1363" s="27" t="s">
        <v>5868</v>
      </c>
    </row>
    <row r="1364" spans="1:6">
      <c r="A1364" s="39">
        <v>44512</v>
      </c>
      <c r="B1364" s="27"/>
      <c r="C1364" s="27" t="s">
        <v>6184</v>
      </c>
      <c r="D1364" s="27"/>
      <c r="E1364" s="55" t="s">
        <v>6044</v>
      </c>
      <c r="F1364" s="27" t="s">
        <v>6045</v>
      </c>
    </row>
    <row r="1365" spans="1:6">
      <c r="A1365" s="39">
        <v>44199</v>
      </c>
      <c r="B1365" s="27"/>
      <c r="C1365" s="27" t="s">
        <v>4658</v>
      </c>
      <c r="D1365" s="27"/>
      <c r="E1365" s="27" t="s">
        <v>4873</v>
      </c>
      <c r="F1365" s="27" t="s">
        <v>4874</v>
      </c>
    </row>
    <row r="1366" spans="1:6">
      <c r="A1366" s="38">
        <v>44014</v>
      </c>
      <c r="B1366" s="87"/>
      <c r="C1366" s="87" t="s">
        <v>2722</v>
      </c>
      <c r="D1366" s="87" t="s">
        <v>2723</v>
      </c>
      <c r="E1366" s="87" t="s">
        <v>2724</v>
      </c>
      <c r="F1366" s="87" t="s">
        <v>2725</v>
      </c>
    </row>
    <row r="1367" spans="1:6">
      <c r="A1367" s="38">
        <v>43391</v>
      </c>
      <c r="B1367" s="88"/>
      <c r="C1367" s="88" t="s">
        <v>2726</v>
      </c>
      <c r="D1367" s="88"/>
      <c r="E1367" s="88" t="s">
        <v>2727</v>
      </c>
      <c r="F1367" s="88" t="s">
        <v>2728</v>
      </c>
    </row>
    <row r="1368" spans="1:6">
      <c r="A1368" s="39">
        <v>44512</v>
      </c>
      <c r="B1368" s="27"/>
      <c r="C1368" s="27" t="s">
        <v>5965</v>
      </c>
      <c r="D1368" s="27"/>
      <c r="E1368" s="27" t="s">
        <v>5966</v>
      </c>
      <c r="F1368" s="27" t="s">
        <v>5967</v>
      </c>
    </row>
    <row r="1369" spans="1:6">
      <c r="A1369" s="38">
        <v>44019</v>
      </c>
      <c r="B1369" s="53"/>
      <c r="C1369" s="53" t="s">
        <v>2729</v>
      </c>
      <c r="D1369" s="53"/>
      <c r="E1369" s="53" t="s">
        <v>2730</v>
      </c>
      <c r="F1369" s="53" t="s">
        <v>2731</v>
      </c>
    </row>
    <row r="1370" spans="1:6">
      <c r="A1370" s="38">
        <v>43860</v>
      </c>
      <c r="B1370" s="78"/>
      <c r="C1370" s="78" t="s">
        <v>2732</v>
      </c>
      <c r="D1370" s="78"/>
      <c r="E1370" s="78" t="s">
        <v>2733</v>
      </c>
      <c r="F1370" s="78" t="s">
        <v>2734</v>
      </c>
    </row>
    <row r="1371" spans="1:6">
      <c r="A1371" s="38">
        <v>43732</v>
      </c>
      <c r="B1371" s="79"/>
      <c r="C1371" s="79" t="s">
        <v>2735</v>
      </c>
      <c r="D1371" s="79"/>
      <c r="E1371" s="79" t="s">
        <v>2736</v>
      </c>
      <c r="F1371" s="79" t="s">
        <v>2737</v>
      </c>
    </row>
    <row r="1372" spans="1:6">
      <c r="A1372" s="38">
        <v>43460</v>
      </c>
      <c r="B1372" s="87"/>
      <c r="C1372" s="87" t="s">
        <v>2738</v>
      </c>
      <c r="D1372" s="87"/>
      <c r="E1372" s="87" t="s">
        <v>2739</v>
      </c>
      <c r="F1372" s="87" t="s">
        <v>2740</v>
      </c>
    </row>
    <row r="1373" spans="1:6">
      <c r="A1373" s="38">
        <v>44015</v>
      </c>
      <c r="B1373" s="88"/>
      <c r="C1373" s="88" t="s">
        <v>2741</v>
      </c>
      <c r="D1373" s="88"/>
      <c r="E1373" s="88" t="s">
        <v>2742</v>
      </c>
      <c r="F1373" s="88" t="s">
        <v>2743</v>
      </c>
    </row>
    <row r="1374" spans="1:6">
      <c r="A1374" s="39">
        <v>44199</v>
      </c>
      <c r="B1374" s="27"/>
      <c r="C1374" s="27" t="s">
        <v>4659</v>
      </c>
      <c r="D1374" s="27"/>
      <c r="E1374" s="27" t="s">
        <v>4875</v>
      </c>
      <c r="F1374" s="27" t="s">
        <v>4876</v>
      </c>
    </row>
    <row r="1375" spans="1:6">
      <c r="A1375" s="39">
        <v>44510</v>
      </c>
      <c r="B1375" s="27"/>
      <c r="C1375" s="27" t="s">
        <v>5898</v>
      </c>
      <c r="D1375" s="27"/>
      <c r="E1375" s="27" t="s">
        <v>5898</v>
      </c>
      <c r="F1375" s="27" t="s">
        <v>5898</v>
      </c>
    </row>
    <row r="1376" spans="1:6">
      <c r="A1376" s="38">
        <v>43724</v>
      </c>
      <c r="B1376" s="79"/>
      <c r="C1376" s="79" t="s">
        <v>2744</v>
      </c>
      <c r="D1376" s="79"/>
      <c r="E1376" s="79" t="s">
        <v>2745</v>
      </c>
      <c r="F1376" s="79" t="s">
        <v>2746</v>
      </c>
    </row>
    <row r="1377" spans="1:6">
      <c r="B1377" s="87"/>
      <c r="C1377" s="87" t="s">
        <v>2747</v>
      </c>
      <c r="D1377" s="87"/>
      <c r="E1377" s="87" t="s">
        <v>2748</v>
      </c>
      <c r="F1377" s="87" t="s">
        <v>2749</v>
      </c>
    </row>
    <row r="1378" spans="1:6">
      <c r="A1378" s="38">
        <v>43725</v>
      </c>
      <c r="B1378" s="88"/>
      <c r="C1378" s="88" t="s">
        <v>2750</v>
      </c>
      <c r="D1378" s="88"/>
      <c r="E1378" s="88" t="s">
        <v>2751</v>
      </c>
      <c r="F1378" s="88" t="s">
        <v>2752</v>
      </c>
    </row>
    <row r="1379" spans="1:6">
      <c r="A1379" s="39">
        <v>44510</v>
      </c>
      <c r="B1379" s="27"/>
      <c r="C1379" s="27" t="s">
        <v>5844</v>
      </c>
      <c r="D1379" s="27"/>
      <c r="E1379" s="27" t="s">
        <v>5845</v>
      </c>
      <c r="F1379" s="27" t="s">
        <v>5846</v>
      </c>
    </row>
    <row r="1380" spans="1:6">
      <c r="A1380" s="38">
        <v>43465</v>
      </c>
      <c r="B1380" s="79"/>
      <c r="C1380" s="79" t="s">
        <v>2753</v>
      </c>
      <c r="D1380" s="79"/>
      <c r="E1380" s="79" t="s">
        <v>2754</v>
      </c>
      <c r="F1380" s="79" t="s">
        <v>2755</v>
      </c>
    </row>
    <row r="1381" spans="1:6">
      <c r="A1381" s="38">
        <v>44172</v>
      </c>
      <c r="B1381" s="60"/>
      <c r="C1381" s="60" t="s">
        <v>2756</v>
      </c>
      <c r="D1381" s="60"/>
      <c r="E1381" s="60" t="s">
        <v>2757</v>
      </c>
      <c r="F1381" s="60" t="s">
        <v>2758</v>
      </c>
    </row>
    <row r="1382" spans="1:6">
      <c r="A1382" s="38">
        <v>43644</v>
      </c>
      <c r="B1382" s="79"/>
      <c r="C1382" s="79" t="s">
        <v>2759</v>
      </c>
      <c r="D1382" s="79"/>
      <c r="E1382" s="79" t="s">
        <v>2760</v>
      </c>
      <c r="F1382" s="79" t="s">
        <v>2761</v>
      </c>
    </row>
    <row r="1383" spans="1:6">
      <c r="A1383" s="38">
        <v>43493</v>
      </c>
      <c r="B1383" s="79"/>
      <c r="C1383" s="79" t="s">
        <v>2762</v>
      </c>
      <c r="D1383" s="79"/>
      <c r="E1383" s="79" t="s">
        <v>2763</v>
      </c>
      <c r="F1383" s="79" t="s">
        <v>2764</v>
      </c>
    </row>
    <row r="1384" spans="1:6">
      <c r="B1384" s="53"/>
      <c r="C1384" s="53" t="s">
        <v>2765</v>
      </c>
      <c r="D1384" s="53"/>
      <c r="E1384" s="53" t="s">
        <v>2766</v>
      </c>
      <c r="F1384" s="53" t="s">
        <v>2767</v>
      </c>
    </row>
    <row r="1385" spans="1:6">
      <c r="B1385" s="53"/>
      <c r="C1385" s="53" t="s">
        <v>2768</v>
      </c>
      <c r="D1385" s="53"/>
      <c r="E1385" s="53" t="s">
        <v>2769</v>
      </c>
      <c r="F1385" s="53" t="s">
        <v>2770</v>
      </c>
    </row>
    <row r="1386" spans="1:6">
      <c r="A1386" s="38">
        <v>44055</v>
      </c>
      <c r="B1386" s="53"/>
      <c r="C1386" s="53" t="s">
        <v>2771</v>
      </c>
      <c r="D1386" s="53"/>
      <c r="E1386" s="53" t="s">
        <v>2772</v>
      </c>
      <c r="F1386" s="53" t="s">
        <v>2773</v>
      </c>
    </row>
    <row r="1387" spans="1:6">
      <c r="A1387" s="38">
        <v>43523</v>
      </c>
      <c r="B1387" s="53"/>
      <c r="C1387" s="53" t="s">
        <v>2774</v>
      </c>
      <c r="D1387" s="53"/>
      <c r="E1387" s="53" t="s">
        <v>2775</v>
      </c>
      <c r="F1387" s="53" t="s">
        <v>2776</v>
      </c>
    </row>
    <row r="1388" spans="1:6">
      <c r="A1388" s="38">
        <v>43721</v>
      </c>
      <c r="B1388" s="53"/>
      <c r="C1388" s="53" t="s">
        <v>2777</v>
      </c>
      <c r="D1388" s="53"/>
      <c r="E1388" s="53" t="s">
        <v>2778</v>
      </c>
      <c r="F1388" s="53" t="s">
        <v>2779</v>
      </c>
    </row>
    <row r="1389" spans="1:6">
      <c r="A1389" s="38">
        <v>44053</v>
      </c>
      <c r="B1389" s="53"/>
      <c r="C1389" s="53" t="s">
        <v>2780</v>
      </c>
      <c r="D1389" s="53"/>
      <c r="E1389" s="53" t="s">
        <v>2781</v>
      </c>
      <c r="F1389" s="53" t="s">
        <v>2782</v>
      </c>
    </row>
    <row r="1390" spans="1:6">
      <c r="A1390" s="38">
        <v>44054</v>
      </c>
      <c r="B1390" s="79"/>
      <c r="C1390" s="79" t="s">
        <v>2783</v>
      </c>
      <c r="D1390" s="79"/>
      <c r="E1390" s="79" t="s">
        <v>2784</v>
      </c>
      <c r="F1390" s="79" t="s">
        <v>2785</v>
      </c>
    </row>
    <row r="1391" spans="1:6">
      <c r="A1391" s="38">
        <v>44012</v>
      </c>
      <c r="B1391" s="79"/>
      <c r="C1391" s="79" t="s">
        <v>2786</v>
      </c>
      <c r="D1391" s="79"/>
      <c r="E1391" s="79" t="s">
        <v>2787</v>
      </c>
      <c r="F1391" s="79" t="s">
        <v>2788</v>
      </c>
    </row>
    <row r="1392" spans="1:6">
      <c r="A1392" s="38">
        <v>43530</v>
      </c>
      <c r="B1392" s="78"/>
      <c r="C1392" s="78" t="s">
        <v>2789</v>
      </c>
      <c r="D1392" s="78"/>
      <c r="E1392" s="78" t="s">
        <v>2790</v>
      </c>
      <c r="F1392" s="78" t="s">
        <v>2791</v>
      </c>
    </row>
    <row r="1393" spans="1:6">
      <c r="A1393" s="38">
        <v>44120</v>
      </c>
      <c r="B1393" s="87"/>
      <c r="C1393" s="87" t="s">
        <v>2792</v>
      </c>
      <c r="D1393" s="87"/>
      <c r="E1393" s="87" t="s">
        <v>2792</v>
      </c>
      <c r="F1393" s="87" t="s">
        <v>2793</v>
      </c>
    </row>
    <row r="1394" spans="1:6">
      <c r="A1394" s="38">
        <v>44015</v>
      </c>
      <c r="B1394" s="88"/>
      <c r="C1394" s="88" t="s">
        <v>2794</v>
      </c>
      <c r="D1394" s="88"/>
      <c r="E1394" s="88" t="s">
        <v>2795</v>
      </c>
      <c r="F1394" s="88" t="s">
        <v>2796</v>
      </c>
    </row>
    <row r="1395" spans="1:6">
      <c r="A1395" s="39">
        <v>44200</v>
      </c>
      <c r="B1395" s="27"/>
      <c r="C1395" s="27" t="s">
        <v>5105</v>
      </c>
      <c r="D1395" s="27"/>
      <c r="E1395" s="27" t="s">
        <v>5273</v>
      </c>
      <c r="F1395" s="27" t="s">
        <v>5440</v>
      </c>
    </row>
    <row r="1396" spans="1:6">
      <c r="A1396" s="38">
        <v>43965</v>
      </c>
      <c r="B1396" s="79"/>
      <c r="C1396" s="79" t="s">
        <v>2797</v>
      </c>
      <c r="D1396" s="79"/>
      <c r="E1396" s="79" t="s">
        <v>2798</v>
      </c>
      <c r="F1396" s="79" t="s">
        <v>2799</v>
      </c>
    </row>
    <row r="1397" spans="1:6">
      <c r="A1397" s="38">
        <v>44172</v>
      </c>
      <c r="B1397" s="79"/>
      <c r="C1397" s="79" t="s">
        <v>2800</v>
      </c>
      <c r="D1397" s="79"/>
      <c r="E1397" s="79" t="s">
        <v>2801</v>
      </c>
      <c r="F1397" s="79" t="s">
        <v>2802</v>
      </c>
    </row>
    <row r="1398" spans="1:6">
      <c r="A1398" s="38">
        <v>44060</v>
      </c>
      <c r="B1398" s="53"/>
      <c r="C1398" s="53" t="s">
        <v>2803</v>
      </c>
      <c r="D1398" s="53"/>
      <c r="E1398" s="53" t="s">
        <v>2804</v>
      </c>
      <c r="F1398" s="53" t="s">
        <v>2805</v>
      </c>
    </row>
    <row r="1399" spans="1:6">
      <c r="A1399" s="38">
        <v>44040</v>
      </c>
      <c r="B1399" s="78"/>
      <c r="C1399" s="78" t="s">
        <v>2806</v>
      </c>
      <c r="D1399" s="78"/>
      <c r="E1399" s="78" t="s">
        <v>2807</v>
      </c>
      <c r="F1399" s="78" t="s">
        <v>2808</v>
      </c>
    </row>
    <row r="1400" spans="1:6">
      <c r="A1400" s="38">
        <v>43860</v>
      </c>
      <c r="B1400" s="78"/>
      <c r="C1400" s="78" t="s">
        <v>2809</v>
      </c>
      <c r="D1400" s="78"/>
      <c r="E1400" s="78" t="s">
        <v>2810</v>
      </c>
      <c r="F1400" s="78" t="s">
        <v>2811</v>
      </c>
    </row>
    <row r="1401" spans="1:6">
      <c r="A1401" s="38">
        <v>43860</v>
      </c>
      <c r="B1401" s="87"/>
      <c r="C1401" s="87" t="s">
        <v>2812</v>
      </c>
      <c r="D1401" s="87"/>
      <c r="E1401" s="87" t="s">
        <v>2813</v>
      </c>
      <c r="F1401" s="87" t="s">
        <v>2814</v>
      </c>
    </row>
    <row r="1402" spans="1:6">
      <c r="A1402" s="38">
        <v>44039</v>
      </c>
      <c r="B1402" s="88"/>
      <c r="C1402" s="88" t="s">
        <v>2815</v>
      </c>
      <c r="D1402" s="88"/>
      <c r="E1402" s="88" t="s">
        <v>2816</v>
      </c>
      <c r="F1402" s="88" t="s">
        <v>2817</v>
      </c>
    </row>
    <row r="1403" spans="1:6">
      <c r="A1403" s="39">
        <v>44510</v>
      </c>
      <c r="B1403" s="27"/>
      <c r="C1403" s="27" t="s">
        <v>5927</v>
      </c>
      <c r="D1403" s="27"/>
      <c r="E1403" s="27" t="s">
        <v>5928</v>
      </c>
      <c r="F1403" s="27" t="s">
        <v>5834</v>
      </c>
    </row>
    <row r="1404" spans="1:6">
      <c r="A1404" s="38">
        <v>44019</v>
      </c>
      <c r="B1404" s="88"/>
      <c r="C1404" s="88" t="s">
        <v>2818</v>
      </c>
      <c r="D1404" s="88"/>
      <c r="E1404" s="88" t="s">
        <v>2819</v>
      </c>
      <c r="F1404" s="88" t="s">
        <v>2820</v>
      </c>
    </row>
    <row r="1405" spans="1:6">
      <c r="A1405" s="39">
        <v>44236</v>
      </c>
      <c r="B1405" s="27"/>
      <c r="C1405" s="27" t="s">
        <v>5520</v>
      </c>
      <c r="D1405" s="27"/>
      <c r="E1405" s="27" t="s">
        <v>5521</v>
      </c>
      <c r="F1405" s="27" t="s">
        <v>5522</v>
      </c>
    </row>
    <row r="1406" spans="1:6">
      <c r="A1406" s="38">
        <v>44013</v>
      </c>
      <c r="B1406" s="78"/>
      <c r="C1406" s="78" t="s">
        <v>2821</v>
      </c>
      <c r="D1406" s="78"/>
      <c r="E1406" s="78" t="s">
        <v>2822</v>
      </c>
      <c r="F1406" s="78" t="s">
        <v>2823</v>
      </c>
    </row>
    <row r="1407" spans="1:6">
      <c r="A1407" s="38">
        <v>43391</v>
      </c>
      <c r="B1407" s="79"/>
      <c r="C1407" s="79" t="s">
        <v>2824</v>
      </c>
      <c r="D1407" s="79"/>
      <c r="E1407" s="79" t="s">
        <v>2825</v>
      </c>
      <c r="F1407" s="79" t="s">
        <v>2826</v>
      </c>
    </row>
    <row r="1408" spans="1:6">
      <c r="A1408" s="38">
        <v>43732</v>
      </c>
      <c r="B1408" s="87"/>
      <c r="C1408" s="87" t="s">
        <v>2827</v>
      </c>
      <c r="D1408" s="87"/>
      <c r="E1408" s="87" t="s">
        <v>2828</v>
      </c>
      <c r="F1408" s="87" t="s">
        <v>2829</v>
      </c>
    </row>
    <row r="1409" spans="1:6">
      <c r="A1409" s="38">
        <v>43344</v>
      </c>
      <c r="B1409" s="88"/>
      <c r="C1409" s="88" t="s">
        <v>2830</v>
      </c>
      <c r="D1409" s="88" t="s">
        <v>2831</v>
      </c>
      <c r="E1409" s="88" t="s">
        <v>2832</v>
      </c>
      <c r="F1409" s="88" t="s">
        <v>2833</v>
      </c>
    </row>
    <row r="1410" spans="1:6">
      <c r="A1410" s="39">
        <v>44510</v>
      </c>
      <c r="B1410" s="27"/>
      <c r="C1410" s="27" t="s">
        <v>5876</v>
      </c>
      <c r="D1410" s="27"/>
      <c r="E1410" s="27" t="s">
        <v>5876</v>
      </c>
      <c r="F1410" s="27" t="s">
        <v>5877</v>
      </c>
    </row>
    <row r="1411" spans="1:6">
      <c r="A1411" s="38">
        <v>44173</v>
      </c>
      <c r="B1411" s="79"/>
      <c r="C1411" s="79" t="s">
        <v>2838</v>
      </c>
      <c r="D1411" s="79"/>
      <c r="E1411" s="79" t="s">
        <v>2839</v>
      </c>
      <c r="F1411" s="79" t="s">
        <v>2840</v>
      </c>
    </row>
    <row r="1412" spans="1:6">
      <c r="A1412" s="38">
        <v>44165</v>
      </c>
      <c r="B1412" s="53"/>
      <c r="C1412" s="53" t="s">
        <v>2834</v>
      </c>
      <c r="D1412" s="53" t="s">
        <v>2835</v>
      </c>
      <c r="E1412" s="53" t="s">
        <v>2836</v>
      </c>
      <c r="F1412" s="53" t="s">
        <v>2837</v>
      </c>
    </row>
    <row r="1413" spans="1:6">
      <c r="A1413" s="38">
        <v>43530</v>
      </c>
      <c r="B1413" s="79"/>
      <c r="C1413" s="79" t="s">
        <v>2849</v>
      </c>
      <c r="D1413" s="79"/>
      <c r="E1413" s="79" t="s">
        <v>2850</v>
      </c>
      <c r="F1413" s="79" t="s">
        <v>2851</v>
      </c>
    </row>
    <row r="1414" spans="1:6" s="59" customFormat="1">
      <c r="A1414" s="38">
        <v>44091</v>
      </c>
      <c r="B1414" s="78"/>
      <c r="C1414" s="78" t="s">
        <v>2852</v>
      </c>
      <c r="D1414" s="78"/>
      <c r="E1414" s="78" t="s">
        <v>2853</v>
      </c>
      <c r="F1414" s="78" t="s">
        <v>2854</v>
      </c>
    </row>
    <row r="1415" spans="1:6" s="59" customFormat="1">
      <c r="A1415" s="38">
        <v>43634</v>
      </c>
      <c r="B1415" s="87"/>
      <c r="C1415" s="87" t="s">
        <v>2855</v>
      </c>
      <c r="D1415" s="87"/>
      <c r="E1415" s="87" t="s">
        <v>2856</v>
      </c>
      <c r="F1415" s="87" t="s">
        <v>2857</v>
      </c>
    </row>
    <row r="1416" spans="1:6">
      <c r="A1416" s="38">
        <v>43860</v>
      </c>
      <c r="B1416" s="88"/>
      <c r="C1416" s="88" t="s">
        <v>2858</v>
      </c>
      <c r="D1416" s="88"/>
      <c r="E1416" s="88" t="s">
        <v>2859</v>
      </c>
      <c r="F1416" s="88" t="s">
        <v>2860</v>
      </c>
    </row>
    <row r="1417" spans="1:6">
      <c r="A1417" s="39">
        <v>44510</v>
      </c>
      <c r="B1417" s="27"/>
      <c r="C1417" s="57" t="s">
        <v>5848</v>
      </c>
      <c r="D1417" s="27"/>
      <c r="E1417" s="27" t="s">
        <v>6173</v>
      </c>
      <c r="F1417" s="27" t="s">
        <v>5851</v>
      </c>
    </row>
    <row r="1418" spans="1:6">
      <c r="A1418" s="39"/>
      <c r="B1418" s="27"/>
      <c r="C1418" s="57" t="s">
        <v>6114</v>
      </c>
      <c r="D1418" s="27"/>
      <c r="E1418" s="27" t="s">
        <v>6115</v>
      </c>
      <c r="F1418" s="27" t="s">
        <v>6116</v>
      </c>
    </row>
    <row r="1419" spans="1:6">
      <c r="A1419" s="39">
        <v>44510</v>
      </c>
      <c r="B1419" s="27"/>
      <c r="C1419" s="57" t="s">
        <v>6175</v>
      </c>
      <c r="D1419" s="27"/>
      <c r="E1419" s="27" t="s">
        <v>6174</v>
      </c>
      <c r="F1419" s="27" t="s">
        <v>6113</v>
      </c>
    </row>
    <row r="1420" spans="1:6">
      <c r="A1420" s="39">
        <v>44510</v>
      </c>
      <c r="B1420" s="27"/>
      <c r="C1420" s="57" t="s">
        <v>5838</v>
      </c>
      <c r="D1420" s="27"/>
      <c r="E1420" s="27" t="s">
        <v>5833</v>
      </c>
      <c r="F1420" s="27" t="s">
        <v>5835</v>
      </c>
    </row>
    <row r="1421" spans="1:6">
      <c r="A1421" s="38">
        <v>44006</v>
      </c>
      <c r="B1421" s="87"/>
      <c r="C1421" s="87" t="s">
        <v>2861</v>
      </c>
      <c r="D1421" s="87"/>
      <c r="E1421" s="87" t="s">
        <v>2862</v>
      </c>
      <c r="F1421" s="87" t="s">
        <v>2863</v>
      </c>
    </row>
    <row r="1422" spans="1:6">
      <c r="A1422" s="38">
        <v>44118</v>
      </c>
      <c r="B1422" s="88"/>
      <c r="C1422" s="88" t="s">
        <v>2864</v>
      </c>
      <c r="D1422" s="88"/>
      <c r="E1422" s="88" t="s">
        <v>2865</v>
      </c>
      <c r="F1422" s="88" t="s">
        <v>2866</v>
      </c>
    </row>
    <row r="1423" spans="1:6">
      <c r="A1423" s="39">
        <v>44199</v>
      </c>
      <c r="B1423" s="27"/>
      <c r="C1423" s="27" t="s">
        <v>4660</v>
      </c>
      <c r="D1423" s="27"/>
      <c r="E1423" s="27" t="s">
        <v>4877</v>
      </c>
      <c r="F1423" s="27" t="s">
        <v>4878</v>
      </c>
    </row>
    <row r="1424" spans="1:6">
      <c r="A1424" s="38">
        <v>44070</v>
      </c>
      <c r="B1424" s="87"/>
      <c r="C1424" s="87" t="s">
        <v>2867</v>
      </c>
      <c r="D1424" s="87"/>
      <c r="E1424" s="87" t="s">
        <v>2868</v>
      </c>
      <c r="F1424" s="87" t="s">
        <v>2869</v>
      </c>
    </row>
    <row r="1425" spans="1:6">
      <c r="A1425" s="38">
        <v>44013</v>
      </c>
      <c r="B1425" s="88"/>
      <c r="C1425" s="88" t="s">
        <v>2870</v>
      </c>
      <c r="D1425" s="88"/>
      <c r="E1425" s="88" t="s">
        <v>2871</v>
      </c>
      <c r="F1425" s="88" t="s">
        <v>2872</v>
      </c>
    </row>
    <row r="1426" spans="1:6">
      <c r="A1426" s="39">
        <v>44301</v>
      </c>
      <c r="B1426" s="27">
        <v>4</v>
      </c>
      <c r="C1426" s="27" t="s">
        <v>5686</v>
      </c>
      <c r="D1426" s="27"/>
      <c r="E1426" s="27" t="s">
        <v>5687</v>
      </c>
      <c r="F1426" s="27" t="s">
        <v>5688</v>
      </c>
    </row>
    <row r="1427" spans="1:6">
      <c r="A1427" s="38">
        <v>44172</v>
      </c>
      <c r="B1427" s="79"/>
      <c r="C1427" s="79" t="s">
        <v>2873</v>
      </c>
      <c r="D1427" s="79"/>
      <c r="E1427" s="79" t="s">
        <v>2874</v>
      </c>
      <c r="F1427" s="79" t="s">
        <v>2875</v>
      </c>
    </row>
    <row r="1428" spans="1:6">
      <c r="A1428" s="38">
        <v>43630</v>
      </c>
      <c r="B1428" s="87"/>
      <c r="C1428" s="87" t="s">
        <v>2876</v>
      </c>
      <c r="D1428" s="87"/>
      <c r="E1428" s="87" t="s">
        <v>2877</v>
      </c>
      <c r="F1428" s="87" t="s">
        <v>2878</v>
      </c>
    </row>
    <row r="1429" spans="1:6">
      <c r="A1429" s="38">
        <v>43864</v>
      </c>
      <c r="B1429" s="88"/>
      <c r="C1429" s="88" t="s">
        <v>2879</v>
      </c>
      <c r="D1429" s="88"/>
      <c r="E1429" s="88" t="s">
        <v>2880</v>
      </c>
      <c r="F1429" s="88" t="s">
        <v>2881</v>
      </c>
    </row>
    <row r="1430" spans="1:6">
      <c r="A1430" s="39">
        <v>44200</v>
      </c>
      <c r="B1430" s="27"/>
      <c r="C1430" s="27" t="s">
        <v>5106</v>
      </c>
      <c r="D1430" s="27"/>
      <c r="E1430" s="27" t="s">
        <v>5106</v>
      </c>
      <c r="F1430" s="27" t="s">
        <v>5441</v>
      </c>
    </row>
    <row r="1431" spans="1:6">
      <c r="A1431" s="39">
        <v>44199</v>
      </c>
      <c r="B1431" s="27"/>
      <c r="C1431" s="27" t="s">
        <v>4661</v>
      </c>
      <c r="D1431" s="27"/>
      <c r="E1431" s="27" t="s">
        <v>4661</v>
      </c>
      <c r="F1431" s="27" t="s">
        <v>4879</v>
      </c>
    </row>
    <row r="1432" spans="1:6">
      <c r="A1432" s="39">
        <v>44199</v>
      </c>
      <c r="B1432" s="27"/>
      <c r="C1432" s="27" t="s">
        <v>4662</v>
      </c>
      <c r="D1432" s="27"/>
      <c r="E1432" s="27" t="s">
        <v>4662</v>
      </c>
      <c r="F1432" s="27" t="s">
        <v>4880</v>
      </c>
    </row>
    <row r="1433" spans="1:6">
      <c r="A1433" s="38">
        <v>44172</v>
      </c>
      <c r="B1433" s="88"/>
      <c r="C1433" s="88" t="s">
        <v>2882</v>
      </c>
      <c r="D1433" s="88" t="s">
        <v>2883</v>
      </c>
      <c r="E1433" s="88"/>
      <c r="F1433" s="88"/>
    </row>
    <row r="1434" spans="1:6">
      <c r="A1434" s="39">
        <v>44200</v>
      </c>
      <c r="B1434" s="27"/>
      <c r="C1434" s="27" t="s">
        <v>5107</v>
      </c>
      <c r="D1434" s="27"/>
      <c r="E1434" s="27" t="s">
        <v>5274</v>
      </c>
      <c r="F1434" s="27" t="s">
        <v>2884</v>
      </c>
    </row>
    <row r="1435" spans="1:6">
      <c r="A1435" s="39">
        <v>44571</v>
      </c>
      <c r="B1435" s="27"/>
      <c r="C1435" s="27" t="s">
        <v>6195</v>
      </c>
      <c r="D1435" s="27"/>
      <c r="E1435" s="27" t="s">
        <v>6195</v>
      </c>
      <c r="F1435" s="27" t="s">
        <v>2012</v>
      </c>
    </row>
    <row r="1436" spans="1:6">
      <c r="A1436" s="39">
        <v>44571</v>
      </c>
      <c r="B1436" s="27"/>
      <c r="C1436" s="27" t="s">
        <v>6200</v>
      </c>
      <c r="D1436" s="27"/>
      <c r="E1436" s="27" t="s">
        <v>6200</v>
      </c>
      <c r="F1436" s="27" t="s">
        <v>6212</v>
      </c>
    </row>
    <row r="1437" spans="1:6">
      <c r="A1437" s="39">
        <v>44571</v>
      </c>
      <c r="B1437" s="27"/>
      <c r="C1437" s="27" t="s">
        <v>6194</v>
      </c>
      <c r="D1437" s="27"/>
      <c r="E1437" s="27" t="s">
        <v>6194</v>
      </c>
      <c r="F1437" s="27" t="s">
        <v>6207</v>
      </c>
    </row>
    <row r="1438" spans="1:6">
      <c r="A1438" s="39">
        <v>44571</v>
      </c>
      <c r="B1438" s="27"/>
      <c r="C1438" s="27" t="s">
        <v>6201</v>
      </c>
      <c r="D1438" s="27"/>
      <c r="E1438" s="27" t="s">
        <v>6201</v>
      </c>
      <c r="F1438" s="27" t="s">
        <v>6213</v>
      </c>
    </row>
    <row r="1439" spans="1:6">
      <c r="A1439" s="39">
        <v>44571</v>
      </c>
      <c r="B1439" s="27"/>
      <c r="C1439" s="27" t="s">
        <v>6192</v>
      </c>
      <c r="D1439" s="27"/>
      <c r="E1439" s="27" t="s">
        <v>6192</v>
      </c>
      <c r="F1439" s="27" t="s">
        <v>5519</v>
      </c>
    </row>
    <row r="1440" spans="1:6">
      <c r="A1440" s="39">
        <v>44571</v>
      </c>
      <c r="B1440" s="27"/>
      <c r="C1440" s="27" t="s">
        <v>6198</v>
      </c>
      <c r="D1440" s="27"/>
      <c r="E1440" s="27" t="s">
        <v>6198</v>
      </c>
      <c r="F1440" s="27" t="s">
        <v>6210</v>
      </c>
    </row>
    <row r="1441" spans="1:6">
      <c r="A1441" s="39">
        <v>44571</v>
      </c>
      <c r="B1441" s="27"/>
      <c r="C1441" s="27" t="s">
        <v>6203</v>
      </c>
      <c r="D1441" s="27"/>
      <c r="E1441" s="27" t="s">
        <v>6203</v>
      </c>
      <c r="F1441" s="27" t="s">
        <v>6215</v>
      </c>
    </row>
    <row r="1442" spans="1:6">
      <c r="A1442" s="39">
        <v>44571</v>
      </c>
      <c r="B1442" s="27"/>
      <c r="C1442" s="27" t="s">
        <v>6199</v>
      </c>
      <c r="D1442" s="27"/>
      <c r="E1442" s="27" t="s">
        <v>6199</v>
      </c>
      <c r="F1442" s="27" t="s">
        <v>6211</v>
      </c>
    </row>
    <row r="1443" spans="1:6">
      <c r="A1443" s="39">
        <v>44571</v>
      </c>
      <c r="B1443" s="27"/>
      <c r="C1443" s="27" t="s">
        <v>6205</v>
      </c>
      <c r="D1443" s="27"/>
      <c r="E1443" s="27" t="s">
        <v>6205</v>
      </c>
      <c r="F1443" s="27" t="s">
        <v>6217</v>
      </c>
    </row>
    <row r="1444" spans="1:6">
      <c r="A1444" s="39">
        <v>44571</v>
      </c>
      <c r="B1444" s="27"/>
      <c r="C1444" s="27" t="s">
        <v>6202</v>
      </c>
      <c r="D1444" s="27"/>
      <c r="E1444" s="27" t="s">
        <v>6202</v>
      </c>
      <c r="F1444" s="27" t="s">
        <v>6214</v>
      </c>
    </row>
    <row r="1445" spans="1:6">
      <c r="A1445" s="39">
        <v>44571</v>
      </c>
      <c r="B1445" s="27"/>
      <c r="C1445" s="27" t="s">
        <v>6197</v>
      </c>
      <c r="D1445" s="27"/>
      <c r="E1445" s="27" t="s">
        <v>6197</v>
      </c>
      <c r="F1445" s="27" t="s">
        <v>6209</v>
      </c>
    </row>
    <row r="1446" spans="1:6">
      <c r="A1446" s="39">
        <v>44571</v>
      </c>
      <c r="B1446" s="27"/>
      <c r="C1446" s="27" t="s">
        <v>6193</v>
      </c>
      <c r="D1446" s="27"/>
      <c r="E1446" s="27" t="s">
        <v>6193</v>
      </c>
      <c r="F1446" s="27" t="s">
        <v>6206</v>
      </c>
    </row>
    <row r="1447" spans="1:6">
      <c r="A1447" s="39">
        <v>44571</v>
      </c>
      <c r="B1447" s="27"/>
      <c r="C1447" s="27" t="s">
        <v>6204</v>
      </c>
      <c r="D1447" s="27"/>
      <c r="E1447" s="27" t="s">
        <v>6204</v>
      </c>
      <c r="F1447" s="27" t="s">
        <v>6216</v>
      </c>
    </row>
    <row r="1448" spans="1:6">
      <c r="A1448" s="39">
        <v>44571</v>
      </c>
      <c r="B1448" s="27"/>
      <c r="C1448" s="27" t="s">
        <v>6196</v>
      </c>
      <c r="D1448" s="27"/>
      <c r="E1448" s="27" t="s">
        <v>6196</v>
      </c>
      <c r="F1448" s="27" t="s">
        <v>6208</v>
      </c>
    </row>
    <row r="1449" spans="1:6">
      <c r="A1449" s="39">
        <v>44199</v>
      </c>
      <c r="B1449" s="27"/>
      <c r="C1449" s="27" t="s">
        <v>4663</v>
      </c>
      <c r="D1449" s="27"/>
      <c r="E1449" s="27" t="s">
        <v>4881</v>
      </c>
      <c r="F1449" s="27" t="s">
        <v>4882</v>
      </c>
    </row>
    <row r="1450" spans="1:6">
      <c r="A1450" s="38">
        <v>43937</v>
      </c>
      <c r="B1450" s="53"/>
      <c r="C1450" s="53" t="s">
        <v>2885</v>
      </c>
      <c r="D1450" s="53"/>
      <c r="E1450" s="53" t="s">
        <v>2886</v>
      </c>
      <c r="F1450" s="53" t="s">
        <v>2887</v>
      </c>
    </row>
    <row r="1451" spans="1:6">
      <c r="A1451" s="38">
        <v>43344</v>
      </c>
      <c r="B1451" s="78"/>
      <c r="C1451" s="78" t="s">
        <v>2888</v>
      </c>
      <c r="D1451" s="78" t="s">
        <v>2889</v>
      </c>
      <c r="E1451" s="78" t="s">
        <v>2890</v>
      </c>
      <c r="F1451" s="78" t="s">
        <v>2891</v>
      </c>
    </row>
    <row r="1452" spans="1:6">
      <c r="A1452" s="38">
        <v>43634</v>
      </c>
      <c r="B1452" s="79"/>
      <c r="C1452" s="79" t="s">
        <v>2892</v>
      </c>
      <c r="D1452" s="79"/>
      <c r="E1452" s="79" t="s">
        <v>2893</v>
      </c>
      <c r="F1452" s="79" t="s">
        <v>2894</v>
      </c>
    </row>
    <row r="1453" spans="1:6">
      <c r="A1453" s="38">
        <v>44082</v>
      </c>
      <c r="B1453" s="87"/>
      <c r="C1453" s="87" t="s">
        <v>2895</v>
      </c>
      <c r="D1453" s="87"/>
      <c r="E1453" s="87" t="s">
        <v>2896</v>
      </c>
      <c r="F1453" s="87" t="s">
        <v>565</v>
      </c>
    </row>
    <row r="1454" spans="1:6">
      <c r="A1454" s="38">
        <v>43391</v>
      </c>
      <c r="B1454" s="88"/>
      <c r="C1454" s="88" t="s">
        <v>2897</v>
      </c>
      <c r="D1454" s="88"/>
      <c r="E1454" s="88" t="s">
        <v>2898</v>
      </c>
      <c r="F1454" s="88" t="s">
        <v>2899</v>
      </c>
    </row>
    <row r="1455" spans="1:6">
      <c r="A1455" s="39">
        <v>44199</v>
      </c>
      <c r="B1455" s="27"/>
      <c r="C1455" s="27" t="s">
        <v>4664</v>
      </c>
      <c r="D1455" s="27"/>
      <c r="E1455" s="27" t="s">
        <v>4883</v>
      </c>
      <c r="F1455" s="27" t="s">
        <v>4884</v>
      </c>
    </row>
    <row r="1456" spans="1:6">
      <c r="A1456" s="38">
        <v>44062</v>
      </c>
      <c r="B1456" s="61"/>
      <c r="C1456" s="61" t="s">
        <v>2900</v>
      </c>
      <c r="D1456" s="61"/>
      <c r="E1456" s="61" t="s">
        <v>2901</v>
      </c>
      <c r="F1456" s="61" t="s">
        <v>2902</v>
      </c>
    </row>
    <row r="1457" spans="1:6">
      <c r="A1457" s="38">
        <v>43393</v>
      </c>
      <c r="B1457" s="53"/>
      <c r="C1457" s="53" t="s">
        <v>2903</v>
      </c>
      <c r="D1457" s="53"/>
      <c r="E1457" s="53" t="s">
        <v>2904</v>
      </c>
      <c r="F1457" s="53" t="s">
        <v>2904</v>
      </c>
    </row>
    <row r="1458" spans="1:6">
      <c r="A1458" s="38">
        <v>44061</v>
      </c>
      <c r="B1458" s="87"/>
      <c r="C1458" s="87" t="s">
        <v>2905</v>
      </c>
      <c r="D1458" s="87"/>
      <c r="E1458" s="87" t="s">
        <v>2906</v>
      </c>
      <c r="F1458" s="87" t="s">
        <v>2907</v>
      </c>
    </row>
    <row r="1459" spans="1:6">
      <c r="A1459" s="38">
        <v>43860</v>
      </c>
      <c r="B1459" s="88"/>
      <c r="C1459" s="88" t="s">
        <v>2908</v>
      </c>
      <c r="D1459" s="88"/>
      <c r="E1459" s="88" t="s">
        <v>2909</v>
      </c>
      <c r="F1459" s="88" t="s">
        <v>2910</v>
      </c>
    </row>
    <row r="1460" spans="1:6">
      <c r="A1460" s="39">
        <v>44199</v>
      </c>
      <c r="B1460" s="27"/>
      <c r="C1460" s="27" t="s">
        <v>4665</v>
      </c>
      <c r="D1460" s="27"/>
      <c r="E1460" s="27" t="s">
        <v>4885</v>
      </c>
      <c r="F1460" s="27" t="s">
        <v>4886</v>
      </c>
    </row>
    <row r="1461" spans="1:6">
      <c r="A1461" s="39">
        <v>44199</v>
      </c>
      <c r="B1461" s="27"/>
      <c r="C1461" s="27" t="s">
        <v>4666</v>
      </c>
      <c r="D1461" s="27"/>
      <c r="E1461" s="27" t="s">
        <v>4887</v>
      </c>
      <c r="F1461" s="27" t="s">
        <v>4888</v>
      </c>
    </row>
    <row r="1462" spans="1:6">
      <c r="A1462" s="39">
        <v>44199</v>
      </c>
      <c r="B1462" s="27"/>
      <c r="C1462" s="27" t="s">
        <v>4667</v>
      </c>
      <c r="D1462" s="27"/>
      <c r="E1462" s="27" t="s">
        <v>4889</v>
      </c>
      <c r="F1462" s="27" t="s">
        <v>4890</v>
      </c>
    </row>
    <row r="1463" spans="1:6">
      <c r="A1463" s="39">
        <v>44200</v>
      </c>
      <c r="B1463" s="27"/>
      <c r="C1463" s="27" t="s">
        <v>5108</v>
      </c>
      <c r="D1463" s="27"/>
      <c r="E1463" s="27" t="s">
        <v>5275</v>
      </c>
      <c r="F1463" s="27" t="s">
        <v>5442</v>
      </c>
    </row>
    <row r="1464" spans="1:6">
      <c r="A1464" s="38">
        <v>44007</v>
      </c>
      <c r="B1464" s="79"/>
      <c r="C1464" s="79" t="s">
        <v>2911</v>
      </c>
      <c r="D1464" s="79"/>
      <c r="E1464" s="79" t="s">
        <v>2912</v>
      </c>
      <c r="F1464" s="79" t="s">
        <v>2913</v>
      </c>
    </row>
    <row r="1465" spans="1:6">
      <c r="A1465" s="38">
        <v>44012</v>
      </c>
      <c r="B1465" s="79"/>
      <c r="C1465" s="79" t="s">
        <v>2914</v>
      </c>
      <c r="D1465" s="79"/>
      <c r="E1465" s="79" t="s">
        <v>2915</v>
      </c>
      <c r="F1465" s="79" t="s">
        <v>2916</v>
      </c>
    </row>
    <row r="1466" spans="1:6">
      <c r="A1466" s="38">
        <v>43819</v>
      </c>
      <c r="B1466" s="87"/>
      <c r="C1466" s="87" t="s">
        <v>2917</v>
      </c>
      <c r="D1466" s="87"/>
      <c r="E1466" s="87" t="s">
        <v>2918</v>
      </c>
      <c r="F1466" s="87" t="s">
        <v>2919</v>
      </c>
    </row>
    <row r="1467" spans="1:6">
      <c r="A1467" s="38">
        <v>44172</v>
      </c>
      <c r="B1467" s="88"/>
      <c r="C1467" s="88" t="s">
        <v>2920</v>
      </c>
      <c r="D1467" s="88"/>
      <c r="E1467" s="88" t="s">
        <v>2921</v>
      </c>
      <c r="F1467" s="88" t="s">
        <v>2922</v>
      </c>
    </row>
    <row r="1468" spans="1:6">
      <c r="A1468" s="39">
        <v>44200</v>
      </c>
      <c r="B1468" s="27"/>
      <c r="C1468" s="27" t="s">
        <v>5109</v>
      </c>
      <c r="D1468" s="27"/>
      <c r="E1468" s="27" t="s">
        <v>5276</v>
      </c>
      <c r="F1468" s="27" t="s">
        <v>5443</v>
      </c>
    </row>
    <row r="1469" spans="1:6">
      <c r="A1469" s="38">
        <v>43461</v>
      </c>
      <c r="B1469" s="88"/>
      <c r="C1469" s="88" t="s">
        <v>2923</v>
      </c>
      <c r="D1469" s="88"/>
      <c r="E1469" s="88" t="s">
        <v>2924</v>
      </c>
      <c r="F1469" s="88" t="s">
        <v>2925</v>
      </c>
    </row>
    <row r="1470" spans="1:6">
      <c r="A1470" s="39">
        <v>44199</v>
      </c>
      <c r="B1470" s="27"/>
      <c r="C1470" s="27" t="s">
        <v>4668</v>
      </c>
      <c r="D1470" s="27"/>
      <c r="E1470" s="27" t="s">
        <v>4891</v>
      </c>
      <c r="F1470" s="27" t="s">
        <v>4892</v>
      </c>
    </row>
    <row r="1471" spans="1:6">
      <c r="A1471" s="38">
        <v>43989</v>
      </c>
      <c r="B1471" s="61"/>
      <c r="C1471" s="61" t="s">
        <v>2926</v>
      </c>
      <c r="D1471" s="61"/>
      <c r="E1471" s="61" t="s">
        <v>2927</v>
      </c>
      <c r="F1471" s="61" t="s">
        <v>2928</v>
      </c>
    </row>
    <row r="1472" spans="1:6">
      <c r="A1472" s="38">
        <v>43860</v>
      </c>
      <c r="B1472" s="53"/>
      <c r="C1472" s="53" t="s">
        <v>2929</v>
      </c>
      <c r="D1472" s="53"/>
      <c r="E1472" s="53" t="s">
        <v>2930</v>
      </c>
      <c r="F1472" s="53" t="s">
        <v>2931</v>
      </c>
    </row>
    <row r="1473" spans="1:6">
      <c r="A1473" s="38">
        <v>43860</v>
      </c>
      <c r="B1473" s="53"/>
      <c r="C1473" s="53" t="s">
        <v>2932</v>
      </c>
      <c r="D1473" s="53"/>
      <c r="E1473" s="53" t="s">
        <v>2933</v>
      </c>
      <c r="F1473" s="53" t="s">
        <v>174</v>
      </c>
    </row>
    <row r="1474" spans="1:6">
      <c r="A1474" s="38">
        <v>43437</v>
      </c>
      <c r="B1474" s="53"/>
      <c r="C1474" s="53" t="s">
        <v>2934</v>
      </c>
      <c r="D1474" s="53" t="s">
        <v>2935</v>
      </c>
      <c r="E1474" s="53" t="s">
        <v>2936</v>
      </c>
      <c r="F1474" s="53" t="s">
        <v>2937</v>
      </c>
    </row>
    <row r="1475" spans="1:6">
      <c r="A1475" s="38">
        <v>44039</v>
      </c>
      <c r="B1475" s="53"/>
      <c r="C1475" s="53" t="s">
        <v>2938</v>
      </c>
      <c r="D1475" s="53"/>
      <c r="E1475" s="53" t="s">
        <v>2939</v>
      </c>
      <c r="F1475" s="53" t="s">
        <v>2940</v>
      </c>
    </row>
    <row r="1476" spans="1:6">
      <c r="A1476" s="38">
        <v>44063</v>
      </c>
      <c r="B1476" s="61"/>
      <c r="C1476" s="61" t="s">
        <v>2941</v>
      </c>
      <c r="D1476" s="61"/>
      <c r="E1476" s="61" t="s">
        <v>2942</v>
      </c>
      <c r="F1476" s="61" t="s">
        <v>2943</v>
      </c>
    </row>
    <row r="1477" spans="1:6">
      <c r="A1477" s="38">
        <v>44053</v>
      </c>
      <c r="B1477" s="78"/>
      <c r="C1477" s="78" t="s">
        <v>2944</v>
      </c>
      <c r="D1477" s="78"/>
      <c r="E1477" s="78" t="s">
        <v>2945</v>
      </c>
      <c r="F1477" s="78" t="s">
        <v>2946</v>
      </c>
    </row>
    <row r="1478" spans="1:6">
      <c r="A1478" s="38">
        <v>44053</v>
      </c>
      <c r="B1478" s="79"/>
      <c r="C1478" s="79" t="s">
        <v>2947</v>
      </c>
      <c r="D1478" s="79"/>
      <c r="E1478" s="79" t="s">
        <v>2948</v>
      </c>
      <c r="F1478" s="79" t="s">
        <v>2949</v>
      </c>
    </row>
    <row r="1479" spans="1:6">
      <c r="A1479" s="38">
        <v>44039</v>
      </c>
      <c r="B1479" s="61"/>
      <c r="C1479" s="61" t="s">
        <v>2950</v>
      </c>
      <c r="D1479" s="61"/>
      <c r="E1479" s="61" t="s">
        <v>2951</v>
      </c>
      <c r="F1479" s="61" t="s">
        <v>2952</v>
      </c>
    </row>
    <row r="1480" spans="1:6">
      <c r="A1480" s="38">
        <v>43523</v>
      </c>
      <c r="B1480" s="61"/>
      <c r="C1480" s="61" t="s">
        <v>2953</v>
      </c>
      <c r="D1480" s="61"/>
      <c r="E1480" s="61" t="s">
        <v>2954</v>
      </c>
      <c r="F1480" s="61" t="s">
        <v>2955</v>
      </c>
    </row>
    <row r="1481" spans="1:6">
      <c r="A1481" s="38">
        <v>44040</v>
      </c>
      <c r="B1481" s="78"/>
      <c r="C1481" s="78" t="s">
        <v>2956</v>
      </c>
      <c r="D1481" s="78"/>
      <c r="E1481" s="78" t="s">
        <v>2957</v>
      </c>
      <c r="F1481" s="78" t="s">
        <v>2958</v>
      </c>
    </row>
    <row r="1482" spans="1:6">
      <c r="A1482" s="38">
        <v>43996</v>
      </c>
      <c r="B1482" s="79"/>
      <c r="C1482" s="79" t="s">
        <v>2959</v>
      </c>
      <c r="D1482" s="79"/>
      <c r="E1482" s="79" t="s">
        <v>2960</v>
      </c>
      <c r="F1482" s="79" t="s">
        <v>2961</v>
      </c>
    </row>
    <row r="1483" spans="1:6">
      <c r="A1483" s="38">
        <v>43523</v>
      </c>
      <c r="B1483" s="87"/>
      <c r="C1483" s="87" t="s">
        <v>2962</v>
      </c>
      <c r="D1483" s="87"/>
      <c r="E1483" s="87" t="s">
        <v>2963</v>
      </c>
      <c r="F1483" s="87" t="s">
        <v>2964</v>
      </c>
    </row>
    <row r="1484" spans="1:6">
      <c r="A1484" s="38">
        <v>43523</v>
      </c>
      <c r="B1484" s="88"/>
      <c r="C1484" s="88" t="s">
        <v>2965</v>
      </c>
      <c r="D1484" s="88"/>
      <c r="E1484" s="88" t="s">
        <v>2966</v>
      </c>
      <c r="F1484" s="88" t="s">
        <v>2967</v>
      </c>
    </row>
    <row r="1485" spans="1:6">
      <c r="A1485" s="39">
        <v>44199</v>
      </c>
      <c r="B1485" s="27"/>
      <c r="C1485" s="27" t="s">
        <v>4669</v>
      </c>
      <c r="D1485" s="27"/>
      <c r="E1485" s="27" t="s">
        <v>4893</v>
      </c>
      <c r="F1485" s="27" t="s">
        <v>4894</v>
      </c>
    </row>
    <row r="1486" spans="1:6">
      <c r="A1486" s="38">
        <v>44039</v>
      </c>
      <c r="B1486" s="61"/>
      <c r="C1486" s="61" t="s">
        <v>2968</v>
      </c>
      <c r="D1486" s="61"/>
      <c r="E1486" s="61" t="s">
        <v>2969</v>
      </c>
      <c r="F1486" s="61" t="s">
        <v>2970</v>
      </c>
    </row>
    <row r="1487" spans="1:6">
      <c r="A1487" s="38">
        <v>43662</v>
      </c>
      <c r="B1487" s="79"/>
      <c r="C1487" s="79" t="s">
        <v>2971</v>
      </c>
      <c r="D1487" s="79"/>
      <c r="E1487" s="79" t="s">
        <v>2972</v>
      </c>
      <c r="F1487" s="79" t="s">
        <v>2973</v>
      </c>
    </row>
    <row r="1488" spans="1:6">
      <c r="A1488" s="38">
        <v>43662</v>
      </c>
      <c r="B1488" s="79"/>
      <c r="C1488" s="79" t="s">
        <v>2974</v>
      </c>
      <c r="D1488" s="79"/>
      <c r="E1488" s="79" t="s">
        <v>2975</v>
      </c>
      <c r="F1488" s="79" t="s">
        <v>2976</v>
      </c>
    </row>
    <row r="1489" spans="1:6">
      <c r="A1489" s="38">
        <v>43437</v>
      </c>
      <c r="B1489" s="61"/>
      <c r="C1489" s="61" t="s">
        <v>2977</v>
      </c>
      <c r="D1489" s="61" t="s">
        <v>2977</v>
      </c>
      <c r="E1489" s="61" t="s">
        <v>2978</v>
      </c>
      <c r="F1489" s="61" t="s">
        <v>2979</v>
      </c>
    </row>
    <row r="1490" spans="1:6">
      <c r="A1490" s="38">
        <v>43662</v>
      </c>
      <c r="B1490" s="78"/>
      <c r="C1490" s="78" t="s">
        <v>2980</v>
      </c>
      <c r="D1490" s="78"/>
      <c r="E1490" s="78" t="s">
        <v>2981</v>
      </c>
      <c r="F1490" s="78" t="s">
        <v>2982</v>
      </c>
    </row>
    <row r="1491" spans="1:6">
      <c r="A1491" s="38">
        <v>44012</v>
      </c>
      <c r="B1491" s="79"/>
      <c r="C1491" s="79" t="s">
        <v>2983</v>
      </c>
      <c r="D1491" s="79"/>
      <c r="E1491" s="79" t="s">
        <v>2984</v>
      </c>
      <c r="F1491" s="79" t="s">
        <v>2985</v>
      </c>
    </row>
    <row r="1492" spans="1:6">
      <c r="B1492" s="87"/>
      <c r="C1492" s="87" t="s">
        <v>2986</v>
      </c>
      <c r="D1492" s="87"/>
      <c r="E1492" s="87" t="s">
        <v>2987</v>
      </c>
      <c r="F1492" s="87" t="s">
        <v>2988</v>
      </c>
    </row>
    <row r="1493" spans="1:6">
      <c r="A1493" s="38">
        <v>43700</v>
      </c>
      <c r="B1493" s="88"/>
      <c r="C1493" s="88" t="s">
        <v>2989</v>
      </c>
      <c r="D1493" s="88"/>
      <c r="E1493" s="88" t="s">
        <v>2990</v>
      </c>
      <c r="F1493" s="88" t="s">
        <v>2991</v>
      </c>
    </row>
    <row r="1494" spans="1:6">
      <c r="A1494" s="39">
        <v>44199</v>
      </c>
      <c r="B1494" s="27"/>
      <c r="C1494" s="27" t="s">
        <v>4670</v>
      </c>
      <c r="D1494" s="27"/>
      <c r="E1494" s="27" t="s">
        <v>4895</v>
      </c>
      <c r="F1494" s="27" t="s">
        <v>4896</v>
      </c>
    </row>
    <row r="1495" spans="1:6">
      <c r="A1495" s="38">
        <v>43530</v>
      </c>
      <c r="B1495" s="53"/>
      <c r="C1495" s="53" t="s">
        <v>2992</v>
      </c>
      <c r="D1495" s="53"/>
      <c r="E1495" s="53" t="s">
        <v>2993</v>
      </c>
      <c r="F1495" s="53" t="s">
        <v>2994</v>
      </c>
    </row>
    <row r="1496" spans="1:6">
      <c r="A1496" s="38">
        <v>44053</v>
      </c>
      <c r="B1496" s="87"/>
      <c r="C1496" s="87" t="s">
        <v>2995</v>
      </c>
      <c r="D1496" s="87"/>
      <c r="E1496" s="87" t="s">
        <v>2996</v>
      </c>
      <c r="F1496" s="87" t="s">
        <v>2997</v>
      </c>
    </row>
    <row r="1497" spans="1:6">
      <c r="A1497" s="38">
        <v>43864</v>
      </c>
      <c r="B1497" s="88"/>
      <c r="C1497" s="88" t="s">
        <v>2998</v>
      </c>
      <c r="D1497" s="88"/>
      <c r="E1497" s="88" t="s">
        <v>2999</v>
      </c>
      <c r="F1497" s="88" t="s">
        <v>3000</v>
      </c>
    </row>
    <row r="1498" spans="1:6">
      <c r="A1498" s="39">
        <v>44512</v>
      </c>
      <c r="B1498" s="27"/>
      <c r="C1498" s="27" t="s">
        <v>5974</v>
      </c>
      <c r="D1498" s="27"/>
      <c r="E1498" s="27" t="s">
        <v>5975</v>
      </c>
      <c r="F1498" s="27" t="s">
        <v>5451</v>
      </c>
    </row>
    <row r="1499" spans="1:6">
      <c r="A1499" s="38">
        <v>43725</v>
      </c>
      <c r="B1499" s="87"/>
      <c r="C1499" s="87" t="s">
        <v>3001</v>
      </c>
      <c r="D1499" s="87"/>
      <c r="E1499" s="87" t="s">
        <v>3002</v>
      </c>
      <c r="F1499" s="87" t="s">
        <v>3003</v>
      </c>
    </row>
    <row r="1500" spans="1:6">
      <c r="A1500" s="38">
        <v>43725</v>
      </c>
      <c r="B1500" s="88"/>
      <c r="C1500" s="88" t="s">
        <v>3004</v>
      </c>
      <c r="D1500" s="88"/>
      <c r="E1500" s="88" t="s">
        <v>3005</v>
      </c>
      <c r="F1500" s="88" t="s">
        <v>3006</v>
      </c>
    </row>
    <row r="1501" spans="1:6">
      <c r="A1501" s="39">
        <v>44510</v>
      </c>
      <c r="B1501" s="27"/>
      <c r="C1501" s="27" t="s">
        <v>5897</v>
      </c>
      <c r="D1501" s="27"/>
      <c r="E1501" s="27" t="s">
        <v>5896</v>
      </c>
      <c r="F1501" s="27" t="s">
        <v>5895</v>
      </c>
    </row>
    <row r="1502" spans="1:6">
      <c r="A1502" s="38">
        <v>44013</v>
      </c>
      <c r="B1502" s="87"/>
      <c r="C1502" s="87" t="s">
        <v>3007</v>
      </c>
      <c r="D1502" s="87"/>
      <c r="E1502" s="87" t="s">
        <v>3008</v>
      </c>
      <c r="F1502" s="87" t="s">
        <v>3009</v>
      </c>
    </row>
    <row r="1503" spans="1:6">
      <c r="A1503" s="38">
        <v>43840</v>
      </c>
      <c r="B1503" s="88"/>
      <c r="C1503" s="88" t="s">
        <v>3010</v>
      </c>
      <c r="D1503" s="88"/>
      <c r="E1503" s="88" t="s">
        <v>3011</v>
      </c>
      <c r="F1503" s="88" t="s">
        <v>3012</v>
      </c>
    </row>
    <row r="1504" spans="1:6">
      <c r="A1504" s="39">
        <v>44200</v>
      </c>
      <c r="B1504" s="27"/>
      <c r="C1504" s="27" t="s">
        <v>5110</v>
      </c>
      <c r="D1504" s="27"/>
      <c r="E1504" s="27" t="s">
        <v>5277</v>
      </c>
      <c r="F1504" s="27" t="s">
        <v>5444</v>
      </c>
    </row>
    <row r="1505" spans="1:6">
      <c r="A1505" s="38">
        <v>44083</v>
      </c>
      <c r="B1505" s="87"/>
      <c r="C1505" s="87" t="s">
        <v>3013</v>
      </c>
      <c r="D1505" s="87"/>
      <c r="E1505" s="87" t="s">
        <v>3014</v>
      </c>
      <c r="F1505" s="87" t="s">
        <v>3015</v>
      </c>
    </row>
    <row r="1506" spans="1:6">
      <c r="A1506" s="38">
        <v>43989</v>
      </c>
      <c r="B1506" s="88"/>
      <c r="C1506" s="88" t="s">
        <v>3016</v>
      </c>
      <c r="D1506" s="88"/>
      <c r="E1506" s="88" t="s">
        <v>3017</v>
      </c>
      <c r="F1506" s="88" t="s">
        <v>3018</v>
      </c>
    </row>
    <row r="1507" spans="1:6">
      <c r="A1507" s="39">
        <v>44270</v>
      </c>
      <c r="B1507" s="27"/>
      <c r="C1507" s="27" t="s">
        <v>5565</v>
      </c>
      <c r="D1507" s="27" t="s">
        <v>5566</v>
      </c>
      <c r="E1507" s="27" t="s">
        <v>5567</v>
      </c>
      <c r="F1507" s="27" t="s">
        <v>5568</v>
      </c>
    </row>
    <row r="1508" spans="1:6">
      <c r="A1508" s="38">
        <v>43755</v>
      </c>
      <c r="B1508" s="79"/>
      <c r="C1508" s="79" t="s">
        <v>3019</v>
      </c>
      <c r="D1508" s="79"/>
      <c r="E1508" s="79" t="s">
        <v>3019</v>
      </c>
      <c r="F1508" s="79" t="s">
        <v>3020</v>
      </c>
    </row>
    <row r="1509" spans="1:6">
      <c r="A1509" s="38">
        <v>43860</v>
      </c>
      <c r="B1509" s="78"/>
      <c r="C1509" s="78" t="s">
        <v>3021</v>
      </c>
      <c r="D1509" s="78"/>
      <c r="E1509" s="78" t="s">
        <v>3021</v>
      </c>
      <c r="F1509" s="78" t="s">
        <v>3022</v>
      </c>
    </row>
    <row r="1510" spans="1:6">
      <c r="A1510" s="38">
        <v>44070</v>
      </c>
      <c r="B1510" s="79"/>
      <c r="C1510" s="79" t="s">
        <v>3023</v>
      </c>
      <c r="D1510" s="79"/>
      <c r="E1510" s="79" t="s">
        <v>3024</v>
      </c>
      <c r="F1510" s="79" t="s">
        <v>3025</v>
      </c>
    </row>
    <row r="1511" spans="1:6">
      <c r="A1511" s="38">
        <v>44055</v>
      </c>
      <c r="B1511" s="61"/>
      <c r="C1511" s="61" t="s">
        <v>3026</v>
      </c>
      <c r="D1511" s="61"/>
      <c r="E1511" s="61" t="s">
        <v>3027</v>
      </c>
      <c r="F1511" s="61" t="s">
        <v>3028</v>
      </c>
    </row>
    <row r="1512" spans="1:6">
      <c r="A1512" s="38">
        <v>43587</v>
      </c>
      <c r="B1512" s="61"/>
      <c r="C1512" s="61" t="s">
        <v>3029</v>
      </c>
      <c r="D1512" s="61"/>
      <c r="E1512" s="61" t="s">
        <v>3030</v>
      </c>
      <c r="F1512" s="61" t="s">
        <v>3031</v>
      </c>
    </row>
    <row r="1513" spans="1:6">
      <c r="A1513" s="38">
        <v>43384</v>
      </c>
      <c r="B1513" s="79"/>
      <c r="C1513" s="79" t="s">
        <v>3032</v>
      </c>
      <c r="D1513" s="79"/>
      <c r="E1513" s="79" t="s">
        <v>3033</v>
      </c>
      <c r="F1513" s="79" t="s">
        <v>3034</v>
      </c>
    </row>
    <row r="1514" spans="1:6">
      <c r="A1514" s="38">
        <v>43344</v>
      </c>
      <c r="B1514" s="79"/>
      <c r="C1514" s="79" t="s">
        <v>3035</v>
      </c>
      <c r="D1514" s="79"/>
      <c r="E1514" s="79" t="s">
        <v>3036</v>
      </c>
      <c r="F1514" s="79" t="s">
        <v>3037</v>
      </c>
    </row>
    <row r="1515" spans="1:6">
      <c r="A1515" s="38">
        <v>43384</v>
      </c>
      <c r="B1515" s="53"/>
      <c r="C1515" s="53" t="s">
        <v>3038</v>
      </c>
      <c r="D1515" s="53"/>
      <c r="E1515" s="53" t="s">
        <v>3039</v>
      </c>
      <c r="F1515" s="53" t="s">
        <v>3040</v>
      </c>
    </row>
    <row r="1516" spans="1:6">
      <c r="A1516" s="38">
        <v>44159</v>
      </c>
      <c r="B1516" s="78"/>
      <c r="C1516" s="78" t="s">
        <v>3041</v>
      </c>
      <c r="D1516" s="78"/>
      <c r="E1516" s="78" t="s">
        <v>3042</v>
      </c>
      <c r="F1516" s="78" t="s">
        <v>3043</v>
      </c>
    </row>
    <row r="1517" spans="1:6">
      <c r="A1517" s="38">
        <v>43899</v>
      </c>
      <c r="B1517" s="79"/>
      <c r="C1517" s="79" t="s">
        <v>3044</v>
      </c>
      <c r="D1517" s="79"/>
      <c r="E1517" s="79" t="s">
        <v>3045</v>
      </c>
      <c r="F1517" s="79" t="s">
        <v>3046</v>
      </c>
    </row>
    <row r="1518" spans="1:6">
      <c r="A1518" s="38">
        <v>43899</v>
      </c>
      <c r="B1518" s="79"/>
      <c r="C1518" s="79" t="s">
        <v>3047</v>
      </c>
      <c r="D1518" s="79"/>
      <c r="E1518" s="79" t="s">
        <v>3048</v>
      </c>
      <c r="F1518" s="79" t="s">
        <v>3049</v>
      </c>
    </row>
    <row r="1519" spans="1:6">
      <c r="A1519" s="38">
        <v>43899</v>
      </c>
      <c r="B1519" s="78"/>
      <c r="C1519" s="78" t="s">
        <v>3050</v>
      </c>
      <c r="D1519" s="78"/>
      <c r="E1519" s="78" t="s">
        <v>3051</v>
      </c>
      <c r="F1519" s="78" t="s">
        <v>3052</v>
      </c>
    </row>
    <row r="1520" spans="1:6">
      <c r="A1520" s="38">
        <v>43587</v>
      </c>
      <c r="B1520" s="79"/>
      <c r="C1520" s="79" t="s">
        <v>3053</v>
      </c>
      <c r="D1520" s="79"/>
      <c r="E1520" s="79" t="s">
        <v>3054</v>
      </c>
      <c r="F1520" s="79" t="s">
        <v>3055</v>
      </c>
    </row>
    <row r="1521" spans="1:6">
      <c r="A1521" s="38">
        <v>43467</v>
      </c>
      <c r="B1521" s="61"/>
      <c r="C1521" s="61" t="s">
        <v>3056</v>
      </c>
      <c r="D1521" s="61"/>
      <c r="E1521" s="61" t="s">
        <v>3057</v>
      </c>
      <c r="F1521" s="61" t="s">
        <v>3058</v>
      </c>
    </row>
    <row r="1522" spans="1:6">
      <c r="B1522" s="87"/>
      <c r="C1522" s="87" t="s">
        <v>3059</v>
      </c>
      <c r="D1522" s="87"/>
      <c r="E1522" s="87" t="s">
        <v>3060</v>
      </c>
      <c r="F1522" s="87" t="s">
        <v>3058</v>
      </c>
    </row>
    <row r="1523" spans="1:6">
      <c r="B1523" s="88"/>
      <c r="C1523" s="88" t="s">
        <v>3061</v>
      </c>
      <c r="D1523" s="88"/>
      <c r="E1523" s="88" t="s">
        <v>3062</v>
      </c>
      <c r="F1523" s="88" t="s">
        <v>3063</v>
      </c>
    </row>
    <row r="1524" spans="1:6">
      <c r="A1524" s="39">
        <v>44199</v>
      </c>
      <c r="B1524" s="27"/>
      <c r="C1524" s="27" t="s">
        <v>4671</v>
      </c>
      <c r="D1524" s="27"/>
      <c r="E1524" s="27" t="s">
        <v>4897</v>
      </c>
      <c r="F1524" s="27" t="s">
        <v>3058</v>
      </c>
    </row>
    <row r="1525" spans="1:6">
      <c r="A1525" s="38">
        <v>44172</v>
      </c>
      <c r="B1525" s="88"/>
      <c r="C1525" s="88" t="s">
        <v>3064</v>
      </c>
      <c r="D1525" s="88"/>
      <c r="E1525" s="88" t="s">
        <v>3065</v>
      </c>
      <c r="F1525" s="88" t="s">
        <v>3066</v>
      </c>
    </row>
    <row r="1526" spans="1:6">
      <c r="A1526" s="39">
        <v>44509</v>
      </c>
      <c r="B1526" s="27"/>
      <c r="C1526" s="27" t="s">
        <v>5768</v>
      </c>
      <c r="D1526" s="27"/>
      <c r="E1526" s="27" t="s">
        <v>5768</v>
      </c>
      <c r="F1526" s="27" t="s">
        <v>5769</v>
      </c>
    </row>
    <row r="1527" spans="1:6">
      <c r="A1527" s="38">
        <v>43588</v>
      </c>
      <c r="B1527" s="61"/>
      <c r="C1527" s="61" t="s">
        <v>3067</v>
      </c>
      <c r="D1527" s="61"/>
      <c r="E1527" s="61" t="s">
        <v>3068</v>
      </c>
      <c r="F1527" s="61" t="s">
        <v>3069</v>
      </c>
    </row>
    <row r="1528" spans="1:6">
      <c r="A1528" s="38">
        <v>44159</v>
      </c>
      <c r="B1528" s="53"/>
      <c r="C1528" s="53" t="s">
        <v>3070</v>
      </c>
      <c r="D1528" s="53"/>
      <c r="E1528" s="53" t="s">
        <v>3071</v>
      </c>
      <c r="F1528" s="53" t="s">
        <v>3072</v>
      </c>
    </row>
    <row r="1529" spans="1:6">
      <c r="A1529" s="38">
        <v>43634</v>
      </c>
      <c r="B1529" s="53"/>
      <c r="C1529" s="53" t="s">
        <v>3073</v>
      </c>
      <c r="D1529" s="53"/>
      <c r="E1529" s="53" t="s">
        <v>3074</v>
      </c>
      <c r="F1529" s="53" t="s">
        <v>3075</v>
      </c>
    </row>
    <row r="1530" spans="1:6">
      <c r="A1530" s="38">
        <v>44061</v>
      </c>
      <c r="B1530" s="79"/>
      <c r="C1530" s="79" t="s">
        <v>3076</v>
      </c>
      <c r="D1530" s="79"/>
      <c r="E1530" s="79" t="s">
        <v>3076</v>
      </c>
      <c r="F1530" s="79" t="s">
        <v>3077</v>
      </c>
    </row>
    <row r="1531" spans="1:6">
      <c r="A1531" s="38">
        <v>43344</v>
      </c>
      <c r="B1531" s="87"/>
      <c r="C1531" s="87" t="s">
        <v>3078</v>
      </c>
      <c r="D1531" s="87" t="s">
        <v>3079</v>
      </c>
      <c r="E1531" s="87" t="s">
        <v>3080</v>
      </c>
      <c r="F1531" s="87" t="s">
        <v>3081</v>
      </c>
    </row>
    <row r="1532" spans="1:6">
      <c r="A1532" s="38">
        <v>44013</v>
      </c>
      <c r="B1532" s="88"/>
      <c r="C1532" s="88" t="s">
        <v>3082</v>
      </c>
      <c r="D1532" s="88"/>
      <c r="E1532" s="88" t="s">
        <v>3083</v>
      </c>
      <c r="F1532" s="88" t="s">
        <v>3084</v>
      </c>
    </row>
    <row r="1533" spans="1:6">
      <c r="A1533" s="39">
        <v>44200</v>
      </c>
      <c r="B1533" s="27"/>
      <c r="C1533" s="27" t="s">
        <v>5111</v>
      </c>
      <c r="D1533" s="27"/>
      <c r="E1533" s="27" t="s">
        <v>5278</v>
      </c>
      <c r="F1533" s="27" t="s">
        <v>5445</v>
      </c>
    </row>
    <row r="1534" spans="1:6">
      <c r="A1534" s="38">
        <v>43725</v>
      </c>
      <c r="B1534" s="87"/>
      <c r="C1534" s="87" t="s">
        <v>3085</v>
      </c>
      <c r="D1534" s="87"/>
      <c r="E1534" s="87" t="s">
        <v>3085</v>
      </c>
      <c r="F1534" s="87" t="s">
        <v>3086</v>
      </c>
    </row>
    <row r="1535" spans="1:6">
      <c r="A1535" s="38">
        <v>43700</v>
      </c>
      <c r="B1535" s="88"/>
      <c r="C1535" s="88" t="s">
        <v>3087</v>
      </c>
      <c r="D1535" s="88"/>
      <c r="E1535" s="88" t="s">
        <v>3088</v>
      </c>
      <c r="F1535" s="88" t="s">
        <v>3089</v>
      </c>
    </row>
    <row r="1536" spans="1:6">
      <c r="A1536" s="39">
        <v>44510</v>
      </c>
      <c r="B1536" s="27"/>
      <c r="C1536" s="27" t="s">
        <v>5820</v>
      </c>
      <c r="D1536" s="27"/>
      <c r="E1536" s="27" t="s">
        <v>5821</v>
      </c>
      <c r="F1536" s="27" t="s">
        <v>6111</v>
      </c>
    </row>
    <row r="1537" spans="1:6">
      <c r="A1537" s="38">
        <v>43700</v>
      </c>
      <c r="B1537" s="87"/>
      <c r="C1537" s="87" t="s">
        <v>3090</v>
      </c>
      <c r="D1537" s="87"/>
      <c r="E1537" s="87" t="s">
        <v>3091</v>
      </c>
      <c r="F1537" s="87" t="s">
        <v>3092</v>
      </c>
    </row>
    <row r="1538" spans="1:6">
      <c r="A1538" s="38">
        <v>44070</v>
      </c>
      <c r="B1538" s="88"/>
      <c r="C1538" s="88" t="s">
        <v>3093</v>
      </c>
      <c r="D1538" s="88"/>
      <c r="E1538" s="88" t="s">
        <v>3094</v>
      </c>
      <c r="F1538" s="88" t="s">
        <v>3089</v>
      </c>
    </row>
    <row r="1539" spans="1:6">
      <c r="A1539" s="39">
        <v>44199</v>
      </c>
      <c r="B1539" s="27"/>
      <c r="C1539" s="27" t="s">
        <v>4672</v>
      </c>
      <c r="D1539" s="27"/>
      <c r="E1539" s="27" t="s">
        <v>3087</v>
      </c>
      <c r="F1539" s="27" t="s">
        <v>3089</v>
      </c>
    </row>
    <row r="1540" spans="1:6">
      <c r="A1540" s="38">
        <v>44019</v>
      </c>
      <c r="B1540" s="88"/>
      <c r="C1540" s="88" t="s">
        <v>3095</v>
      </c>
      <c r="D1540" s="88"/>
      <c r="E1540" s="88" t="s">
        <v>3095</v>
      </c>
      <c r="F1540" s="88" t="s">
        <v>174</v>
      </c>
    </row>
    <row r="1541" spans="1:6">
      <c r="A1541" s="39">
        <v>44199</v>
      </c>
      <c r="B1541" s="27"/>
      <c r="C1541" s="27" t="s">
        <v>4673</v>
      </c>
      <c r="D1541" s="27"/>
      <c r="E1541" s="27" t="s">
        <v>4673</v>
      </c>
      <c r="F1541" s="27" t="s">
        <v>4898</v>
      </c>
    </row>
    <row r="1542" spans="1:6">
      <c r="A1542" s="38">
        <v>44012</v>
      </c>
      <c r="B1542" s="79"/>
      <c r="C1542" s="79" t="s">
        <v>3096</v>
      </c>
      <c r="D1542" s="79"/>
      <c r="E1542" s="79" t="s">
        <v>3097</v>
      </c>
      <c r="F1542" s="79" t="s">
        <v>3098</v>
      </c>
    </row>
    <row r="1543" spans="1:6">
      <c r="A1543" s="38">
        <v>44013</v>
      </c>
      <c r="B1543" s="79"/>
      <c r="C1543" s="79" t="s">
        <v>3099</v>
      </c>
      <c r="D1543" s="79"/>
      <c r="E1543" s="79" t="s">
        <v>3100</v>
      </c>
      <c r="F1543" s="79" t="s">
        <v>3101</v>
      </c>
    </row>
    <row r="1544" spans="1:6">
      <c r="A1544" s="38">
        <v>43732</v>
      </c>
      <c r="B1544" s="79"/>
      <c r="C1544" s="79" t="s">
        <v>3102</v>
      </c>
      <c r="D1544" s="79" t="s">
        <v>3103</v>
      </c>
      <c r="E1544" s="79" t="s">
        <v>3104</v>
      </c>
      <c r="F1544" s="79" t="s">
        <v>3105</v>
      </c>
    </row>
    <row r="1545" spans="1:6">
      <c r="A1545" s="38">
        <v>44172</v>
      </c>
      <c r="B1545" s="61"/>
      <c r="C1545" s="61" t="s">
        <v>3106</v>
      </c>
      <c r="D1545" s="61" t="s">
        <v>3103</v>
      </c>
      <c r="E1545" s="61" t="s">
        <v>3107</v>
      </c>
      <c r="F1545" s="61" t="s">
        <v>3108</v>
      </c>
    </row>
    <row r="1546" spans="1:6">
      <c r="A1546" s="38">
        <v>43725</v>
      </c>
      <c r="B1546" s="78"/>
      <c r="C1546" s="78" t="s">
        <v>3109</v>
      </c>
      <c r="D1546" s="78"/>
      <c r="E1546" s="78" t="s">
        <v>3109</v>
      </c>
      <c r="F1546" s="78" t="s">
        <v>3110</v>
      </c>
    </row>
    <row r="1547" spans="1:6">
      <c r="A1547" s="38">
        <v>43530</v>
      </c>
      <c r="B1547" s="87"/>
      <c r="C1547" s="87" t="s">
        <v>3111</v>
      </c>
      <c r="D1547" s="87"/>
      <c r="E1547" s="87" t="s">
        <v>3112</v>
      </c>
      <c r="F1547" s="87" t="s">
        <v>3113</v>
      </c>
    </row>
    <row r="1548" spans="1:6">
      <c r="A1548" s="38">
        <v>44014</v>
      </c>
      <c r="B1548" s="88"/>
      <c r="C1548" s="88" t="s">
        <v>3114</v>
      </c>
      <c r="D1548" s="88"/>
      <c r="E1548" s="88" t="s">
        <v>3115</v>
      </c>
      <c r="F1548" s="88" t="s">
        <v>3116</v>
      </c>
    </row>
    <row r="1549" spans="1:6">
      <c r="A1549" s="39">
        <v>44510</v>
      </c>
      <c r="B1549" s="27"/>
      <c r="C1549" s="27" t="s">
        <v>5811</v>
      </c>
      <c r="D1549" s="27"/>
      <c r="E1549" s="27" t="s">
        <v>5812</v>
      </c>
      <c r="F1549" s="27" t="s">
        <v>5813</v>
      </c>
    </row>
    <row r="1550" spans="1:6">
      <c r="A1550" s="39">
        <v>44510</v>
      </c>
      <c r="B1550" s="27"/>
      <c r="C1550" s="27" t="s">
        <v>5892</v>
      </c>
      <c r="D1550" s="27"/>
      <c r="E1550" s="27" t="s">
        <v>5893</v>
      </c>
      <c r="F1550" s="27" t="s">
        <v>5894</v>
      </c>
    </row>
    <row r="1551" spans="1:6">
      <c r="A1551" s="39">
        <v>44510</v>
      </c>
      <c r="B1551" s="27"/>
      <c r="C1551" s="27" t="s">
        <v>5815</v>
      </c>
      <c r="D1551" s="27"/>
      <c r="E1551" s="27" t="s">
        <v>5814</v>
      </c>
      <c r="F1551" s="27" t="s">
        <v>5816</v>
      </c>
    </row>
    <row r="1552" spans="1:6">
      <c r="B1552" s="78"/>
      <c r="C1552" s="78" t="s">
        <v>3117</v>
      </c>
      <c r="D1552" s="78"/>
      <c r="E1552" s="78" t="s">
        <v>3118</v>
      </c>
      <c r="F1552" s="78" t="s">
        <v>3119</v>
      </c>
    </row>
    <row r="1553" spans="1:6">
      <c r="B1553" s="79"/>
      <c r="C1553" s="79" t="s">
        <v>3120</v>
      </c>
      <c r="D1553" s="79"/>
      <c r="E1553" s="79" t="s">
        <v>3121</v>
      </c>
      <c r="F1553" s="79" t="s">
        <v>3122</v>
      </c>
    </row>
    <row r="1554" spans="1:6">
      <c r="A1554" s="38">
        <v>44056</v>
      </c>
      <c r="B1554" s="79"/>
      <c r="C1554" s="79" t="s">
        <v>3123</v>
      </c>
      <c r="D1554" s="79"/>
      <c r="E1554" s="79" t="s">
        <v>3124</v>
      </c>
      <c r="F1554" s="79" t="s">
        <v>3125</v>
      </c>
    </row>
    <row r="1555" spans="1:6">
      <c r="A1555" s="38">
        <v>43724</v>
      </c>
      <c r="B1555" s="87"/>
      <c r="C1555" s="87" t="s">
        <v>3126</v>
      </c>
      <c r="D1555" s="87" t="s">
        <v>3127</v>
      </c>
      <c r="E1555" s="87" t="s">
        <v>3126</v>
      </c>
      <c r="F1555" s="87" t="s">
        <v>3126</v>
      </c>
    </row>
    <row r="1556" spans="1:6">
      <c r="B1556" s="88"/>
      <c r="C1556" s="88" t="s">
        <v>3128</v>
      </c>
      <c r="D1556" s="88"/>
      <c r="E1556" s="88" t="s">
        <v>3129</v>
      </c>
      <c r="F1556" s="88" t="s">
        <v>1552</v>
      </c>
    </row>
    <row r="1557" spans="1:6">
      <c r="A1557" s="39">
        <v>44199</v>
      </c>
      <c r="B1557" s="27"/>
      <c r="C1557" s="27" t="s">
        <v>4674</v>
      </c>
      <c r="D1557" s="27"/>
      <c r="E1557" s="27" t="s">
        <v>4899</v>
      </c>
      <c r="F1557" s="27" t="s">
        <v>4900</v>
      </c>
    </row>
    <row r="1558" spans="1:6">
      <c r="A1558" s="39">
        <v>44199</v>
      </c>
      <c r="B1558" s="27"/>
      <c r="C1558" s="27" t="s">
        <v>4675</v>
      </c>
      <c r="D1558" s="27"/>
      <c r="E1558" s="27" t="s">
        <v>4901</v>
      </c>
      <c r="F1558" s="27" t="s">
        <v>2181</v>
      </c>
    </row>
    <row r="1559" spans="1:6">
      <c r="A1559" s="39">
        <v>44512</v>
      </c>
      <c r="B1559" s="27"/>
      <c r="C1559" s="27" t="s">
        <v>6009</v>
      </c>
      <c r="D1559" s="27"/>
      <c r="E1559" s="27" t="s">
        <v>6008</v>
      </c>
      <c r="F1559" s="54" t="s">
        <v>4900</v>
      </c>
    </row>
    <row r="1560" spans="1:6">
      <c r="A1560" s="38">
        <v>44075</v>
      </c>
      <c r="B1560" s="53"/>
      <c r="C1560" s="53" t="s">
        <v>3130</v>
      </c>
      <c r="D1560" s="53"/>
      <c r="E1560" s="53" t="s">
        <v>3131</v>
      </c>
      <c r="F1560" s="53" t="s">
        <v>3132</v>
      </c>
    </row>
    <row r="1561" spans="1:6">
      <c r="A1561" s="38">
        <v>44173</v>
      </c>
      <c r="B1561" s="87"/>
      <c r="C1561" s="87" t="s">
        <v>937</v>
      </c>
      <c r="D1561" s="87"/>
      <c r="E1561" s="87" t="s">
        <v>937</v>
      </c>
      <c r="F1561" s="87" t="s">
        <v>938</v>
      </c>
    </row>
    <row r="1562" spans="1:6">
      <c r="A1562" s="38">
        <v>43467</v>
      </c>
      <c r="B1562" s="88"/>
      <c r="C1562" s="88" t="s">
        <v>3133</v>
      </c>
      <c r="D1562" s="88"/>
      <c r="E1562" s="88" t="s">
        <v>3134</v>
      </c>
      <c r="F1562" s="88" t="s">
        <v>3135</v>
      </c>
    </row>
    <row r="1563" spans="1:6">
      <c r="A1563" s="39">
        <v>44200</v>
      </c>
      <c r="B1563" s="27"/>
      <c r="C1563" s="27" t="s">
        <v>5112</v>
      </c>
      <c r="D1563" s="27"/>
      <c r="E1563" s="27" t="s">
        <v>5279</v>
      </c>
      <c r="F1563" s="27" t="s">
        <v>5446</v>
      </c>
    </row>
    <row r="1564" spans="1:6">
      <c r="A1564" s="39">
        <v>44200</v>
      </c>
      <c r="B1564" s="27"/>
      <c r="C1564" s="27" t="s">
        <v>5113</v>
      </c>
      <c r="D1564" s="27"/>
      <c r="E1564" s="27" t="s">
        <v>5280</v>
      </c>
      <c r="F1564" s="27" t="s">
        <v>5447</v>
      </c>
    </row>
    <row r="1565" spans="1:6">
      <c r="A1565" s="38">
        <v>44083</v>
      </c>
      <c r="B1565" s="88"/>
      <c r="C1565" s="88" t="s">
        <v>3136</v>
      </c>
      <c r="D1565" s="88"/>
      <c r="E1565" s="88" t="s">
        <v>3137</v>
      </c>
      <c r="F1565" s="88" t="s">
        <v>3138</v>
      </c>
    </row>
    <row r="1566" spans="1:6">
      <c r="A1566" s="39">
        <v>44199</v>
      </c>
      <c r="B1566" s="27"/>
      <c r="C1566" s="27" t="s">
        <v>4676</v>
      </c>
      <c r="D1566" s="27"/>
      <c r="E1566" s="27" t="s">
        <v>4902</v>
      </c>
      <c r="F1566" s="27" t="s">
        <v>4903</v>
      </c>
    </row>
    <row r="1567" spans="1:6">
      <c r="A1567" s="38">
        <v>43995</v>
      </c>
      <c r="B1567" s="87"/>
      <c r="C1567" s="87" t="s">
        <v>3139</v>
      </c>
      <c r="D1567" s="87"/>
      <c r="E1567" s="87" t="s">
        <v>3140</v>
      </c>
      <c r="F1567" s="87" t="s">
        <v>938</v>
      </c>
    </row>
    <row r="1568" spans="1:6">
      <c r="A1568" s="38">
        <v>43819</v>
      </c>
      <c r="B1568" s="88"/>
      <c r="C1568" s="88" t="s">
        <v>3141</v>
      </c>
      <c r="D1568" s="88"/>
      <c r="E1568" s="88" t="s">
        <v>3142</v>
      </c>
      <c r="F1568" s="88" t="s">
        <v>3143</v>
      </c>
    </row>
    <row r="1569" spans="1:6">
      <c r="A1569" s="39">
        <v>44236</v>
      </c>
      <c r="B1569" s="27"/>
      <c r="C1569" s="27" t="s">
        <v>5523</v>
      </c>
      <c r="D1569" s="27"/>
      <c r="E1569" s="27" t="s">
        <v>5524</v>
      </c>
      <c r="F1569" s="27" t="s">
        <v>5525</v>
      </c>
    </row>
    <row r="1570" spans="1:6">
      <c r="A1570" s="39">
        <v>44510</v>
      </c>
      <c r="B1570" s="27"/>
      <c r="C1570" s="27" t="s">
        <v>5856</v>
      </c>
      <c r="D1570" s="27"/>
      <c r="E1570" s="27" t="s">
        <v>5857</v>
      </c>
      <c r="F1570" s="27" t="s">
        <v>5858</v>
      </c>
    </row>
    <row r="1571" spans="1:6">
      <c r="A1571" s="39">
        <v>44301</v>
      </c>
      <c r="B1571" s="27">
        <v>1</v>
      </c>
      <c r="C1571" s="27" t="s">
        <v>5689</v>
      </c>
      <c r="D1571" s="27"/>
      <c r="E1571" s="27" t="s">
        <v>5690</v>
      </c>
      <c r="F1571" s="27" t="s">
        <v>5691</v>
      </c>
    </row>
    <row r="1572" spans="1:6">
      <c r="B1572" s="79"/>
      <c r="C1572" s="79" t="s">
        <v>1561</v>
      </c>
      <c r="D1572" s="79" t="s">
        <v>3144</v>
      </c>
      <c r="E1572" s="79" t="s">
        <v>1561</v>
      </c>
      <c r="F1572" s="79" t="s">
        <v>3145</v>
      </c>
    </row>
    <row r="1573" spans="1:6">
      <c r="A1573" s="38">
        <v>43724</v>
      </c>
      <c r="B1573" s="79"/>
      <c r="C1573" s="79" t="s">
        <v>3146</v>
      </c>
      <c r="D1573" s="79" t="s">
        <v>3147</v>
      </c>
      <c r="E1573" s="79" t="s">
        <v>3146</v>
      </c>
      <c r="F1573" s="79" t="s">
        <v>3148</v>
      </c>
    </row>
    <row r="1574" spans="1:6">
      <c r="A1574" s="38">
        <v>44054</v>
      </c>
      <c r="B1574" s="61"/>
      <c r="C1574" s="61" t="s">
        <v>3149</v>
      </c>
      <c r="D1574" s="61"/>
      <c r="E1574" s="61" t="s">
        <v>3150</v>
      </c>
      <c r="F1574" s="61" t="s">
        <v>3151</v>
      </c>
    </row>
    <row r="1575" spans="1:6">
      <c r="A1575" s="38">
        <v>44032</v>
      </c>
      <c r="B1575" s="61"/>
      <c r="C1575" s="61" t="s">
        <v>3152</v>
      </c>
      <c r="D1575" s="61"/>
      <c r="E1575" s="61" t="s">
        <v>3152</v>
      </c>
      <c r="F1575" s="61" t="s">
        <v>3152</v>
      </c>
    </row>
    <row r="1576" spans="1:6">
      <c r="A1576" s="38">
        <v>44082</v>
      </c>
      <c r="B1576" s="53"/>
      <c r="C1576" s="53" t="s">
        <v>3153</v>
      </c>
      <c r="D1576" s="53"/>
      <c r="E1576" s="53" t="s">
        <v>3154</v>
      </c>
      <c r="F1576" s="53" t="s">
        <v>2068</v>
      </c>
    </row>
    <row r="1577" spans="1:6">
      <c r="A1577" s="38">
        <v>43587</v>
      </c>
      <c r="B1577" s="87"/>
      <c r="C1577" s="87" t="s">
        <v>3155</v>
      </c>
      <c r="D1577" s="87"/>
      <c r="E1577" s="87" t="s">
        <v>3156</v>
      </c>
      <c r="F1577" s="87" t="s">
        <v>3157</v>
      </c>
    </row>
    <row r="1578" spans="1:6">
      <c r="A1578" s="38">
        <v>43588</v>
      </c>
      <c r="B1578" s="88"/>
      <c r="C1578" s="88" t="s">
        <v>3158</v>
      </c>
      <c r="D1578" s="88" t="s">
        <v>3159</v>
      </c>
      <c r="E1578" s="88" t="s">
        <v>3160</v>
      </c>
      <c r="F1578" s="88" t="s">
        <v>3161</v>
      </c>
    </row>
    <row r="1579" spans="1:6">
      <c r="A1579" s="39">
        <v>44199</v>
      </c>
      <c r="B1579" s="27"/>
      <c r="C1579" s="27" t="s">
        <v>4677</v>
      </c>
      <c r="D1579" s="27"/>
      <c r="E1579" s="27" t="s">
        <v>4904</v>
      </c>
      <c r="F1579" s="27" t="s">
        <v>4905</v>
      </c>
    </row>
    <row r="1580" spans="1:6">
      <c r="A1580" s="38">
        <v>43609</v>
      </c>
      <c r="B1580" s="79"/>
      <c r="C1580" s="79" t="s">
        <v>3162</v>
      </c>
      <c r="D1580" s="79"/>
      <c r="E1580" s="79" t="s">
        <v>3163</v>
      </c>
      <c r="F1580" s="79" t="s">
        <v>3164</v>
      </c>
    </row>
    <row r="1581" spans="1:6">
      <c r="A1581" s="38">
        <v>43356</v>
      </c>
      <c r="B1581" s="53"/>
      <c r="C1581" s="53" t="s">
        <v>3165</v>
      </c>
      <c r="D1581" s="53"/>
      <c r="E1581" s="53" t="s">
        <v>1495</v>
      </c>
      <c r="F1581" s="53" t="s">
        <v>1496</v>
      </c>
    </row>
    <row r="1582" spans="1:6">
      <c r="A1582" s="38">
        <v>44070</v>
      </c>
      <c r="B1582" s="78"/>
      <c r="C1582" s="78" t="s">
        <v>3166</v>
      </c>
      <c r="D1582" s="78"/>
      <c r="E1582" s="78" t="s">
        <v>3167</v>
      </c>
      <c r="F1582" s="78" t="s">
        <v>3168</v>
      </c>
    </row>
    <row r="1583" spans="1:6">
      <c r="A1583" s="38">
        <v>44089</v>
      </c>
      <c r="B1583" s="79"/>
      <c r="C1583" s="79" t="s">
        <v>3169</v>
      </c>
      <c r="D1583" s="79"/>
      <c r="E1583" s="79" t="s">
        <v>3170</v>
      </c>
      <c r="F1583" s="79" t="s">
        <v>3171</v>
      </c>
    </row>
    <row r="1584" spans="1:6">
      <c r="A1584" s="38">
        <v>43613</v>
      </c>
      <c r="B1584" s="79"/>
      <c r="C1584" s="79" t="s">
        <v>3172</v>
      </c>
      <c r="D1584" s="79"/>
      <c r="E1584" s="79" t="s">
        <v>3173</v>
      </c>
      <c r="F1584" s="79" t="s">
        <v>3174</v>
      </c>
    </row>
    <row r="1585" spans="1:6">
      <c r="A1585" s="38">
        <v>43720</v>
      </c>
      <c r="B1585" s="78"/>
      <c r="C1585" s="79" t="s">
        <v>3175</v>
      </c>
      <c r="D1585" s="79"/>
      <c r="E1585" s="79" t="s">
        <v>3176</v>
      </c>
      <c r="F1585" s="79" t="s">
        <v>3177</v>
      </c>
    </row>
    <row r="1586" spans="1:6">
      <c r="A1586" s="38">
        <v>44011</v>
      </c>
      <c r="B1586" s="87"/>
      <c r="C1586" s="87" t="s">
        <v>3178</v>
      </c>
      <c r="D1586" s="87"/>
      <c r="E1586" s="87" t="s">
        <v>3179</v>
      </c>
      <c r="F1586" s="87" t="s">
        <v>3180</v>
      </c>
    </row>
    <row r="1587" spans="1:6">
      <c r="A1587" s="38">
        <v>43760</v>
      </c>
      <c r="B1587" s="88"/>
      <c r="C1587" s="88" t="s">
        <v>3181</v>
      </c>
      <c r="D1587" s="88"/>
      <c r="E1587" s="88" t="s">
        <v>3182</v>
      </c>
      <c r="F1587" s="88" t="s">
        <v>3183</v>
      </c>
    </row>
    <row r="1588" spans="1:6">
      <c r="A1588" s="39">
        <v>44199</v>
      </c>
      <c r="B1588" s="27"/>
      <c r="C1588" s="27" t="s">
        <v>4678</v>
      </c>
      <c r="D1588" s="27"/>
      <c r="E1588" s="27" t="s">
        <v>4906</v>
      </c>
      <c r="F1588" s="27" t="s">
        <v>4907</v>
      </c>
    </row>
    <row r="1589" spans="1:6">
      <c r="A1589" s="39">
        <v>44301</v>
      </c>
      <c r="B1589" s="27">
        <v>3</v>
      </c>
      <c r="C1589" s="27" t="s">
        <v>4678</v>
      </c>
      <c r="D1589" s="27"/>
      <c r="E1589" s="27" t="s">
        <v>4906</v>
      </c>
      <c r="F1589" s="27" t="s">
        <v>4907</v>
      </c>
    </row>
    <row r="1590" spans="1:6">
      <c r="A1590" s="38">
        <v>43816</v>
      </c>
      <c r="B1590" s="79"/>
      <c r="C1590" s="79" t="s">
        <v>3184</v>
      </c>
      <c r="D1590" s="79"/>
      <c r="E1590" s="79" t="s">
        <v>3185</v>
      </c>
      <c r="F1590" s="79" t="s">
        <v>3186</v>
      </c>
    </row>
    <row r="1591" spans="1:6">
      <c r="A1591" s="38">
        <v>43644</v>
      </c>
      <c r="B1591" s="79"/>
      <c r="C1591" s="79" t="s">
        <v>3187</v>
      </c>
      <c r="D1591" s="79"/>
      <c r="E1591" s="79" t="s">
        <v>3188</v>
      </c>
      <c r="F1591" s="79" t="s">
        <v>3189</v>
      </c>
    </row>
    <row r="1592" spans="1:6">
      <c r="A1592" s="38">
        <v>44083</v>
      </c>
      <c r="B1592" s="53"/>
      <c r="C1592" s="53" t="s">
        <v>3190</v>
      </c>
      <c r="D1592" s="53"/>
      <c r="E1592" s="53" t="s">
        <v>3191</v>
      </c>
      <c r="F1592" s="53" t="s">
        <v>3192</v>
      </c>
    </row>
    <row r="1593" spans="1:6">
      <c r="A1593" s="38">
        <v>43514</v>
      </c>
      <c r="B1593" s="61"/>
      <c r="C1593" s="61" t="s">
        <v>3193</v>
      </c>
      <c r="D1593" s="61"/>
      <c r="E1593" s="61" t="s">
        <v>3194</v>
      </c>
      <c r="F1593" s="61" t="s">
        <v>3195</v>
      </c>
    </row>
    <row r="1594" spans="1:6">
      <c r="A1594" s="38">
        <v>44075</v>
      </c>
      <c r="B1594" s="53"/>
      <c r="C1594" s="53" t="s">
        <v>3196</v>
      </c>
      <c r="D1594" s="53"/>
      <c r="E1594" s="53" t="s">
        <v>3197</v>
      </c>
      <c r="F1594" s="53" t="s">
        <v>3198</v>
      </c>
    </row>
    <row r="1595" spans="1:6">
      <c r="A1595" s="38">
        <v>43344</v>
      </c>
      <c r="B1595" s="53"/>
      <c r="C1595" s="53" t="s">
        <v>3199</v>
      </c>
      <c r="D1595" s="53"/>
      <c r="E1595" s="53" t="s">
        <v>3200</v>
      </c>
      <c r="F1595" s="53" t="s">
        <v>3201</v>
      </c>
    </row>
    <row r="1596" spans="1:6">
      <c r="A1596" s="38">
        <v>43344</v>
      </c>
      <c r="B1596" s="53"/>
      <c r="C1596" s="53" t="s">
        <v>3202</v>
      </c>
      <c r="D1596" s="53"/>
      <c r="E1596" s="53" t="s">
        <v>3203</v>
      </c>
      <c r="F1596" s="53" t="s">
        <v>3204</v>
      </c>
    </row>
    <row r="1597" spans="1:6">
      <c r="A1597" s="38">
        <v>43516</v>
      </c>
      <c r="B1597" s="87"/>
      <c r="C1597" s="87" t="s">
        <v>3205</v>
      </c>
      <c r="D1597" s="87"/>
      <c r="E1597" s="87" t="s">
        <v>3206</v>
      </c>
      <c r="F1597" s="87" t="s">
        <v>3207</v>
      </c>
    </row>
    <row r="1598" spans="1:6">
      <c r="A1598" s="38">
        <v>44132</v>
      </c>
      <c r="B1598" s="88"/>
      <c r="C1598" s="88" t="s">
        <v>3208</v>
      </c>
      <c r="D1598" s="88"/>
      <c r="E1598" s="88" t="s">
        <v>3209</v>
      </c>
      <c r="F1598" s="88" t="s">
        <v>3210</v>
      </c>
    </row>
    <row r="1599" spans="1:6">
      <c r="A1599" s="39">
        <v>44199</v>
      </c>
      <c r="B1599" s="27"/>
      <c r="C1599" s="27" t="s">
        <v>4679</v>
      </c>
      <c r="D1599" s="27"/>
      <c r="E1599" s="27" t="s">
        <v>4908</v>
      </c>
      <c r="F1599" s="27" t="s">
        <v>4909</v>
      </c>
    </row>
    <row r="1600" spans="1:6">
      <c r="A1600" s="38">
        <v>44133</v>
      </c>
      <c r="B1600" s="87"/>
      <c r="C1600" s="88" t="s">
        <v>3211</v>
      </c>
      <c r="D1600" s="88"/>
      <c r="E1600" s="88" t="s">
        <v>3212</v>
      </c>
      <c r="F1600" s="88" t="s">
        <v>3213</v>
      </c>
    </row>
    <row r="1601" spans="1:6">
      <c r="A1601" s="38">
        <v>44480</v>
      </c>
      <c r="B1601" s="88"/>
      <c r="C1601" s="34" t="s">
        <v>5729</v>
      </c>
      <c r="D1601" s="34"/>
      <c r="E1601" s="34" t="s">
        <v>5728</v>
      </c>
      <c r="F1601" s="34" t="s">
        <v>5727</v>
      </c>
    </row>
    <row r="1602" spans="1:6">
      <c r="A1602" s="39">
        <v>44199</v>
      </c>
      <c r="B1602" s="27"/>
      <c r="C1602" s="27" t="s">
        <v>4680</v>
      </c>
      <c r="D1602" s="27"/>
      <c r="E1602" s="27" t="s">
        <v>4910</v>
      </c>
      <c r="F1602" s="27" t="s">
        <v>4911</v>
      </c>
    </row>
    <row r="1603" spans="1:6">
      <c r="A1603" s="39">
        <v>44301</v>
      </c>
      <c r="B1603" s="27">
        <v>2</v>
      </c>
      <c r="C1603" s="27" t="s">
        <v>4680</v>
      </c>
      <c r="D1603" s="27"/>
      <c r="E1603" s="27" t="s">
        <v>4910</v>
      </c>
      <c r="F1603" s="27" t="s">
        <v>4911</v>
      </c>
    </row>
    <row r="1604" spans="1:6">
      <c r="A1604" s="38">
        <v>43524</v>
      </c>
      <c r="B1604" s="53"/>
      <c r="C1604" s="53" t="s">
        <v>3214</v>
      </c>
      <c r="D1604" s="53"/>
      <c r="E1604" s="53" t="s">
        <v>3214</v>
      </c>
      <c r="F1604" s="53" t="s">
        <v>3215</v>
      </c>
    </row>
    <row r="1605" spans="1:6">
      <c r="A1605" s="38">
        <v>43868</v>
      </c>
      <c r="B1605" s="53"/>
      <c r="C1605" s="53" t="s">
        <v>3216</v>
      </c>
      <c r="D1605" s="53"/>
      <c r="E1605" s="53" t="s">
        <v>3217</v>
      </c>
      <c r="F1605" s="53" t="s">
        <v>3218</v>
      </c>
    </row>
    <row r="1606" spans="1:6">
      <c r="A1606" s="38">
        <v>44060</v>
      </c>
      <c r="B1606" s="79"/>
      <c r="C1606" s="79" t="s">
        <v>3219</v>
      </c>
      <c r="D1606" s="79"/>
      <c r="E1606" s="79" t="s">
        <v>3220</v>
      </c>
      <c r="F1606" s="79" t="s">
        <v>3221</v>
      </c>
    </row>
    <row r="1607" spans="1:6">
      <c r="A1607" s="38">
        <v>43868</v>
      </c>
      <c r="B1607" s="53"/>
      <c r="C1607" s="53" t="s">
        <v>3222</v>
      </c>
      <c r="D1607" s="53"/>
      <c r="E1607" s="53" t="s">
        <v>3223</v>
      </c>
      <c r="F1607" s="53" t="s">
        <v>3224</v>
      </c>
    </row>
    <row r="1608" spans="1:6">
      <c r="A1608" s="38">
        <v>43741</v>
      </c>
      <c r="B1608" s="53"/>
      <c r="C1608" s="53" t="s">
        <v>3225</v>
      </c>
      <c r="D1608" s="53"/>
      <c r="E1608" s="53" t="s">
        <v>3226</v>
      </c>
      <c r="F1608" s="53" t="s">
        <v>3227</v>
      </c>
    </row>
    <row r="1609" spans="1:6">
      <c r="B1609" s="79"/>
      <c r="C1609" s="79" t="s">
        <v>3228</v>
      </c>
      <c r="D1609" s="79"/>
      <c r="E1609" s="79" t="s">
        <v>3229</v>
      </c>
      <c r="F1609" s="79" t="s">
        <v>3230</v>
      </c>
    </row>
    <row r="1610" spans="1:6">
      <c r="A1610" s="38">
        <v>43523</v>
      </c>
      <c r="B1610" s="53"/>
      <c r="C1610" s="53" t="s">
        <v>3231</v>
      </c>
      <c r="D1610" s="53"/>
      <c r="E1610" s="53" t="s">
        <v>3232</v>
      </c>
      <c r="F1610" s="53" t="s">
        <v>3233</v>
      </c>
    </row>
    <row r="1611" spans="1:6">
      <c r="A1611" s="38">
        <v>43467</v>
      </c>
      <c r="B1611" s="53"/>
      <c r="C1611" s="53" t="s">
        <v>3234</v>
      </c>
      <c r="D1611" s="53"/>
      <c r="E1611" s="53" t="s">
        <v>3235</v>
      </c>
      <c r="F1611" s="53" t="s">
        <v>3236</v>
      </c>
    </row>
    <row r="1612" spans="1:6">
      <c r="A1612" s="38">
        <v>44007</v>
      </c>
      <c r="B1612" s="53"/>
      <c r="C1612" s="53" t="s">
        <v>3237</v>
      </c>
      <c r="D1612" s="53"/>
      <c r="E1612" s="53" t="s">
        <v>3238</v>
      </c>
      <c r="F1612" s="53" t="s">
        <v>3239</v>
      </c>
    </row>
    <row r="1613" spans="1:6">
      <c r="A1613" s="38">
        <v>44089</v>
      </c>
      <c r="B1613" s="79"/>
      <c r="C1613" s="79" t="s">
        <v>3240</v>
      </c>
      <c r="D1613" s="79"/>
      <c r="E1613" s="79" t="s">
        <v>3241</v>
      </c>
      <c r="F1613" s="79" t="s">
        <v>3242</v>
      </c>
    </row>
    <row r="1614" spans="1:6">
      <c r="A1614" s="38">
        <v>43592</v>
      </c>
      <c r="B1614" s="53"/>
      <c r="C1614" s="53" t="s">
        <v>3243</v>
      </c>
      <c r="D1614" s="53"/>
      <c r="E1614" s="53" t="s">
        <v>2703</v>
      </c>
      <c r="F1614" s="53" t="s">
        <v>2704</v>
      </c>
    </row>
    <row r="1615" spans="1:6">
      <c r="A1615" s="38">
        <v>43469</v>
      </c>
      <c r="B1615" s="53"/>
      <c r="C1615" s="53" t="s">
        <v>3244</v>
      </c>
      <c r="D1615" s="53"/>
      <c r="E1615" s="53" t="s">
        <v>3245</v>
      </c>
      <c r="F1615" s="53" t="s">
        <v>3246</v>
      </c>
    </row>
    <row r="1616" spans="1:6">
      <c r="A1616" s="38">
        <v>43462</v>
      </c>
      <c r="B1616" s="53"/>
      <c r="C1616" s="53" t="s">
        <v>3247</v>
      </c>
      <c r="D1616" s="53"/>
      <c r="E1616" s="53" t="s">
        <v>3248</v>
      </c>
      <c r="F1616" s="53" t="s">
        <v>3249</v>
      </c>
    </row>
    <row r="1617" spans="1:6">
      <c r="A1617" s="38">
        <v>44055</v>
      </c>
      <c r="B1617" s="53"/>
      <c r="C1617" s="53" t="s">
        <v>3250</v>
      </c>
      <c r="D1617" s="53"/>
      <c r="E1617" s="53" t="s">
        <v>3251</v>
      </c>
      <c r="F1617" s="53" t="s">
        <v>3252</v>
      </c>
    </row>
    <row r="1618" spans="1:6">
      <c r="A1618" s="38">
        <v>44060</v>
      </c>
      <c r="B1618" s="78"/>
      <c r="C1618" s="78" t="s">
        <v>3253</v>
      </c>
      <c r="D1618" s="78"/>
      <c r="E1618" s="78" t="s">
        <v>3254</v>
      </c>
      <c r="F1618" s="78" t="s">
        <v>3255</v>
      </c>
    </row>
    <row r="1619" spans="1:6">
      <c r="A1619" s="38">
        <v>44039</v>
      </c>
      <c r="B1619" s="79"/>
      <c r="C1619" s="79" t="s">
        <v>3256</v>
      </c>
      <c r="D1619" s="79"/>
      <c r="E1619" s="79" t="s">
        <v>3257</v>
      </c>
      <c r="F1619" s="79" t="s">
        <v>3258</v>
      </c>
    </row>
    <row r="1620" spans="1:6">
      <c r="A1620" s="38">
        <v>44172</v>
      </c>
      <c r="B1620" s="79"/>
      <c r="C1620" s="79" t="s">
        <v>3259</v>
      </c>
      <c r="D1620" s="79" t="s">
        <v>3260</v>
      </c>
      <c r="E1620" s="79" t="s">
        <v>3261</v>
      </c>
      <c r="F1620" s="79" t="s">
        <v>3262</v>
      </c>
    </row>
    <row r="1621" spans="1:6">
      <c r="A1621" s="38">
        <v>43384</v>
      </c>
      <c r="B1621" s="79"/>
      <c r="C1621" s="79" t="s">
        <v>3263</v>
      </c>
      <c r="D1621" s="79" t="s">
        <v>3264</v>
      </c>
      <c r="E1621" s="79" t="s">
        <v>3265</v>
      </c>
      <c r="F1621" s="79" t="s">
        <v>3266</v>
      </c>
    </row>
    <row r="1622" spans="1:6">
      <c r="B1622" s="79"/>
      <c r="C1622" s="79" t="s">
        <v>3267</v>
      </c>
      <c r="D1622" s="79"/>
      <c r="E1622" s="79" t="s">
        <v>3268</v>
      </c>
      <c r="F1622" s="79" t="s">
        <v>3269</v>
      </c>
    </row>
    <row r="1623" spans="1:6">
      <c r="A1623" s="38">
        <v>44091</v>
      </c>
      <c r="B1623" s="53"/>
      <c r="C1623" s="53" t="s">
        <v>3270</v>
      </c>
      <c r="D1623" s="53"/>
      <c r="E1623" s="53" t="s">
        <v>3271</v>
      </c>
      <c r="F1623" s="53" t="s">
        <v>3272</v>
      </c>
    </row>
    <row r="1624" spans="1:6">
      <c r="A1624" s="38">
        <v>44091</v>
      </c>
      <c r="B1624" s="53"/>
      <c r="C1624" s="53" t="s">
        <v>3273</v>
      </c>
      <c r="D1624" s="53"/>
      <c r="E1624" s="53" t="s">
        <v>3274</v>
      </c>
      <c r="F1624" s="53" t="s">
        <v>3275</v>
      </c>
    </row>
    <row r="1625" spans="1:6">
      <c r="A1625" s="38">
        <v>44091</v>
      </c>
      <c r="B1625" s="53"/>
      <c r="C1625" s="53" t="s">
        <v>3276</v>
      </c>
      <c r="D1625" s="53"/>
      <c r="E1625" s="53" t="s">
        <v>3277</v>
      </c>
      <c r="F1625" s="53" t="s">
        <v>3278</v>
      </c>
    </row>
    <row r="1626" spans="1:6">
      <c r="A1626" s="38">
        <v>43393</v>
      </c>
      <c r="B1626" s="53"/>
      <c r="C1626" s="53" t="s">
        <v>3279</v>
      </c>
      <c r="D1626" s="53" t="s">
        <v>3280</v>
      </c>
      <c r="E1626" s="53" t="s">
        <v>3281</v>
      </c>
      <c r="F1626" s="53" t="s">
        <v>3282</v>
      </c>
    </row>
    <row r="1627" spans="1:6">
      <c r="A1627" s="38">
        <v>44091</v>
      </c>
      <c r="B1627" s="53"/>
      <c r="C1627" s="53" t="s">
        <v>3283</v>
      </c>
      <c r="D1627" s="53"/>
      <c r="E1627" s="53" t="s">
        <v>3284</v>
      </c>
      <c r="F1627" s="53" t="s">
        <v>3285</v>
      </c>
    </row>
    <row r="1628" spans="1:6">
      <c r="A1628" s="38">
        <v>44091</v>
      </c>
      <c r="B1628" s="79"/>
      <c r="C1628" s="79" t="s">
        <v>3286</v>
      </c>
      <c r="D1628" s="79"/>
      <c r="E1628" s="79" t="s">
        <v>3287</v>
      </c>
      <c r="F1628" s="79" t="s">
        <v>3288</v>
      </c>
    </row>
    <row r="1629" spans="1:6">
      <c r="A1629" s="38">
        <v>43721</v>
      </c>
      <c r="B1629" s="53"/>
      <c r="C1629" s="53" t="s">
        <v>3289</v>
      </c>
      <c r="D1629" s="53"/>
      <c r="E1629" s="53" t="s">
        <v>3290</v>
      </c>
      <c r="F1629" s="53" t="s">
        <v>3291</v>
      </c>
    </row>
    <row r="1630" spans="1:6">
      <c r="A1630" s="38">
        <v>44007</v>
      </c>
      <c r="B1630" s="53"/>
      <c r="C1630" s="53" t="s">
        <v>3292</v>
      </c>
      <c r="D1630" s="53"/>
      <c r="E1630" s="53" t="s">
        <v>3293</v>
      </c>
      <c r="F1630" s="53" t="s">
        <v>3294</v>
      </c>
    </row>
    <row r="1631" spans="1:6">
      <c r="A1631" s="38">
        <v>43437</v>
      </c>
      <c r="B1631" s="53"/>
      <c r="C1631" s="53" t="s">
        <v>3295</v>
      </c>
      <c r="D1631" s="53"/>
      <c r="E1631" s="53" t="s">
        <v>3296</v>
      </c>
      <c r="F1631" s="53" t="s">
        <v>3297</v>
      </c>
    </row>
    <row r="1632" spans="1:6">
      <c r="A1632" s="38">
        <v>43608</v>
      </c>
      <c r="B1632" s="79"/>
      <c r="C1632" s="79" t="s">
        <v>3298</v>
      </c>
      <c r="D1632" s="79"/>
      <c r="E1632" s="79" t="s">
        <v>3299</v>
      </c>
      <c r="F1632" s="79" t="s">
        <v>3300</v>
      </c>
    </row>
    <row r="1633" spans="1:6">
      <c r="A1633" s="38">
        <v>44083</v>
      </c>
      <c r="B1633" s="87"/>
      <c r="C1633" s="87" t="s">
        <v>3301</v>
      </c>
      <c r="D1633" s="87"/>
      <c r="E1633" s="87" t="s">
        <v>3302</v>
      </c>
      <c r="F1633" s="87" t="s">
        <v>3303</v>
      </c>
    </row>
    <row r="1634" spans="1:6">
      <c r="A1634" s="38">
        <v>44028</v>
      </c>
      <c r="B1634" s="88"/>
      <c r="C1634" s="88" t="s">
        <v>3304</v>
      </c>
      <c r="D1634" s="88"/>
      <c r="E1634" s="88" t="s">
        <v>3305</v>
      </c>
      <c r="F1634" s="88" t="s">
        <v>3306</v>
      </c>
    </row>
    <row r="1635" spans="1:6">
      <c r="A1635" s="39">
        <v>44236</v>
      </c>
      <c r="B1635" s="27"/>
      <c r="C1635" s="27" t="s">
        <v>5526</v>
      </c>
      <c r="D1635" s="27"/>
      <c r="E1635" s="27" t="s">
        <v>5527</v>
      </c>
      <c r="F1635" s="27" t="s">
        <v>3297</v>
      </c>
    </row>
    <row r="1636" spans="1:6">
      <c r="A1636" s="38">
        <v>43860</v>
      </c>
      <c r="B1636" s="27"/>
      <c r="C1636" s="27" t="s">
        <v>3307</v>
      </c>
      <c r="D1636" s="27"/>
      <c r="E1636" s="27" t="s">
        <v>3307</v>
      </c>
      <c r="F1636" s="27" t="s">
        <v>4912</v>
      </c>
    </row>
    <row r="1637" spans="1:6">
      <c r="A1637" s="38">
        <v>43760</v>
      </c>
      <c r="B1637" s="79"/>
      <c r="C1637" s="79" t="s">
        <v>3308</v>
      </c>
      <c r="D1637" s="79"/>
      <c r="E1637" s="53" t="s">
        <v>3309</v>
      </c>
      <c r="F1637" s="79" t="s">
        <v>3310</v>
      </c>
    </row>
    <row r="1638" spans="1:6">
      <c r="A1638" s="38">
        <v>43864</v>
      </c>
      <c r="B1638" s="79"/>
      <c r="C1638" s="79" t="s">
        <v>3311</v>
      </c>
      <c r="D1638" s="79"/>
      <c r="E1638" s="79" t="s">
        <v>2223</v>
      </c>
      <c r="F1638" s="79" t="s">
        <v>2224</v>
      </c>
    </row>
    <row r="1639" spans="1:6">
      <c r="A1639" s="38">
        <v>43868</v>
      </c>
      <c r="B1639" s="53"/>
      <c r="C1639" s="53" t="s">
        <v>3312</v>
      </c>
      <c r="D1639" s="53"/>
      <c r="E1639" s="53" t="s">
        <v>3313</v>
      </c>
      <c r="F1639" s="53" t="s">
        <v>3314</v>
      </c>
    </row>
    <row r="1640" spans="1:6">
      <c r="A1640" s="38">
        <v>43886</v>
      </c>
      <c r="B1640" s="78"/>
      <c r="C1640" s="78" t="s">
        <v>3315</v>
      </c>
      <c r="D1640" s="78"/>
      <c r="E1640" s="78" t="s">
        <v>3316</v>
      </c>
      <c r="F1640" s="78" t="s">
        <v>3317</v>
      </c>
    </row>
    <row r="1641" spans="1:6">
      <c r="A1641" s="38">
        <v>44000</v>
      </c>
      <c r="B1641" s="79"/>
      <c r="C1641" s="79" t="s">
        <v>3319</v>
      </c>
      <c r="D1641" s="79"/>
      <c r="E1641" s="79" t="s">
        <v>3320</v>
      </c>
      <c r="F1641" s="79" t="s">
        <v>3321</v>
      </c>
    </row>
    <row r="1642" spans="1:6">
      <c r="A1642" s="38">
        <v>44111</v>
      </c>
      <c r="B1642" s="79"/>
      <c r="C1642" s="79" t="s">
        <v>3322</v>
      </c>
      <c r="D1642" s="79"/>
      <c r="E1642" s="79" t="s">
        <v>3323</v>
      </c>
      <c r="F1642" s="79" t="s">
        <v>3324</v>
      </c>
    </row>
    <row r="1643" spans="1:6">
      <c r="A1643" s="38">
        <v>43472</v>
      </c>
      <c r="B1643" s="78"/>
      <c r="C1643" s="78" t="s">
        <v>3325</v>
      </c>
      <c r="D1643" s="78"/>
      <c r="E1643" s="78" t="s">
        <v>3326</v>
      </c>
      <c r="F1643" s="78" t="s">
        <v>3327</v>
      </c>
    </row>
    <row r="1644" spans="1:6">
      <c r="A1644" s="38">
        <v>43461</v>
      </c>
      <c r="B1644" s="79"/>
      <c r="C1644" s="79" t="s">
        <v>3328</v>
      </c>
      <c r="D1644" s="79"/>
      <c r="E1644" s="79" t="s">
        <v>3329</v>
      </c>
      <c r="F1644" s="79" t="s">
        <v>3330</v>
      </c>
    </row>
    <row r="1645" spans="1:6">
      <c r="A1645" s="38">
        <v>43461</v>
      </c>
      <c r="B1645" s="61"/>
      <c r="C1645" s="61" t="s">
        <v>3331</v>
      </c>
      <c r="D1645" s="61"/>
      <c r="E1645" s="61" t="s">
        <v>3332</v>
      </c>
      <c r="F1645" s="61" t="s">
        <v>3333</v>
      </c>
    </row>
    <row r="1646" spans="1:6">
      <c r="A1646" s="38">
        <v>44069</v>
      </c>
      <c r="B1646" s="61"/>
      <c r="C1646" s="61" t="s">
        <v>3334</v>
      </c>
      <c r="D1646" s="61"/>
      <c r="E1646" s="61" t="s">
        <v>3335</v>
      </c>
      <c r="F1646" s="61" t="s">
        <v>3336</v>
      </c>
    </row>
    <row r="1647" spans="1:6">
      <c r="A1647" s="38">
        <v>43461</v>
      </c>
      <c r="B1647" s="87"/>
      <c r="C1647" s="87" t="s">
        <v>3337</v>
      </c>
      <c r="D1647" s="87"/>
      <c r="E1647" s="87" t="s">
        <v>3338</v>
      </c>
      <c r="F1647" s="87" t="s">
        <v>3339</v>
      </c>
    </row>
    <row r="1648" spans="1:6">
      <c r="A1648" s="38">
        <v>44006</v>
      </c>
      <c r="B1648" s="88"/>
      <c r="C1648" s="88" t="s">
        <v>3340</v>
      </c>
      <c r="D1648" s="88"/>
      <c r="E1648" s="88" t="s">
        <v>3341</v>
      </c>
      <c r="F1648" s="88" t="s">
        <v>3342</v>
      </c>
    </row>
    <row r="1649" spans="1:6">
      <c r="A1649" s="39">
        <v>44510</v>
      </c>
      <c r="B1649" s="27"/>
      <c r="C1649" s="27" t="s">
        <v>5910</v>
      </c>
      <c r="D1649" s="27"/>
      <c r="E1649" s="27" t="s">
        <v>5911</v>
      </c>
      <c r="F1649" s="54" t="s">
        <v>5912</v>
      </c>
    </row>
    <row r="1650" spans="1:6">
      <c r="A1650" s="38">
        <v>43991</v>
      </c>
      <c r="B1650" s="79"/>
      <c r="C1650" s="79" t="s">
        <v>3343</v>
      </c>
      <c r="D1650" s="79"/>
      <c r="E1650" s="79" t="s">
        <v>3344</v>
      </c>
      <c r="F1650" s="79" t="s">
        <v>3345</v>
      </c>
    </row>
    <row r="1651" spans="1:6">
      <c r="A1651" s="38">
        <v>43725</v>
      </c>
      <c r="B1651" s="53"/>
      <c r="C1651" s="53" t="s">
        <v>3346</v>
      </c>
      <c r="D1651" s="53"/>
      <c r="E1651" s="53" t="s">
        <v>3347</v>
      </c>
      <c r="F1651" s="53" t="s">
        <v>3348</v>
      </c>
    </row>
    <row r="1652" spans="1:6">
      <c r="A1652" s="38">
        <v>43725</v>
      </c>
      <c r="B1652" s="78"/>
      <c r="C1652" s="78" t="s">
        <v>3349</v>
      </c>
      <c r="D1652" s="78"/>
      <c r="E1652" s="78" t="s">
        <v>3350</v>
      </c>
      <c r="F1652" s="78" t="s">
        <v>3351</v>
      </c>
    </row>
    <row r="1653" spans="1:6">
      <c r="A1653" s="38">
        <v>43725</v>
      </c>
      <c r="B1653" s="79"/>
      <c r="C1653" s="79" t="s">
        <v>3352</v>
      </c>
      <c r="D1653" s="79"/>
      <c r="E1653" s="79" t="s">
        <v>3353</v>
      </c>
      <c r="F1653" s="79" t="s">
        <v>3354</v>
      </c>
    </row>
    <row r="1654" spans="1:6">
      <c r="A1654" s="38">
        <v>43725</v>
      </c>
      <c r="B1654" s="79"/>
      <c r="C1654" s="79" t="s">
        <v>3355</v>
      </c>
      <c r="D1654" s="79"/>
      <c r="E1654" s="79" t="s">
        <v>3356</v>
      </c>
      <c r="F1654" s="79" t="s">
        <v>3357</v>
      </c>
    </row>
    <row r="1655" spans="1:6">
      <c r="A1655" s="38">
        <v>43725</v>
      </c>
      <c r="B1655" s="87"/>
      <c r="C1655" s="87" t="s">
        <v>3358</v>
      </c>
      <c r="D1655" s="87"/>
      <c r="E1655" s="87" t="s">
        <v>3359</v>
      </c>
      <c r="F1655" s="87" t="s">
        <v>3351</v>
      </c>
    </row>
    <row r="1656" spans="1:6">
      <c r="A1656" s="38">
        <v>43725</v>
      </c>
      <c r="B1656" s="88"/>
      <c r="C1656" s="88" t="s">
        <v>3360</v>
      </c>
      <c r="D1656" s="88"/>
      <c r="E1656" s="88" t="s">
        <v>3361</v>
      </c>
      <c r="F1656" s="88" t="s">
        <v>3362</v>
      </c>
    </row>
    <row r="1657" spans="1:6">
      <c r="A1657" s="39">
        <v>44199</v>
      </c>
      <c r="B1657" s="27"/>
      <c r="C1657" s="27" t="s">
        <v>4681</v>
      </c>
      <c r="D1657" s="27"/>
      <c r="E1657" s="27" t="s">
        <v>4913</v>
      </c>
      <c r="F1657" s="27" t="s">
        <v>4914</v>
      </c>
    </row>
    <row r="1658" spans="1:6">
      <c r="A1658" s="39">
        <v>44199</v>
      </c>
      <c r="B1658" s="27"/>
      <c r="C1658" s="27" t="s">
        <v>4682</v>
      </c>
      <c r="D1658" s="27"/>
      <c r="E1658" s="27" t="s">
        <v>4915</v>
      </c>
      <c r="F1658" s="27" t="s">
        <v>4916</v>
      </c>
    </row>
    <row r="1659" spans="1:6">
      <c r="A1659" s="38">
        <v>43899</v>
      </c>
      <c r="B1659" s="88"/>
      <c r="C1659" s="88" t="s">
        <v>3363</v>
      </c>
      <c r="D1659" s="88"/>
      <c r="E1659" s="88" t="s">
        <v>3364</v>
      </c>
      <c r="F1659" s="88" t="s">
        <v>3365</v>
      </c>
    </row>
    <row r="1660" spans="1:6">
      <c r="A1660" s="39">
        <v>44510</v>
      </c>
      <c r="B1660" s="27"/>
      <c r="C1660" s="27" t="s">
        <v>5907</v>
      </c>
      <c r="D1660" s="27"/>
      <c r="E1660" s="27" t="s">
        <v>5908</v>
      </c>
      <c r="F1660" s="27" t="s">
        <v>5909</v>
      </c>
    </row>
    <row r="1661" spans="1:6">
      <c r="A1661" s="38">
        <v>43840</v>
      </c>
      <c r="B1661" s="78"/>
      <c r="C1661" s="78" t="s">
        <v>3366</v>
      </c>
      <c r="D1661" s="78"/>
      <c r="E1661" s="78" t="s">
        <v>3367</v>
      </c>
      <c r="F1661" s="78" t="s">
        <v>3368</v>
      </c>
    </row>
    <row r="1662" spans="1:6">
      <c r="A1662" s="38">
        <v>44054</v>
      </c>
      <c r="B1662" s="79"/>
      <c r="C1662" s="79" t="s">
        <v>3369</v>
      </c>
      <c r="D1662" s="79"/>
      <c r="E1662" s="79" t="s">
        <v>880</v>
      </c>
      <c r="F1662" s="79" t="s">
        <v>881</v>
      </c>
    </row>
    <row r="1663" spans="1:6">
      <c r="A1663" s="38">
        <v>43756</v>
      </c>
      <c r="B1663" s="79"/>
      <c r="C1663" s="79" t="s">
        <v>3370</v>
      </c>
      <c r="D1663" s="79"/>
      <c r="E1663" s="79" t="s">
        <v>3371</v>
      </c>
      <c r="F1663" s="79" t="s">
        <v>3372</v>
      </c>
    </row>
    <row r="1664" spans="1:6">
      <c r="A1664" s="38">
        <v>43725</v>
      </c>
      <c r="B1664" s="61"/>
      <c r="C1664" s="61" t="s">
        <v>3373</v>
      </c>
      <c r="D1664" s="61"/>
      <c r="E1664" s="61" t="s">
        <v>3374</v>
      </c>
      <c r="F1664" s="61" t="s">
        <v>3375</v>
      </c>
    </row>
    <row r="1665" spans="1:6">
      <c r="A1665" s="38">
        <v>43725</v>
      </c>
      <c r="B1665" s="79"/>
      <c r="C1665" s="79" t="s">
        <v>3376</v>
      </c>
      <c r="D1665" s="79"/>
      <c r="E1665" s="79" t="s">
        <v>3377</v>
      </c>
      <c r="F1665" s="79" t="s">
        <v>3378</v>
      </c>
    </row>
    <row r="1666" spans="1:6">
      <c r="A1666" s="38">
        <v>43724</v>
      </c>
      <c r="B1666" s="53"/>
      <c r="C1666" s="53" t="s">
        <v>3379</v>
      </c>
      <c r="D1666" s="53"/>
      <c r="E1666" s="53" t="s">
        <v>3379</v>
      </c>
      <c r="F1666" s="53" t="s">
        <v>3380</v>
      </c>
    </row>
    <row r="1667" spans="1:6" s="52" customFormat="1">
      <c r="A1667" s="38">
        <v>43725</v>
      </c>
      <c r="B1667" s="87"/>
      <c r="C1667" s="87" t="s">
        <v>3381</v>
      </c>
      <c r="D1667" s="87"/>
      <c r="E1667" s="87" t="s">
        <v>3382</v>
      </c>
      <c r="F1667" s="87" t="s">
        <v>3383</v>
      </c>
    </row>
    <row r="1668" spans="1:6" s="52" customFormat="1">
      <c r="A1668" s="38">
        <v>44145</v>
      </c>
      <c r="B1668" s="88"/>
      <c r="C1668" s="88" t="s">
        <v>3384</v>
      </c>
      <c r="D1668" s="88"/>
      <c r="E1668" s="88" t="s">
        <v>3385</v>
      </c>
      <c r="F1668" s="88" t="s">
        <v>3386</v>
      </c>
    </row>
    <row r="1669" spans="1:6">
      <c r="A1669" s="39">
        <v>44199</v>
      </c>
      <c r="B1669" s="27"/>
      <c r="C1669" s="27" t="s">
        <v>4683</v>
      </c>
      <c r="D1669" s="27"/>
      <c r="E1669" s="27" t="s">
        <v>4683</v>
      </c>
      <c r="F1669" s="27" t="s">
        <v>4917</v>
      </c>
    </row>
    <row r="1670" spans="1:6">
      <c r="A1670" s="38">
        <v>44053</v>
      </c>
      <c r="B1670" s="88"/>
      <c r="C1670" s="88" t="s">
        <v>3387</v>
      </c>
      <c r="D1670" s="88"/>
      <c r="E1670" s="88" t="s">
        <v>3388</v>
      </c>
      <c r="F1670" s="88" t="s">
        <v>3389</v>
      </c>
    </row>
    <row r="1671" spans="1:6">
      <c r="A1671" s="39">
        <v>44510</v>
      </c>
      <c r="B1671" s="27"/>
      <c r="C1671" s="57" t="s">
        <v>5800</v>
      </c>
      <c r="D1671" s="27"/>
      <c r="E1671" s="27" t="s">
        <v>6091</v>
      </c>
      <c r="F1671" s="27" t="s">
        <v>6092</v>
      </c>
    </row>
    <row r="1672" spans="1:6">
      <c r="B1672" s="79"/>
      <c r="C1672" s="79" t="s">
        <v>3390</v>
      </c>
      <c r="D1672" s="79"/>
      <c r="E1672" s="79" t="s">
        <v>3391</v>
      </c>
      <c r="F1672" s="79" t="s">
        <v>1288</v>
      </c>
    </row>
    <row r="1673" spans="1:6">
      <c r="A1673" s="38">
        <v>43634</v>
      </c>
      <c r="B1673" s="79"/>
      <c r="C1673" s="79" t="s">
        <v>3392</v>
      </c>
      <c r="D1673" s="79"/>
      <c r="E1673" s="79" t="s">
        <v>3393</v>
      </c>
      <c r="F1673" s="79" t="s">
        <v>3394</v>
      </c>
    </row>
    <row r="1674" spans="1:6">
      <c r="A1674" s="38">
        <v>43384</v>
      </c>
      <c r="B1674" s="87"/>
      <c r="C1674" s="87" t="s">
        <v>3395</v>
      </c>
      <c r="D1674" s="87"/>
      <c r="E1674" s="87" t="s">
        <v>3396</v>
      </c>
      <c r="F1674" s="87" t="s">
        <v>3397</v>
      </c>
    </row>
    <row r="1675" spans="1:6">
      <c r="A1675" s="38">
        <v>43725</v>
      </c>
      <c r="B1675" s="88"/>
      <c r="C1675" s="88" t="s">
        <v>3398</v>
      </c>
      <c r="D1675" s="88"/>
      <c r="E1675" s="88" t="s">
        <v>3399</v>
      </c>
      <c r="F1675" s="88" t="s">
        <v>3400</v>
      </c>
    </row>
    <row r="1676" spans="1:6">
      <c r="A1676" s="39">
        <v>44512</v>
      </c>
      <c r="B1676" s="27"/>
      <c r="C1676" s="27" t="s">
        <v>5993</v>
      </c>
      <c r="D1676" s="27"/>
      <c r="E1676" s="55" t="s">
        <v>6177</v>
      </c>
      <c r="F1676" s="54" t="s">
        <v>5994</v>
      </c>
    </row>
    <row r="1677" spans="1:6">
      <c r="A1677" s="38">
        <v>43860</v>
      </c>
      <c r="B1677" s="88"/>
      <c r="C1677" s="88" t="s">
        <v>3401</v>
      </c>
      <c r="D1677" s="88"/>
      <c r="E1677" s="88" t="s">
        <v>3402</v>
      </c>
      <c r="F1677" s="88" t="s">
        <v>3403</v>
      </c>
    </row>
    <row r="1678" spans="1:6">
      <c r="A1678" s="39">
        <v>44512</v>
      </c>
      <c r="B1678" s="27"/>
      <c r="C1678" s="27" t="s">
        <v>6060</v>
      </c>
      <c r="D1678" s="27"/>
      <c r="E1678" s="54" t="s">
        <v>6176</v>
      </c>
      <c r="F1678" s="27" t="s">
        <v>6061</v>
      </c>
    </row>
    <row r="1679" spans="1:6">
      <c r="A1679" s="38">
        <v>43356</v>
      </c>
      <c r="B1679" s="78"/>
      <c r="C1679" s="78" t="s">
        <v>3404</v>
      </c>
      <c r="D1679" s="78"/>
      <c r="E1679" s="78" t="s">
        <v>3405</v>
      </c>
      <c r="F1679" s="78" t="s">
        <v>3406</v>
      </c>
    </row>
    <row r="1680" spans="1:6">
      <c r="A1680" s="38">
        <v>44018</v>
      </c>
      <c r="B1680" s="79"/>
      <c r="C1680" s="79" t="s">
        <v>3407</v>
      </c>
      <c r="D1680" s="79"/>
      <c r="E1680" s="79" t="s">
        <v>3408</v>
      </c>
      <c r="F1680" s="79" t="s">
        <v>3409</v>
      </c>
    </row>
    <row r="1681" spans="1:6">
      <c r="A1681" s="38">
        <v>43344</v>
      </c>
      <c r="B1681" s="79"/>
      <c r="C1681" s="79" t="s">
        <v>3410</v>
      </c>
      <c r="D1681" s="79"/>
      <c r="E1681" s="79" t="s">
        <v>3411</v>
      </c>
      <c r="F1681" s="79" t="s">
        <v>3412</v>
      </c>
    </row>
    <row r="1682" spans="1:6">
      <c r="A1682" s="38">
        <v>44082</v>
      </c>
      <c r="B1682" s="61"/>
      <c r="C1682" s="61" t="s">
        <v>3413</v>
      </c>
      <c r="D1682" s="61"/>
      <c r="E1682" s="61" t="s">
        <v>3414</v>
      </c>
      <c r="F1682" s="61" t="s">
        <v>3415</v>
      </c>
    </row>
    <row r="1683" spans="1:6">
      <c r="A1683" s="38">
        <v>44173</v>
      </c>
      <c r="B1683" s="87"/>
      <c r="C1683" s="87" t="s">
        <v>3416</v>
      </c>
      <c r="D1683" s="87"/>
      <c r="E1683" s="87" t="s">
        <v>3417</v>
      </c>
      <c r="F1683" s="87" t="s">
        <v>3418</v>
      </c>
    </row>
    <row r="1684" spans="1:6">
      <c r="A1684" s="38">
        <v>44082</v>
      </c>
      <c r="B1684" s="88"/>
      <c r="C1684" s="88" t="s">
        <v>3419</v>
      </c>
      <c r="D1684" s="88"/>
      <c r="E1684" s="88" t="s">
        <v>3420</v>
      </c>
      <c r="F1684" s="88" t="s">
        <v>3421</v>
      </c>
    </row>
    <row r="1685" spans="1:6">
      <c r="A1685" s="39">
        <v>44512</v>
      </c>
      <c r="B1685" s="27"/>
      <c r="C1685" s="27" t="s">
        <v>6148</v>
      </c>
      <c r="D1685" s="27"/>
      <c r="E1685" s="27" t="s">
        <v>6149</v>
      </c>
      <c r="F1685" s="27" t="s">
        <v>6036</v>
      </c>
    </row>
    <row r="1686" spans="1:6">
      <c r="A1686" s="38">
        <v>43461</v>
      </c>
      <c r="B1686" s="61"/>
      <c r="C1686" s="61" t="s">
        <v>3422</v>
      </c>
      <c r="D1686" s="61"/>
      <c r="E1686" s="61" t="s">
        <v>3423</v>
      </c>
      <c r="F1686" s="61" t="s">
        <v>3424</v>
      </c>
    </row>
    <row r="1687" spans="1:6">
      <c r="A1687" s="38">
        <v>43860</v>
      </c>
      <c r="B1687" s="87"/>
      <c r="C1687" s="87" t="s">
        <v>3425</v>
      </c>
      <c r="D1687" s="87"/>
      <c r="E1687" s="87" t="s">
        <v>3425</v>
      </c>
      <c r="F1687" s="87" t="s">
        <v>3426</v>
      </c>
    </row>
    <row r="1688" spans="1:6">
      <c r="A1688" s="38">
        <v>44173</v>
      </c>
      <c r="B1688" s="88"/>
      <c r="C1688" s="88" t="s">
        <v>3427</v>
      </c>
      <c r="D1688" s="88"/>
      <c r="E1688" s="88" t="s">
        <v>3428</v>
      </c>
      <c r="F1688" s="88" t="s">
        <v>3429</v>
      </c>
    </row>
    <row r="1689" spans="1:6">
      <c r="A1689" s="39">
        <v>44512</v>
      </c>
      <c r="B1689" s="27"/>
      <c r="C1689" s="57" t="s">
        <v>5995</v>
      </c>
      <c r="D1689" s="27"/>
      <c r="E1689" s="27" t="s">
        <v>5996</v>
      </c>
      <c r="F1689" s="27" t="s">
        <v>5997</v>
      </c>
    </row>
    <row r="1690" spans="1:6">
      <c r="A1690" s="38">
        <v>43634</v>
      </c>
      <c r="B1690" s="88"/>
      <c r="C1690" s="88" t="s">
        <v>3430</v>
      </c>
      <c r="D1690" s="88"/>
      <c r="E1690" s="88" t="s">
        <v>3431</v>
      </c>
      <c r="F1690" s="88" t="s">
        <v>3432</v>
      </c>
    </row>
    <row r="1691" spans="1:6">
      <c r="A1691" s="39">
        <v>44200</v>
      </c>
      <c r="B1691" s="27"/>
      <c r="C1691" s="27" t="s">
        <v>5114</v>
      </c>
      <c r="D1691" s="27"/>
      <c r="E1691" s="27" t="s">
        <v>5281</v>
      </c>
      <c r="F1691" s="27" t="s">
        <v>5448</v>
      </c>
    </row>
    <row r="1692" spans="1:6">
      <c r="A1692" s="38">
        <v>43588</v>
      </c>
      <c r="B1692" s="88"/>
      <c r="C1692" s="88" t="s">
        <v>3433</v>
      </c>
      <c r="D1692" s="88"/>
      <c r="E1692" s="88" t="s">
        <v>3434</v>
      </c>
      <c r="F1692" s="88" t="s">
        <v>3435</v>
      </c>
    </row>
    <row r="1693" spans="1:6">
      <c r="A1693" s="39">
        <v>44199</v>
      </c>
      <c r="B1693" s="27"/>
      <c r="C1693" s="27" t="s">
        <v>4684</v>
      </c>
      <c r="D1693" s="27"/>
      <c r="E1693" s="27" t="s">
        <v>4918</v>
      </c>
      <c r="F1693" s="27" t="s">
        <v>4919</v>
      </c>
    </row>
    <row r="1694" spans="1:6">
      <c r="A1694" s="38">
        <v>44060</v>
      </c>
      <c r="B1694" s="87"/>
      <c r="C1694" s="87" t="s">
        <v>3436</v>
      </c>
      <c r="D1694" s="87"/>
      <c r="E1694" s="87" t="s">
        <v>3437</v>
      </c>
      <c r="F1694" s="87" t="s">
        <v>3438</v>
      </c>
    </row>
    <row r="1695" spans="1:6">
      <c r="A1695" s="38">
        <v>44063</v>
      </c>
      <c r="B1695" s="88"/>
      <c r="C1695" s="88" t="s">
        <v>3439</v>
      </c>
      <c r="D1695" s="88"/>
      <c r="E1695" s="88" t="s">
        <v>3440</v>
      </c>
      <c r="F1695" s="88" t="s">
        <v>3441</v>
      </c>
    </row>
    <row r="1696" spans="1:6">
      <c r="A1696" s="39">
        <v>44512</v>
      </c>
      <c r="B1696" s="27"/>
      <c r="C1696" s="27" t="s">
        <v>6039</v>
      </c>
      <c r="D1696" s="27"/>
      <c r="E1696" s="27" t="s">
        <v>6041</v>
      </c>
      <c r="F1696" s="27" t="s">
        <v>6040</v>
      </c>
    </row>
    <row r="1697" spans="1:6">
      <c r="A1697" s="39">
        <v>44510</v>
      </c>
      <c r="B1697" s="27"/>
      <c r="C1697" s="57" t="s">
        <v>6112</v>
      </c>
      <c r="D1697" s="27"/>
      <c r="E1697" s="27" t="s">
        <v>5827</v>
      </c>
      <c r="F1697" s="27" t="s">
        <v>5828</v>
      </c>
    </row>
    <row r="1698" spans="1:6">
      <c r="A1698" s="38">
        <v>44063</v>
      </c>
      <c r="B1698" s="62"/>
      <c r="C1698" s="62" t="s">
        <v>3442</v>
      </c>
      <c r="D1698" s="62"/>
      <c r="E1698" s="62" t="s">
        <v>3443</v>
      </c>
      <c r="F1698" s="62" t="s">
        <v>3444</v>
      </c>
    </row>
    <row r="1699" spans="1:6">
      <c r="A1699" s="38">
        <v>44063</v>
      </c>
      <c r="B1699" s="78"/>
      <c r="C1699" s="78" t="s">
        <v>3445</v>
      </c>
      <c r="D1699" s="78"/>
      <c r="E1699" s="78" t="s">
        <v>3446</v>
      </c>
      <c r="F1699" s="78" t="s">
        <v>3447</v>
      </c>
    </row>
    <row r="1700" spans="1:6">
      <c r="A1700" s="38">
        <v>44054</v>
      </c>
      <c r="B1700" s="79"/>
      <c r="C1700" s="79" t="s">
        <v>3448</v>
      </c>
      <c r="D1700" s="79"/>
      <c r="E1700" s="79" t="s">
        <v>3449</v>
      </c>
      <c r="F1700" s="79" t="s">
        <v>3450</v>
      </c>
    </row>
    <row r="1701" spans="1:6">
      <c r="A1701" s="38">
        <v>43762</v>
      </c>
      <c r="B1701" s="61"/>
      <c r="C1701" s="61" t="s">
        <v>3451</v>
      </c>
      <c r="D1701" s="61"/>
      <c r="E1701" s="61" t="s">
        <v>3452</v>
      </c>
      <c r="F1701" s="61" t="s">
        <v>3453</v>
      </c>
    </row>
    <row r="1702" spans="1:6">
      <c r="A1702" s="38">
        <v>44040</v>
      </c>
      <c r="B1702" s="53"/>
      <c r="C1702" s="53" t="s">
        <v>3454</v>
      </c>
      <c r="D1702" s="53"/>
      <c r="E1702" s="53" t="s">
        <v>3455</v>
      </c>
      <c r="F1702" s="53" t="s">
        <v>3456</v>
      </c>
    </row>
    <row r="1703" spans="1:6">
      <c r="B1703" s="79"/>
      <c r="C1703" s="79" t="s">
        <v>3457</v>
      </c>
      <c r="D1703" s="79"/>
      <c r="E1703" s="79" t="s">
        <v>3458</v>
      </c>
      <c r="F1703" s="79" t="s">
        <v>3459</v>
      </c>
    </row>
    <row r="1704" spans="1:6">
      <c r="A1704" s="38">
        <v>43725</v>
      </c>
      <c r="B1704" s="79"/>
      <c r="C1704" s="79" t="s">
        <v>3143</v>
      </c>
      <c r="D1704" s="79" t="s">
        <v>3460</v>
      </c>
      <c r="E1704" s="79" t="s">
        <v>3461</v>
      </c>
      <c r="F1704" s="79" t="s">
        <v>3462</v>
      </c>
    </row>
    <row r="1705" spans="1:6">
      <c r="A1705" s="38">
        <v>43725</v>
      </c>
      <c r="B1705" s="79"/>
      <c r="C1705" s="79" t="s">
        <v>3463</v>
      </c>
      <c r="D1705" s="79" t="s">
        <v>3464</v>
      </c>
      <c r="E1705" s="79" t="s">
        <v>3465</v>
      </c>
      <c r="F1705" s="79" t="s">
        <v>3466</v>
      </c>
    </row>
    <row r="1706" spans="1:6">
      <c r="A1706" s="38">
        <v>43815</v>
      </c>
      <c r="B1706" s="79"/>
      <c r="C1706" s="79" t="s">
        <v>3467</v>
      </c>
      <c r="D1706" s="79"/>
      <c r="E1706" s="79" t="s">
        <v>3467</v>
      </c>
      <c r="F1706" s="79" t="s">
        <v>3468</v>
      </c>
    </row>
    <row r="1707" spans="1:6">
      <c r="A1707" s="38">
        <v>43887</v>
      </c>
      <c r="B1707" s="79"/>
      <c r="C1707" s="79" t="s">
        <v>3469</v>
      </c>
      <c r="D1707" s="79"/>
      <c r="E1707" s="79" t="s">
        <v>3470</v>
      </c>
      <c r="F1707" s="79" t="s">
        <v>3471</v>
      </c>
    </row>
    <row r="1708" spans="1:6">
      <c r="A1708" s="38">
        <v>43868</v>
      </c>
      <c r="B1708" s="87"/>
      <c r="C1708" s="87" t="s">
        <v>3472</v>
      </c>
      <c r="D1708" s="87"/>
      <c r="E1708" s="87" t="s">
        <v>3473</v>
      </c>
      <c r="F1708" s="87" t="s">
        <v>3474</v>
      </c>
    </row>
    <row r="1709" spans="1:6">
      <c r="A1709" s="38">
        <v>43608</v>
      </c>
      <c r="B1709" s="88"/>
      <c r="C1709" s="88" t="s">
        <v>3475</v>
      </c>
      <c r="D1709" s="88"/>
      <c r="E1709" s="88" t="s">
        <v>3476</v>
      </c>
      <c r="F1709" s="88" t="s">
        <v>3477</v>
      </c>
    </row>
    <row r="1710" spans="1:6">
      <c r="A1710" s="39">
        <v>44236</v>
      </c>
      <c r="B1710" s="27"/>
      <c r="C1710" s="27" t="s">
        <v>5528</v>
      </c>
      <c r="D1710" s="27"/>
      <c r="E1710" s="27" t="s">
        <v>5529</v>
      </c>
      <c r="F1710" s="27" t="s">
        <v>5530</v>
      </c>
    </row>
    <row r="1711" spans="1:6">
      <c r="A1711" s="38">
        <v>44123</v>
      </c>
      <c r="B1711" s="79"/>
      <c r="C1711" s="79" t="s">
        <v>3478</v>
      </c>
      <c r="D1711" s="79"/>
      <c r="E1711" s="79" t="s">
        <v>3479</v>
      </c>
      <c r="F1711" s="79" t="s">
        <v>3480</v>
      </c>
    </row>
    <row r="1712" spans="1:6">
      <c r="A1712" s="38">
        <v>44001</v>
      </c>
      <c r="B1712" s="79"/>
      <c r="C1712" s="79" t="s">
        <v>3481</v>
      </c>
      <c r="D1712" s="79"/>
      <c r="E1712" s="79" t="s">
        <v>3482</v>
      </c>
      <c r="F1712" s="79" t="s">
        <v>3483</v>
      </c>
    </row>
    <row r="1713" spans="1:6">
      <c r="B1713" s="79"/>
      <c r="C1713" s="79" t="s">
        <v>3484</v>
      </c>
      <c r="D1713" s="79" t="s">
        <v>3485</v>
      </c>
      <c r="E1713" s="79" t="s">
        <v>3486</v>
      </c>
      <c r="F1713" s="79" t="s">
        <v>3487</v>
      </c>
    </row>
    <row r="1714" spans="1:6">
      <c r="A1714" s="38">
        <v>43634</v>
      </c>
      <c r="B1714" s="87"/>
      <c r="C1714" s="87" t="s">
        <v>3488</v>
      </c>
      <c r="D1714" s="87"/>
      <c r="E1714" s="87" t="s">
        <v>3488</v>
      </c>
      <c r="F1714" s="87" t="s">
        <v>3489</v>
      </c>
    </row>
    <row r="1715" spans="1:6">
      <c r="A1715" s="38">
        <v>44081</v>
      </c>
      <c r="B1715" s="88"/>
      <c r="C1715" s="88" t="s">
        <v>3490</v>
      </c>
      <c r="D1715" s="88"/>
      <c r="E1715" s="88" t="s">
        <v>3491</v>
      </c>
      <c r="F1715" s="88" t="s">
        <v>3492</v>
      </c>
    </row>
    <row r="1716" spans="1:6">
      <c r="A1716" s="39">
        <v>44512</v>
      </c>
      <c r="B1716" s="27"/>
      <c r="C1716" s="27" t="s">
        <v>6012</v>
      </c>
      <c r="D1716" s="27"/>
      <c r="E1716" s="27" t="s">
        <v>6012</v>
      </c>
      <c r="F1716" s="27" t="s">
        <v>6013</v>
      </c>
    </row>
    <row r="1717" spans="1:6">
      <c r="A1717" s="38">
        <v>43662</v>
      </c>
      <c r="B1717" s="78"/>
      <c r="C1717" s="78" t="s">
        <v>3493</v>
      </c>
      <c r="D1717" s="78" t="s">
        <v>3494</v>
      </c>
      <c r="E1717" s="78" t="s">
        <v>3495</v>
      </c>
      <c r="F1717" s="78" t="s">
        <v>3496</v>
      </c>
    </row>
    <row r="1718" spans="1:6">
      <c r="A1718" s="38">
        <v>43662</v>
      </c>
      <c r="B1718" s="79"/>
      <c r="C1718" s="79" t="s">
        <v>3497</v>
      </c>
      <c r="D1718" s="79" t="s">
        <v>3498</v>
      </c>
      <c r="E1718" s="79" t="s">
        <v>3499</v>
      </c>
      <c r="F1718" s="79" t="s">
        <v>3500</v>
      </c>
    </row>
    <row r="1719" spans="1:6">
      <c r="A1719" s="38">
        <v>44070</v>
      </c>
      <c r="B1719" s="87"/>
      <c r="C1719" s="87" t="s">
        <v>3501</v>
      </c>
      <c r="D1719" s="87"/>
      <c r="E1719" s="87" t="s">
        <v>3502</v>
      </c>
      <c r="F1719" s="87" t="s">
        <v>3503</v>
      </c>
    </row>
    <row r="1720" spans="1:6">
      <c r="A1720" s="38">
        <v>43503</v>
      </c>
      <c r="B1720" s="88"/>
      <c r="C1720" s="88" t="s">
        <v>3504</v>
      </c>
      <c r="D1720" s="88"/>
      <c r="E1720" s="88" t="s">
        <v>3505</v>
      </c>
      <c r="F1720" s="88" t="s">
        <v>3506</v>
      </c>
    </row>
    <row r="1721" spans="1:6">
      <c r="A1721" s="39">
        <v>44301</v>
      </c>
      <c r="B1721" s="27">
        <v>6</v>
      </c>
      <c r="C1721" s="27" t="s">
        <v>5692</v>
      </c>
      <c r="D1721" s="27"/>
      <c r="E1721" s="27" t="s">
        <v>1536</v>
      </c>
      <c r="F1721" s="27" t="s">
        <v>1537</v>
      </c>
    </row>
    <row r="1722" spans="1:6">
      <c r="A1722" s="38">
        <v>43865</v>
      </c>
      <c r="B1722" s="79"/>
      <c r="C1722" s="79" t="s">
        <v>3507</v>
      </c>
      <c r="D1722" s="79"/>
      <c r="E1722" s="79" t="s">
        <v>3508</v>
      </c>
      <c r="F1722" s="79" t="s">
        <v>3509</v>
      </c>
    </row>
    <row r="1723" spans="1:6">
      <c r="A1723" s="38">
        <v>44120</v>
      </c>
      <c r="B1723" s="61"/>
      <c r="C1723" s="61" t="s">
        <v>3510</v>
      </c>
      <c r="D1723" s="61"/>
      <c r="E1723" s="61" t="s">
        <v>3511</v>
      </c>
      <c r="F1723" s="61" t="s">
        <v>3512</v>
      </c>
    </row>
    <row r="1724" spans="1:6">
      <c r="A1724" s="38">
        <v>44019</v>
      </c>
      <c r="B1724" s="79"/>
      <c r="C1724" s="79" t="s">
        <v>3513</v>
      </c>
      <c r="D1724" s="79"/>
      <c r="E1724" s="79" t="s">
        <v>3513</v>
      </c>
      <c r="F1724" s="79" t="s">
        <v>3514</v>
      </c>
    </row>
    <row r="1725" spans="1:6">
      <c r="A1725" s="38">
        <v>43636</v>
      </c>
      <c r="B1725" s="78"/>
      <c r="C1725" s="78" t="s">
        <v>3515</v>
      </c>
      <c r="D1725" s="78"/>
      <c r="E1725" s="78" t="s">
        <v>3516</v>
      </c>
      <c r="F1725" s="78" t="s">
        <v>3517</v>
      </c>
    </row>
    <row r="1726" spans="1:6">
      <c r="A1726" s="38">
        <v>44138</v>
      </c>
      <c r="B1726" s="87"/>
      <c r="C1726" s="87" t="s">
        <v>3518</v>
      </c>
      <c r="D1726" s="87"/>
      <c r="E1726" s="87" t="s">
        <v>3519</v>
      </c>
      <c r="F1726" s="87" t="s">
        <v>3520</v>
      </c>
    </row>
    <row r="1727" spans="1:6">
      <c r="A1727" s="38">
        <v>44064</v>
      </c>
      <c r="B1727" s="88"/>
      <c r="C1727" s="88" t="s">
        <v>3521</v>
      </c>
      <c r="D1727" s="88"/>
      <c r="E1727" s="88" t="s">
        <v>3522</v>
      </c>
      <c r="F1727" s="88" t="s">
        <v>3523</v>
      </c>
    </row>
    <row r="1728" spans="1:6">
      <c r="A1728" s="39">
        <v>44199</v>
      </c>
      <c r="B1728" s="27"/>
      <c r="C1728" s="27" t="s">
        <v>4685</v>
      </c>
      <c r="D1728" s="27"/>
      <c r="E1728" s="27" t="s">
        <v>4920</v>
      </c>
      <c r="F1728" s="27" t="s">
        <v>4921</v>
      </c>
    </row>
    <row r="1729" spans="1:6">
      <c r="A1729" s="38">
        <v>43634</v>
      </c>
      <c r="B1729" s="88"/>
      <c r="C1729" s="88" t="s">
        <v>3524</v>
      </c>
      <c r="D1729" s="88"/>
      <c r="E1729" s="88" t="s">
        <v>3524</v>
      </c>
      <c r="F1729" s="88" t="s">
        <v>3525</v>
      </c>
    </row>
    <row r="1730" spans="1:6">
      <c r="A1730" s="39">
        <v>44199</v>
      </c>
      <c r="B1730" s="27"/>
      <c r="C1730" s="27" t="s">
        <v>4686</v>
      </c>
      <c r="D1730" s="27"/>
      <c r="E1730" s="27" t="s">
        <v>4686</v>
      </c>
      <c r="F1730" s="27" t="s">
        <v>4686</v>
      </c>
    </row>
    <row r="1731" spans="1:6">
      <c r="A1731" s="38">
        <v>43467</v>
      </c>
      <c r="B1731" s="53"/>
      <c r="C1731" s="53" t="s">
        <v>3526</v>
      </c>
      <c r="D1731" s="53"/>
      <c r="E1731" s="53" t="s">
        <v>3527</v>
      </c>
      <c r="F1731" s="53" t="s">
        <v>3528</v>
      </c>
    </row>
    <row r="1732" spans="1:6">
      <c r="A1732" s="38">
        <v>43794</v>
      </c>
      <c r="B1732" s="87"/>
      <c r="C1732" s="87" t="s">
        <v>3529</v>
      </c>
      <c r="D1732" s="87"/>
      <c r="E1732" s="87" t="s">
        <v>3530</v>
      </c>
      <c r="F1732" s="87" t="s">
        <v>3531</v>
      </c>
    </row>
    <row r="1733" spans="1:6">
      <c r="A1733" s="38">
        <v>43989</v>
      </c>
      <c r="B1733" s="88"/>
      <c r="C1733" s="88" t="s">
        <v>3532</v>
      </c>
      <c r="D1733" s="88"/>
      <c r="E1733" s="88" t="s">
        <v>3532</v>
      </c>
      <c r="F1733" s="88" t="s">
        <v>3533</v>
      </c>
    </row>
    <row r="1734" spans="1:6">
      <c r="A1734" s="39">
        <v>44200</v>
      </c>
      <c r="B1734" s="27"/>
      <c r="C1734" s="27" t="s">
        <v>5115</v>
      </c>
      <c r="D1734" s="27"/>
      <c r="E1734" s="27" t="s">
        <v>5115</v>
      </c>
      <c r="F1734" s="27" t="s">
        <v>4416</v>
      </c>
    </row>
    <row r="1735" spans="1:6">
      <c r="A1735" s="38">
        <v>43864</v>
      </c>
      <c r="B1735" s="88"/>
      <c r="C1735" s="88" t="s">
        <v>3534</v>
      </c>
      <c r="D1735" s="88"/>
      <c r="E1735" s="88" t="s">
        <v>3535</v>
      </c>
      <c r="F1735" s="88" t="s">
        <v>3536</v>
      </c>
    </row>
    <row r="1736" spans="1:6">
      <c r="A1736" s="39">
        <v>44510</v>
      </c>
      <c r="B1736" s="27"/>
      <c r="C1736" s="27" t="s">
        <v>5915</v>
      </c>
      <c r="D1736" s="27"/>
      <c r="E1736" s="27" t="s">
        <v>5916</v>
      </c>
      <c r="F1736" s="27" t="s">
        <v>5917</v>
      </c>
    </row>
    <row r="1737" spans="1:6">
      <c r="A1737" s="38">
        <v>43724</v>
      </c>
      <c r="B1737" s="88"/>
      <c r="C1737" s="88" t="s">
        <v>3537</v>
      </c>
      <c r="D1737" s="88"/>
      <c r="E1737" s="88" t="s">
        <v>3538</v>
      </c>
      <c r="F1737" s="88" t="s">
        <v>3539</v>
      </c>
    </row>
    <row r="1738" spans="1:6">
      <c r="A1738" s="39">
        <v>44510</v>
      </c>
      <c r="B1738" s="27"/>
      <c r="C1738" s="27" t="s">
        <v>5918</v>
      </c>
      <c r="D1738" s="27"/>
      <c r="E1738" s="27" t="s">
        <v>5919</v>
      </c>
      <c r="F1738" s="27" t="s">
        <v>5920</v>
      </c>
    </row>
    <row r="1739" spans="1:6">
      <c r="A1739" s="38">
        <v>43732</v>
      </c>
      <c r="B1739" s="79"/>
      <c r="C1739" s="79" t="s">
        <v>3540</v>
      </c>
      <c r="D1739" s="79"/>
      <c r="E1739" s="79" t="s">
        <v>3541</v>
      </c>
      <c r="F1739" s="79" t="s">
        <v>3542</v>
      </c>
    </row>
    <row r="1740" spans="1:6">
      <c r="A1740" s="38">
        <v>44172</v>
      </c>
      <c r="B1740" s="87"/>
      <c r="C1740" s="87" t="s">
        <v>3543</v>
      </c>
      <c r="D1740" s="87"/>
      <c r="E1740" s="87" t="s">
        <v>3544</v>
      </c>
      <c r="F1740" s="87" t="s">
        <v>3545</v>
      </c>
    </row>
    <row r="1741" spans="1:6">
      <c r="A1741" s="38">
        <v>43867</v>
      </c>
      <c r="B1741" s="88"/>
      <c r="C1741" s="88" t="s">
        <v>3546</v>
      </c>
      <c r="D1741" s="88"/>
      <c r="E1741" s="88" t="s">
        <v>3547</v>
      </c>
      <c r="F1741" s="88" t="s">
        <v>3548</v>
      </c>
    </row>
    <row r="1742" spans="1:6">
      <c r="A1742" s="39">
        <v>44539</v>
      </c>
      <c r="B1742" s="27"/>
      <c r="C1742" s="27" t="s">
        <v>6186</v>
      </c>
      <c r="D1742" s="27"/>
      <c r="E1742" s="27" t="s">
        <v>6186</v>
      </c>
      <c r="F1742" s="27" t="s">
        <v>6187</v>
      </c>
    </row>
    <row r="1743" spans="1:6">
      <c r="A1743" s="38">
        <v>44007</v>
      </c>
      <c r="B1743" s="79"/>
      <c r="C1743" s="79" t="s">
        <v>3549</v>
      </c>
      <c r="D1743" s="79"/>
      <c r="E1743" s="79" t="s">
        <v>3550</v>
      </c>
      <c r="F1743" s="79" t="s">
        <v>3551</v>
      </c>
    </row>
    <row r="1744" spans="1:6">
      <c r="A1744" s="38">
        <v>43489</v>
      </c>
      <c r="B1744" s="79"/>
      <c r="C1744" s="79" t="s">
        <v>3552</v>
      </c>
      <c r="D1744" s="79"/>
      <c r="E1744" s="79" t="s">
        <v>3553</v>
      </c>
      <c r="F1744" s="79" t="s">
        <v>3554</v>
      </c>
    </row>
    <row r="1745" spans="1:6">
      <c r="A1745" s="38">
        <v>43489</v>
      </c>
      <c r="B1745" s="79"/>
      <c r="C1745" s="79" t="s">
        <v>3555</v>
      </c>
      <c r="D1745" s="79"/>
      <c r="E1745" s="79" t="s">
        <v>3556</v>
      </c>
      <c r="F1745" s="79" t="s">
        <v>3557</v>
      </c>
    </row>
    <row r="1746" spans="1:6">
      <c r="A1746" s="38">
        <v>43489</v>
      </c>
      <c r="B1746" s="53"/>
      <c r="C1746" s="53" t="s">
        <v>3558</v>
      </c>
      <c r="D1746" s="53"/>
      <c r="E1746" s="53" t="s">
        <v>3559</v>
      </c>
      <c r="F1746" s="53" t="s">
        <v>3560</v>
      </c>
    </row>
    <row r="1747" spans="1:6">
      <c r="A1747" s="38">
        <v>43493</v>
      </c>
      <c r="B1747" s="53"/>
      <c r="C1747" s="53" t="s">
        <v>3561</v>
      </c>
      <c r="D1747" s="53"/>
      <c r="E1747" s="53" t="s">
        <v>3562</v>
      </c>
      <c r="F1747" s="53" t="s">
        <v>3563</v>
      </c>
    </row>
    <row r="1748" spans="1:6">
      <c r="A1748" s="38">
        <v>43893</v>
      </c>
      <c r="B1748" s="79"/>
      <c r="C1748" s="79" t="s">
        <v>3564</v>
      </c>
      <c r="D1748" s="79"/>
      <c r="E1748" s="79" t="s">
        <v>3565</v>
      </c>
      <c r="F1748" s="79" t="s">
        <v>3566</v>
      </c>
    </row>
    <row r="1749" spans="1:6">
      <c r="A1749" s="38">
        <v>43893</v>
      </c>
      <c r="B1749" s="79"/>
      <c r="C1749" s="79" t="s">
        <v>3567</v>
      </c>
      <c r="D1749" s="79"/>
      <c r="E1749" s="79" t="s">
        <v>3568</v>
      </c>
      <c r="F1749" s="79" t="s">
        <v>3569</v>
      </c>
    </row>
    <row r="1750" spans="1:6">
      <c r="A1750" s="38">
        <v>44173</v>
      </c>
      <c r="B1750" s="87"/>
      <c r="C1750" s="87" t="s">
        <v>3570</v>
      </c>
      <c r="D1750" s="87"/>
      <c r="E1750" s="87" t="s">
        <v>3571</v>
      </c>
      <c r="F1750" s="87" t="s">
        <v>3572</v>
      </c>
    </row>
    <row r="1751" spans="1:6">
      <c r="A1751" s="38">
        <v>44152</v>
      </c>
      <c r="B1751" s="88"/>
      <c r="C1751" s="88" t="s">
        <v>3573</v>
      </c>
      <c r="D1751" s="88"/>
      <c r="E1751" s="88" t="s">
        <v>3574</v>
      </c>
      <c r="F1751" s="88" t="s">
        <v>3575</v>
      </c>
    </row>
    <row r="1752" spans="1:6">
      <c r="A1752" s="39">
        <v>44236</v>
      </c>
      <c r="B1752" s="27"/>
      <c r="C1752" s="27" t="s">
        <v>5531</v>
      </c>
      <c r="D1752" s="27" t="s">
        <v>5532</v>
      </c>
      <c r="E1752" s="27" t="s">
        <v>5531</v>
      </c>
      <c r="F1752" s="27" t="s">
        <v>5533</v>
      </c>
    </row>
    <row r="1753" spans="1:6">
      <c r="A1753" s="39">
        <v>44512</v>
      </c>
      <c r="B1753" s="27"/>
      <c r="C1753" s="27" t="s">
        <v>5998</v>
      </c>
      <c r="D1753" s="27"/>
      <c r="E1753" s="55" t="s">
        <v>5999</v>
      </c>
      <c r="F1753" s="27" t="s">
        <v>6000</v>
      </c>
    </row>
    <row r="1754" spans="1:6">
      <c r="A1754" s="38">
        <v>44081</v>
      </c>
      <c r="B1754" s="87"/>
      <c r="C1754" s="87" t="s">
        <v>3576</v>
      </c>
      <c r="D1754" s="87"/>
      <c r="E1754" s="87" t="s">
        <v>3577</v>
      </c>
      <c r="F1754" s="87" t="s">
        <v>3578</v>
      </c>
    </row>
    <row r="1755" spans="1:6">
      <c r="A1755" s="38">
        <v>44012</v>
      </c>
      <c r="B1755" s="88"/>
      <c r="C1755" s="88" t="s">
        <v>3579</v>
      </c>
      <c r="D1755" s="88"/>
      <c r="E1755" s="88" t="s">
        <v>3580</v>
      </c>
      <c r="F1755" s="88" t="s">
        <v>3581</v>
      </c>
    </row>
    <row r="1756" spans="1:6">
      <c r="A1756" s="39">
        <v>44199</v>
      </c>
      <c r="B1756" s="27"/>
      <c r="C1756" s="27" t="s">
        <v>4687</v>
      </c>
      <c r="D1756" s="27"/>
      <c r="E1756" s="27" t="s">
        <v>4922</v>
      </c>
      <c r="F1756" s="27" t="s">
        <v>4923</v>
      </c>
    </row>
    <row r="1757" spans="1:6">
      <c r="A1757" s="38">
        <v>44005</v>
      </c>
      <c r="B1757" s="79"/>
      <c r="C1757" s="79" t="s">
        <v>3582</v>
      </c>
      <c r="D1757" s="79"/>
      <c r="E1757" s="79" t="s">
        <v>3582</v>
      </c>
      <c r="F1757" s="79" t="s">
        <v>3583</v>
      </c>
    </row>
    <row r="1758" spans="1:6">
      <c r="A1758" s="38">
        <v>43989</v>
      </c>
      <c r="B1758" s="87"/>
      <c r="C1758" s="87" t="s">
        <v>3584</v>
      </c>
      <c r="D1758" s="87"/>
      <c r="E1758" s="87" t="s">
        <v>3585</v>
      </c>
      <c r="F1758" s="87" t="s">
        <v>3586</v>
      </c>
    </row>
    <row r="1759" spans="1:6">
      <c r="A1759" s="38">
        <v>43989</v>
      </c>
      <c r="B1759" s="88"/>
      <c r="C1759" s="88" t="s">
        <v>3587</v>
      </c>
      <c r="D1759" s="88"/>
      <c r="E1759" s="88" t="s">
        <v>3588</v>
      </c>
      <c r="F1759" s="88" t="s">
        <v>3589</v>
      </c>
    </row>
    <row r="1760" spans="1:6">
      <c r="A1760" s="39">
        <v>44301</v>
      </c>
      <c r="B1760" s="27">
        <v>3</v>
      </c>
      <c r="C1760" s="27" t="s">
        <v>5693</v>
      </c>
      <c r="D1760" s="27"/>
      <c r="E1760" s="27" t="s">
        <v>5694</v>
      </c>
      <c r="F1760" s="27" t="s">
        <v>5695</v>
      </c>
    </row>
    <row r="1761" spans="1:6">
      <c r="A1761" s="38">
        <v>44091</v>
      </c>
      <c r="B1761" s="79"/>
      <c r="C1761" s="79" t="s">
        <v>3590</v>
      </c>
      <c r="D1761" s="79"/>
      <c r="E1761" s="79" t="s">
        <v>3591</v>
      </c>
      <c r="F1761" s="79" t="s">
        <v>3592</v>
      </c>
    </row>
    <row r="1762" spans="1:6">
      <c r="A1762" s="38">
        <v>44001</v>
      </c>
      <c r="B1762" s="53"/>
      <c r="C1762" s="53" t="s">
        <v>3593</v>
      </c>
      <c r="D1762" s="53"/>
      <c r="E1762" s="53" t="s">
        <v>3594</v>
      </c>
      <c r="F1762" s="53" t="s">
        <v>3595</v>
      </c>
    </row>
    <row r="1763" spans="1:6">
      <c r="A1763" s="38">
        <v>43634</v>
      </c>
      <c r="B1763" s="79"/>
      <c r="C1763" s="79" t="s">
        <v>3596</v>
      </c>
      <c r="D1763" s="79"/>
      <c r="E1763" s="79" t="s">
        <v>3596</v>
      </c>
      <c r="F1763" s="79" t="s">
        <v>3597</v>
      </c>
    </row>
    <row r="1764" spans="1:6">
      <c r="A1764" s="38">
        <v>44111</v>
      </c>
      <c r="B1764" s="79"/>
      <c r="C1764" s="79" t="s">
        <v>3598</v>
      </c>
      <c r="D1764" s="79"/>
      <c r="E1764" s="79" t="s">
        <v>3599</v>
      </c>
      <c r="F1764" s="79" t="s">
        <v>3600</v>
      </c>
    </row>
    <row r="1765" spans="1:6">
      <c r="A1765" s="38">
        <v>44111</v>
      </c>
      <c r="B1765" s="79"/>
      <c r="C1765" s="79" t="s">
        <v>3601</v>
      </c>
      <c r="D1765" s="79"/>
      <c r="E1765" s="79" t="s">
        <v>3602</v>
      </c>
      <c r="F1765" s="79" t="s">
        <v>3603</v>
      </c>
    </row>
    <row r="1766" spans="1:6">
      <c r="A1766" s="38">
        <v>44111</v>
      </c>
      <c r="B1766" s="87"/>
      <c r="C1766" s="87" t="s">
        <v>3604</v>
      </c>
      <c r="D1766" s="87"/>
      <c r="E1766" s="87" t="s">
        <v>3605</v>
      </c>
      <c r="F1766" s="87" t="s">
        <v>3606</v>
      </c>
    </row>
    <row r="1767" spans="1:6">
      <c r="A1767" s="38">
        <v>44111</v>
      </c>
      <c r="B1767" s="88"/>
      <c r="C1767" s="88" t="s">
        <v>3607</v>
      </c>
      <c r="D1767" s="88"/>
      <c r="E1767" s="88" t="s">
        <v>3608</v>
      </c>
      <c r="F1767" s="88" t="s">
        <v>3609</v>
      </c>
    </row>
    <row r="1768" spans="1:6">
      <c r="A1768" s="39">
        <v>44199</v>
      </c>
      <c r="B1768" s="27"/>
      <c r="C1768" s="27" t="s">
        <v>4688</v>
      </c>
      <c r="D1768" s="27"/>
      <c r="E1768" s="27" t="s">
        <v>4924</v>
      </c>
      <c r="F1768" s="27" t="s">
        <v>4925</v>
      </c>
    </row>
    <row r="1769" spans="1:6">
      <c r="A1769" s="38">
        <v>43865</v>
      </c>
      <c r="B1769" s="88"/>
      <c r="C1769" s="88" t="s">
        <v>3610</v>
      </c>
      <c r="D1769" s="88"/>
      <c r="E1769" s="88" t="s">
        <v>3611</v>
      </c>
      <c r="F1769" s="88" t="s">
        <v>3612</v>
      </c>
    </row>
    <row r="1770" spans="1:6">
      <c r="A1770" s="39">
        <v>44510</v>
      </c>
      <c r="B1770" s="27"/>
      <c r="C1770" s="27" t="s">
        <v>5887</v>
      </c>
      <c r="D1770" s="27"/>
      <c r="E1770" s="27" t="s">
        <v>5887</v>
      </c>
      <c r="F1770" s="27" t="s">
        <v>5888</v>
      </c>
    </row>
    <row r="1771" spans="1:6">
      <c r="A1771" s="38">
        <v>43794</v>
      </c>
      <c r="B1771" s="88"/>
      <c r="C1771" s="88" t="s">
        <v>3613</v>
      </c>
      <c r="D1771" s="88" t="s">
        <v>3614</v>
      </c>
      <c r="E1771" s="88" t="s">
        <v>3615</v>
      </c>
      <c r="F1771" s="88" t="s">
        <v>3616</v>
      </c>
    </row>
    <row r="1772" spans="1:6">
      <c r="A1772" s="39">
        <v>44199</v>
      </c>
      <c r="B1772" s="27"/>
      <c r="C1772" s="27" t="s">
        <v>4689</v>
      </c>
      <c r="D1772" s="27"/>
      <c r="E1772" s="27" t="s">
        <v>4926</v>
      </c>
      <c r="F1772" s="27" t="s">
        <v>4927</v>
      </c>
    </row>
    <row r="1773" spans="1:6">
      <c r="A1773" s="39">
        <v>44200</v>
      </c>
      <c r="B1773" s="27"/>
      <c r="C1773" s="27" t="s">
        <v>5116</v>
      </c>
      <c r="D1773" s="27"/>
      <c r="E1773" s="27" t="s">
        <v>5282</v>
      </c>
      <c r="F1773" s="27" t="s">
        <v>5449</v>
      </c>
    </row>
    <row r="1774" spans="1:6">
      <c r="A1774" s="39">
        <v>44236</v>
      </c>
      <c r="B1774" s="27"/>
      <c r="C1774" s="27" t="s">
        <v>5534</v>
      </c>
      <c r="D1774" s="27"/>
      <c r="E1774" s="27" t="s">
        <v>5535</v>
      </c>
      <c r="F1774" s="27" t="s">
        <v>5536</v>
      </c>
    </row>
    <row r="1775" spans="1:6">
      <c r="A1775" s="38">
        <v>44123</v>
      </c>
      <c r="B1775" s="88"/>
      <c r="C1775" s="88" t="s">
        <v>3617</v>
      </c>
      <c r="D1775" s="88"/>
      <c r="E1775" s="88" t="s">
        <v>3617</v>
      </c>
      <c r="F1775" s="88" t="s">
        <v>3618</v>
      </c>
    </row>
    <row r="1776" spans="1:6">
      <c r="A1776" s="39">
        <v>44199</v>
      </c>
      <c r="B1776" s="27"/>
      <c r="C1776" s="27" t="s">
        <v>4690</v>
      </c>
      <c r="D1776" s="27"/>
      <c r="E1776" s="27" t="s">
        <v>4928</v>
      </c>
      <c r="F1776" s="27" t="s">
        <v>4929</v>
      </c>
    </row>
    <row r="1777" spans="1:6">
      <c r="A1777" s="39">
        <v>44199</v>
      </c>
      <c r="B1777" s="27"/>
      <c r="C1777" s="27" t="s">
        <v>4691</v>
      </c>
      <c r="D1777" s="27"/>
      <c r="E1777" s="27" t="s">
        <v>4691</v>
      </c>
      <c r="F1777" s="27" t="s">
        <v>4930</v>
      </c>
    </row>
    <row r="1778" spans="1:6">
      <c r="A1778" s="38">
        <v>43530</v>
      </c>
      <c r="B1778" s="53"/>
      <c r="C1778" s="53" t="s">
        <v>3619</v>
      </c>
      <c r="D1778" s="53"/>
      <c r="E1778" s="53" t="s">
        <v>3620</v>
      </c>
      <c r="F1778" s="53" t="s">
        <v>3621</v>
      </c>
    </row>
    <row r="1779" spans="1:6">
      <c r="A1779" s="38">
        <v>44039</v>
      </c>
      <c r="B1779" s="53"/>
      <c r="C1779" s="53" t="s">
        <v>3622</v>
      </c>
      <c r="D1779" s="53"/>
      <c r="E1779" s="53" t="s">
        <v>3623</v>
      </c>
      <c r="F1779" s="53" t="s">
        <v>3624</v>
      </c>
    </row>
    <row r="1780" spans="1:6">
      <c r="A1780" s="38">
        <v>43794</v>
      </c>
      <c r="B1780" s="53"/>
      <c r="C1780" s="53" t="s">
        <v>3625</v>
      </c>
      <c r="D1780" s="53" t="s">
        <v>3626</v>
      </c>
      <c r="E1780" s="53" t="s">
        <v>3627</v>
      </c>
      <c r="F1780" s="53" t="s">
        <v>3628</v>
      </c>
    </row>
    <row r="1781" spans="1:6">
      <c r="A1781" s="38">
        <v>43384</v>
      </c>
      <c r="B1781" s="87"/>
      <c r="C1781" s="87" t="s">
        <v>3629</v>
      </c>
      <c r="D1781" s="87" t="s">
        <v>3630</v>
      </c>
      <c r="E1781" s="87" t="s">
        <v>3629</v>
      </c>
      <c r="F1781" s="87" t="s">
        <v>3631</v>
      </c>
    </row>
    <row r="1782" spans="1:6">
      <c r="A1782" s="38">
        <v>43384</v>
      </c>
      <c r="B1782" s="88"/>
      <c r="C1782" s="88" t="s">
        <v>3632</v>
      </c>
      <c r="D1782" s="88" t="s">
        <v>3633</v>
      </c>
      <c r="E1782" s="88" t="s">
        <v>3632</v>
      </c>
      <c r="F1782" s="88" t="s">
        <v>3634</v>
      </c>
    </row>
    <row r="1783" spans="1:6">
      <c r="A1783" s="39">
        <v>44236</v>
      </c>
      <c r="B1783" s="27"/>
      <c r="C1783" s="27" t="s">
        <v>5537</v>
      </c>
      <c r="D1783" s="27"/>
      <c r="E1783" s="27" t="s">
        <v>5538</v>
      </c>
      <c r="F1783" s="27" t="s">
        <v>5539</v>
      </c>
    </row>
    <row r="1784" spans="1:6">
      <c r="A1784" s="38">
        <v>44172</v>
      </c>
      <c r="B1784" s="53"/>
      <c r="C1784" s="53" t="s">
        <v>3635</v>
      </c>
      <c r="D1784" s="53"/>
      <c r="E1784" s="53" t="s">
        <v>3636</v>
      </c>
      <c r="F1784" s="53" t="s">
        <v>3637</v>
      </c>
    </row>
    <row r="1785" spans="1:6" s="33" customFormat="1">
      <c r="A1785" s="38">
        <v>44174</v>
      </c>
      <c r="B1785" s="79"/>
      <c r="C1785" s="79" t="s">
        <v>3638</v>
      </c>
      <c r="D1785" s="79" t="s">
        <v>2</v>
      </c>
      <c r="E1785" s="79" t="s">
        <v>3639</v>
      </c>
      <c r="F1785" s="79" t="s">
        <v>3640</v>
      </c>
    </row>
    <row r="1786" spans="1:6" s="33" customFormat="1">
      <c r="A1786" s="38">
        <v>43344</v>
      </c>
      <c r="B1786" s="79"/>
      <c r="C1786" s="79" t="s">
        <v>3641</v>
      </c>
      <c r="D1786" s="79" t="e">
        <f>PROPER([1]!ObjGes[[#This Row],[Nom EN]])</f>
        <v>#REF!</v>
      </c>
      <c r="E1786" s="79" t="s">
        <v>3642</v>
      </c>
      <c r="F1786" s="79" t="s">
        <v>3643</v>
      </c>
    </row>
    <row r="1787" spans="1:6" s="33" customFormat="1">
      <c r="A1787" s="38">
        <v>43530</v>
      </c>
      <c r="B1787" s="78"/>
      <c r="C1787" s="78" t="s">
        <v>3644</v>
      </c>
      <c r="D1787" s="78"/>
      <c r="E1787" s="78" t="s">
        <v>3645</v>
      </c>
      <c r="F1787" s="78" t="s">
        <v>3646</v>
      </c>
    </row>
    <row r="1788" spans="1:6" s="33" customFormat="1">
      <c r="A1788" s="38">
        <v>43794</v>
      </c>
      <c r="B1788" s="79"/>
      <c r="C1788" s="79" t="s">
        <v>3647</v>
      </c>
      <c r="D1788" s="79"/>
      <c r="E1788" s="79" t="s">
        <v>3648</v>
      </c>
      <c r="F1788" s="79" t="s">
        <v>3649</v>
      </c>
    </row>
    <row r="1789" spans="1:6">
      <c r="A1789" s="38">
        <v>44081</v>
      </c>
      <c r="B1789" s="79"/>
      <c r="C1789" s="79" t="s">
        <v>3650</v>
      </c>
      <c r="D1789" s="79"/>
      <c r="E1789" s="79" t="s">
        <v>3651</v>
      </c>
      <c r="F1789" s="79" t="s">
        <v>3652</v>
      </c>
    </row>
    <row r="1790" spans="1:6">
      <c r="A1790" s="38">
        <v>43391</v>
      </c>
      <c r="B1790" s="78"/>
      <c r="C1790" s="78" t="s">
        <v>3653</v>
      </c>
      <c r="D1790" s="78"/>
      <c r="E1790" s="78" t="s">
        <v>3653</v>
      </c>
      <c r="F1790" s="78" t="s">
        <v>3654</v>
      </c>
    </row>
    <row r="1791" spans="1:6">
      <c r="A1791" s="38">
        <v>44053</v>
      </c>
      <c r="B1791" s="78"/>
      <c r="C1791" s="78" t="s">
        <v>3655</v>
      </c>
      <c r="D1791" s="78"/>
      <c r="E1791" s="78" t="s">
        <v>3656</v>
      </c>
      <c r="F1791" s="78" t="s">
        <v>3657</v>
      </c>
    </row>
    <row r="1792" spans="1:6">
      <c r="A1792" s="38">
        <v>43469</v>
      </c>
      <c r="B1792" s="79"/>
      <c r="C1792" s="79" t="s">
        <v>3658</v>
      </c>
      <c r="D1792" s="79"/>
      <c r="E1792" s="79" t="s">
        <v>3659</v>
      </c>
      <c r="F1792" s="79" t="s">
        <v>3660</v>
      </c>
    </row>
    <row r="1793" spans="1:6">
      <c r="A1793" s="38">
        <v>43865</v>
      </c>
      <c r="B1793" s="79"/>
      <c r="C1793" s="79" t="s">
        <v>3661</v>
      </c>
      <c r="D1793" s="79"/>
      <c r="E1793" s="79" t="s">
        <v>3662</v>
      </c>
      <c r="F1793" s="79" t="s">
        <v>3663</v>
      </c>
    </row>
    <row r="1794" spans="1:6">
      <c r="A1794" s="38">
        <v>44040</v>
      </c>
      <c r="B1794" s="78"/>
      <c r="C1794" s="78" t="s">
        <v>3664</v>
      </c>
      <c r="D1794" s="78"/>
      <c r="E1794" s="78" t="s">
        <v>3665</v>
      </c>
      <c r="F1794" s="78" t="s">
        <v>3666</v>
      </c>
    </row>
    <row r="1795" spans="1:6">
      <c r="A1795" s="38">
        <v>43742</v>
      </c>
      <c r="B1795" s="79"/>
      <c r="C1795" s="79" t="s">
        <v>3667</v>
      </c>
      <c r="D1795" s="79"/>
      <c r="E1795" s="79" t="s">
        <v>3668</v>
      </c>
      <c r="F1795" s="79" t="s">
        <v>3669</v>
      </c>
    </row>
    <row r="1796" spans="1:6">
      <c r="A1796" s="38">
        <v>44082</v>
      </c>
      <c r="B1796" s="79"/>
      <c r="C1796" s="79" t="s">
        <v>3670</v>
      </c>
      <c r="D1796" s="79" t="s">
        <v>3671</v>
      </c>
      <c r="E1796" s="79" t="s">
        <v>3672</v>
      </c>
      <c r="F1796" s="79" t="s">
        <v>3673</v>
      </c>
    </row>
    <row r="1797" spans="1:6">
      <c r="A1797" s="38">
        <v>43864</v>
      </c>
      <c r="B1797" s="79"/>
      <c r="C1797" s="79" t="s">
        <v>3674</v>
      </c>
      <c r="D1797" s="79" t="s">
        <v>3675</v>
      </c>
      <c r="E1797" s="79" t="s">
        <v>3674</v>
      </c>
      <c r="F1797" s="79" t="s">
        <v>3674</v>
      </c>
    </row>
    <row r="1798" spans="1:6">
      <c r="A1798" s="38">
        <v>44207</v>
      </c>
      <c r="B1798" s="78"/>
      <c r="C1798" s="78" t="s">
        <v>5724</v>
      </c>
      <c r="D1798" s="78"/>
      <c r="E1798" s="78" t="s">
        <v>5725</v>
      </c>
      <c r="F1798" s="78" t="s">
        <v>5726</v>
      </c>
    </row>
    <row r="1799" spans="1:6">
      <c r="A1799" s="38">
        <v>44480</v>
      </c>
      <c r="B1799" s="79"/>
      <c r="C1799" s="79" t="s">
        <v>5730</v>
      </c>
      <c r="D1799" s="79"/>
      <c r="E1799" s="79" t="s">
        <v>5731</v>
      </c>
      <c r="F1799" s="79" t="s">
        <v>5732</v>
      </c>
    </row>
    <row r="1800" spans="1:6">
      <c r="A1800" s="38">
        <v>43356</v>
      </c>
      <c r="B1800" s="79"/>
      <c r="C1800" s="79" t="s">
        <v>3676</v>
      </c>
      <c r="D1800" s="79"/>
      <c r="E1800" s="79" t="s">
        <v>3677</v>
      </c>
      <c r="F1800" s="79" t="s">
        <v>3678</v>
      </c>
    </row>
    <row r="1801" spans="1:6">
      <c r="A1801" s="38">
        <v>43760</v>
      </c>
      <c r="B1801" s="53"/>
      <c r="C1801" s="53" t="s">
        <v>3679</v>
      </c>
      <c r="D1801" s="53"/>
      <c r="E1801" s="53" t="s">
        <v>3680</v>
      </c>
      <c r="F1801" s="53" t="s">
        <v>3681</v>
      </c>
    </row>
    <row r="1802" spans="1:6">
      <c r="A1802" s="38">
        <v>44172</v>
      </c>
      <c r="B1802" s="53"/>
      <c r="C1802" s="53" t="s">
        <v>3682</v>
      </c>
      <c r="D1802" s="53"/>
      <c r="E1802" s="53" t="s">
        <v>3683</v>
      </c>
      <c r="F1802" s="53" t="s">
        <v>3684</v>
      </c>
    </row>
    <row r="1803" spans="1:6">
      <c r="A1803" s="38">
        <v>43417</v>
      </c>
      <c r="B1803" s="87"/>
      <c r="C1803" s="87" t="s">
        <v>3685</v>
      </c>
      <c r="D1803" s="87"/>
      <c r="E1803" s="87" t="s">
        <v>3686</v>
      </c>
      <c r="F1803" s="87" t="s">
        <v>3687</v>
      </c>
    </row>
    <row r="1804" spans="1:6">
      <c r="A1804" s="38">
        <v>43344</v>
      </c>
      <c r="B1804" s="88"/>
      <c r="C1804" s="88" t="s">
        <v>3688</v>
      </c>
      <c r="D1804" s="88"/>
      <c r="E1804" s="88" t="s">
        <v>3689</v>
      </c>
      <c r="F1804" s="88" t="s">
        <v>3690</v>
      </c>
    </row>
    <row r="1805" spans="1:6">
      <c r="A1805" s="39">
        <v>44301</v>
      </c>
      <c r="B1805" s="27">
        <v>1</v>
      </c>
      <c r="C1805" s="27" t="s">
        <v>5696</v>
      </c>
      <c r="D1805" s="27"/>
      <c r="E1805" s="27" t="s">
        <v>4565</v>
      </c>
      <c r="F1805" s="27" t="s">
        <v>4730</v>
      </c>
    </row>
    <row r="1806" spans="1:6">
      <c r="A1806" s="38">
        <v>43469</v>
      </c>
      <c r="B1806" s="87"/>
      <c r="C1806" s="87" t="s">
        <v>3691</v>
      </c>
      <c r="D1806" s="87"/>
      <c r="E1806" s="87" t="s">
        <v>3692</v>
      </c>
      <c r="F1806" s="87" t="s">
        <v>3693</v>
      </c>
    </row>
    <row r="1807" spans="1:6">
      <c r="A1807" s="38">
        <v>43937</v>
      </c>
      <c r="B1807" s="88"/>
      <c r="C1807" s="88" t="s">
        <v>3694</v>
      </c>
      <c r="D1807" s="88"/>
      <c r="E1807" s="88" t="s">
        <v>428</v>
      </c>
      <c r="F1807" s="88" t="s">
        <v>429</v>
      </c>
    </row>
    <row r="1808" spans="1:6">
      <c r="A1808" s="39">
        <v>44510</v>
      </c>
      <c r="B1808" s="27"/>
      <c r="C1808" s="57" t="s">
        <v>5777</v>
      </c>
      <c r="D1808" s="27"/>
      <c r="E1808" s="27" t="s">
        <v>5778</v>
      </c>
      <c r="F1808" s="27" t="s">
        <v>6064</v>
      </c>
    </row>
    <row r="1809" spans="1:6">
      <c r="A1809" s="39">
        <v>44510</v>
      </c>
      <c r="B1809" s="27"/>
      <c r="C1809" s="57" t="s">
        <v>5776</v>
      </c>
      <c r="D1809" s="27"/>
      <c r="E1809" s="27" t="s">
        <v>5779</v>
      </c>
      <c r="F1809" s="27" t="s">
        <v>6065</v>
      </c>
    </row>
    <row r="1810" spans="1:6">
      <c r="A1810" s="38">
        <v>43937</v>
      </c>
      <c r="B1810" s="88"/>
      <c r="C1810" s="88" t="s">
        <v>3695</v>
      </c>
      <c r="D1810" s="88"/>
      <c r="E1810" s="88" t="s">
        <v>3696</v>
      </c>
      <c r="F1810" s="88" t="s">
        <v>3697</v>
      </c>
    </row>
    <row r="1811" spans="1:6">
      <c r="A1811" s="39">
        <v>44199</v>
      </c>
      <c r="B1811" s="27"/>
      <c r="C1811" s="27" t="s">
        <v>4692</v>
      </c>
      <c r="D1811" s="27"/>
      <c r="E1811" s="27" t="s">
        <v>4931</v>
      </c>
      <c r="F1811" s="27" t="s">
        <v>4932</v>
      </c>
    </row>
    <row r="1812" spans="1:6">
      <c r="A1812" s="39">
        <v>44301</v>
      </c>
      <c r="B1812" s="27">
        <v>2</v>
      </c>
      <c r="C1812" s="27" t="s">
        <v>4692</v>
      </c>
      <c r="D1812" s="27"/>
      <c r="E1812" s="27" t="s">
        <v>4931</v>
      </c>
      <c r="F1812" s="27" t="s">
        <v>4932</v>
      </c>
    </row>
    <row r="1813" spans="1:6">
      <c r="A1813" s="38">
        <v>44083</v>
      </c>
      <c r="B1813" s="87"/>
      <c r="C1813" s="87" t="s">
        <v>3698</v>
      </c>
      <c r="D1813" s="87"/>
      <c r="E1813" s="87" t="s">
        <v>3699</v>
      </c>
      <c r="F1813" s="87" t="s">
        <v>3700</v>
      </c>
    </row>
    <row r="1814" spans="1:6">
      <c r="A1814" s="38">
        <v>43985</v>
      </c>
      <c r="B1814" s="88"/>
      <c r="C1814" s="88" t="s">
        <v>3701</v>
      </c>
      <c r="D1814" s="88"/>
      <c r="E1814" s="88" t="s">
        <v>3702</v>
      </c>
      <c r="F1814" s="88" t="s">
        <v>3703</v>
      </c>
    </row>
    <row r="1815" spans="1:6">
      <c r="A1815" s="39">
        <v>44199</v>
      </c>
      <c r="B1815" s="27"/>
      <c r="C1815" s="27" t="s">
        <v>4693</v>
      </c>
      <c r="D1815" s="27"/>
      <c r="E1815" s="27" t="s">
        <v>4693</v>
      </c>
      <c r="F1815" s="27" t="s">
        <v>4693</v>
      </c>
    </row>
    <row r="1816" spans="1:6">
      <c r="A1816" s="39">
        <v>44199</v>
      </c>
      <c r="B1816" s="27"/>
      <c r="C1816" s="27" t="s">
        <v>4694</v>
      </c>
      <c r="D1816" s="27"/>
      <c r="E1816" s="27" t="s">
        <v>4933</v>
      </c>
      <c r="F1816" s="27" t="s">
        <v>4934</v>
      </c>
    </row>
    <row r="1817" spans="1:6">
      <c r="A1817" s="38">
        <v>43530</v>
      </c>
      <c r="B1817" s="61"/>
      <c r="C1817" s="61" t="s">
        <v>3704</v>
      </c>
      <c r="D1817" s="61"/>
      <c r="E1817" s="61" t="s">
        <v>3704</v>
      </c>
      <c r="F1817" s="61" t="s">
        <v>3705</v>
      </c>
    </row>
    <row r="1818" spans="1:6">
      <c r="A1818" s="38">
        <v>44000</v>
      </c>
      <c r="B1818" s="62"/>
      <c r="C1818" s="62" t="s">
        <v>3706</v>
      </c>
      <c r="D1818" s="62" t="s">
        <v>3707</v>
      </c>
      <c r="E1818" s="62" t="s">
        <v>303</v>
      </c>
      <c r="F1818" s="62" t="s">
        <v>3708</v>
      </c>
    </row>
    <row r="1819" spans="1:6">
      <c r="A1819" s="38">
        <v>43384</v>
      </c>
      <c r="B1819" s="78"/>
      <c r="C1819" s="78" t="s">
        <v>3709</v>
      </c>
      <c r="D1819" s="78"/>
      <c r="E1819" s="78" t="s">
        <v>3710</v>
      </c>
      <c r="F1819" s="78" t="s">
        <v>3711</v>
      </c>
    </row>
    <row r="1820" spans="1:6">
      <c r="A1820" s="38">
        <v>43384</v>
      </c>
      <c r="B1820" s="87"/>
      <c r="C1820" s="87" t="s">
        <v>3712</v>
      </c>
      <c r="D1820" s="87"/>
      <c r="E1820" s="87" t="s">
        <v>3713</v>
      </c>
      <c r="F1820" s="87" t="s">
        <v>3714</v>
      </c>
    </row>
    <row r="1821" spans="1:6">
      <c r="A1821" s="38">
        <v>43700</v>
      </c>
      <c r="B1821" s="88"/>
      <c r="C1821" s="88" t="s">
        <v>3715</v>
      </c>
      <c r="D1821" s="88"/>
      <c r="E1821" s="88" t="s">
        <v>3716</v>
      </c>
      <c r="F1821" s="88" t="s">
        <v>3717</v>
      </c>
    </row>
    <row r="1822" spans="1:6">
      <c r="A1822" s="39">
        <v>44199</v>
      </c>
      <c r="B1822" s="27"/>
      <c r="C1822" s="27" t="s">
        <v>4695</v>
      </c>
      <c r="D1822" s="27"/>
      <c r="E1822" s="27" t="s">
        <v>4935</v>
      </c>
      <c r="F1822" s="27" t="s">
        <v>4936</v>
      </c>
    </row>
    <row r="1823" spans="1:6">
      <c r="A1823" s="38">
        <v>43384</v>
      </c>
      <c r="B1823" s="53"/>
      <c r="C1823" s="53" t="s">
        <v>3718</v>
      </c>
      <c r="D1823" s="53"/>
      <c r="E1823" s="53" t="s">
        <v>3719</v>
      </c>
      <c r="F1823" s="53" t="s">
        <v>3720</v>
      </c>
    </row>
    <row r="1824" spans="1:6">
      <c r="A1824" s="38">
        <v>43384</v>
      </c>
      <c r="B1824" s="62"/>
      <c r="C1824" s="62" t="s">
        <v>3721</v>
      </c>
      <c r="D1824" s="62"/>
      <c r="E1824" s="62" t="s">
        <v>3722</v>
      </c>
      <c r="F1824" s="62" t="s">
        <v>3723</v>
      </c>
    </row>
    <row r="1825" spans="1:6">
      <c r="A1825" s="38">
        <v>43490</v>
      </c>
      <c r="B1825" s="78"/>
      <c r="C1825" s="78" t="s">
        <v>3724</v>
      </c>
      <c r="D1825" s="78" t="s">
        <v>3725</v>
      </c>
      <c r="E1825" s="78" t="s">
        <v>3726</v>
      </c>
      <c r="F1825" s="78" t="s">
        <v>3727</v>
      </c>
    </row>
    <row r="1826" spans="1:6">
      <c r="A1826" s="38">
        <v>43756</v>
      </c>
      <c r="B1826" s="78"/>
      <c r="C1826" s="78" t="s">
        <v>3728</v>
      </c>
      <c r="D1826" s="78"/>
      <c r="E1826" s="78" t="s">
        <v>3729</v>
      </c>
      <c r="F1826" s="78" t="s">
        <v>3730</v>
      </c>
    </row>
    <row r="1827" spans="1:6">
      <c r="A1827" s="38">
        <v>44081</v>
      </c>
      <c r="B1827" s="79"/>
      <c r="C1827" s="79" t="s">
        <v>3731</v>
      </c>
      <c r="D1827" s="79"/>
      <c r="E1827" s="79" t="s">
        <v>3732</v>
      </c>
      <c r="F1827" s="79" t="s">
        <v>3733</v>
      </c>
    </row>
    <row r="1828" spans="1:6">
      <c r="A1828" s="38">
        <v>44012</v>
      </c>
      <c r="B1828" s="79"/>
      <c r="C1828" s="79" t="s">
        <v>3734</v>
      </c>
      <c r="D1828" s="79"/>
      <c r="E1828" s="79" t="s">
        <v>3735</v>
      </c>
      <c r="F1828" s="79" t="s">
        <v>3736</v>
      </c>
    </row>
    <row r="1829" spans="1:6">
      <c r="A1829" s="38">
        <v>43616</v>
      </c>
      <c r="B1829" s="53"/>
      <c r="C1829" s="53" t="s">
        <v>3737</v>
      </c>
      <c r="D1829" s="53"/>
      <c r="E1829" s="53" t="s">
        <v>3738</v>
      </c>
      <c r="F1829" s="53" t="s">
        <v>3739</v>
      </c>
    </row>
    <row r="1830" spans="1:6">
      <c r="A1830" s="38">
        <v>43887</v>
      </c>
      <c r="B1830" s="53"/>
      <c r="C1830" s="53" t="s">
        <v>3740</v>
      </c>
      <c r="D1830" s="53"/>
      <c r="E1830" s="53" t="s">
        <v>3741</v>
      </c>
      <c r="F1830" s="53" t="s">
        <v>3742</v>
      </c>
    </row>
    <row r="1831" spans="1:6">
      <c r="A1831" s="38">
        <v>43996</v>
      </c>
      <c r="B1831" s="53"/>
      <c r="C1831" s="53" t="s">
        <v>3743</v>
      </c>
      <c r="D1831" s="53"/>
      <c r="E1831" s="53" t="s">
        <v>3744</v>
      </c>
      <c r="F1831" s="53" t="s">
        <v>3745</v>
      </c>
    </row>
    <row r="1832" spans="1:6">
      <c r="A1832" s="38">
        <v>43868</v>
      </c>
      <c r="B1832" s="53"/>
      <c r="C1832" s="53" t="s">
        <v>3746</v>
      </c>
      <c r="D1832" s="53"/>
      <c r="E1832" s="53" t="s">
        <v>3747</v>
      </c>
      <c r="F1832" s="53" t="s">
        <v>3748</v>
      </c>
    </row>
    <row r="1833" spans="1:6">
      <c r="A1833" s="38">
        <v>43760</v>
      </c>
      <c r="B1833" s="79"/>
      <c r="C1833" s="79" t="s">
        <v>3749</v>
      </c>
      <c r="D1833" s="79"/>
      <c r="E1833" s="79" t="s">
        <v>3750</v>
      </c>
      <c r="F1833" s="79" t="s">
        <v>3751</v>
      </c>
    </row>
    <row r="1834" spans="1:6">
      <c r="A1834" s="38">
        <v>43461</v>
      </c>
      <c r="B1834" s="53"/>
      <c r="C1834" s="53" t="s">
        <v>3752</v>
      </c>
      <c r="D1834" s="53"/>
      <c r="E1834" s="53" t="s">
        <v>3753</v>
      </c>
      <c r="F1834" s="53" t="s">
        <v>3754</v>
      </c>
    </row>
    <row r="1835" spans="1:6">
      <c r="B1835" s="87"/>
      <c r="C1835" s="87" t="s">
        <v>3755</v>
      </c>
      <c r="D1835" s="87"/>
      <c r="E1835" s="87" t="s">
        <v>3756</v>
      </c>
      <c r="F1835" s="87" t="s">
        <v>3757</v>
      </c>
    </row>
    <row r="1836" spans="1:6">
      <c r="A1836" s="38">
        <v>43636</v>
      </c>
      <c r="B1836" s="88"/>
      <c r="C1836" s="88" t="s">
        <v>3758</v>
      </c>
      <c r="D1836" s="88"/>
      <c r="E1836" s="88" t="s">
        <v>3759</v>
      </c>
      <c r="F1836" s="88" t="s">
        <v>3760</v>
      </c>
    </row>
    <row r="1837" spans="1:6">
      <c r="A1837" s="39">
        <v>44301</v>
      </c>
      <c r="B1837" s="27">
        <v>1</v>
      </c>
      <c r="C1837" s="27" t="s">
        <v>5697</v>
      </c>
      <c r="D1837" s="27"/>
      <c r="E1837" s="27" t="s">
        <v>5698</v>
      </c>
      <c r="F1837" s="27" t="s">
        <v>5699</v>
      </c>
    </row>
    <row r="1838" spans="1:6">
      <c r="A1838" s="39">
        <v>44512</v>
      </c>
      <c r="B1838" s="27"/>
      <c r="C1838" s="27" t="s">
        <v>5947</v>
      </c>
      <c r="D1838" s="27"/>
      <c r="E1838" s="27" t="s">
        <v>5947</v>
      </c>
      <c r="F1838" s="27" t="s">
        <v>5948</v>
      </c>
    </row>
    <row r="1839" spans="1:6">
      <c r="A1839" s="38">
        <v>44029</v>
      </c>
      <c r="B1839" s="78"/>
      <c r="C1839" s="78" t="s">
        <v>3323</v>
      </c>
      <c r="D1839" s="78"/>
      <c r="E1839" s="78" t="s">
        <v>3323</v>
      </c>
      <c r="F1839" s="78" t="s">
        <v>3324</v>
      </c>
    </row>
    <row r="1840" spans="1:6" s="50" customFormat="1">
      <c r="A1840" s="38">
        <v>43523</v>
      </c>
      <c r="B1840" s="79"/>
      <c r="C1840" s="79" t="s">
        <v>3761</v>
      </c>
      <c r="D1840" s="79"/>
      <c r="E1840" s="79" t="s">
        <v>1655</v>
      </c>
      <c r="F1840" s="79" t="s">
        <v>1656</v>
      </c>
    </row>
    <row r="1841" spans="1:6">
      <c r="A1841" s="38">
        <v>43860</v>
      </c>
      <c r="B1841" s="87"/>
      <c r="C1841" s="87" t="s">
        <v>3762</v>
      </c>
      <c r="D1841" s="87"/>
      <c r="E1841" s="87" t="s">
        <v>3763</v>
      </c>
      <c r="F1841" s="87" t="s">
        <v>3764</v>
      </c>
    </row>
    <row r="1842" spans="1:6">
      <c r="A1842" s="38">
        <v>43867</v>
      </c>
      <c r="B1842" s="88"/>
      <c r="C1842" s="88" t="s">
        <v>3765</v>
      </c>
      <c r="D1842" s="88"/>
      <c r="E1842" s="88" t="s">
        <v>3766</v>
      </c>
      <c r="F1842" s="88" t="s">
        <v>3767</v>
      </c>
    </row>
    <row r="1843" spans="1:6">
      <c r="A1843" s="39">
        <v>44510</v>
      </c>
      <c r="B1843" s="27"/>
      <c r="C1843" s="27" t="s">
        <v>5808</v>
      </c>
      <c r="D1843" s="27"/>
      <c r="E1843" s="27" t="s">
        <v>5808</v>
      </c>
      <c r="F1843" s="27" t="s">
        <v>5809</v>
      </c>
    </row>
    <row r="1844" spans="1:6">
      <c r="A1844" s="38">
        <v>44013</v>
      </c>
      <c r="B1844" s="62"/>
      <c r="C1844" s="62" t="s">
        <v>3768</v>
      </c>
      <c r="D1844" s="62"/>
      <c r="E1844" s="62" t="s">
        <v>3769</v>
      </c>
      <c r="F1844" s="62" t="s">
        <v>3770</v>
      </c>
    </row>
    <row r="1845" spans="1:6">
      <c r="A1845" s="38">
        <v>43724</v>
      </c>
      <c r="B1845" s="78"/>
      <c r="C1845" s="78" t="s">
        <v>3771</v>
      </c>
      <c r="D1845" s="78"/>
      <c r="E1845" s="78" t="s">
        <v>3771</v>
      </c>
      <c r="F1845" s="78" t="s">
        <v>3772</v>
      </c>
    </row>
    <row r="1846" spans="1:6">
      <c r="A1846" s="38">
        <v>43899</v>
      </c>
      <c r="B1846" s="78"/>
      <c r="C1846" s="78" t="s">
        <v>3773</v>
      </c>
      <c r="D1846" s="78"/>
      <c r="E1846" s="78" t="s">
        <v>3773</v>
      </c>
      <c r="F1846" s="78" t="s">
        <v>3774</v>
      </c>
    </row>
    <row r="1847" spans="1:6">
      <c r="A1847" s="38">
        <v>43634</v>
      </c>
      <c r="B1847" s="79"/>
      <c r="C1847" s="79" t="s">
        <v>3775</v>
      </c>
      <c r="D1847" s="79"/>
      <c r="E1847" s="79" t="s">
        <v>3776</v>
      </c>
      <c r="F1847" s="79" t="s">
        <v>3777</v>
      </c>
    </row>
    <row r="1848" spans="1:6">
      <c r="A1848" s="38">
        <v>43761</v>
      </c>
      <c r="B1848" s="79"/>
      <c r="C1848" s="79" t="s">
        <v>3778</v>
      </c>
      <c r="D1848" s="79"/>
      <c r="E1848" s="79" t="s">
        <v>3779</v>
      </c>
      <c r="F1848" s="79" t="s">
        <v>3780</v>
      </c>
    </row>
    <row r="1849" spans="1:6">
      <c r="A1849" s="38">
        <v>43984</v>
      </c>
      <c r="B1849" s="53"/>
      <c r="C1849" s="53" t="s">
        <v>3781</v>
      </c>
      <c r="D1849" s="53"/>
      <c r="E1849" s="53" t="s">
        <v>3782</v>
      </c>
      <c r="F1849" s="53" t="s">
        <v>3783</v>
      </c>
    </row>
    <row r="1850" spans="1:6">
      <c r="A1850" s="38">
        <v>43984</v>
      </c>
      <c r="B1850" s="53"/>
      <c r="C1850" s="53" t="s">
        <v>3785</v>
      </c>
      <c r="D1850" s="53"/>
      <c r="E1850" s="53" t="s">
        <v>3786</v>
      </c>
      <c r="F1850" s="53" t="s">
        <v>3787</v>
      </c>
    </row>
    <row r="1851" spans="1:6">
      <c r="A1851" s="38">
        <v>43819</v>
      </c>
      <c r="B1851" s="53"/>
      <c r="C1851" s="53" t="s">
        <v>3788</v>
      </c>
      <c r="D1851" s="53"/>
      <c r="E1851" s="53" t="s">
        <v>3789</v>
      </c>
      <c r="F1851" s="53" t="s">
        <v>3790</v>
      </c>
    </row>
    <row r="1852" spans="1:6">
      <c r="A1852" s="38">
        <v>43754</v>
      </c>
      <c r="B1852" s="53"/>
      <c r="C1852" s="53" t="s">
        <v>3791</v>
      </c>
      <c r="D1852" s="53"/>
      <c r="E1852" s="53" t="s">
        <v>3792</v>
      </c>
      <c r="F1852" s="53" t="s">
        <v>3793</v>
      </c>
    </row>
    <row r="1853" spans="1:6">
      <c r="A1853" s="38">
        <v>44159</v>
      </c>
      <c r="B1853" s="53"/>
      <c r="C1853" s="53" t="s">
        <v>3794</v>
      </c>
      <c r="D1853" s="53"/>
      <c r="E1853" s="53" t="s">
        <v>3795</v>
      </c>
      <c r="F1853" s="53" t="s">
        <v>3796</v>
      </c>
    </row>
    <row r="1854" spans="1:6">
      <c r="A1854" s="38">
        <v>43738</v>
      </c>
      <c r="B1854" s="53"/>
      <c r="C1854" s="53" t="s">
        <v>3797</v>
      </c>
      <c r="D1854" s="53"/>
      <c r="E1854" s="53" t="s">
        <v>3798</v>
      </c>
      <c r="F1854" s="53" t="s">
        <v>3799</v>
      </c>
    </row>
    <row r="1855" spans="1:6">
      <c r="A1855" s="38">
        <v>44172</v>
      </c>
      <c r="B1855" s="87"/>
      <c r="C1855" s="87" t="s">
        <v>3800</v>
      </c>
      <c r="D1855" s="87"/>
      <c r="E1855" s="87" t="s">
        <v>3801</v>
      </c>
      <c r="F1855" s="87" t="s">
        <v>3802</v>
      </c>
    </row>
    <row r="1856" spans="1:6">
      <c r="A1856" s="38">
        <v>43755</v>
      </c>
      <c r="B1856" s="88"/>
      <c r="C1856" s="88" t="s">
        <v>3803</v>
      </c>
      <c r="D1856" s="88"/>
      <c r="E1856" s="88" t="s">
        <v>3804</v>
      </c>
      <c r="F1856" s="88" t="s">
        <v>3805</v>
      </c>
    </row>
    <row r="1857" spans="1:6">
      <c r="A1857" s="39">
        <v>44510</v>
      </c>
      <c r="B1857" s="27"/>
      <c r="C1857" s="27" t="s">
        <v>6132</v>
      </c>
      <c r="D1857" s="27"/>
      <c r="E1857" s="27" t="s">
        <v>6178</v>
      </c>
      <c r="F1857" s="27" t="s">
        <v>6133</v>
      </c>
    </row>
    <row r="1858" spans="1:6">
      <c r="A1858" s="38">
        <v>43514</v>
      </c>
      <c r="B1858" s="88"/>
      <c r="C1858" s="88" t="s">
        <v>3806</v>
      </c>
      <c r="D1858" s="88"/>
      <c r="E1858" s="88" t="s">
        <v>3806</v>
      </c>
      <c r="F1858" s="88" t="s">
        <v>3807</v>
      </c>
    </row>
    <row r="1859" spans="1:6">
      <c r="A1859" s="39">
        <v>44593</v>
      </c>
      <c r="B1859" s="27"/>
      <c r="C1859" s="27" t="s">
        <v>6224</v>
      </c>
      <c r="D1859" s="27"/>
      <c r="E1859" s="27" t="s">
        <v>6222</v>
      </c>
      <c r="F1859" s="27" t="s">
        <v>6223</v>
      </c>
    </row>
    <row r="1860" spans="1:6">
      <c r="A1860" s="38">
        <v>44173</v>
      </c>
      <c r="B1860" s="79"/>
      <c r="C1860" s="79" t="s">
        <v>3808</v>
      </c>
      <c r="D1860" s="79"/>
      <c r="E1860" s="79" t="s">
        <v>3809</v>
      </c>
      <c r="F1860" s="79" t="s">
        <v>3810</v>
      </c>
    </row>
    <row r="1861" spans="1:6">
      <c r="A1861" s="38">
        <v>44070</v>
      </c>
      <c r="B1861" s="87"/>
      <c r="C1861" s="87" t="s">
        <v>3811</v>
      </c>
      <c r="D1861" s="87" t="s">
        <v>3812</v>
      </c>
      <c r="E1861" s="87" t="s">
        <v>3811</v>
      </c>
      <c r="F1861" s="87" t="s">
        <v>3811</v>
      </c>
    </row>
    <row r="1862" spans="1:6">
      <c r="A1862" s="38">
        <v>44070</v>
      </c>
      <c r="B1862" s="88"/>
      <c r="C1862" s="88" t="s">
        <v>3813</v>
      </c>
      <c r="D1862" s="88" t="s">
        <v>3812</v>
      </c>
      <c r="E1862" s="88" t="s">
        <v>3813</v>
      </c>
      <c r="F1862" s="88" t="s">
        <v>3813</v>
      </c>
    </row>
    <row r="1863" spans="1:6">
      <c r="A1863" s="38">
        <v>44070</v>
      </c>
      <c r="B1863" s="88"/>
      <c r="C1863" s="88" t="s">
        <v>3814</v>
      </c>
      <c r="D1863" s="88" t="s">
        <v>3812</v>
      </c>
      <c r="E1863" s="88" t="s">
        <v>3814</v>
      </c>
      <c r="F1863" s="88" t="s">
        <v>3814</v>
      </c>
    </row>
    <row r="1864" spans="1:6">
      <c r="A1864" s="39">
        <v>44200</v>
      </c>
      <c r="B1864" s="27"/>
      <c r="C1864" s="27" t="s">
        <v>5117</v>
      </c>
      <c r="D1864" s="27"/>
      <c r="E1864" s="27" t="s">
        <v>5283</v>
      </c>
      <c r="F1864" s="27" t="s">
        <v>5450</v>
      </c>
    </row>
    <row r="1865" spans="1:6">
      <c r="A1865" s="39">
        <v>44200</v>
      </c>
      <c r="B1865" s="27"/>
      <c r="C1865" s="27" t="s">
        <v>5118</v>
      </c>
      <c r="D1865" s="27"/>
      <c r="E1865" s="27" t="s">
        <v>5284</v>
      </c>
      <c r="F1865" s="27" t="s">
        <v>5451</v>
      </c>
    </row>
    <row r="1866" spans="1:6">
      <c r="A1866" s="38">
        <v>43644</v>
      </c>
      <c r="B1866" s="58"/>
      <c r="C1866" s="58" t="s">
        <v>3815</v>
      </c>
      <c r="D1866" s="58"/>
      <c r="E1866" s="58" t="s">
        <v>3816</v>
      </c>
      <c r="F1866" s="58" t="s">
        <v>3817</v>
      </c>
    </row>
    <row r="1867" spans="1:6">
      <c r="A1867" s="38">
        <v>43725</v>
      </c>
      <c r="B1867" s="79"/>
      <c r="C1867" s="79" t="s">
        <v>3818</v>
      </c>
      <c r="D1867" s="79"/>
      <c r="E1867" s="79" t="s">
        <v>3819</v>
      </c>
      <c r="F1867" s="79" t="s">
        <v>3820</v>
      </c>
    </row>
    <row r="1868" spans="1:6">
      <c r="A1868" s="38">
        <v>43740</v>
      </c>
      <c r="B1868" s="78"/>
      <c r="C1868" s="78" t="s">
        <v>3821</v>
      </c>
      <c r="D1868" s="78"/>
      <c r="E1868" s="78" t="s">
        <v>3822</v>
      </c>
      <c r="F1868" s="78" t="s">
        <v>3823</v>
      </c>
    </row>
    <row r="1869" spans="1:6">
      <c r="A1869" s="38">
        <v>43726</v>
      </c>
      <c r="B1869" s="78"/>
      <c r="C1869" s="78" t="s">
        <v>3824</v>
      </c>
      <c r="D1869" s="78"/>
      <c r="E1869" s="78" t="s">
        <v>3825</v>
      </c>
      <c r="F1869" s="78" t="s">
        <v>3826</v>
      </c>
    </row>
    <row r="1870" spans="1:6">
      <c r="A1870" s="38">
        <v>43644</v>
      </c>
      <c r="B1870" s="79"/>
      <c r="C1870" s="79" t="s">
        <v>3827</v>
      </c>
      <c r="D1870" s="79"/>
      <c r="E1870" s="79" t="s">
        <v>3828</v>
      </c>
      <c r="F1870" s="79" t="s">
        <v>3829</v>
      </c>
    </row>
    <row r="1871" spans="1:6">
      <c r="A1871" s="38">
        <v>43644</v>
      </c>
      <c r="B1871" s="79"/>
      <c r="C1871" s="79" t="s">
        <v>3830</v>
      </c>
      <c r="D1871" s="79"/>
      <c r="E1871" s="79" t="s">
        <v>3831</v>
      </c>
      <c r="F1871" s="79" t="s">
        <v>3832</v>
      </c>
    </row>
    <row r="1872" spans="1:6">
      <c r="A1872" s="38">
        <v>43644</v>
      </c>
      <c r="B1872" s="78"/>
      <c r="C1872" s="78" t="s">
        <v>3833</v>
      </c>
      <c r="D1872" s="78"/>
      <c r="E1872" s="78" t="s">
        <v>3834</v>
      </c>
      <c r="F1872" s="78" t="s">
        <v>3835</v>
      </c>
    </row>
    <row r="1873" spans="1:6">
      <c r="A1873" s="38">
        <v>43644</v>
      </c>
      <c r="B1873" s="79"/>
      <c r="C1873" s="79" t="s">
        <v>3836</v>
      </c>
      <c r="D1873" s="79"/>
      <c r="E1873" s="79" t="s">
        <v>3837</v>
      </c>
      <c r="F1873" s="79" t="s">
        <v>3838</v>
      </c>
    </row>
    <row r="1874" spans="1:6">
      <c r="A1874" s="38">
        <v>43998</v>
      </c>
      <c r="B1874" s="87"/>
      <c r="C1874" s="87" t="s">
        <v>3839</v>
      </c>
      <c r="D1874" s="87"/>
      <c r="E1874" s="87" t="s">
        <v>3840</v>
      </c>
      <c r="F1874" s="87" t="s">
        <v>3841</v>
      </c>
    </row>
    <row r="1875" spans="1:6">
      <c r="A1875" s="38">
        <v>44006</v>
      </c>
      <c r="B1875" s="88"/>
      <c r="C1875" s="88" t="s">
        <v>3842</v>
      </c>
      <c r="D1875" s="88"/>
      <c r="E1875" s="88" t="s">
        <v>3843</v>
      </c>
      <c r="F1875" s="88" t="s">
        <v>3844</v>
      </c>
    </row>
    <row r="1876" spans="1:6">
      <c r="A1876" s="38">
        <v>43644</v>
      </c>
      <c r="B1876" s="88"/>
      <c r="C1876" s="88" t="s">
        <v>3845</v>
      </c>
      <c r="D1876" s="88"/>
      <c r="E1876" s="88" t="s">
        <v>3846</v>
      </c>
      <c r="F1876" s="88" t="s">
        <v>3847</v>
      </c>
    </row>
    <row r="1877" spans="1:6">
      <c r="A1877" s="39">
        <v>44200</v>
      </c>
      <c r="B1877" s="27"/>
      <c r="C1877" s="27" t="s">
        <v>5119</v>
      </c>
      <c r="D1877" s="27"/>
      <c r="E1877" s="27" t="s">
        <v>5285</v>
      </c>
      <c r="F1877" s="27" t="s">
        <v>3826</v>
      </c>
    </row>
    <row r="1878" spans="1:6">
      <c r="A1878" s="39">
        <v>44200</v>
      </c>
      <c r="B1878" s="27"/>
      <c r="C1878" s="27" t="s">
        <v>5120</v>
      </c>
      <c r="D1878" s="27"/>
      <c r="E1878" s="27" t="s">
        <v>5286</v>
      </c>
      <c r="F1878" s="27" t="s">
        <v>3848</v>
      </c>
    </row>
    <row r="1879" spans="1:6">
      <c r="A1879" s="38">
        <v>43644</v>
      </c>
      <c r="B1879" s="53"/>
      <c r="C1879" s="53" t="s">
        <v>3849</v>
      </c>
      <c r="D1879" s="53"/>
      <c r="E1879" s="53" t="s">
        <v>3850</v>
      </c>
      <c r="F1879" s="53" t="s">
        <v>3098</v>
      </c>
    </row>
    <row r="1880" spans="1:6">
      <c r="A1880" s="38">
        <v>43996</v>
      </c>
      <c r="B1880" s="53"/>
      <c r="C1880" s="53" t="s">
        <v>3851</v>
      </c>
      <c r="D1880" s="53"/>
      <c r="E1880" s="53" t="s">
        <v>3852</v>
      </c>
      <c r="F1880" s="53" t="s">
        <v>3853</v>
      </c>
    </row>
    <row r="1881" spans="1:6">
      <c r="A1881" s="38">
        <v>43725</v>
      </c>
      <c r="B1881" s="53"/>
      <c r="C1881" s="53" t="s">
        <v>3854</v>
      </c>
      <c r="D1881" s="53"/>
      <c r="E1881" s="53" t="s">
        <v>3855</v>
      </c>
      <c r="F1881" s="53" t="s">
        <v>3856</v>
      </c>
    </row>
    <row r="1882" spans="1:6">
      <c r="A1882" s="38">
        <v>43860</v>
      </c>
      <c r="B1882" s="79"/>
      <c r="C1882" s="79" t="s">
        <v>3857</v>
      </c>
      <c r="D1882" s="79"/>
      <c r="E1882" s="79" t="s">
        <v>3858</v>
      </c>
      <c r="F1882" s="79" t="s">
        <v>3859</v>
      </c>
    </row>
    <row r="1883" spans="1:6">
      <c r="A1883" s="38">
        <v>43860</v>
      </c>
      <c r="B1883" s="53"/>
      <c r="C1883" s="53" t="s">
        <v>3860</v>
      </c>
      <c r="D1883" s="53"/>
      <c r="E1883" s="53" t="s">
        <v>3861</v>
      </c>
      <c r="F1883" s="53" t="s">
        <v>3862</v>
      </c>
    </row>
    <row r="1884" spans="1:6">
      <c r="A1884" s="38">
        <v>43860</v>
      </c>
      <c r="B1884" s="87"/>
      <c r="C1884" s="87" t="s">
        <v>3863</v>
      </c>
      <c r="D1884" s="87"/>
      <c r="E1884" s="87" t="s">
        <v>3864</v>
      </c>
      <c r="F1884" s="87" t="s">
        <v>3865</v>
      </c>
    </row>
    <row r="1885" spans="1:6">
      <c r="A1885" s="38">
        <v>43860</v>
      </c>
      <c r="B1885" s="88"/>
      <c r="C1885" s="88" t="s">
        <v>3866</v>
      </c>
      <c r="D1885" s="88"/>
      <c r="E1885" s="88" t="s">
        <v>3867</v>
      </c>
      <c r="F1885" s="88" t="s">
        <v>3868</v>
      </c>
    </row>
    <row r="1886" spans="1:6">
      <c r="A1886" s="38">
        <v>44123</v>
      </c>
      <c r="B1886" s="88"/>
      <c r="C1886" s="88" t="s">
        <v>3869</v>
      </c>
      <c r="D1886" s="88"/>
      <c r="E1886" s="88" t="s">
        <v>3870</v>
      </c>
      <c r="F1886" s="88" t="s">
        <v>3871</v>
      </c>
    </row>
    <row r="1887" spans="1:6">
      <c r="A1887" s="39">
        <v>44199</v>
      </c>
      <c r="B1887" s="27"/>
      <c r="C1887" s="27" t="s">
        <v>4696</v>
      </c>
      <c r="D1887" s="27"/>
      <c r="E1887" s="27" t="s">
        <v>4937</v>
      </c>
      <c r="F1887" s="27" t="s">
        <v>4938</v>
      </c>
    </row>
    <row r="1888" spans="1:6">
      <c r="A1888" s="39">
        <v>44199</v>
      </c>
      <c r="B1888" s="27"/>
      <c r="C1888" s="27" t="s">
        <v>4697</v>
      </c>
      <c r="D1888" s="27"/>
      <c r="E1888" s="27" t="s">
        <v>4939</v>
      </c>
      <c r="F1888" s="27" t="s">
        <v>4940</v>
      </c>
    </row>
    <row r="1889" spans="1:6">
      <c r="A1889" s="38">
        <v>44056</v>
      </c>
      <c r="B1889" s="88"/>
      <c r="C1889" s="88" t="s">
        <v>3872</v>
      </c>
      <c r="D1889" s="88"/>
      <c r="E1889" s="88" t="s">
        <v>3873</v>
      </c>
      <c r="F1889" s="88" t="s">
        <v>3874</v>
      </c>
    </row>
    <row r="1890" spans="1:6">
      <c r="A1890" s="38">
        <v>44085</v>
      </c>
      <c r="B1890" s="88"/>
      <c r="C1890" s="88" t="s">
        <v>3875</v>
      </c>
      <c r="D1890" s="88"/>
      <c r="E1890" s="88" t="s">
        <v>3876</v>
      </c>
      <c r="F1890" s="88" t="s">
        <v>3877</v>
      </c>
    </row>
    <row r="1891" spans="1:6">
      <c r="A1891" s="39">
        <v>44199</v>
      </c>
      <c r="B1891" s="27"/>
      <c r="C1891" s="27" t="s">
        <v>4698</v>
      </c>
      <c r="D1891" s="27"/>
      <c r="E1891" s="27" t="s">
        <v>4941</v>
      </c>
      <c r="F1891" s="27" t="s">
        <v>4942</v>
      </c>
    </row>
    <row r="1892" spans="1:6">
      <c r="A1892" s="38">
        <v>43739</v>
      </c>
      <c r="B1892" s="79"/>
      <c r="C1892" s="79" t="s">
        <v>3878</v>
      </c>
      <c r="D1892" s="79"/>
      <c r="E1892" s="79" t="s">
        <v>3879</v>
      </c>
      <c r="F1892" s="79" t="s">
        <v>3880</v>
      </c>
    </row>
    <row r="1893" spans="1:6">
      <c r="A1893" s="38">
        <v>43489</v>
      </c>
      <c r="B1893" s="79"/>
      <c r="C1893" s="79" t="s">
        <v>3881</v>
      </c>
      <c r="D1893" s="79"/>
      <c r="E1893" s="79" t="s">
        <v>3882</v>
      </c>
      <c r="F1893" s="79" t="s">
        <v>3883</v>
      </c>
    </row>
    <row r="1894" spans="1:6">
      <c r="A1894" s="38">
        <v>43886</v>
      </c>
      <c r="B1894" s="79"/>
      <c r="C1894" s="79" t="s">
        <v>3884</v>
      </c>
      <c r="D1894" s="79"/>
      <c r="E1894" s="79" t="s">
        <v>3885</v>
      </c>
      <c r="F1894" s="79" t="s">
        <v>3886</v>
      </c>
    </row>
    <row r="1895" spans="1:6">
      <c r="A1895" s="38">
        <v>43868</v>
      </c>
      <c r="B1895" s="78"/>
      <c r="C1895" s="78" t="s">
        <v>3887</v>
      </c>
      <c r="D1895" s="78"/>
      <c r="E1895" s="78" t="s">
        <v>3888</v>
      </c>
      <c r="F1895" s="78" t="s">
        <v>3889</v>
      </c>
    </row>
    <row r="1896" spans="1:6">
      <c r="A1896" s="38">
        <v>43860</v>
      </c>
      <c r="B1896" s="79"/>
      <c r="C1896" s="79" t="s">
        <v>3890</v>
      </c>
      <c r="D1896" s="79"/>
      <c r="E1896" s="79" t="s">
        <v>3891</v>
      </c>
      <c r="F1896" s="79" t="s">
        <v>3892</v>
      </c>
    </row>
    <row r="1897" spans="1:6">
      <c r="A1897" s="38">
        <v>43864</v>
      </c>
      <c r="B1897" s="79"/>
      <c r="C1897" s="79" t="s">
        <v>3893</v>
      </c>
      <c r="D1897" s="79"/>
      <c r="E1897" s="79" t="s">
        <v>3894</v>
      </c>
      <c r="F1897" s="79" t="s">
        <v>3895</v>
      </c>
    </row>
    <row r="1898" spans="1:6">
      <c r="A1898" s="38">
        <v>43467</v>
      </c>
      <c r="B1898" s="79"/>
      <c r="C1898" s="79" t="s">
        <v>3896</v>
      </c>
      <c r="D1898" s="79"/>
      <c r="E1898" s="79" t="s">
        <v>3897</v>
      </c>
      <c r="F1898" s="79" t="s">
        <v>3898</v>
      </c>
    </row>
    <row r="1899" spans="1:6">
      <c r="A1899" s="38">
        <v>43860</v>
      </c>
      <c r="B1899" s="58"/>
      <c r="C1899" s="58" t="s">
        <v>3899</v>
      </c>
      <c r="D1899" s="58"/>
      <c r="E1899" s="58" t="s">
        <v>3900</v>
      </c>
      <c r="F1899" s="58" t="s">
        <v>3901</v>
      </c>
    </row>
    <row r="1900" spans="1:6">
      <c r="A1900" s="38">
        <v>43860</v>
      </c>
      <c r="B1900" s="62"/>
      <c r="C1900" s="62" t="s">
        <v>3902</v>
      </c>
      <c r="D1900" s="62"/>
      <c r="E1900" s="62" t="s">
        <v>3903</v>
      </c>
      <c r="F1900" s="62" t="s">
        <v>3904</v>
      </c>
    </row>
    <row r="1901" spans="1:6">
      <c r="A1901" s="38">
        <v>43868</v>
      </c>
      <c r="B1901" s="78"/>
      <c r="C1901" s="78" t="s">
        <v>3905</v>
      </c>
      <c r="D1901" s="78"/>
      <c r="E1901" s="78" t="s">
        <v>3906</v>
      </c>
      <c r="F1901" s="78" t="s">
        <v>3907</v>
      </c>
    </row>
    <row r="1902" spans="1:6">
      <c r="A1902" s="38">
        <v>43868</v>
      </c>
      <c r="B1902" s="87"/>
      <c r="C1902" s="87" t="s">
        <v>3908</v>
      </c>
      <c r="D1902" s="87"/>
      <c r="E1902" s="87" t="s">
        <v>3909</v>
      </c>
      <c r="F1902" s="87" t="s">
        <v>3910</v>
      </c>
    </row>
    <row r="1903" spans="1:6">
      <c r="A1903" s="38">
        <v>43860</v>
      </c>
      <c r="B1903" s="88"/>
      <c r="C1903" s="88" t="s">
        <v>3911</v>
      </c>
      <c r="D1903" s="88"/>
      <c r="E1903" s="88" t="s">
        <v>3912</v>
      </c>
      <c r="F1903" s="88" t="s">
        <v>3913</v>
      </c>
    </row>
    <row r="1904" spans="1:6">
      <c r="A1904" s="38">
        <v>43609</v>
      </c>
      <c r="B1904" s="88"/>
      <c r="C1904" s="88" t="s">
        <v>3914</v>
      </c>
      <c r="D1904" s="88"/>
      <c r="E1904" s="88" t="s">
        <v>3915</v>
      </c>
      <c r="F1904" s="88" t="s">
        <v>3916</v>
      </c>
    </row>
    <row r="1905" spans="1:6">
      <c r="A1905" s="39">
        <v>44200</v>
      </c>
      <c r="B1905" s="27"/>
      <c r="C1905" s="27" t="s">
        <v>5121</v>
      </c>
      <c r="D1905" s="27"/>
      <c r="E1905" s="27" t="s">
        <v>5287</v>
      </c>
      <c r="F1905" s="27" t="s">
        <v>5452</v>
      </c>
    </row>
    <row r="1906" spans="1:6">
      <c r="A1906" s="39">
        <v>44510</v>
      </c>
      <c r="B1906" s="27"/>
      <c r="C1906" s="27" t="s">
        <v>6136</v>
      </c>
      <c r="D1906" s="27"/>
      <c r="E1906" s="27" t="s">
        <v>5861</v>
      </c>
      <c r="F1906" s="27" t="s">
        <v>5862</v>
      </c>
    </row>
    <row r="1907" spans="1:6">
      <c r="A1907" s="39">
        <v>44510</v>
      </c>
      <c r="B1907" s="27"/>
      <c r="C1907" s="27" t="s">
        <v>6137</v>
      </c>
      <c r="D1907" s="27"/>
      <c r="E1907" s="27" t="s">
        <v>5801</v>
      </c>
      <c r="F1907" s="27" t="s">
        <v>5802</v>
      </c>
    </row>
    <row r="1908" spans="1:6">
      <c r="A1908" s="38">
        <v>44123</v>
      </c>
      <c r="B1908" s="88"/>
      <c r="C1908" s="88" t="s">
        <v>3917</v>
      </c>
      <c r="D1908" s="88"/>
      <c r="E1908" s="88" t="s">
        <v>3918</v>
      </c>
      <c r="F1908" s="88" t="s">
        <v>3919</v>
      </c>
    </row>
    <row r="1909" spans="1:6">
      <c r="A1909" s="38">
        <v>44123</v>
      </c>
      <c r="B1909" s="88"/>
      <c r="C1909" s="88" t="s">
        <v>3920</v>
      </c>
      <c r="D1909" s="88"/>
      <c r="E1909" s="88" t="s">
        <v>3921</v>
      </c>
      <c r="F1909" s="88" t="s">
        <v>3922</v>
      </c>
    </row>
    <row r="1910" spans="1:6">
      <c r="A1910" s="39">
        <v>44512</v>
      </c>
      <c r="B1910" s="27"/>
      <c r="C1910" s="27" t="s">
        <v>5960</v>
      </c>
      <c r="D1910" s="27"/>
      <c r="E1910" s="27" t="s">
        <v>5960</v>
      </c>
      <c r="F1910" s="27" t="s">
        <v>5960</v>
      </c>
    </row>
    <row r="1911" spans="1:6">
      <c r="A1911" s="39">
        <v>44512</v>
      </c>
      <c r="B1911" s="27"/>
      <c r="C1911" s="27" t="s">
        <v>6056</v>
      </c>
      <c r="D1911" s="27"/>
      <c r="E1911" s="27" t="s">
        <v>6056</v>
      </c>
      <c r="F1911" s="27" t="s">
        <v>6056</v>
      </c>
    </row>
    <row r="1912" spans="1:6">
      <c r="A1912" s="38">
        <v>43726</v>
      </c>
      <c r="B1912" s="88"/>
      <c r="C1912" s="88" t="s">
        <v>3923</v>
      </c>
      <c r="D1912" s="88" t="s">
        <v>3924</v>
      </c>
      <c r="E1912" s="88" t="s">
        <v>3925</v>
      </c>
      <c r="F1912" s="88" t="s">
        <v>3926</v>
      </c>
    </row>
    <row r="1913" spans="1:6">
      <c r="A1913" s="39">
        <v>44199</v>
      </c>
      <c r="B1913" s="27"/>
      <c r="C1913" s="27" t="s">
        <v>4699</v>
      </c>
      <c r="D1913" s="27"/>
      <c r="E1913" s="27" t="s">
        <v>4699</v>
      </c>
      <c r="F1913" s="27" t="s">
        <v>4943</v>
      </c>
    </row>
    <row r="1914" spans="1:6">
      <c r="A1914" s="38">
        <v>44120</v>
      </c>
      <c r="B1914" s="88"/>
      <c r="C1914" s="88" t="s">
        <v>3927</v>
      </c>
      <c r="D1914" s="88"/>
      <c r="E1914" s="88" t="s">
        <v>3928</v>
      </c>
      <c r="F1914" s="88" t="s">
        <v>3929</v>
      </c>
    </row>
    <row r="1915" spans="1:6">
      <c r="A1915" s="39">
        <v>44301</v>
      </c>
      <c r="B1915" s="27">
        <v>1</v>
      </c>
      <c r="C1915" s="27" t="s">
        <v>5700</v>
      </c>
      <c r="D1915" s="27"/>
      <c r="E1915" s="27" t="s">
        <v>5701</v>
      </c>
      <c r="F1915" s="27" t="s">
        <v>5702</v>
      </c>
    </row>
    <row r="1916" spans="1:6">
      <c r="A1916" s="38">
        <v>43740</v>
      </c>
      <c r="B1916" s="78"/>
      <c r="C1916" s="78" t="s">
        <v>3930</v>
      </c>
      <c r="D1916" s="78"/>
      <c r="E1916" s="78" t="s">
        <v>3931</v>
      </c>
      <c r="F1916" s="78" t="s">
        <v>3932</v>
      </c>
    </row>
    <row r="1917" spans="1:6">
      <c r="A1917" s="38">
        <v>43609</v>
      </c>
      <c r="B1917" s="87"/>
      <c r="C1917" s="87" t="s">
        <v>3933</v>
      </c>
      <c r="D1917" s="87"/>
      <c r="E1917" s="87" t="s">
        <v>3934</v>
      </c>
      <c r="F1917" s="87" t="s">
        <v>3934</v>
      </c>
    </row>
    <row r="1918" spans="1:6">
      <c r="A1918" s="38">
        <v>43763</v>
      </c>
      <c r="B1918" s="88"/>
      <c r="C1918" s="88" t="s">
        <v>3935</v>
      </c>
      <c r="D1918" s="88"/>
      <c r="E1918" s="88" t="s">
        <v>3936</v>
      </c>
      <c r="F1918" s="88" t="s">
        <v>3937</v>
      </c>
    </row>
    <row r="1919" spans="1:6">
      <c r="A1919" s="38">
        <v>44159</v>
      </c>
      <c r="B1919" s="88"/>
      <c r="C1919" s="88" t="s">
        <v>3938</v>
      </c>
      <c r="D1919" s="88"/>
      <c r="E1919" s="88" t="s">
        <v>3939</v>
      </c>
      <c r="F1919" s="88" t="s">
        <v>3940</v>
      </c>
    </row>
    <row r="1920" spans="1:6">
      <c r="A1920" s="39">
        <v>44199</v>
      </c>
      <c r="B1920" s="27"/>
      <c r="C1920" s="27" t="s">
        <v>4700</v>
      </c>
      <c r="D1920" s="27"/>
      <c r="E1920" s="27" t="s">
        <v>4944</v>
      </c>
      <c r="F1920" s="27" t="s">
        <v>4945</v>
      </c>
    </row>
    <row r="1921" spans="1:6">
      <c r="A1921" s="39">
        <v>44301</v>
      </c>
      <c r="B1921" s="27">
        <v>1</v>
      </c>
      <c r="C1921" s="27" t="s">
        <v>5703</v>
      </c>
      <c r="D1921" s="27"/>
      <c r="E1921" s="27" t="s">
        <v>5704</v>
      </c>
      <c r="F1921" s="27" t="s">
        <v>5705</v>
      </c>
    </row>
    <row r="1922" spans="1:6">
      <c r="A1922" s="38">
        <v>44029</v>
      </c>
      <c r="B1922" s="88"/>
      <c r="C1922" s="88" t="s">
        <v>3941</v>
      </c>
      <c r="D1922" s="88"/>
      <c r="E1922" s="88" t="s">
        <v>3941</v>
      </c>
      <c r="F1922" s="88" t="s">
        <v>3942</v>
      </c>
    </row>
    <row r="1923" spans="1:6">
      <c r="A1923" s="39">
        <v>44199</v>
      </c>
      <c r="B1923" s="27"/>
      <c r="C1923" s="27" t="s">
        <v>4701</v>
      </c>
      <c r="D1923" s="27"/>
      <c r="E1923" s="27" t="s">
        <v>4946</v>
      </c>
      <c r="F1923" s="27" t="s">
        <v>4947</v>
      </c>
    </row>
    <row r="1924" spans="1:6">
      <c r="A1924" s="39">
        <v>44510</v>
      </c>
      <c r="B1924" s="27"/>
      <c r="C1924" s="27" t="s">
        <v>6134</v>
      </c>
      <c r="D1924" s="27"/>
      <c r="E1924" s="27" t="s">
        <v>4511</v>
      </c>
      <c r="F1924" s="27" t="s">
        <v>6135</v>
      </c>
    </row>
    <row r="1925" spans="1:6">
      <c r="A1925" s="38">
        <v>44064</v>
      </c>
      <c r="B1925" s="53"/>
      <c r="C1925" s="53" t="s">
        <v>3943</v>
      </c>
      <c r="D1925" s="53"/>
      <c r="E1925" s="53" t="s">
        <v>3944</v>
      </c>
      <c r="F1925" s="53" t="s">
        <v>3945</v>
      </c>
    </row>
    <row r="1926" spans="1:6">
      <c r="A1926" s="38">
        <v>44060</v>
      </c>
      <c r="B1926" s="87"/>
      <c r="C1926" s="87" t="s">
        <v>3946</v>
      </c>
      <c r="D1926" s="87"/>
      <c r="E1926" s="87" t="s">
        <v>3947</v>
      </c>
      <c r="F1926" s="87" t="s">
        <v>3948</v>
      </c>
    </row>
    <row r="1927" spans="1:6">
      <c r="A1927" s="38">
        <v>43867</v>
      </c>
      <c r="B1927" s="88"/>
      <c r="C1927" s="88" t="s">
        <v>3949</v>
      </c>
      <c r="D1927" s="88"/>
      <c r="E1927" s="88" t="s">
        <v>3950</v>
      </c>
      <c r="F1927" s="88" t="s">
        <v>3951</v>
      </c>
    </row>
    <row r="1928" spans="1:6">
      <c r="A1928" s="38">
        <v>43725</v>
      </c>
      <c r="B1928" s="88"/>
      <c r="C1928" s="88" t="s">
        <v>3952</v>
      </c>
      <c r="D1928" s="88"/>
      <c r="E1928" s="88" t="s">
        <v>3953</v>
      </c>
      <c r="F1928" s="88" t="s">
        <v>3954</v>
      </c>
    </row>
    <row r="1929" spans="1:6">
      <c r="A1929" s="39">
        <v>44510</v>
      </c>
      <c r="B1929" s="27"/>
      <c r="C1929" s="27" t="s">
        <v>5791</v>
      </c>
      <c r="D1929" s="27"/>
      <c r="E1929" s="27" t="s">
        <v>5792</v>
      </c>
      <c r="F1929" s="27" t="s">
        <v>5793</v>
      </c>
    </row>
    <row r="1930" spans="1:6">
      <c r="A1930" s="39">
        <v>44510</v>
      </c>
      <c r="B1930" s="27"/>
      <c r="C1930" s="27" t="s">
        <v>5796</v>
      </c>
      <c r="D1930" s="27"/>
      <c r="E1930" s="27" t="s">
        <v>5795</v>
      </c>
      <c r="F1930" s="27" t="s">
        <v>5797</v>
      </c>
    </row>
    <row r="1931" spans="1:6">
      <c r="A1931" s="38">
        <v>43128</v>
      </c>
      <c r="B1931" s="87"/>
      <c r="C1931" s="87" t="s">
        <v>3955</v>
      </c>
      <c r="D1931" s="87"/>
      <c r="E1931" s="87" t="s">
        <v>3956</v>
      </c>
      <c r="F1931" s="87" t="s">
        <v>3957</v>
      </c>
    </row>
    <row r="1932" spans="1:6">
      <c r="A1932" s="38">
        <v>43893</v>
      </c>
      <c r="B1932" s="88"/>
      <c r="C1932" s="88" t="s">
        <v>3958</v>
      </c>
      <c r="D1932" s="88"/>
      <c r="E1932" s="88" t="s">
        <v>3959</v>
      </c>
      <c r="F1932" s="88" t="s">
        <v>3960</v>
      </c>
    </row>
    <row r="1933" spans="1:6">
      <c r="A1933" s="38">
        <v>43893</v>
      </c>
      <c r="B1933" s="88"/>
      <c r="C1933" s="88" t="s">
        <v>3961</v>
      </c>
      <c r="D1933" s="88"/>
      <c r="E1933" s="88" t="s">
        <v>3962</v>
      </c>
      <c r="F1933" s="88" t="s">
        <v>3963</v>
      </c>
    </row>
    <row r="1934" spans="1:6">
      <c r="A1934" s="39">
        <v>44199</v>
      </c>
      <c r="B1934" s="27"/>
      <c r="C1934" s="27" t="s">
        <v>4702</v>
      </c>
      <c r="D1934" s="27"/>
      <c r="E1934" s="27" t="s">
        <v>4948</v>
      </c>
      <c r="F1934" s="27" t="s">
        <v>4949</v>
      </c>
    </row>
    <row r="1935" spans="1:6">
      <c r="A1935" s="38">
        <v>44159</v>
      </c>
      <c r="B1935" s="79"/>
      <c r="C1935" s="79" t="s">
        <v>3964</v>
      </c>
      <c r="D1935" s="79"/>
      <c r="E1935" s="79" t="s">
        <v>3965</v>
      </c>
      <c r="F1935" s="79" t="s">
        <v>3965</v>
      </c>
    </row>
    <row r="1936" spans="1:6">
      <c r="A1936" s="38">
        <v>43393</v>
      </c>
      <c r="B1936" s="79"/>
      <c r="C1936" s="79" t="s">
        <v>3966</v>
      </c>
      <c r="D1936" s="79"/>
      <c r="E1936" s="79" t="s">
        <v>3966</v>
      </c>
      <c r="F1936" s="79" t="s">
        <v>3967</v>
      </c>
    </row>
    <row r="1937" spans="1:6">
      <c r="A1937" s="38">
        <v>44091</v>
      </c>
      <c r="B1937" s="79"/>
      <c r="C1937" s="79" t="s">
        <v>3968</v>
      </c>
      <c r="D1937" s="79"/>
      <c r="E1937" s="79" t="s">
        <v>3969</v>
      </c>
      <c r="F1937" s="79" t="s">
        <v>3970</v>
      </c>
    </row>
    <row r="1938" spans="1:6">
      <c r="A1938" s="38">
        <v>43647</v>
      </c>
      <c r="B1938" s="53"/>
      <c r="C1938" s="53" t="s">
        <v>3971</v>
      </c>
      <c r="D1938" s="53"/>
      <c r="E1938" s="53" t="s">
        <v>3972</v>
      </c>
      <c r="F1938" s="53" t="s">
        <v>3973</v>
      </c>
    </row>
    <row r="1939" spans="1:6">
      <c r="A1939" s="38">
        <v>43719</v>
      </c>
      <c r="B1939" s="53"/>
      <c r="C1939" s="53" t="s">
        <v>3974</v>
      </c>
      <c r="D1939" s="53"/>
      <c r="E1939" s="53" t="s">
        <v>3975</v>
      </c>
      <c r="F1939" s="53" t="s">
        <v>3976</v>
      </c>
    </row>
    <row r="1940" spans="1:6">
      <c r="A1940" s="38">
        <v>43465</v>
      </c>
      <c r="B1940" s="79"/>
      <c r="C1940" s="79" t="s">
        <v>3977</v>
      </c>
      <c r="D1940" s="79"/>
      <c r="E1940" s="79" t="s">
        <v>3978</v>
      </c>
      <c r="F1940" s="79" t="s">
        <v>3979</v>
      </c>
    </row>
    <row r="1941" spans="1:6">
      <c r="B1941" s="79"/>
      <c r="C1941" s="79" t="s">
        <v>3980</v>
      </c>
      <c r="D1941" s="79"/>
      <c r="E1941" s="79" t="s">
        <v>3981</v>
      </c>
      <c r="F1941" s="79" t="s">
        <v>3982</v>
      </c>
    </row>
    <row r="1942" spans="1:6">
      <c r="A1942" s="38">
        <v>43608</v>
      </c>
      <c r="B1942" s="61"/>
      <c r="C1942" s="61" t="s">
        <v>3983</v>
      </c>
      <c r="D1942" s="61"/>
      <c r="E1942" s="61" t="s">
        <v>3984</v>
      </c>
      <c r="F1942" s="61" t="s">
        <v>3985</v>
      </c>
    </row>
    <row r="1943" spans="1:6">
      <c r="A1943" s="38">
        <v>43647</v>
      </c>
      <c r="B1943" s="79"/>
      <c r="C1943" s="79" t="s">
        <v>3986</v>
      </c>
      <c r="D1943" s="79"/>
      <c r="E1943" s="79" t="s">
        <v>3987</v>
      </c>
      <c r="F1943" s="79" t="s">
        <v>3988</v>
      </c>
    </row>
    <row r="1944" spans="1:6">
      <c r="A1944" s="38">
        <v>43587</v>
      </c>
      <c r="B1944" s="79"/>
      <c r="C1944" s="79" t="s">
        <v>3989</v>
      </c>
      <c r="D1944" s="79"/>
      <c r="E1944" s="79" t="s">
        <v>3990</v>
      </c>
      <c r="F1944" s="79" t="s">
        <v>3991</v>
      </c>
    </row>
    <row r="1945" spans="1:6">
      <c r="A1945" s="38">
        <v>43592</v>
      </c>
      <c r="B1945" s="79"/>
      <c r="C1945" s="79" t="s">
        <v>3992</v>
      </c>
      <c r="D1945" s="79"/>
      <c r="E1945" s="79" t="s">
        <v>3993</v>
      </c>
      <c r="F1945" s="79" t="s">
        <v>3994</v>
      </c>
    </row>
    <row r="1946" spans="1:6">
      <c r="A1946" s="38">
        <v>44123</v>
      </c>
      <c r="B1946" s="79"/>
      <c r="C1946" s="79" t="s">
        <v>3995</v>
      </c>
      <c r="D1946" s="79"/>
      <c r="E1946" s="79" t="s">
        <v>3996</v>
      </c>
      <c r="F1946" s="79" t="s">
        <v>3997</v>
      </c>
    </row>
    <row r="1947" spans="1:6">
      <c r="A1947" s="38">
        <v>43719</v>
      </c>
      <c r="B1947" s="53"/>
      <c r="C1947" s="53" t="s">
        <v>3998</v>
      </c>
      <c r="D1947" s="53"/>
      <c r="E1947" s="53" t="s">
        <v>3999</v>
      </c>
      <c r="F1947" s="53" t="s">
        <v>4000</v>
      </c>
    </row>
    <row r="1948" spans="1:6">
      <c r="A1948" s="38">
        <v>43719</v>
      </c>
      <c r="B1948" s="53"/>
      <c r="C1948" s="53" t="s">
        <v>4001</v>
      </c>
      <c r="D1948" s="53"/>
      <c r="E1948" s="53" t="s">
        <v>4002</v>
      </c>
      <c r="F1948" s="53" t="s">
        <v>4003</v>
      </c>
    </row>
    <row r="1949" spans="1:6">
      <c r="A1949" s="38">
        <v>44082</v>
      </c>
      <c r="B1949" s="53"/>
      <c r="C1949" s="53" t="s">
        <v>4004</v>
      </c>
      <c r="D1949" s="53"/>
      <c r="E1949" s="53" t="s">
        <v>4005</v>
      </c>
      <c r="F1949" s="53" t="s">
        <v>4006</v>
      </c>
    </row>
    <row r="1950" spans="1:6">
      <c r="A1950" s="38">
        <v>44120</v>
      </c>
      <c r="B1950" s="53"/>
      <c r="C1950" s="53" t="s">
        <v>4007</v>
      </c>
      <c r="D1950" s="53"/>
      <c r="E1950" s="53" t="s">
        <v>4008</v>
      </c>
      <c r="F1950" s="53" t="s">
        <v>4009</v>
      </c>
    </row>
    <row r="1951" spans="1:6">
      <c r="A1951" s="38">
        <v>44053</v>
      </c>
      <c r="B1951" s="79"/>
      <c r="C1951" s="79" t="s">
        <v>4010</v>
      </c>
      <c r="D1951" s="79"/>
      <c r="E1951" s="79" t="s">
        <v>4011</v>
      </c>
      <c r="F1951" s="79" t="s">
        <v>4012</v>
      </c>
    </row>
    <row r="1952" spans="1:6">
      <c r="A1952" s="38">
        <v>44060</v>
      </c>
      <c r="B1952" s="79"/>
      <c r="C1952" s="79" t="s">
        <v>4013</v>
      </c>
      <c r="D1952" s="79"/>
      <c r="E1952" s="79" t="s">
        <v>4014</v>
      </c>
      <c r="F1952" s="79" t="s">
        <v>4015</v>
      </c>
    </row>
    <row r="1953" spans="1:6">
      <c r="A1953" s="38">
        <v>43587</v>
      </c>
      <c r="B1953" s="53"/>
      <c r="C1953" s="53" t="s">
        <v>4016</v>
      </c>
      <c r="D1953" s="53"/>
      <c r="E1953" s="53" t="s">
        <v>4017</v>
      </c>
      <c r="F1953" s="53" t="s">
        <v>4018</v>
      </c>
    </row>
    <row r="1954" spans="1:6">
      <c r="A1954" s="38">
        <v>43467</v>
      </c>
      <c r="B1954" s="58"/>
      <c r="C1954" s="58" t="s">
        <v>4019</v>
      </c>
      <c r="D1954" s="58"/>
      <c r="E1954" s="58" t="s">
        <v>4020</v>
      </c>
      <c r="F1954" s="58" t="s">
        <v>4021</v>
      </c>
    </row>
    <row r="1955" spans="1:6">
      <c r="A1955" s="38">
        <v>44053</v>
      </c>
      <c r="B1955" s="61"/>
      <c r="C1955" s="61" t="s">
        <v>4022</v>
      </c>
      <c r="D1955" s="61"/>
      <c r="E1955" s="61" t="s">
        <v>4023</v>
      </c>
      <c r="F1955" s="61" t="s">
        <v>4024</v>
      </c>
    </row>
    <row r="1956" spans="1:6">
      <c r="A1956" s="38">
        <v>44053</v>
      </c>
      <c r="B1956" s="62"/>
      <c r="C1956" s="62" t="s">
        <v>4025</v>
      </c>
      <c r="D1956" s="62"/>
      <c r="E1956" s="62" t="s">
        <v>4026</v>
      </c>
      <c r="F1956" s="62" t="s">
        <v>4027</v>
      </c>
    </row>
    <row r="1957" spans="1:6">
      <c r="A1957" s="38">
        <v>43724</v>
      </c>
      <c r="B1957" s="78"/>
      <c r="C1957" s="78" t="s">
        <v>4028</v>
      </c>
      <c r="D1957" s="78"/>
      <c r="E1957" s="78" t="s">
        <v>4029</v>
      </c>
      <c r="F1957" s="78" t="s">
        <v>4030</v>
      </c>
    </row>
    <row r="1958" spans="1:6">
      <c r="A1958" s="38">
        <v>44054</v>
      </c>
      <c r="B1958" s="78"/>
      <c r="C1958" s="78" t="s">
        <v>4031</v>
      </c>
      <c r="D1958" s="78"/>
      <c r="E1958" s="78" t="s">
        <v>4032</v>
      </c>
      <c r="F1958" s="78" t="s">
        <v>4033</v>
      </c>
    </row>
    <row r="1959" spans="1:6">
      <c r="A1959" s="38">
        <v>43587</v>
      </c>
      <c r="B1959" s="79"/>
      <c r="C1959" s="79" t="s">
        <v>4034</v>
      </c>
      <c r="D1959" s="79"/>
      <c r="E1959" s="79" t="s">
        <v>4035</v>
      </c>
      <c r="F1959" s="79" t="s">
        <v>4036</v>
      </c>
    </row>
    <row r="1960" spans="1:6">
      <c r="A1960" s="38">
        <v>43724</v>
      </c>
      <c r="B1960" s="87"/>
      <c r="C1960" s="87" t="s">
        <v>4037</v>
      </c>
      <c r="D1960" s="87"/>
      <c r="E1960" s="87" t="s">
        <v>4038</v>
      </c>
      <c r="F1960" s="87" t="s">
        <v>4039</v>
      </c>
    </row>
    <row r="1961" spans="1:6">
      <c r="A1961" s="38">
        <v>43608</v>
      </c>
      <c r="B1961" s="88"/>
      <c r="C1961" s="88" t="s">
        <v>4040</v>
      </c>
      <c r="D1961" s="88"/>
      <c r="E1961" s="88" t="s">
        <v>4041</v>
      </c>
      <c r="F1961" s="88" t="s">
        <v>4042</v>
      </c>
    </row>
    <row r="1962" spans="1:6">
      <c r="A1962" s="38">
        <v>43588</v>
      </c>
      <c r="B1962" s="88"/>
      <c r="C1962" s="88" t="s">
        <v>4043</v>
      </c>
      <c r="D1962" s="88"/>
      <c r="E1962" s="88" t="s">
        <v>4044</v>
      </c>
      <c r="F1962" s="88" t="s">
        <v>4045</v>
      </c>
    </row>
    <row r="1963" spans="1:6">
      <c r="A1963" s="39">
        <v>44301</v>
      </c>
      <c r="B1963" s="27">
        <v>1</v>
      </c>
      <c r="C1963" s="27" t="s">
        <v>5706</v>
      </c>
      <c r="D1963" s="27"/>
      <c r="E1963" s="27" t="s">
        <v>5707</v>
      </c>
      <c r="F1963" s="27" t="s">
        <v>5708</v>
      </c>
    </row>
    <row r="1964" spans="1:6">
      <c r="A1964" s="38">
        <v>43587</v>
      </c>
      <c r="B1964" s="53"/>
      <c r="C1964" s="53" t="s">
        <v>4046</v>
      </c>
      <c r="D1964" s="53"/>
      <c r="E1964" s="53" t="s">
        <v>4047</v>
      </c>
      <c r="F1964" s="53" t="s">
        <v>4048</v>
      </c>
    </row>
    <row r="1965" spans="1:6">
      <c r="A1965" s="38">
        <v>43391</v>
      </c>
      <c r="B1965" s="79"/>
      <c r="C1965" s="79" t="s">
        <v>4049</v>
      </c>
      <c r="D1965" s="79"/>
      <c r="E1965" s="79" t="s">
        <v>4050</v>
      </c>
      <c r="F1965" s="79" t="s">
        <v>4051</v>
      </c>
    </row>
    <row r="1966" spans="1:6">
      <c r="A1966" s="38">
        <v>43720</v>
      </c>
      <c r="B1966" s="79"/>
      <c r="C1966" s="79" t="s">
        <v>4052</v>
      </c>
      <c r="D1966" s="79"/>
      <c r="E1966" s="79" t="s">
        <v>4053</v>
      </c>
      <c r="F1966" s="79" t="s">
        <v>4054</v>
      </c>
    </row>
    <row r="1967" spans="1:6">
      <c r="A1967" s="38">
        <v>43587</v>
      </c>
      <c r="B1967" s="79"/>
      <c r="C1967" s="79" t="s">
        <v>4055</v>
      </c>
      <c r="D1967" s="79"/>
      <c r="E1967" s="79" t="s">
        <v>4056</v>
      </c>
      <c r="F1967" s="79" t="s">
        <v>4057</v>
      </c>
    </row>
    <row r="1968" spans="1:6">
      <c r="A1968" s="38">
        <v>43465</v>
      </c>
      <c r="B1968" s="78"/>
      <c r="C1968" s="78" t="s">
        <v>4058</v>
      </c>
      <c r="D1968" s="78"/>
      <c r="E1968" s="78" t="s">
        <v>4059</v>
      </c>
      <c r="F1968" s="78" t="s">
        <v>4060</v>
      </c>
    </row>
    <row r="1969" spans="1:6">
      <c r="A1969" s="38">
        <v>44053</v>
      </c>
      <c r="B1969" s="78"/>
      <c r="C1969" s="78" t="s">
        <v>4061</v>
      </c>
      <c r="D1969" s="78"/>
      <c r="E1969" s="78" t="s">
        <v>4062</v>
      </c>
      <c r="F1969" s="78" t="s">
        <v>4063</v>
      </c>
    </row>
    <row r="1970" spans="1:6">
      <c r="A1970" s="38">
        <v>43344</v>
      </c>
      <c r="B1970" s="79"/>
      <c r="C1970" s="79" t="s">
        <v>4064</v>
      </c>
      <c r="D1970" s="79"/>
      <c r="E1970" s="79" t="s">
        <v>4065</v>
      </c>
      <c r="F1970" s="79" t="s">
        <v>4066</v>
      </c>
    </row>
    <row r="1971" spans="1:6">
      <c r="A1971" s="38">
        <v>43344</v>
      </c>
      <c r="B1971" s="78"/>
      <c r="C1971" s="78" t="s">
        <v>4067</v>
      </c>
      <c r="D1971" s="78"/>
      <c r="E1971" s="78" t="s">
        <v>4068</v>
      </c>
      <c r="F1971" s="78" t="s">
        <v>4069</v>
      </c>
    </row>
    <row r="1972" spans="1:6">
      <c r="A1972" s="38">
        <v>43344</v>
      </c>
      <c r="B1972" s="79"/>
      <c r="C1972" s="79" t="s">
        <v>4070</v>
      </c>
      <c r="D1972" s="79"/>
      <c r="E1972" s="79" t="s">
        <v>4071</v>
      </c>
      <c r="F1972" s="79" t="s">
        <v>4072</v>
      </c>
    </row>
    <row r="1973" spans="1:6">
      <c r="A1973" s="38">
        <v>43637</v>
      </c>
      <c r="B1973" s="87"/>
      <c r="C1973" s="87" t="s">
        <v>4073</v>
      </c>
      <c r="D1973" s="87"/>
      <c r="E1973" s="87" t="s">
        <v>4074</v>
      </c>
      <c r="F1973" s="87" t="s">
        <v>4075</v>
      </c>
    </row>
    <row r="1974" spans="1:6">
      <c r="A1974" s="38">
        <v>43393</v>
      </c>
      <c r="B1974" s="88"/>
      <c r="C1974" s="88" t="s">
        <v>4076</v>
      </c>
      <c r="D1974" s="88"/>
      <c r="E1974" s="88" t="s">
        <v>4077</v>
      </c>
      <c r="F1974" s="88" t="s">
        <v>4078</v>
      </c>
    </row>
    <row r="1975" spans="1:6">
      <c r="A1975" s="38">
        <v>43523</v>
      </c>
      <c r="B1975" s="88"/>
      <c r="C1975" s="88" t="s">
        <v>4079</v>
      </c>
      <c r="D1975" s="88"/>
      <c r="E1975" s="88" t="s">
        <v>4080</v>
      </c>
      <c r="F1975" s="88" t="s">
        <v>4081</v>
      </c>
    </row>
    <row r="1976" spans="1:6">
      <c r="A1976" s="39">
        <v>44512</v>
      </c>
      <c r="B1976" s="27"/>
      <c r="C1976" s="27" t="s">
        <v>6005</v>
      </c>
      <c r="D1976" s="27"/>
      <c r="E1976" s="55" t="s">
        <v>6006</v>
      </c>
      <c r="F1976" s="27" t="s">
        <v>4951</v>
      </c>
    </row>
    <row r="1977" spans="1:6">
      <c r="A1977" s="39">
        <v>44199</v>
      </c>
      <c r="B1977" s="27"/>
      <c r="C1977" s="27" t="s">
        <v>4703</v>
      </c>
      <c r="D1977" s="27"/>
      <c r="E1977" s="27" t="s">
        <v>4950</v>
      </c>
      <c r="F1977" s="27" t="s">
        <v>4951</v>
      </c>
    </row>
    <row r="1978" spans="1:6">
      <c r="A1978" s="38">
        <v>44069</v>
      </c>
      <c r="B1978" s="88"/>
      <c r="C1978" s="88" t="s">
        <v>4082</v>
      </c>
      <c r="D1978" s="88"/>
      <c r="E1978" s="88" t="s">
        <v>4083</v>
      </c>
      <c r="F1978" s="88" t="s">
        <v>4084</v>
      </c>
    </row>
    <row r="1979" spans="1:6">
      <c r="A1979" s="38">
        <v>43762</v>
      </c>
      <c r="B1979" s="88"/>
      <c r="C1979" s="88" t="s">
        <v>4085</v>
      </c>
      <c r="D1979" s="88"/>
      <c r="E1979" s="88" t="s">
        <v>4086</v>
      </c>
      <c r="F1979" s="88" t="s">
        <v>4087</v>
      </c>
    </row>
    <row r="1980" spans="1:6">
      <c r="A1980" s="39">
        <v>44200</v>
      </c>
      <c r="B1980" s="27"/>
      <c r="C1980" s="27" t="s">
        <v>5122</v>
      </c>
      <c r="D1980" s="27"/>
      <c r="E1980" s="27" t="s">
        <v>5122</v>
      </c>
      <c r="F1980" s="27" t="s">
        <v>5122</v>
      </c>
    </row>
    <row r="1981" spans="1:6">
      <c r="A1981" s="38">
        <v>44013</v>
      </c>
      <c r="B1981" s="79"/>
      <c r="C1981" s="79" t="s">
        <v>4088</v>
      </c>
      <c r="D1981" s="79"/>
      <c r="E1981" s="79" t="s">
        <v>4089</v>
      </c>
      <c r="F1981" s="79" t="s">
        <v>4090</v>
      </c>
    </row>
    <row r="1982" spans="1:6">
      <c r="A1982" s="38">
        <v>44172</v>
      </c>
      <c r="B1982" s="79"/>
      <c r="C1982" s="79" t="s">
        <v>4091</v>
      </c>
      <c r="D1982" s="79"/>
      <c r="E1982" s="79" t="s">
        <v>4092</v>
      </c>
      <c r="F1982" s="79" t="s">
        <v>4093</v>
      </c>
    </row>
    <row r="1983" spans="1:6">
      <c r="A1983" s="38">
        <v>43637</v>
      </c>
      <c r="B1983" s="79"/>
      <c r="C1983" s="79" t="s">
        <v>4094</v>
      </c>
      <c r="D1983" s="79"/>
      <c r="E1983" s="79" t="s">
        <v>4095</v>
      </c>
      <c r="F1983" s="79" t="s">
        <v>4096</v>
      </c>
    </row>
    <row r="1984" spans="1:6">
      <c r="A1984" s="38">
        <v>43720</v>
      </c>
      <c r="B1984" s="87"/>
      <c r="C1984" s="87" t="s">
        <v>4097</v>
      </c>
      <c r="D1984" s="87"/>
      <c r="E1984" s="87" t="s">
        <v>4098</v>
      </c>
      <c r="F1984" s="87" t="s">
        <v>4075</v>
      </c>
    </row>
    <row r="1985" spans="1:6">
      <c r="A1985" s="38">
        <v>44082</v>
      </c>
      <c r="B1985" s="88"/>
      <c r="C1985" s="88" t="s">
        <v>4099</v>
      </c>
      <c r="D1985" s="88"/>
      <c r="E1985" s="88" t="s">
        <v>4100</v>
      </c>
      <c r="F1985" s="88" t="s">
        <v>4101</v>
      </c>
    </row>
    <row r="1986" spans="1:6">
      <c r="A1986" s="38">
        <v>44166</v>
      </c>
      <c r="B1986" s="88"/>
      <c r="C1986" s="88" t="s">
        <v>4102</v>
      </c>
      <c r="D1986" s="88"/>
      <c r="E1986" s="88" t="s">
        <v>4103</v>
      </c>
      <c r="F1986" s="88" t="s">
        <v>4104</v>
      </c>
    </row>
    <row r="1987" spans="1:6">
      <c r="A1987" s="64">
        <v>44505</v>
      </c>
      <c r="B1987" s="65" t="e">
        <f>COUNTIF('[2]Liste des champs'!C:I,[2]!ObjGes[[#This Row],[Nom FR]])</f>
        <v>#VALUE!</v>
      </c>
      <c r="C1987" s="66" t="s">
        <v>6138</v>
      </c>
      <c r="D1987" s="67"/>
      <c r="E1987" s="3" t="s">
        <v>4089</v>
      </c>
      <c r="F1987" s="3" t="s">
        <v>4090</v>
      </c>
    </row>
    <row r="1988" spans="1:6">
      <c r="A1988" s="38">
        <v>44061</v>
      </c>
      <c r="B1988" s="88"/>
      <c r="C1988" s="88" t="s">
        <v>4105</v>
      </c>
      <c r="D1988" s="88"/>
      <c r="E1988" s="88" t="s">
        <v>4106</v>
      </c>
      <c r="F1988" s="88" t="s">
        <v>4107</v>
      </c>
    </row>
    <row r="1989" spans="1:6">
      <c r="A1989" s="39">
        <v>44200</v>
      </c>
      <c r="B1989" s="27"/>
      <c r="C1989" s="27" t="s">
        <v>5123</v>
      </c>
      <c r="D1989" s="27"/>
      <c r="E1989" s="27" t="s">
        <v>5288</v>
      </c>
      <c r="F1989" s="27" t="s">
        <v>5453</v>
      </c>
    </row>
    <row r="1990" spans="1:6">
      <c r="A1990" s="39">
        <v>44200</v>
      </c>
      <c r="B1990" s="27"/>
      <c r="C1990" s="27" t="s">
        <v>5124</v>
      </c>
      <c r="D1990" s="27"/>
      <c r="E1990" s="27" t="s">
        <v>5289</v>
      </c>
      <c r="F1990" s="27" t="s">
        <v>5454</v>
      </c>
    </row>
    <row r="1991" spans="1:6">
      <c r="A1991" s="38">
        <v>44013</v>
      </c>
      <c r="B1991" s="88"/>
      <c r="C1991" s="88" t="s">
        <v>4108</v>
      </c>
      <c r="D1991" s="88"/>
      <c r="E1991" s="88" t="s">
        <v>4109</v>
      </c>
      <c r="F1991" s="88" t="s">
        <v>4110</v>
      </c>
    </row>
    <row r="1992" spans="1:6">
      <c r="A1992" s="39">
        <v>44510</v>
      </c>
      <c r="B1992" s="27"/>
      <c r="C1992" s="27" t="s">
        <v>5803</v>
      </c>
      <c r="D1992" s="27"/>
      <c r="E1992" s="55" t="s">
        <v>5804</v>
      </c>
      <c r="F1992" s="27" t="s">
        <v>5805</v>
      </c>
    </row>
    <row r="1993" spans="1:6">
      <c r="A1993" s="39">
        <v>44510</v>
      </c>
      <c r="B1993" s="27"/>
      <c r="C1993" s="27" t="s">
        <v>5854</v>
      </c>
      <c r="D1993" s="27"/>
      <c r="E1993" s="54" t="s">
        <v>6179</v>
      </c>
      <c r="F1993" s="54" t="s">
        <v>5855</v>
      </c>
    </row>
    <row r="1994" spans="1:6">
      <c r="A1994" s="38">
        <v>43588</v>
      </c>
      <c r="B1994" s="88"/>
      <c r="C1994" s="88" t="s">
        <v>4111</v>
      </c>
      <c r="D1994" s="88"/>
      <c r="E1994" s="88" t="s">
        <v>4112</v>
      </c>
      <c r="F1994" s="88" t="s">
        <v>4113</v>
      </c>
    </row>
    <row r="1995" spans="1:6">
      <c r="A1995" s="39">
        <v>44510</v>
      </c>
      <c r="B1995" s="27"/>
      <c r="C1995" s="27" t="s">
        <v>6150</v>
      </c>
      <c r="D1995" s="27"/>
      <c r="E1995" s="27" t="s">
        <v>5921</v>
      </c>
      <c r="F1995" s="27" t="s">
        <v>5922</v>
      </c>
    </row>
    <row r="1996" spans="1:6">
      <c r="A1996" s="39">
        <v>44510</v>
      </c>
      <c r="B1996" s="27"/>
      <c r="C1996" s="27" t="s">
        <v>5923</v>
      </c>
      <c r="D1996" s="27"/>
      <c r="E1996" s="27" t="s">
        <v>6130</v>
      </c>
      <c r="F1996" s="27" t="s">
        <v>6131</v>
      </c>
    </row>
    <row r="1997" spans="1:6">
      <c r="A1997" s="39">
        <v>44200</v>
      </c>
      <c r="B1997" s="27"/>
      <c r="C1997" s="27" t="s">
        <v>5125</v>
      </c>
      <c r="D1997" s="27"/>
      <c r="E1997" s="27" t="s">
        <v>5290</v>
      </c>
      <c r="F1997" s="27" t="s">
        <v>5455</v>
      </c>
    </row>
    <row r="1998" spans="1:6">
      <c r="A1998" s="39">
        <v>44200</v>
      </c>
      <c r="B1998" s="27"/>
      <c r="C1998" s="27" t="s">
        <v>5126</v>
      </c>
      <c r="D1998" s="27"/>
      <c r="E1998" s="27" t="s">
        <v>5291</v>
      </c>
      <c r="F1998" s="27" t="s">
        <v>5456</v>
      </c>
    </row>
    <row r="1999" spans="1:6">
      <c r="A1999" s="39">
        <v>44539</v>
      </c>
      <c r="B1999" s="27"/>
      <c r="C1999" s="27" t="s">
        <v>6188</v>
      </c>
      <c r="D1999" s="27"/>
      <c r="E1999" s="27" t="s">
        <v>6189</v>
      </c>
      <c r="F1999" s="54" t="s">
        <v>6190</v>
      </c>
    </row>
    <row r="2000" spans="1:6">
      <c r="A2000" s="39">
        <v>44200</v>
      </c>
      <c r="B2000" s="27"/>
      <c r="C2000" s="27" t="s">
        <v>5127</v>
      </c>
      <c r="D2000" s="27"/>
      <c r="E2000" s="27" t="s">
        <v>5292</v>
      </c>
      <c r="F2000" s="27" t="s">
        <v>5457</v>
      </c>
    </row>
    <row r="2001" spans="1:6">
      <c r="A2001" s="39">
        <v>44199</v>
      </c>
      <c r="B2001" s="27"/>
      <c r="C2001" s="27" t="s">
        <v>4704</v>
      </c>
      <c r="D2001" s="27"/>
      <c r="E2001" s="27" t="s">
        <v>4704</v>
      </c>
      <c r="F2001" s="27" t="s">
        <v>4952</v>
      </c>
    </row>
    <row r="2002" spans="1:6">
      <c r="A2002" s="39">
        <v>44512</v>
      </c>
      <c r="B2002" s="27"/>
      <c r="C2002" s="27" t="s">
        <v>6180</v>
      </c>
      <c r="D2002" s="27"/>
      <c r="E2002" s="27" t="s">
        <v>6139</v>
      </c>
      <c r="F2002" s="27" t="s">
        <v>6140</v>
      </c>
    </row>
    <row r="2003" spans="1:6">
      <c r="A2003" s="38">
        <v>44082</v>
      </c>
      <c r="B2003" s="87"/>
      <c r="C2003" s="87" t="s">
        <v>4114</v>
      </c>
      <c r="D2003" s="88"/>
      <c r="E2003" s="87" t="s">
        <v>4115</v>
      </c>
      <c r="F2003" s="87" t="s">
        <v>4116</v>
      </c>
    </row>
    <row r="2004" spans="1:6">
      <c r="A2004" s="38">
        <v>44231</v>
      </c>
      <c r="B2004" s="88"/>
      <c r="C2004" s="88" t="s">
        <v>5489</v>
      </c>
      <c r="D2004" s="27"/>
      <c r="E2004" s="88" t="s">
        <v>5490</v>
      </c>
      <c r="F2004" s="88" t="s">
        <v>4952</v>
      </c>
    </row>
    <row r="2005" spans="1:6">
      <c r="A2005" s="38">
        <v>43815</v>
      </c>
      <c r="B2005" s="88"/>
      <c r="C2005" s="88" t="s">
        <v>4117</v>
      </c>
      <c r="D2005" s="88"/>
      <c r="E2005" s="88" t="s">
        <v>4118</v>
      </c>
      <c r="F2005" s="88" t="s">
        <v>4119</v>
      </c>
    </row>
    <row r="2006" spans="1:6">
      <c r="A2006" s="39">
        <v>44199</v>
      </c>
      <c r="B2006" s="27"/>
      <c r="C2006" s="27" t="s">
        <v>4705</v>
      </c>
      <c r="D2006" s="27"/>
      <c r="E2006" s="27" t="s">
        <v>4953</v>
      </c>
      <c r="F2006" s="27" t="s">
        <v>4952</v>
      </c>
    </row>
    <row r="2007" spans="1:6">
      <c r="A2007" s="39">
        <v>44510</v>
      </c>
      <c r="B2007" s="27"/>
      <c r="C2007" s="57" t="s">
        <v>5787</v>
      </c>
      <c r="D2007" s="27"/>
      <c r="E2007" s="27" t="s">
        <v>5747</v>
      </c>
      <c r="F2007" s="27" t="s">
        <v>5746</v>
      </c>
    </row>
    <row r="2008" spans="1:6">
      <c r="A2008" s="38">
        <v>44082</v>
      </c>
      <c r="B2008" s="88"/>
      <c r="C2008" s="88" t="s">
        <v>4120</v>
      </c>
      <c r="D2008" s="88"/>
      <c r="E2008" s="88" t="s">
        <v>4121</v>
      </c>
      <c r="F2008" s="88" t="s">
        <v>4122</v>
      </c>
    </row>
    <row r="2009" spans="1:6">
      <c r="A2009" s="39">
        <v>44509</v>
      </c>
      <c r="B2009" s="27"/>
      <c r="C2009" s="27" t="s">
        <v>5745</v>
      </c>
      <c r="D2009" s="27"/>
      <c r="E2009" s="27" t="s">
        <v>5747</v>
      </c>
      <c r="F2009" s="27" t="s">
        <v>5746</v>
      </c>
    </row>
    <row r="2010" spans="1:6">
      <c r="A2010" s="38">
        <v>43634</v>
      </c>
      <c r="B2010" s="88"/>
      <c r="C2010" s="88" t="s">
        <v>4123</v>
      </c>
      <c r="D2010" s="88"/>
      <c r="E2010" s="88" t="s">
        <v>4124</v>
      </c>
      <c r="F2010" s="88" t="s">
        <v>4125</v>
      </c>
    </row>
    <row r="2011" spans="1:6">
      <c r="A2011" s="39">
        <v>44510</v>
      </c>
      <c r="B2011" s="27"/>
      <c r="C2011" s="57" t="s">
        <v>5847</v>
      </c>
      <c r="D2011" s="27"/>
      <c r="E2011" s="27" t="s">
        <v>5847</v>
      </c>
      <c r="F2011" s="54" t="s">
        <v>5849</v>
      </c>
    </row>
    <row r="2012" spans="1:6">
      <c r="A2012" s="38">
        <v>43725</v>
      </c>
      <c r="B2012" s="78"/>
      <c r="C2012" s="78" t="s">
        <v>4126</v>
      </c>
      <c r="D2012" s="78"/>
      <c r="E2012" s="78" t="s">
        <v>4127</v>
      </c>
      <c r="F2012" s="78" t="s">
        <v>4128</v>
      </c>
    </row>
    <row r="2013" spans="1:6">
      <c r="B2013" s="79"/>
      <c r="C2013" s="79" t="s">
        <v>4130</v>
      </c>
      <c r="D2013" s="79"/>
      <c r="E2013" s="79" t="s">
        <v>4131</v>
      </c>
      <c r="F2013" s="79" t="s">
        <v>4132</v>
      </c>
    </row>
    <row r="2014" spans="1:6">
      <c r="B2014" s="78"/>
      <c r="C2014" s="78" t="s">
        <v>4133</v>
      </c>
      <c r="D2014" s="78"/>
      <c r="E2014" s="78" t="s">
        <v>4134</v>
      </c>
      <c r="F2014" s="78" t="s">
        <v>4135</v>
      </c>
    </row>
    <row r="2015" spans="1:6">
      <c r="A2015" s="38">
        <v>43989</v>
      </c>
      <c r="B2015" s="79"/>
      <c r="C2015" s="79" t="s">
        <v>4136</v>
      </c>
      <c r="D2015" s="79"/>
      <c r="E2015" s="79" t="s">
        <v>4137</v>
      </c>
      <c r="F2015" s="79" t="s">
        <v>4138</v>
      </c>
    </row>
    <row r="2016" spans="1:6">
      <c r="A2016" s="38">
        <v>44013</v>
      </c>
      <c r="B2016" s="58"/>
      <c r="C2016" s="58" t="s">
        <v>4139</v>
      </c>
      <c r="D2016" s="58"/>
      <c r="E2016" s="58" t="s">
        <v>4140</v>
      </c>
      <c r="F2016" s="58" t="s">
        <v>4141</v>
      </c>
    </row>
    <row r="2017" spans="1:6">
      <c r="A2017" s="38">
        <v>44013</v>
      </c>
      <c r="B2017" s="61"/>
      <c r="C2017" s="61" t="s">
        <v>4142</v>
      </c>
      <c r="D2017" s="61"/>
      <c r="E2017" s="61" t="s">
        <v>4143</v>
      </c>
      <c r="F2017" s="61" t="s">
        <v>4144</v>
      </c>
    </row>
    <row r="2018" spans="1:6">
      <c r="A2018" s="38">
        <v>43725</v>
      </c>
      <c r="B2018" s="61"/>
      <c r="C2018" s="61" t="s">
        <v>4145</v>
      </c>
      <c r="D2018" s="61" t="s">
        <v>4146</v>
      </c>
      <c r="E2018" s="61" t="s">
        <v>4147</v>
      </c>
      <c r="F2018" s="61" t="s">
        <v>4148</v>
      </c>
    </row>
    <row r="2019" spans="1:6">
      <c r="A2019" s="38">
        <v>44120</v>
      </c>
      <c r="B2019" s="79"/>
      <c r="C2019" s="79" t="s">
        <v>4149</v>
      </c>
      <c r="D2019" s="79"/>
      <c r="E2019" s="79" t="s">
        <v>4150</v>
      </c>
      <c r="F2019" s="79" t="s">
        <v>4151</v>
      </c>
    </row>
    <row r="2020" spans="1:6">
      <c r="A2020" s="38">
        <v>44120</v>
      </c>
      <c r="B2020" s="78"/>
      <c r="C2020" s="78" t="s">
        <v>4152</v>
      </c>
      <c r="D2020" s="78"/>
      <c r="E2020" s="78" t="s">
        <v>4153</v>
      </c>
      <c r="F2020" s="78" t="s">
        <v>4154</v>
      </c>
    </row>
    <row r="2021" spans="1:6">
      <c r="A2021" s="38">
        <v>44120</v>
      </c>
      <c r="B2021" s="78"/>
      <c r="C2021" s="78" t="s">
        <v>4155</v>
      </c>
      <c r="D2021" s="78"/>
      <c r="E2021" s="78" t="s">
        <v>4156</v>
      </c>
      <c r="F2021" s="78" t="s">
        <v>4157</v>
      </c>
    </row>
    <row r="2022" spans="1:6">
      <c r="A2022" s="38">
        <v>43840</v>
      </c>
      <c r="B2022" s="87"/>
      <c r="C2022" s="87" t="s">
        <v>4158</v>
      </c>
      <c r="D2022" s="87"/>
      <c r="E2022" s="87" t="s">
        <v>4159</v>
      </c>
      <c r="F2022" s="87" t="s">
        <v>4160</v>
      </c>
    </row>
    <row r="2023" spans="1:6">
      <c r="A2023" s="38">
        <v>43985</v>
      </c>
      <c r="B2023" s="88"/>
      <c r="C2023" s="88" t="s">
        <v>4161</v>
      </c>
      <c r="D2023" s="88"/>
      <c r="E2023" s="88" t="s">
        <v>4162</v>
      </c>
      <c r="F2023" s="88" t="s">
        <v>4163</v>
      </c>
    </row>
    <row r="2024" spans="1:6">
      <c r="A2024" s="38">
        <v>43894</v>
      </c>
      <c r="B2024" s="88"/>
      <c r="C2024" s="88" t="s">
        <v>4164</v>
      </c>
      <c r="D2024" s="88"/>
      <c r="E2024" s="88" t="s">
        <v>2703</v>
      </c>
      <c r="F2024" s="88" t="s">
        <v>2704</v>
      </c>
    </row>
    <row r="2025" spans="1:6">
      <c r="A2025" s="39">
        <v>44199</v>
      </c>
      <c r="B2025" s="27"/>
      <c r="C2025" s="27" t="s">
        <v>4706</v>
      </c>
      <c r="D2025" s="27"/>
      <c r="E2025" s="27" t="s">
        <v>4706</v>
      </c>
      <c r="F2025" s="27" t="s">
        <v>4954</v>
      </c>
    </row>
    <row r="2026" spans="1:6">
      <c r="A2026" s="38">
        <v>43344</v>
      </c>
      <c r="B2026" s="78"/>
      <c r="C2026" s="78" t="s">
        <v>4165</v>
      </c>
      <c r="D2026" s="78" t="s">
        <v>4166</v>
      </c>
      <c r="E2026" s="78" t="s">
        <v>4167</v>
      </c>
      <c r="F2026" s="78" t="s">
        <v>4168</v>
      </c>
    </row>
    <row r="2027" spans="1:6">
      <c r="A2027" s="38">
        <v>43344</v>
      </c>
      <c r="B2027" s="87"/>
      <c r="C2027" s="87" t="s">
        <v>4169</v>
      </c>
      <c r="D2027" s="87" t="s">
        <v>4170</v>
      </c>
      <c r="E2027" s="87" t="s">
        <v>4171</v>
      </c>
      <c r="F2027" s="87" t="s">
        <v>4172</v>
      </c>
    </row>
    <row r="2028" spans="1:6">
      <c r="A2028" s="38">
        <v>43386</v>
      </c>
      <c r="B2028" s="88"/>
      <c r="C2028" s="88" t="s">
        <v>4173</v>
      </c>
      <c r="D2028" s="88" t="s">
        <v>4174</v>
      </c>
      <c r="E2028" s="88" t="s">
        <v>4175</v>
      </c>
      <c r="F2028" s="88" t="s">
        <v>4176</v>
      </c>
    </row>
    <row r="2029" spans="1:6">
      <c r="A2029" s="38">
        <v>43644</v>
      </c>
      <c r="B2029" s="88"/>
      <c r="C2029" s="88" t="s">
        <v>4177</v>
      </c>
      <c r="D2029" s="88"/>
      <c r="E2029" s="88" t="s">
        <v>4178</v>
      </c>
      <c r="F2029" s="88" t="s">
        <v>4179</v>
      </c>
    </row>
    <row r="2030" spans="1:6">
      <c r="A2030" s="39">
        <v>44301</v>
      </c>
      <c r="B2030" s="27">
        <v>1</v>
      </c>
      <c r="C2030" s="27" t="s">
        <v>5709</v>
      </c>
      <c r="D2030" s="27"/>
      <c r="E2030" s="27" t="s">
        <v>5710</v>
      </c>
      <c r="F2030" s="27" t="s">
        <v>5711</v>
      </c>
    </row>
    <row r="2031" spans="1:6">
      <c r="A2031" s="38">
        <v>43725</v>
      </c>
      <c r="B2031" s="88"/>
      <c r="C2031" s="88" t="s">
        <v>4180</v>
      </c>
      <c r="D2031" s="88" t="s">
        <v>4181</v>
      </c>
      <c r="E2031" s="88" t="s">
        <v>4182</v>
      </c>
      <c r="F2031" s="88" t="s">
        <v>4183</v>
      </c>
    </row>
    <row r="2032" spans="1:6">
      <c r="A2032" s="39">
        <v>44512</v>
      </c>
      <c r="B2032" s="27"/>
      <c r="C2032" s="27" t="s">
        <v>6048</v>
      </c>
      <c r="D2032" s="27"/>
      <c r="E2032" s="27" t="s">
        <v>6049</v>
      </c>
      <c r="F2032" s="54" t="s">
        <v>6050</v>
      </c>
    </row>
    <row r="2033" spans="1:6">
      <c r="A2033" s="38">
        <v>43725</v>
      </c>
      <c r="B2033" s="79"/>
      <c r="C2033" s="79" t="s">
        <v>4184</v>
      </c>
      <c r="D2033" s="79"/>
      <c r="E2033" s="79" t="s">
        <v>4185</v>
      </c>
      <c r="F2033" s="79" t="s">
        <v>723</v>
      </c>
    </row>
    <row r="2034" spans="1:6">
      <c r="A2034" s="38">
        <v>44019</v>
      </c>
      <c r="B2034" s="79"/>
      <c r="C2034" s="79" t="s">
        <v>4186</v>
      </c>
      <c r="D2034" s="79"/>
      <c r="E2034" s="79" t="s">
        <v>4187</v>
      </c>
      <c r="F2034" s="79" t="s">
        <v>4188</v>
      </c>
    </row>
    <row r="2035" spans="1:6">
      <c r="A2035" s="38">
        <v>43860</v>
      </c>
      <c r="B2035" s="79"/>
      <c r="C2035" s="79" t="s">
        <v>4189</v>
      </c>
      <c r="D2035" s="79"/>
      <c r="E2035" s="79" t="s">
        <v>4189</v>
      </c>
      <c r="F2035" s="79" t="s">
        <v>4189</v>
      </c>
    </row>
    <row r="2036" spans="1:6">
      <c r="A2036" s="38">
        <v>44230</v>
      </c>
      <c r="B2036" s="79"/>
      <c r="C2036" s="79" t="s">
        <v>5486</v>
      </c>
      <c r="D2036" s="79"/>
      <c r="E2036" s="79" t="s">
        <v>5488</v>
      </c>
      <c r="F2036" s="79" t="s">
        <v>5487</v>
      </c>
    </row>
    <row r="2037" spans="1:6">
      <c r="A2037" s="38">
        <v>44019</v>
      </c>
      <c r="B2037" s="87"/>
      <c r="C2037" s="87" t="s">
        <v>4190</v>
      </c>
      <c r="D2037" s="87"/>
      <c r="E2037" s="87" t="s">
        <v>4191</v>
      </c>
      <c r="F2037" s="87" t="s">
        <v>4192</v>
      </c>
    </row>
    <row r="2038" spans="1:6">
      <c r="A2038" s="38">
        <v>43588</v>
      </c>
      <c r="B2038" s="88"/>
      <c r="C2038" s="88" t="s">
        <v>4193</v>
      </c>
      <c r="D2038" s="88"/>
      <c r="E2038" s="88" t="s">
        <v>4194</v>
      </c>
      <c r="F2038" s="88" t="s">
        <v>4195</v>
      </c>
    </row>
    <row r="2039" spans="1:6">
      <c r="A2039" s="38">
        <v>43725</v>
      </c>
      <c r="B2039" s="88"/>
      <c r="C2039" s="88" t="s">
        <v>4196</v>
      </c>
      <c r="D2039" s="88" t="s">
        <v>4197</v>
      </c>
      <c r="E2039" s="88" t="s">
        <v>4198</v>
      </c>
      <c r="F2039" s="88" t="s">
        <v>4199</v>
      </c>
    </row>
    <row r="2040" spans="1:6">
      <c r="A2040" s="39">
        <v>44301</v>
      </c>
      <c r="B2040" s="27">
        <v>1</v>
      </c>
      <c r="C2040" s="27" t="s">
        <v>5712</v>
      </c>
      <c r="D2040" s="27"/>
      <c r="E2040" s="27" t="s">
        <v>5713</v>
      </c>
      <c r="F2040" s="27" t="s">
        <v>5714</v>
      </c>
    </row>
    <row r="2041" spans="1:6">
      <c r="A2041" s="39">
        <v>44200</v>
      </c>
      <c r="B2041" s="27"/>
      <c r="C2041" s="27" t="s">
        <v>5128</v>
      </c>
      <c r="D2041" s="27"/>
      <c r="E2041" s="27" t="s">
        <v>5128</v>
      </c>
      <c r="F2041" s="27" t="s">
        <v>5458</v>
      </c>
    </row>
    <row r="2042" spans="1:6">
      <c r="A2042" s="38">
        <v>43725</v>
      </c>
      <c r="B2042" s="88"/>
      <c r="C2042" s="88" t="s">
        <v>1804</v>
      </c>
      <c r="D2042" s="88" t="s">
        <v>4200</v>
      </c>
      <c r="E2042" s="88" t="s">
        <v>4201</v>
      </c>
      <c r="F2042" s="88" t="s">
        <v>4202</v>
      </c>
    </row>
    <row r="2043" spans="1:6">
      <c r="A2043" s="38">
        <v>44011</v>
      </c>
      <c r="B2043" s="88"/>
      <c r="C2043" s="88" t="s">
        <v>4203</v>
      </c>
      <c r="D2043" s="88"/>
      <c r="E2043" s="88" t="s">
        <v>4203</v>
      </c>
      <c r="F2043" s="88" t="s">
        <v>4204</v>
      </c>
    </row>
    <row r="2044" spans="1:6">
      <c r="A2044" s="39">
        <v>44512</v>
      </c>
      <c r="B2044" s="27"/>
      <c r="C2044" s="27" t="s">
        <v>5951</v>
      </c>
      <c r="D2044" s="27"/>
      <c r="E2044" s="27" t="s">
        <v>5952</v>
      </c>
      <c r="F2044" s="27" t="s">
        <v>5953</v>
      </c>
    </row>
    <row r="2045" spans="1:6">
      <c r="A2045" s="38">
        <v>44013</v>
      </c>
      <c r="B2045" s="79"/>
      <c r="C2045" s="79" t="s">
        <v>4205</v>
      </c>
      <c r="D2045" s="79"/>
      <c r="E2045" s="79" t="s">
        <v>4206</v>
      </c>
      <c r="F2045" s="79" t="s">
        <v>4207</v>
      </c>
    </row>
    <row r="2046" spans="1:6">
      <c r="A2046" s="38">
        <v>43760</v>
      </c>
      <c r="B2046" s="87"/>
      <c r="C2046" s="87" t="s">
        <v>4208</v>
      </c>
      <c r="D2046" s="87"/>
      <c r="E2046" s="87" t="s">
        <v>4209</v>
      </c>
      <c r="F2046" s="87" t="s">
        <v>4210</v>
      </c>
    </row>
    <row r="2047" spans="1:6">
      <c r="A2047" s="38">
        <v>43803</v>
      </c>
      <c r="B2047" s="88"/>
      <c r="C2047" s="88" t="s">
        <v>4211</v>
      </c>
      <c r="D2047" s="88"/>
      <c r="E2047" s="88" t="s">
        <v>4211</v>
      </c>
      <c r="F2047" s="88" t="s">
        <v>4212</v>
      </c>
    </row>
    <row r="2048" spans="1:6">
      <c r="A2048" s="38">
        <v>44015</v>
      </c>
      <c r="B2048" s="88"/>
      <c r="C2048" s="88" t="s">
        <v>4214</v>
      </c>
      <c r="D2048" s="88"/>
      <c r="E2048" s="88" t="s">
        <v>4215</v>
      </c>
      <c r="F2048" s="88" t="s">
        <v>4216</v>
      </c>
    </row>
  </sheetData>
  <conditionalFormatting sqref="C1813:C1817">
    <cfRule type="duplicateValues" dxfId="28" priority="26" stopIfTrue="1"/>
  </conditionalFormatting>
  <conditionalFormatting sqref="C1866:C1874 C1854:C1864 C1818:C1852">
    <cfRule type="duplicateValues" dxfId="27" priority="25"/>
  </conditionalFormatting>
  <conditionalFormatting sqref="C1853">
    <cfRule type="duplicateValues" dxfId="26" priority="24"/>
  </conditionalFormatting>
  <conditionalFormatting sqref="C1875">
    <cfRule type="duplicateValues" dxfId="25" priority="23" stopIfTrue="1"/>
  </conditionalFormatting>
  <conditionalFormatting sqref="C1876:C1877">
    <cfRule type="duplicateValues" dxfId="24" priority="21" stopIfTrue="1"/>
  </conditionalFormatting>
  <conditionalFormatting sqref="C1876:C1877">
    <cfRule type="duplicateValues" dxfId="23" priority="22" stopIfTrue="1"/>
  </conditionalFormatting>
  <conditionalFormatting sqref="E1882">
    <cfRule type="duplicateValues" dxfId="22" priority="20" stopIfTrue="1"/>
  </conditionalFormatting>
  <conditionalFormatting sqref="E1884">
    <cfRule type="duplicateValues" dxfId="21" priority="19" stopIfTrue="1"/>
  </conditionalFormatting>
  <conditionalFormatting sqref="E1885">
    <cfRule type="duplicateValues" dxfId="20" priority="18" stopIfTrue="1"/>
  </conditionalFormatting>
  <conditionalFormatting sqref="E1897:F1905">
    <cfRule type="duplicateValues" dxfId="19" priority="17" stopIfTrue="1"/>
  </conditionalFormatting>
  <conditionalFormatting sqref="E1952">
    <cfRule type="duplicateValues" dxfId="18" priority="16" stopIfTrue="1"/>
  </conditionalFormatting>
  <conditionalFormatting sqref="C1983:C1989 C1991:C2005 C2007:C2014 C2016 C2018:C2027 C1:C13 C1417:C1981 C15:C1414 C2046 C2029:C2030 C2049:C1048576">
    <cfRule type="duplicateValues" dxfId="17" priority="48" stopIfTrue="1"/>
  </conditionalFormatting>
  <conditionalFormatting sqref="E1987">
    <cfRule type="duplicateValues" dxfId="16" priority="15" stopIfTrue="1"/>
  </conditionalFormatting>
  <conditionalFormatting sqref="C1990">
    <cfRule type="duplicateValues" dxfId="15" priority="14" stopIfTrue="1"/>
  </conditionalFormatting>
  <conditionalFormatting sqref="E1999">
    <cfRule type="duplicateValues" dxfId="14" priority="13" stopIfTrue="1"/>
  </conditionalFormatting>
  <conditionalFormatting sqref="C2006">
    <cfRule type="duplicateValues" dxfId="13" priority="12" stopIfTrue="1"/>
  </conditionalFormatting>
  <conditionalFormatting sqref="E2011">
    <cfRule type="duplicateValues" dxfId="12" priority="11" stopIfTrue="1"/>
  </conditionalFormatting>
  <conditionalFormatting sqref="C2017">
    <cfRule type="duplicateValues" dxfId="11" priority="10" stopIfTrue="1"/>
  </conditionalFormatting>
  <conditionalFormatting sqref="C1416">
    <cfRule type="duplicateValues" dxfId="10" priority="9" stopIfTrue="1"/>
  </conditionalFormatting>
  <conditionalFormatting sqref="C1415">
    <cfRule type="duplicateValues" dxfId="9" priority="8" stopIfTrue="1"/>
  </conditionalFormatting>
  <conditionalFormatting sqref="C14">
    <cfRule type="duplicateValues" dxfId="8" priority="6" stopIfTrue="1"/>
  </conditionalFormatting>
  <conditionalFormatting sqref="C14">
    <cfRule type="duplicateValues" dxfId="7" priority="7" stopIfTrue="1"/>
  </conditionalFormatting>
  <conditionalFormatting sqref="A2031">
    <cfRule type="duplicateValues" dxfId="6" priority="5" stopIfTrue="1"/>
  </conditionalFormatting>
  <conditionalFormatting sqref="C2028">
    <cfRule type="duplicateValues" dxfId="5" priority="4" stopIfTrue="1"/>
  </conditionalFormatting>
  <conditionalFormatting sqref="C2047">
    <cfRule type="duplicateValues" dxfId="4" priority="2"/>
  </conditionalFormatting>
  <conditionalFormatting sqref="C2047">
    <cfRule type="duplicateValues" dxfId="3" priority="3" stopIfTrue="1"/>
  </conditionalFormatting>
  <conditionalFormatting sqref="C2048">
    <cfRule type="duplicateValues" dxfId="2" priority="1"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47"/>
  <sheetViews>
    <sheetView workbookViewId="0">
      <selection activeCell="A25" sqref="A1:A1048576"/>
    </sheetView>
  </sheetViews>
  <sheetFormatPr baseColWidth="10" defaultRowHeight="15"/>
  <cols>
    <col min="1" max="1" width="14.7109375" customWidth="1"/>
    <col min="2" max="2" width="15.5703125" customWidth="1"/>
  </cols>
  <sheetData>
    <row r="1" spans="1:2" ht="15.75">
      <c r="A1" s="2" t="s">
        <v>0</v>
      </c>
      <c r="B1" s="2" t="s">
        <v>1</v>
      </c>
    </row>
    <row r="2" spans="1:2">
      <c r="A2" t="s">
        <v>2</v>
      </c>
      <c r="B2" t="s">
        <v>2</v>
      </c>
    </row>
    <row r="3" spans="1:2">
      <c r="A3" t="s">
        <v>3</v>
      </c>
      <c r="B3" t="s">
        <v>3</v>
      </c>
    </row>
    <row r="4" spans="1:2">
      <c r="A4" t="s">
        <v>4</v>
      </c>
      <c r="B4" t="s">
        <v>5</v>
      </c>
    </row>
    <row r="5" spans="1:2">
      <c r="A5" t="s">
        <v>5843</v>
      </c>
      <c r="B5" t="s">
        <v>16</v>
      </c>
    </row>
    <row r="6" spans="1:2">
      <c r="A6" t="s">
        <v>6</v>
      </c>
      <c r="B6" t="s">
        <v>7</v>
      </c>
    </row>
    <row r="7" spans="1:2">
      <c r="A7" t="s">
        <v>9</v>
      </c>
      <c r="B7" t="s">
        <v>7</v>
      </c>
    </row>
    <row r="8" spans="1:2">
      <c r="A8" t="s">
        <v>8</v>
      </c>
      <c r="B8" t="s">
        <v>7</v>
      </c>
    </row>
    <row r="9" spans="1:2">
      <c r="A9" t="s">
        <v>10</v>
      </c>
      <c r="B9" t="s">
        <v>11</v>
      </c>
    </row>
    <row r="10" spans="1:2">
      <c r="A10" t="s">
        <v>12</v>
      </c>
      <c r="B10" t="s">
        <v>5</v>
      </c>
    </row>
    <row r="11" spans="1:2">
      <c r="A11" t="s">
        <v>13</v>
      </c>
      <c r="B11" t="s">
        <v>14</v>
      </c>
    </row>
    <row r="12" spans="1:2">
      <c r="A12" t="s">
        <v>15</v>
      </c>
      <c r="B12" t="s">
        <v>16</v>
      </c>
    </row>
    <row r="13" spans="1:2">
      <c r="A13" t="s">
        <v>17</v>
      </c>
      <c r="B13" t="s">
        <v>18</v>
      </c>
    </row>
    <row r="14" spans="1:2">
      <c r="A14" t="s">
        <v>19</v>
      </c>
      <c r="B14" t="s">
        <v>20</v>
      </c>
    </row>
    <row r="15" spans="1:2">
      <c r="A15" t="s">
        <v>21</v>
      </c>
      <c r="B15" t="s">
        <v>22</v>
      </c>
    </row>
    <row r="16" spans="1:2">
      <c r="A16" t="s">
        <v>23</v>
      </c>
      <c r="B16" t="s">
        <v>24</v>
      </c>
    </row>
    <row r="17" spans="1:2">
      <c r="A17" t="s">
        <v>25</v>
      </c>
      <c r="B17" t="s">
        <v>22</v>
      </c>
    </row>
    <row r="18" spans="1:2">
      <c r="A18" t="s">
        <v>26</v>
      </c>
      <c r="B18" t="s">
        <v>18</v>
      </c>
    </row>
    <row r="19" spans="1:2">
      <c r="A19" t="s">
        <v>27</v>
      </c>
      <c r="B19" t="s">
        <v>18</v>
      </c>
    </row>
    <row r="20" spans="1:2">
      <c r="A20" t="s">
        <v>28</v>
      </c>
      <c r="B20" t="s">
        <v>18</v>
      </c>
    </row>
    <row r="21" spans="1:2">
      <c r="A21" t="s">
        <v>29</v>
      </c>
      <c r="B21" t="s">
        <v>30</v>
      </c>
    </row>
    <row r="22" spans="1:2">
      <c r="A22" t="s">
        <v>31</v>
      </c>
      <c r="B22" t="s">
        <v>32</v>
      </c>
    </row>
    <row r="23" spans="1:2">
      <c r="A23" t="s">
        <v>33</v>
      </c>
      <c r="B23" t="s">
        <v>18</v>
      </c>
    </row>
    <row r="24" spans="1:2">
      <c r="A24" t="s">
        <v>34</v>
      </c>
      <c r="B24" t="s">
        <v>18</v>
      </c>
    </row>
    <row r="25" spans="1:2">
      <c r="A25" t="s">
        <v>5933</v>
      </c>
      <c r="B25" t="s">
        <v>5934</v>
      </c>
    </row>
    <row r="26" spans="1:2">
      <c r="A26" t="s">
        <v>35</v>
      </c>
      <c r="B26" t="s">
        <v>36</v>
      </c>
    </row>
    <row r="27" spans="1:2">
      <c r="A27" t="s">
        <v>37</v>
      </c>
      <c r="B27" t="s">
        <v>36</v>
      </c>
    </row>
    <row r="28" spans="1:2">
      <c r="A28" t="s">
        <v>38</v>
      </c>
      <c r="B28" t="s">
        <v>39</v>
      </c>
    </row>
    <row r="29" spans="1:2">
      <c r="A29" t="s">
        <v>40</v>
      </c>
      <c r="B29" t="s">
        <v>41</v>
      </c>
    </row>
    <row r="30" spans="1:2">
      <c r="A30" t="s">
        <v>42</v>
      </c>
      <c r="B30" t="s">
        <v>43</v>
      </c>
    </row>
    <row r="31" spans="1:2">
      <c r="A31" t="s">
        <v>44</v>
      </c>
      <c r="B31" t="s">
        <v>45</v>
      </c>
    </row>
    <row r="32" spans="1:2">
      <c r="A32" t="s">
        <v>46</v>
      </c>
      <c r="B32" t="s">
        <v>45</v>
      </c>
    </row>
    <row r="33" spans="1:2">
      <c r="A33" t="s">
        <v>47</v>
      </c>
      <c r="B33" t="s">
        <v>48</v>
      </c>
    </row>
    <row r="34" spans="1:2">
      <c r="A34" t="s">
        <v>5886</v>
      </c>
      <c r="B34" t="s">
        <v>48</v>
      </c>
    </row>
    <row r="35" spans="1:2">
      <c r="A35" t="s">
        <v>49</v>
      </c>
      <c r="B35" t="s">
        <v>50</v>
      </c>
    </row>
    <row r="36" spans="1:2">
      <c r="A36" t="s">
        <v>51</v>
      </c>
      <c r="B36" t="s">
        <v>52</v>
      </c>
    </row>
    <row r="37" spans="1:2">
      <c r="A37" t="s">
        <v>53</v>
      </c>
      <c r="B37" t="s">
        <v>52</v>
      </c>
    </row>
    <row r="38" spans="1:2">
      <c r="A38" t="s">
        <v>54</v>
      </c>
      <c r="B38" t="s">
        <v>52</v>
      </c>
    </row>
    <row r="39" spans="1:2">
      <c r="A39" t="s">
        <v>55</v>
      </c>
      <c r="B39" t="s">
        <v>56</v>
      </c>
    </row>
    <row r="40" spans="1:2">
      <c r="A40" t="s">
        <v>57</v>
      </c>
      <c r="B40" t="s">
        <v>56</v>
      </c>
    </row>
    <row r="41" spans="1:2">
      <c r="A41" t="s">
        <v>58</v>
      </c>
      <c r="B41" t="s">
        <v>56</v>
      </c>
    </row>
    <row r="42" spans="1:2">
      <c r="A42" t="s">
        <v>59</v>
      </c>
      <c r="B42" t="s">
        <v>60</v>
      </c>
    </row>
    <row r="43" spans="1:2">
      <c r="A43" t="s">
        <v>61</v>
      </c>
      <c r="B43" t="s">
        <v>62</v>
      </c>
    </row>
    <row r="44" spans="1:2">
      <c r="A44" t="s">
        <v>5859</v>
      </c>
      <c r="B44" t="s">
        <v>5860</v>
      </c>
    </row>
    <row r="45" spans="1:2">
      <c r="A45" t="s">
        <v>63</v>
      </c>
      <c r="B45" t="s">
        <v>64</v>
      </c>
    </row>
    <row r="46" spans="1:2">
      <c r="A46" t="s">
        <v>65</v>
      </c>
      <c r="B46" t="s">
        <v>64</v>
      </c>
    </row>
    <row r="47" spans="1:2">
      <c r="A47" t="s">
        <v>66</v>
      </c>
      <c r="B47" t="s">
        <v>64</v>
      </c>
    </row>
  </sheetData>
  <autoFilter ref="A1:B1">
    <sortState ref="A2:B47">
      <sortCondition ref="A1"/>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77"/>
  <sheetViews>
    <sheetView topLeftCell="A47" workbookViewId="0">
      <selection activeCell="C49" sqref="C49"/>
    </sheetView>
  </sheetViews>
  <sheetFormatPr baseColWidth="10" defaultRowHeight="1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5" customFormat="1" ht="21" customHeight="1">
      <c r="A1" s="14" t="s">
        <v>4527</v>
      </c>
      <c r="B1" s="15" t="s">
        <v>4526</v>
      </c>
      <c r="C1" s="14" t="s">
        <v>3467</v>
      </c>
      <c r="D1" s="14" t="s">
        <v>4523</v>
      </c>
      <c r="E1" s="15" t="s">
        <v>4525</v>
      </c>
      <c r="F1" s="15" t="s">
        <v>4458</v>
      </c>
    </row>
    <row r="2" spans="1:6">
      <c r="A2" t="s">
        <v>2</v>
      </c>
      <c r="B2" t="s">
        <v>121</v>
      </c>
      <c r="C2" t="s">
        <v>4217</v>
      </c>
      <c r="D2" t="s">
        <v>4218</v>
      </c>
      <c r="E2" t="s">
        <v>4219</v>
      </c>
    </row>
    <row r="3" spans="1:6">
      <c r="A3" t="s">
        <v>4220</v>
      </c>
      <c r="B3" t="s">
        <v>4221</v>
      </c>
      <c r="C3" t="s">
        <v>4217</v>
      </c>
      <c r="D3" t="s">
        <v>4222</v>
      </c>
    </row>
    <row r="4" spans="1:6">
      <c r="A4" t="s">
        <v>4223</v>
      </c>
      <c r="B4" t="s">
        <v>4224</v>
      </c>
      <c r="C4" t="s">
        <v>4225</v>
      </c>
      <c r="D4" t="s">
        <v>4226</v>
      </c>
      <c r="E4" t="s">
        <v>147</v>
      </c>
    </row>
    <row r="5" spans="1:6">
      <c r="A5" t="s">
        <v>4227</v>
      </c>
      <c r="B5" t="s">
        <v>4228</v>
      </c>
      <c r="C5" t="s">
        <v>4229</v>
      </c>
      <c r="D5" t="s">
        <v>4230</v>
      </c>
      <c r="E5" t="s">
        <v>4231</v>
      </c>
    </row>
    <row r="6" spans="1:6">
      <c r="A6" t="s">
        <v>4232</v>
      </c>
      <c r="B6" t="s">
        <v>4233</v>
      </c>
      <c r="C6" t="s">
        <v>4229</v>
      </c>
      <c r="D6" t="s">
        <v>4234</v>
      </c>
      <c r="E6" t="s">
        <v>4235</v>
      </c>
    </row>
    <row r="7" spans="1:6">
      <c r="A7" t="s">
        <v>4236</v>
      </c>
      <c r="B7" t="s">
        <v>3489</v>
      </c>
      <c r="C7" t="s">
        <v>4237</v>
      </c>
      <c r="D7" t="s">
        <v>4238</v>
      </c>
      <c r="E7" t="s">
        <v>464</v>
      </c>
    </row>
    <row r="8" spans="1:6">
      <c r="A8" t="s">
        <v>4239</v>
      </c>
      <c r="B8" t="s">
        <v>4240</v>
      </c>
      <c r="C8" t="s">
        <v>4241</v>
      </c>
      <c r="D8" t="s">
        <v>4242</v>
      </c>
      <c r="E8" t="s">
        <v>473</v>
      </c>
    </row>
    <row r="9" spans="1:6">
      <c r="A9" t="s">
        <v>4243</v>
      </c>
      <c r="B9" t="s">
        <v>4244</v>
      </c>
      <c r="C9" t="s">
        <v>4245</v>
      </c>
      <c r="D9" t="s">
        <v>4246</v>
      </c>
      <c r="E9" t="s">
        <v>4247</v>
      </c>
    </row>
    <row r="10" spans="1:6">
      <c r="A10" t="s">
        <v>4248</v>
      </c>
      <c r="B10" t="s">
        <v>4249</v>
      </c>
      <c r="C10" t="s">
        <v>4237</v>
      </c>
      <c r="D10" t="s">
        <v>4250</v>
      </c>
      <c r="E10" t="s">
        <v>4251</v>
      </c>
    </row>
    <row r="11" spans="1:6">
      <c r="A11" t="s">
        <v>4252</v>
      </c>
      <c r="B11" t="s">
        <v>4253</v>
      </c>
      <c r="C11" t="s">
        <v>4225</v>
      </c>
      <c r="D11" t="s">
        <v>4254</v>
      </c>
      <c r="E11" t="s">
        <v>4255</v>
      </c>
    </row>
    <row r="12" spans="1:6">
      <c r="A12" t="s">
        <v>5545</v>
      </c>
      <c r="B12" t="s">
        <v>5546</v>
      </c>
      <c r="C12" t="s">
        <v>4320</v>
      </c>
      <c r="D12" s="3"/>
      <c r="E12" t="s">
        <v>5547</v>
      </c>
    </row>
    <row r="13" spans="1:6">
      <c r="A13" t="s">
        <v>632</v>
      </c>
      <c r="B13" t="s">
        <v>4256</v>
      </c>
      <c r="C13" t="s">
        <v>4257</v>
      </c>
      <c r="D13" s="3" t="s">
        <v>633</v>
      </c>
      <c r="E13" s="36" t="s">
        <v>634</v>
      </c>
    </row>
    <row r="14" spans="1:6">
      <c r="A14" t="s">
        <v>4258</v>
      </c>
      <c r="B14" t="s">
        <v>4259</v>
      </c>
      <c r="C14" t="s">
        <v>4260</v>
      </c>
      <c r="D14" s="3" t="s">
        <v>4261</v>
      </c>
      <c r="E14" s="4" t="s">
        <v>5540</v>
      </c>
    </row>
    <row r="15" spans="1:6">
      <c r="A15" t="s">
        <v>4262</v>
      </c>
      <c r="B15" t="s">
        <v>4263</v>
      </c>
      <c r="C15" t="s">
        <v>4237</v>
      </c>
      <c r="D15" s="3" t="s">
        <v>803</v>
      </c>
      <c r="E15" s="4" t="s">
        <v>804</v>
      </c>
    </row>
    <row r="16" spans="1:6">
      <c r="A16" t="s">
        <v>4264</v>
      </c>
      <c r="B16" t="s">
        <v>4265</v>
      </c>
      <c r="C16" t="s">
        <v>4229</v>
      </c>
      <c r="D16" s="3" t="s">
        <v>4266</v>
      </c>
      <c r="E16" t="s">
        <v>4267</v>
      </c>
    </row>
    <row r="17" spans="1:5">
      <c r="A17" t="s">
        <v>4268</v>
      </c>
      <c r="B17" t="s">
        <v>4269</v>
      </c>
      <c r="C17" t="s">
        <v>4217</v>
      </c>
      <c r="D17" s="3" t="s">
        <v>4270</v>
      </c>
    </row>
    <row r="18" spans="1:5">
      <c r="A18" t="s">
        <v>4271</v>
      </c>
      <c r="B18" t="s">
        <v>4272</v>
      </c>
      <c r="C18" t="s">
        <v>4241</v>
      </c>
      <c r="D18" t="s">
        <v>4273</v>
      </c>
      <c r="E18" t="s">
        <v>967</v>
      </c>
    </row>
    <row r="19" spans="1:5">
      <c r="A19" t="s">
        <v>989</v>
      </c>
      <c r="B19" t="s">
        <v>4274</v>
      </c>
      <c r="C19" t="s">
        <v>4275</v>
      </c>
      <c r="D19" t="s">
        <v>4276</v>
      </c>
      <c r="E19" t="s">
        <v>4277</v>
      </c>
    </row>
    <row r="20" spans="1:5">
      <c r="A20" t="s">
        <v>4278</v>
      </c>
      <c r="B20" t="s">
        <v>4279</v>
      </c>
      <c r="C20" t="s">
        <v>4241</v>
      </c>
      <c r="D20" t="s">
        <v>4280</v>
      </c>
      <c r="E20" t="s">
        <v>1012</v>
      </c>
    </row>
    <row r="21" spans="1:5" s="45" customFormat="1">
      <c r="A21" s="45" t="s">
        <v>1020</v>
      </c>
      <c r="B21" s="45" t="s">
        <v>4281</v>
      </c>
      <c r="C21" s="45" t="s">
        <v>4241</v>
      </c>
      <c r="D21" s="45" t="s">
        <v>1021</v>
      </c>
      <c r="E21" s="45" t="s">
        <v>1053</v>
      </c>
    </row>
    <row r="22" spans="1:5">
      <c r="A22" t="s">
        <v>4282</v>
      </c>
      <c r="B22" t="s">
        <v>4283</v>
      </c>
      <c r="C22" t="s">
        <v>4241</v>
      </c>
      <c r="D22" t="s">
        <v>4284</v>
      </c>
      <c r="E22" t="s">
        <v>4285</v>
      </c>
    </row>
    <row r="23" spans="1:5">
      <c r="A23" t="s">
        <v>4286</v>
      </c>
      <c r="B23" t="s">
        <v>4287</v>
      </c>
      <c r="C23" t="s">
        <v>4225</v>
      </c>
      <c r="D23" t="s">
        <v>4288</v>
      </c>
      <c r="E23" t="s">
        <v>4289</v>
      </c>
    </row>
    <row r="24" spans="1:5">
      <c r="A24" t="s">
        <v>4290</v>
      </c>
      <c r="B24" t="s">
        <v>4291</v>
      </c>
      <c r="C24" t="s">
        <v>4292</v>
      </c>
      <c r="D24" t="s">
        <v>1175</v>
      </c>
      <c r="E24" t="s">
        <v>4293</v>
      </c>
    </row>
    <row r="25" spans="1:5">
      <c r="A25" t="s">
        <v>4294</v>
      </c>
      <c r="B25" t="s">
        <v>4295</v>
      </c>
      <c r="C25" t="s">
        <v>4296</v>
      </c>
      <c r="D25" t="s">
        <v>4297</v>
      </c>
      <c r="E25" t="s">
        <v>1019</v>
      </c>
    </row>
    <row r="26" spans="1:5">
      <c r="A26" t="s">
        <v>5550</v>
      </c>
      <c r="B26" t="s">
        <v>5551</v>
      </c>
      <c r="C26" t="s">
        <v>4296</v>
      </c>
      <c r="D26" s="3" t="s">
        <v>5552</v>
      </c>
      <c r="E26" t="s">
        <v>1176</v>
      </c>
    </row>
    <row r="27" spans="1:5">
      <c r="A27" t="s">
        <v>4298</v>
      </c>
      <c r="B27" t="s">
        <v>4299</v>
      </c>
      <c r="C27" t="s">
        <v>4260</v>
      </c>
      <c r="D27" s="45" t="s">
        <v>4300</v>
      </c>
      <c r="E27" t="s">
        <v>4301</v>
      </c>
    </row>
    <row r="28" spans="1:5">
      <c r="A28" t="s">
        <v>4302</v>
      </c>
      <c r="B28" t="s">
        <v>4303</v>
      </c>
      <c r="C28" t="s">
        <v>4257</v>
      </c>
      <c r="D28" t="s">
        <v>4304</v>
      </c>
      <c r="E28" t="s">
        <v>4305</v>
      </c>
    </row>
    <row r="29" spans="1:5">
      <c r="A29" t="s">
        <v>4306</v>
      </c>
      <c r="B29" t="s">
        <v>4307</v>
      </c>
      <c r="C29" t="s">
        <v>4308</v>
      </c>
      <c r="D29" t="s">
        <v>4309</v>
      </c>
      <c r="E29" t="s">
        <v>4310</v>
      </c>
    </row>
    <row r="30" spans="1:5">
      <c r="A30" t="s">
        <v>1456</v>
      </c>
      <c r="B30" t="s">
        <v>4311</v>
      </c>
      <c r="C30" t="s">
        <v>4229</v>
      </c>
      <c r="D30" t="s">
        <v>1458</v>
      </c>
      <c r="E30" t="s">
        <v>1458</v>
      </c>
    </row>
    <row r="31" spans="1:5">
      <c r="A31" t="s">
        <v>4312</v>
      </c>
      <c r="B31" t="s">
        <v>4313</v>
      </c>
      <c r="C31" t="s">
        <v>4229</v>
      </c>
      <c r="D31" t="s">
        <v>4314</v>
      </c>
      <c r="E31" t="s">
        <v>4315</v>
      </c>
    </row>
    <row r="32" spans="1:5">
      <c r="A32" t="s">
        <v>4316</v>
      </c>
      <c r="B32" t="s">
        <v>4317</v>
      </c>
      <c r="C32" t="s">
        <v>4241</v>
      </c>
      <c r="D32" t="s">
        <v>4316</v>
      </c>
    </row>
    <row r="33" spans="1:6">
      <c r="A33" t="s">
        <v>4318</v>
      </c>
      <c r="B33" t="s">
        <v>4319</v>
      </c>
      <c r="C33" t="s">
        <v>4320</v>
      </c>
      <c r="D33" t="s">
        <v>4321</v>
      </c>
      <c r="E33" t="s">
        <v>4322</v>
      </c>
      <c r="F33" t="s">
        <v>4323</v>
      </c>
    </row>
    <row r="34" spans="1:6">
      <c r="A34" t="s">
        <v>4324</v>
      </c>
      <c r="B34" t="s">
        <v>4325</v>
      </c>
      <c r="C34" t="s">
        <v>4229</v>
      </c>
      <c r="D34" t="s">
        <v>4326</v>
      </c>
      <c r="E34" t="s">
        <v>4327</v>
      </c>
    </row>
    <row r="35" spans="1:6">
      <c r="A35" t="s">
        <v>5548</v>
      </c>
      <c r="B35" t="s">
        <v>5492</v>
      </c>
      <c r="C35" t="s">
        <v>4257</v>
      </c>
      <c r="D35" s="3" t="s">
        <v>5549</v>
      </c>
      <c r="E35" t="s">
        <v>5491</v>
      </c>
    </row>
    <row r="36" spans="1:6">
      <c r="A36" t="s">
        <v>4328</v>
      </c>
      <c r="B36" t="s">
        <v>4329</v>
      </c>
      <c r="C36" t="s">
        <v>4229</v>
      </c>
      <c r="D36" s="45" t="s">
        <v>4330</v>
      </c>
      <c r="E36" t="s">
        <v>4331</v>
      </c>
    </row>
    <row r="37" spans="1:6">
      <c r="A37" t="s">
        <v>4332</v>
      </c>
      <c r="B37" t="s">
        <v>4333</v>
      </c>
      <c r="C37" t="s">
        <v>4217</v>
      </c>
      <c r="D37" t="s">
        <v>4334</v>
      </c>
      <c r="E37" t="s">
        <v>4335</v>
      </c>
    </row>
    <row r="38" spans="1:6">
      <c r="A38" t="s">
        <v>4336</v>
      </c>
      <c r="B38" t="s">
        <v>4337</v>
      </c>
      <c r="C38" t="s">
        <v>4275</v>
      </c>
      <c r="D38" t="s">
        <v>4336</v>
      </c>
      <c r="E38" t="s">
        <v>4338</v>
      </c>
    </row>
    <row r="39" spans="1:6">
      <c r="A39" t="s">
        <v>4339</v>
      </c>
      <c r="B39" t="s">
        <v>4340</v>
      </c>
      <c r="C39" t="s">
        <v>4275</v>
      </c>
      <c r="D39" t="s">
        <v>4341</v>
      </c>
      <c r="E39" t="s">
        <v>4342</v>
      </c>
    </row>
    <row r="40" spans="1:6">
      <c r="A40" t="s">
        <v>4343</v>
      </c>
      <c r="B40" t="s">
        <v>4344</v>
      </c>
      <c r="C40" t="s">
        <v>4275</v>
      </c>
      <c r="D40" t="s">
        <v>4345</v>
      </c>
      <c r="E40" t="s">
        <v>4346</v>
      </c>
    </row>
    <row r="41" spans="1:6">
      <c r="A41" t="s">
        <v>4347</v>
      </c>
      <c r="B41" t="s">
        <v>4348</v>
      </c>
      <c r="C41" t="s">
        <v>4275</v>
      </c>
      <c r="D41" t="s">
        <v>4349</v>
      </c>
      <c r="E41" t="s">
        <v>4350</v>
      </c>
    </row>
    <row r="42" spans="1:6">
      <c r="A42" t="s">
        <v>4351</v>
      </c>
      <c r="B42" t="s">
        <v>4352</v>
      </c>
      <c r="C42" t="s">
        <v>4241</v>
      </c>
      <c r="D42" s="36" t="s">
        <v>4353</v>
      </c>
      <c r="E42" t="s">
        <v>2065</v>
      </c>
      <c r="F42" t="s">
        <v>4354</v>
      </c>
    </row>
    <row r="43" spans="1:6">
      <c r="A43" t="s">
        <v>4355</v>
      </c>
      <c r="B43" t="s">
        <v>4356</v>
      </c>
      <c r="C43" t="s">
        <v>4260</v>
      </c>
      <c r="D43" t="s">
        <v>4357</v>
      </c>
      <c r="E43" t="s">
        <v>4358</v>
      </c>
    </row>
    <row r="44" spans="1:6">
      <c r="A44" t="s">
        <v>4359</v>
      </c>
      <c r="B44" t="s">
        <v>4360</v>
      </c>
      <c r="C44" t="s">
        <v>4217</v>
      </c>
      <c r="D44" s="3" t="s">
        <v>4361</v>
      </c>
    </row>
    <row r="45" spans="1:6">
      <c r="A45" t="s">
        <v>2953</v>
      </c>
      <c r="B45" t="s">
        <v>979</v>
      </c>
      <c r="C45" t="s">
        <v>4257</v>
      </c>
      <c r="D45" s="45" t="s">
        <v>2476</v>
      </c>
      <c r="E45" t="s">
        <v>4362</v>
      </c>
    </row>
    <row r="46" spans="1:6">
      <c r="A46" t="s">
        <v>4363</v>
      </c>
      <c r="B46" t="s">
        <v>4364</v>
      </c>
      <c r="C46" t="s">
        <v>4257</v>
      </c>
      <c r="D46" t="s">
        <v>4365</v>
      </c>
      <c r="E46" t="s">
        <v>4366</v>
      </c>
    </row>
    <row r="47" spans="1:6">
      <c r="A47" t="s">
        <v>4367</v>
      </c>
      <c r="B47" t="s">
        <v>4368</v>
      </c>
      <c r="C47" t="s">
        <v>4229</v>
      </c>
      <c r="D47" t="s">
        <v>4369</v>
      </c>
      <c r="E47" t="s">
        <v>4370</v>
      </c>
    </row>
    <row r="48" spans="1:6">
      <c r="A48" t="s">
        <v>4371</v>
      </c>
      <c r="B48" t="s">
        <v>4372</v>
      </c>
      <c r="C48" t="s">
        <v>4237</v>
      </c>
      <c r="D48" t="s">
        <v>4373</v>
      </c>
      <c r="E48" t="s">
        <v>3037</v>
      </c>
    </row>
    <row r="49" spans="1:5" ht="15.75">
      <c r="A49" s="47" t="s">
        <v>5737</v>
      </c>
      <c r="B49" s="47" t="s">
        <v>5738</v>
      </c>
      <c r="C49" t="s">
        <v>5739</v>
      </c>
      <c r="D49" t="s">
        <v>5740</v>
      </c>
      <c r="E49" s="47" t="s">
        <v>5741</v>
      </c>
    </row>
    <row r="50" spans="1:5">
      <c r="A50" t="s">
        <v>4374</v>
      </c>
      <c r="B50" t="s">
        <v>4375</v>
      </c>
      <c r="C50" t="s">
        <v>4257</v>
      </c>
      <c r="D50" t="s">
        <v>4376</v>
      </c>
      <c r="E50" t="s">
        <v>4377</v>
      </c>
    </row>
    <row r="51" spans="1:5">
      <c r="A51" t="s">
        <v>4378</v>
      </c>
      <c r="B51" t="s">
        <v>4379</v>
      </c>
      <c r="C51" t="s">
        <v>4217</v>
      </c>
      <c r="D51" t="s">
        <v>4380</v>
      </c>
      <c r="E51" t="s">
        <v>4381</v>
      </c>
    </row>
    <row r="52" spans="1:5">
      <c r="A52" t="s">
        <v>4382</v>
      </c>
      <c r="B52" t="s">
        <v>4383</v>
      </c>
      <c r="C52" t="s">
        <v>4275</v>
      </c>
      <c r="D52" t="s">
        <v>4384</v>
      </c>
      <c r="E52" t="s">
        <v>4385</v>
      </c>
    </row>
    <row r="53" spans="1:5">
      <c r="A53" t="s">
        <v>4386</v>
      </c>
      <c r="B53" t="s">
        <v>4387</v>
      </c>
      <c r="C53" t="s">
        <v>4217</v>
      </c>
      <c r="D53" t="s">
        <v>4388</v>
      </c>
    </row>
    <row r="54" spans="1:5">
      <c r="A54" t="s">
        <v>4389</v>
      </c>
      <c r="B54" t="s">
        <v>4390</v>
      </c>
      <c r="C54" t="s">
        <v>4296</v>
      </c>
      <c r="D54" t="s">
        <v>4391</v>
      </c>
      <c r="E54" t="s">
        <v>4392</v>
      </c>
    </row>
    <row r="55" spans="1:5">
      <c r="A55" t="s">
        <v>4393</v>
      </c>
      <c r="B55" t="s">
        <v>4394</v>
      </c>
      <c r="C55" t="s">
        <v>4296</v>
      </c>
      <c r="D55" s="35" t="s">
        <v>4395</v>
      </c>
      <c r="E55" t="s">
        <v>4396</v>
      </c>
    </row>
    <row r="56" spans="1:5">
      <c r="A56" t="s">
        <v>3152</v>
      </c>
      <c r="B56" t="s">
        <v>4397</v>
      </c>
      <c r="C56" t="s">
        <v>4296</v>
      </c>
      <c r="D56" s="36" t="s">
        <v>3152</v>
      </c>
      <c r="E56" t="s">
        <v>3152</v>
      </c>
    </row>
    <row r="57" spans="1:5">
      <c r="A57" t="s">
        <v>4398</v>
      </c>
      <c r="B57" t="s">
        <v>4399</v>
      </c>
      <c r="C57" t="s">
        <v>4296</v>
      </c>
      <c r="E57" t="s">
        <v>4398</v>
      </c>
    </row>
    <row r="58" spans="1:5">
      <c r="A58" t="s">
        <v>4400</v>
      </c>
      <c r="B58" t="s">
        <v>4401</v>
      </c>
      <c r="C58" t="s">
        <v>4237</v>
      </c>
      <c r="D58" s="46" t="s">
        <v>4402</v>
      </c>
      <c r="E58" t="s">
        <v>3192</v>
      </c>
    </row>
    <row r="59" spans="1:5">
      <c r="A59" t="s">
        <v>4403</v>
      </c>
      <c r="B59" t="s">
        <v>3215</v>
      </c>
      <c r="C59" t="s">
        <v>4237</v>
      </c>
      <c r="D59" s="3" t="s">
        <v>4404</v>
      </c>
      <c r="E59" t="s">
        <v>4405</v>
      </c>
    </row>
    <row r="60" spans="1:5">
      <c r="A60" t="s">
        <v>4406</v>
      </c>
      <c r="B60" t="s">
        <v>4407</v>
      </c>
      <c r="C60" t="s">
        <v>4237</v>
      </c>
      <c r="D60" t="s">
        <v>4408</v>
      </c>
      <c r="E60" t="s">
        <v>2728</v>
      </c>
    </row>
    <row r="61" spans="1:5">
      <c r="A61" t="s">
        <v>4409</v>
      </c>
      <c r="B61" t="s">
        <v>4410</v>
      </c>
      <c r="C61" t="s">
        <v>4237</v>
      </c>
      <c r="D61" t="s">
        <v>856</v>
      </c>
      <c r="E61" t="s">
        <v>857</v>
      </c>
    </row>
    <row r="62" spans="1:5">
      <c r="A62" t="s">
        <v>5541</v>
      </c>
      <c r="B62" t="s">
        <v>5542</v>
      </c>
      <c r="C62" t="s">
        <v>4275</v>
      </c>
      <c r="D62" t="s">
        <v>5543</v>
      </c>
      <c r="E62" t="s">
        <v>5544</v>
      </c>
    </row>
    <row r="63" spans="1:5">
      <c r="A63" t="s">
        <v>4411</v>
      </c>
      <c r="B63" t="s">
        <v>4412</v>
      </c>
      <c r="C63" t="s">
        <v>4257</v>
      </c>
      <c r="D63" t="s">
        <v>4413</v>
      </c>
      <c r="E63" t="s">
        <v>4414</v>
      </c>
    </row>
    <row r="64" spans="1:5">
      <c r="A64" t="s">
        <v>4415</v>
      </c>
      <c r="B64" t="s">
        <v>4416</v>
      </c>
      <c r="C64" t="s">
        <v>4257</v>
      </c>
      <c r="D64" t="s">
        <v>4417</v>
      </c>
      <c r="E64" t="s">
        <v>4418</v>
      </c>
    </row>
    <row r="65" spans="1:6">
      <c r="A65" t="s">
        <v>4419</v>
      </c>
      <c r="B65" t="s">
        <v>4420</v>
      </c>
      <c r="C65" t="s">
        <v>4237</v>
      </c>
      <c r="D65" s="35" t="s">
        <v>4421</v>
      </c>
      <c r="E65" t="s">
        <v>3687</v>
      </c>
    </row>
    <row r="66" spans="1:6">
      <c r="A66" t="s">
        <v>4422</v>
      </c>
      <c r="B66" t="s">
        <v>4423</v>
      </c>
      <c r="C66" t="s">
        <v>4320</v>
      </c>
      <c r="D66" s="36" t="s">
        <v>4424</v>
      </c>
      <c r="E66" t="s">
        <v>4425</v>
      </c>
    </row>
    <row r="67" spans="1:6">
      <c r="A67" t="s">
        <v>4426</v>
      </c>
      <c r="B67" t="s">
        <v>4427</v>
      </c>
      <c r="C67" t="s">
        <v>4217</v>
      </c>
      <c r="D67" t="s">
        <v>4428</v>
      </c>
      <c r="E67" t="s">
        <v>4429</v>
      </c>
    </row>
    <row r="68" spans="1:6">
      <c r="A68" t="s">
        <v>4430</v>
      </c>
      <c r="B68" t="s">
        <v>4431</v>
      </c>
      <c r="C68" t="s">
        <v>4229</v>
      </c>
      <c r="D68" s="46" t="s">
        <v>4432</v>
      </c>
      <c r="E68" t="s">
        <v>4433</v>
      </c>
    </row>
    <row r="69" spans="1:6">
      <c r="A69" t="s">
        <v>4434</v>
      </c>
      <c r="B69" t="s">
        <v>4435</v>
      </c>
      <c r="C69" t="s">
        <v>4320</v>
      </c>
      <c r="D69" s="3" t="s">
        <v>4436</v>
      </c>
      <c r="E69" t="s">
        <v>4437</v>
      </c>
    </row>
    <row r="70" spans="1:6">
      <c r="A70" t="s">
        <v>4438</v>
      </c>
      <c r="B70" t="s">
        <v>4439</v>
      </c>
      <c r="C70" t="s">
        <v>4237</v>
      </c>
      <c r="D70" s="35" t="s">
        <v>4440</v>
      </c>
      <c r="E70" t="s">
        <v>4441</v>
      </c>
    </row>
    <row r="71" spans="1:6">
      <c r="A71" t="s">
        <v>3881</v>
      </c>
      <c r="B71" t="s">
        <v>4442</v>
      </c>
      <c r="C71" t="s">
        <v>4225</v>
      </c>
      <c r="D71" s="36" t="s">
        <v>3882</v>
      </c>
      <c r="E71" t="s">
        <v>4443</v>
      </c>
    </row>
    <row r="72" spans="1:6">
      <c r="A72" s="35" t="s">
        <v>5715</v>
      </c>
      <c r="B72" s="35" t="s">
        <v>5716</v>
      </c>
      <c r="C72" s="35" t="s">
        <v>5717</v>
      </c>
      <c r="D72" s="36" t="s">
        <v>5718</v>
      </c>
      <c r="E72" s="35" t="s">
        <v>5719</v>
      </c>
      <c r="F72" s="35"/>
    </row>
    <row r="73" spans="1:6">
      <c r="A73" t="s">
        <v>4444</v>
      </c>
      <c r="B73" t="s">
        <v>4445</v>
      </c>
      <c r="C73" t="s">
        <v>4217</v>
      </c>
      <c r="D73" s="36"/>
    </row>
    <row r="74" spans="1:6">
      <c r="A74" s="36" t="s">
        <v>4446</v>
      </c>
      <c r="B74" s="36" t="s">
        <v>4447</v>
      </c>
      <c r="C74" s="36" t="s">
        <v>4225</v>
      </c>
      <c r="D74" s="46" t="s">
        <v>4446</v>
      </c>
      <c r="E74" s="36"/>
      <c r="F74" s="36"/>
    </row>
    <row r="75" spans="1:6">
      <c r="A75" s="36" t="s">
        <v>4448</v>
      </c>
      <c r="B75" s="36" t="s">
        <v>4449</v>
      </c>
      <c r="C75" s="36" t="s">
        <v>4217</v>
      </c>
      <c r="D75" s="3" t="s">
        <v>4450</v>
      </c>
      <c r="E75" s="36" t="s">
        <v>4451</v>
      </c>
      <c r="F75" s="36"/>
    </row>
    <row r="76" spans="1:6">
      <c r="A76" s="36" t="s">
        <v>4452</v>
      </c>
      <c r="B76" s="36" t="s">
        <v>4453</v>
      </c>
      <c r="C76" s="36" t="s">
        <v>4217</v>
      </c>
      <c r="D76" s="3" t="s">
        <v>4454</v>
      </c>
      <c r="E76" s="36" t="s">
        <v>4455</v>
      </c>
      <c r="F76" s="36"/>
    </row>
    <row r="77" spans="1:6">
      <c r="A77" s="46" t="s">
        <v>4456</v>
      </c>
      <c r="B77" s="46" t="s">
        <v>4457</v>
      </c>
      <c r="C77" t="s">
        <v>4237</v>
      </c>
      <c r="D77" s="3" t="s">
        <v>4456</v>
      </c>
      <c r="E77" s="46"/>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F16"/>
  <sheetViews>
    <sheetView tabSelected="1" workbookViewId="0">
      <selection activeCell="A15" sqref="A15:XFD15"/>
    </sheetView>
  </sheetViews>
  <sheetFormatPr baseColWidth="10" defaultColWidth="11.42578125" defaultRowHeight="15"/>
  <cols>
    <col min="1" max="1" width="14.85546875" style="5" bestFit="1" customWidth="1"/>
    <col min="2" max="2" width="8.42578125" style="13" customWidth="1"/>
    <col min="3" max="3" width="36.28515625" style="5" bestFit="1" customWidth="1"/>
    <col min="4" max="4" width="69.5703125" style="5" customWidth="1"/>
    <col min="5" max="5" width="27.42578125" style="5" customWidth="1"/>
    <col min="6" max="6" width="32.28515625" style="5" customWidth="1"/>
    <col min="7" max="16384" width="11.42578125" style="5"/>
  </cols>
  <sheetData>
    <row r="1" spans="1:6" s="18" customFormat="1" ht="24.75" customHeight="1">
      <c r="A1" s="16" t="s">
        <v>4459</v>
      </c>
      <c r="B1" s="17" t="s">
        <v>359</v>
      </c>
      <c r="C1" s="16" t="s">
        <v>4460</v>
      </c>
      <c r="D1" s="16" t="s">
        <v>70</v>
      </c>
      <c r="E1" s="16" t="s">
        <v>4461</v>
      </c>
      <c r="F1" s="16" t="s">
        <v>4462</v>
      </c>
    </row>
    <row r="2" spans="1:6" ht="15.75">
      <c r="A2" s="10" t="s">
        <v>4463</v>
      </c>
      <c r="B2" s="7" t="s">
        <v>96</v>
      </c>
      <c r="C2" s="11" t="s">
        <v>4464</v>
      </c>
      <c r="D2" s="6" t="s">
        <v>4465</v>
      </c>
      <c r="E2" s="6" t="s">
        <v>4466</v>
      </c>
      <c r="F2" s="6" t="s">
        <v>4467</v>
      </c>
    </row>
    <row r="3" spans="1:6" ht="15.75">
      <c r="A3" s="10" t="s">
        <v>4468</v>
      </c>
      <c r="B3" s="7" t="s">
        <v>1531</v>
      </c>
      <c r="C3" s="11" t="s">
        <v>4469</v>
      </c>
      <c r="D3" s="6" t="s">
        <v>4470</v>
      </c>
      <c r="E3" s="6" t="s">
        <v>4471</v>
      </c>
      <c r="F3" s="6" t="s">
        <v>4472</v>
      </c>
    </row>
    <row r="4" spans="1:6" ht="25.5">
      <c r="A4" s="10" t="s">
        <v>4468</v>
      </c>
      <c r="B4" s="7" t="s">
        <v>186</v>
      </c>
      <c r="C4" s="11" t="s">
        <v>4473</v>
      </c>
      <c r="D4" s="6" t="s">
        <v>4474</v>
      </c>
      <c r="E4" s="6" t="s">
        <v>4473</v>
      </c>
      <c r="F4" s="6" t="s">
        <v>4473</v>
      </c>
    </row>
    <row r="5" spans="1:6" ht="25.5">
      <c r="A5" s="10" t="s">
        <v>4468</v>
      </c>
      <c r="B5" s="8" t="s">
        <v>4129</v>
      </c>
      <c r="C5" s="11" t="s">
        <v>4475</v>
      </c>
      <c r="D5" s="6" t="s">
        <v>4476</v>
      </c>
      <c r="E5" s="6" t="s">
        <v>4475</v>
      </c>
      <c r="F5" s="6" t="s">
        <v>4477</v>
      </c>
    </row>
    <row r="6" spans="1:6" ht="15.75">
      <c r="A6" s="10" t="s">
        <v>4468</v>
      </c>
      <c r="B6" s="7" t="s">
        <v>1747</v>
      </c>
      <c r="C6" s="11" t="s">
        <v>4478</v>
      </c>
      <c r="D6" s="6" t="s">
        <v>4479</v>
      </c>
      <c r="E6" s="6" t="s">
        <v>4480</v>
      </c>
      <c r="F6" s="6" t="s">
        <v>4481</v>
      </c>
    </row>
    <row r="7" spans="1:6" ht="25.5">
      <c r="A7" s="10" t="s">
        <v>4463</v>
      </c>
      <c r="B7" s="8" t="s">
        <v>644</v>
      </c>
      <c r="C7" s="9" t="s">
        <v>4482</v>
      </c>
      <c r="D7" s="6" t="s">
        <v>4483</v>
      </c>
      <c r="E7" s="6" t="s">
        <v>4484</v>
      </c>
      <c r="F7" s="6" t="s">
        <v>4485</v>
      </c>
    </row>
    <row r="8" spans="1:6" ht="25.5">
      <c r="A8" s="10" t="s">
        <v>4463</v>
      </c>
      <c r="B8" s="8" t="s">
        <v>352</v>
      </c>
      <c r="C8" s="9" t="s">
        <v>4486</v>
      </c>
      <c r="D8" s="6" t="s">
        <v>4487</v>
      </c>
      <c r="E8" s="6" t="s">
        <v>4488</v>
      </c>
      <c r="F8" s="6" t="s">
        <v>4489</v>
      </c>
    </row>
    <row r="9" spans="1:6" ht="15.75">
      <c r="A9" s="10" t="s">
        <v>4463</v>
      </c>
      <c r="B9" s="7" t="s">
        <v>4213</v>
      </c>
      <c r="C9" s="11" t="s">
        <v>4359</v>
      </c>
      <c r="D9" s="6" t="s">
        <v>4490</v>
      </c>
      <c r="E9" s="6" t="s">
        <v>4491</v>
      </c>
      <c r="F9" s="6" t="s">
        <v>4492</v>
      </c>
    </row>
    <row r="10" spans="1:6" ht="25.5">
      <c r="A10" s="10" t="s">
        <v>4463</v>
      </c>
      <c r="B10" s="7" t="s">
        <v>1381</v>
      </c>
      <c r="C10" s="11" t="s">
        <v>4386</v>
      </c>
      <c r="D10" s="6" t="s">
        <v>4493</v>
      </c>
      <c r="E10" s="6" t="s">
        <v>4494</v>
      </c>
      <c r="F10" s="6" t="s">
        <v>4495</v>
      </c>
    </row>
    <row r="11" spans="1:6" ht="25.5">
      <c r="A11" s="10" t="s">
        <v>4468</v>
      </c>
      <c r="B11" s="7" t="s">
        <v>1013</v>
      </c>
      <c r="C11" s="11" t="s">
        <v>4496</v>
      </c>
      <c r="D11" s="6" t="s">
        <v>4497</v>
      </c>
      <c r="E11" s="6" t="s">
        <v>4498</v>
      </c>
      <c r="F11" s="6" t="s">
        <v>4499</v>
      </c>
    </row>
    <row r="12" spans="1:6" ht="15.75">
      <c r="A12" s="10" t="s">
        <v>4463</v>
      </c>
      <c r="B12" s="7" t="s">
        <v>2613</v>
      </c>
      <c r="C12" s="11" t="s">
        <v>4426</v>
      </c>
      <c r="D12" s="6" t="s">
        <v>4500</v>
      </c>
      <c r="E12" s="6" t="s">
        <v>4501</v>
      </c>
      <c r="F12" s="6" t="s">
        <v>4502</v>
      </c>
    </row>
    <row r="13" spans="1:6" ht="15.75">
      <c r="A13" s="10" t="s">
        <v>4468</v>
      </c>
      <c r="B13" s="8" t="s">
        <v>125</v>
      </c>
      <c r="C13" s="11" t="s">
        <v>4503</v>
      </c>
      <c r="D13" s="6" t="s">
        <v>4504</v>
      </c>
      <c r="E13" s="6" t="s">
        <v>4505</v>
      </c>
      <c r="F13" s="6" t="s">
        <v>4506</v>
      </c>
    </row>
    <row r="14" spans="1:6" ht="15.75">
      <c r="A14" s="10" t="s">
        <v>4463</v>
      </c>
      <c r="B14" s="7" t="s">
        <v>254</v>
      </c>
      <c r="C14" s="11" t="s">
        <v>4507</v>
      </c>
      <c r="D14" s="6" t="s">
        <v>4508</v>
      </c>
      <c r="E14" s="6" t="s">
        <v>4509</v>
      </c>
      <c r="F14" s="6" t="s">
        <v>4510</v>
      </c>
    </row>
    <row r="15" spans="1:6" ht="25.5">
      <c r="A15" s="10" t="s">
        <v>4468</v>
      </c>
      <c r="B15" s="110" t="s">
        <v>6230</v>
      </c>
      <c r="C15" s="11" t="s">
        <v>6231</v>
      </c>
      <c r="D15" s="12" t="s">
        <v>6232</v>
      </c>
      <c r="E15" s="111" t="s">
        <v>6233</v>
      </c>
      <c r="F15" s="111" t="s">
        <v>6234</v>
      </c>
    </row>
    <row r="16" spans="1:6" ht="15.75">
      <c r="A16" s="10" t="s">
        <v>4468</v>
      </c>
      <c r="B16" s="8" t="s">
        <v>1886</v>
      </c>
      <c r="C16" s="11" t="s">
        <v>4511</v>
      </c>
      <c r="D16" s="12" t="s">
        <v>4512</v>
      </c>
      <c r="E16" s="6" t="s">
        <v>4513</v>
      </c>
      <c r="F16" s="6" t="s">
        <v>4514</v>
      </c>
    </row>
  </sheetData>
  <conditionalFormatting sqref="B2:B14 B16">
    <cfRule type="duplicateValues" dxfId="1" priority="2"/>
  </conditionalFormatting>
  <conditionalFormatting sqref="B15">
    <cfRule type="duplicateValues" dxfId="0"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C8"/>
  <sheetViews>
    <sheetView workbookViewId="0">
      <selection activeCell="B2" sqref="B2"/>
    </sheetView>
  </sheetViews>
  <sheetFormatPr baseColWidth="10" defaultRowHeight="15"/>
  <cols>
    <col min="1" max="1" width="11.5703125" customWidth="1"/>
    <col min="2" max="3" width="22.7109375" bestFit="1" customWidth="1"/>
  </cols>
  <sheetData>
    <row r="1" spans="1:3">
      <c r="A1" t="s">
        <v>359</v>
      </c>
      <c r="B1" t="s">
        <v>3966</v>
      </c>
      <c r="C1" t="s">
        <v>1809</v>
      </c>
    </row>
    <row r="2" spans="1:3">
      <c r="A2" t="s">
        <v>436</v>
      </c>
      <c r="B2" t="s">
        <v>4534</v>
      </c>
      <c r="C2" t="s">
        <v>4544</v>
      </c>
    </row>
    <row r="3" spans="1:3">
      <c r="A3" t="s">
        <v>1531</v>
      </c>
      <c r="B3" t="s">
        <v>4542</v>
      </c>
      <c r="C3" t="s">
        <v>4545</v>
      </c>
    </row>
    <row r="4" spans="1:3">
      <c r="A4" t="s">
        <v>748</v>
      </c>
      <c r="B4" t="s">
        <v>4536</v>
      </c>
      <c r="C4" t="s">
        <v>4535</v>
      </c>
    </row>
    <row r="5" spans="1:3">
      <c r="A5" t="s">
        <v>125</v>
      </c>
      <c r="B5" t="s">
        <v>4540</v>
      </c>
      <c r="C5" t="s">
        <v>1229</v>
      </c>
    </row>
    <row r="6" spans="1:3">
      <c r="A6" t="s">
        <v>186</v>
      </c>
      <c r="B6" t="s">
        <v>4537</v>
      </c>
      <c r="C6" t="s">
        <v>4546</v>
      </c>
    </row>
    <row r="7" spans="1:3">
      <c r="A7" t="s">
        <v>221</v>
      </c>
      <c r="B7" t="s">
        <v>4539</v>
      </c>
      <c r="C7" t="s">
        <v>4546</v>
      </c>
    </row>
    <row r="8" spans="1:3">
      <c r="A8" t="s">
        <v>352</v>
      </c>
      <c r="B8" t="s">
        <v>4538</v>
      </c>
      <c r="C8" t="s">
        <v>4535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 LIRE</vt:lpstr>
      <vt:lpstr>Tables</vt:lpstr>
      <vt:lpstr>Champs</vt:lpstr>
      <vt:lpstr>Objets de gestion</vt:lpstr>
      <vt:lpstr>Articles</vt:lpstr>
      <vt:lpstr>BIB</vt:lpstr>
      <vt:lpstr>Type de table</vt:lpstr>
      <vt:lpstr>Type de champ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LAPARRA Marc</cp:lastModifiedBy>
  <dcterms:created xsi:type="dcterms:W3CDTF">2020-12-24T13:14:47Z</dcterms:created>
  <dcterms:modified xsi:type="dcterms:W3CDTF">2024-01-12T09:36:32Z</dcterms:modified>
</cp:coreProperties>
</file>